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8.xml" ContentType="application/vnd.openxmlformats-officedocument.spreadsheetml.table+xml"/>
  <Override PartName="/xl/queryTables/queryTable9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2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7"/>
  <externalReferences>
    <externalReference r:id="rId6"/>
    <externalReference r:id="rId7"/>
    <externalReference r:id="rId8"/>
  </externalReferences>
  <definedNames>
    <definedName name="CAPR" localSheetId="4">'[1]Wells - Conventional'!$C$5</definedName>
    <definedName name="CAPR">'[1]Wells - Conventional'!$C$5</definedName>
    <definedName name="CIR" localSheetId="4">'[1]Wells - Conventional'!$C$4</definedName>
    <definedName name="CIR">'[1]Wells - Conventional'!$C$4</definedName>
    <definedName name="CP" localSheetId="4">'[1]Wells - Conventional'!$C$6</definedName>
    <definedName name="CP">'[1]Wells - Conventional'!$C$6</definedName>
    <definedName name="CurrentCloseDate" localSheetId="4">[2]Report!$AA$2</definedName>
    <definedName name="CurrentCloseDate">Report!$AA$2</definedName>
    <definedName name="CurrentRate" localSheetId="4">[2]!CurrentMtgRatesDataTable82523[SeriesNumValue]</definedName>
    <definedName name="CurrentRate">CurrentMtgRatesDataTable82523[SeriesNumValue]</definedName>
    <definedName name="CurrentRate1">'Function Of Rate'!$C$5</definedName>
    <definedName name="CurrentRateDate" localSheetId="4">[2]!CurrentMtgRatesDataTable82523[AsOfDate]</definedName>
    <definedName name="CurrentRateDate">CurrentMtgRatesDataTable82523[AsOfDate]</definedName>
    <definedName name="CurrMonth">Report!$AA$9</definedName>
    <definedName name="CuurentRate1">'Function Of Rate'!$C$5</definedName>
    <definedName name="CuurRate" localSheetId="4">[2]!CurrentMtgRatesDataTable82523[SeriesNumValue]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'Function Of Rate'!$C$10</definedName>
    <definedName name="IR" localSheetId="4">#REF!</definedName>
    <definedName name="IR">#REF!</definedName>
    <definedName name="LastMonth">Report!$AA$10</definedName>
    <definedName name="LastThursday">Report!$AA$13</definedName>
    <definedName name="MmExcelLinker_D5EFE7B8_A5AE_4CC6_B628_05FDC84CBEA4" localSheetId="4">Early Market [3]Data!$C$44:$C$44</definedName>
    <definedName name="MmExcelLinker_D5EFE7B8_A5AE_4CC6_B628_05FDC84CBEA4">Early Market [3]Data!$C$44:$C$44</definedName>
    <definedName name="NoLagTopTenDataTable" localSheetId="4">#REF!</definedName>
    <definedName name="NoLagTopTenDataTable">#REF!</definedName>
    <definedName name="OneDayBusDate" localSheetId="4">#REF!</definedName>
    <definedName name="OneDayBusDate">#REF!</definedName>
    <definedName name="OneMonthBusDate">#REF!</definedName>
    <definedName name="OneWeekBusDate">#REF!</definedName>
    <definedName name="PDFReportDir" localSheetId="4">[2]Report!$AA$3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Report!$B$1:$U$56</definedName>
    <definedName name="Query_from_Agency_10" localSheetId="1" hidden="1">Query!#REF!</definedName>
    <definedName name="Query_from_Agency_11" localSheetId="3" hidden="1">'Function Of Rate'!$B$2:$C$3</definedName>
    <definedName name="Query_from_Agency_12" localSheetId="3" hidden="1">'Function Of Rate'!$F$2:$P$3</definedName>
    <definedName name="Query_from_Agency_12" localSheetId="1" hidden="1">Query!#REF!</definedName>
    <definedName name="Query_from_Agency_13" localSheetId="3" hidden="1">'Function Of Rate'!$F$7:$P$8</definedName>
    <definedName name="Query_from_Agency_13" localSheetId="1" hidden="1">Query!#REF!</definedName>
    <definedName name="Query_from_Agency_14" localSheetId="3" hidden="1">'Function Of Rate'!$F$11:$P$12</definedName>
    <definedName name="Query_from_Agency_14" localSheetId="1" hidden="1">Query!#REF!</definedName>
    <definedName name="Query_from_Agency_15" localSheetId="3" hidden="1">'Function Of Rate'!$F$15:$P$16</definedName>
    <definedName name="Query_from_Agency_15" localSheetId="1" hidden="1">Query!$J$2:$K$1191</definedName>
    <definedName name="Query_from_Agency_6" localSheetId="1" hidden="1">Query!$C$2:$D$465</definedName>
    <definedName name="Query_from_Agency_7" localSheetId="4" hidden="1">'Current Coupon'!$S$4:$U$7</definedName>
    <definedName name="Query_from_Agency_7" localSheetId="1" hidden="1">Query!#REF!</definedName>
    <definedName name="Query_from_Agency_8" localSheetId="4" hidden="1">'Current Coupon'!$A$4:$C$40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3">'Function Of Rate'!$R$36:$AB$37</definedName>
    <definedName name="temp" localSheetId="1">Query!#REF!</definedName>
    <definedName name="temp_1" localSheetId="1">Query!#REF!</definedName>
    <definedName name="temp_17">#REF!</definedName>
    <definedName name="temp_2" localSheetId="1">Query!#REF!</definedName>
    <definedName name="temp_3" localSheetId="1">Query!#REF!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K18" i="27" l="1"/>
  <c r="E3" i="18" l="1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E289" i="18"/>
  <c r="E290" i="18"/>
  <c r="E291" i="18"/>
  <c r="E292" i="18"/>
  <c r="E293" i="18"/>
  <c r="E294" i="18"/>
  <c r="E295" i="18"/>
  <c r="E296" i="18"/>
  <c r="E297" i="18"/>
  <c r="E298" i="18"/>
  <c r="E299" i="18"/>
  <c r="E300" i="18"/>
  <c r="E301" i="18"/>
  <c r="E302" i="18"/>
  <c r="E303" i="18"/>
  <c r="E304" i="18"/>
  <c r="E305" i="18"/>
  <c r="E306" i="18"/>
  <c r="E307" i="18"/>
  <c r="E308" i="18"/>
  <c r="E309" i="18"/>
  <c r="E310" i="18"/>
  <c r="E311" i="18"/>
  <c r="E312" i="18"/>
  <c r="E313" i="18"/>
  <c r="E314" i="18"/>
  <c r="E315" i="18"/>
  <c r="E316" i="18"/>
  <c r="E317" i="18"/>
  <c r="E318" i="18"/>
  <c r="E319" i="18"/>
  <c r="E320" i="18"/>
  <c r="E321" i="18"/>
  <c r="E322" i="18"/>
  <c r="E323" i="18"/>
  <c r="E324" i="18"/>
  <c r="E325" i="18"/>
  <c r="E326" i="18"/>
  <c r="E327" i="18"/>
  <c r="E328" i="18"/>
  <c r="E329" i="18"/>
  <c r="E330" i="18"/>
  <c r="E331" i="18"/>
  <c r="E332" i="18"/>
  <c r="E333" i="18"/>
  <c r="E334" i="18"/>
  <c r="E335" i="18"/>
  <c r="E336" i="18"/>
  <c r="E337" i="18"/>
  <c r="E338" i="18"/>
  <c r="E339" i="18"/>
  <c r="E340" i="18"/>
  <c r="E341" i="18"/>
  <c r="E342" i="18"/>
  <c r="E343" i="18"/>
  <c r="E344" i="18"/>
  <c r="E345" i="18"/>
  <c r="E346" i="18"/>
  <c r="E347" i="18"/>
  <c r="E348" i="18"/>
  <c r="E349" i="18"/>
  <c r="E350" i="18"/>
  <c r="E351" i="18"/>
  <c r="E352" i="18"/>
  <c r="E353" i="18"/>
  <c r="E354" i="18"/>
  <c r="E355" i="18"/>
  <c r="E356" i="18"/>
  <c r="E357" i="18"/>
  <c r="E358" i="18"/>
  <c r="E359" i="18"/>
  <c r="E360" i="18"/>
  <c r="E361" i="18"/>
  <c r="E362" i="18"/>
  <c r="E363" i="18"/>
  <c r="E364" i="18"/>
  <c r="E365" i="18"/>
  <c r="E366" i="18"/>
  <c r="E367" i="18"/>
  <c r="E368" i="18"/>
  <c r="E369" i="18"/>
  <c r="E370" i="18"/>
  <c r="E371" i="18"/>
  <c r="E372" i="18"/>
  <c r="E373" i="18"/>
  <c r="E374" i="18"/>
  <c r="E375" i="18"/>
  <c r="E376" i="18"/>
  <c r="E377" i="18"/>
  <c r="E378" i="18"/>
  <c r="E379" i="18"/>
  <c r="E380" i="18"/>
  <c r="E381" i="18"/>
  <c r="E382" i="18"/>
  <c r="E383" i="18"/>
  <c r="E384" i="18"/>
  <c r="E385" i="18"/>
  <c r="E386" i="18"/>
  <c r="E387" i="18"/>
  <c r="E388" i="18"/>
  <c r="E389" i="18"/>
  <c r="E390" i="18"/>
  <c r="E391" i="18"/>
  <c r="E392" i="18"/>
  <c r="E393" i="18"/>
  <c r="E394" i="18"/>
  <c r="E395" i="18"/>
  <c r="E396" i="18"/>
  <c r="E397" i="18"/>
  <c r="E398" i="18"/>
  <c r="E399" i="18"/>
  <c r="E400" i="18"/>
  <c r="E401" i="18"/>
  <c r="E402" i="18"/>
  <c r="E403" i="18"/>
  <c r="E404" i="18"/>
  <c r="E405" i="18"/>
  <c r="E406" i="18"/>
  <c r="E407" i="18"/>
  <c r="E408" i="18"/>
  <c r="E409" i="18"/>
  <c r="E410" i="18"/>
  <c r="E411" i="18"/>
  <c r="E412" i="18"/>
  <c r="E413" i="18"/>
  <c r="E414" i="18"/>
  <c r="E415" i="18"/>
  <c r="E416" i="18"/>
  <c r="E417" i="18"/>
  <c r="E418" i="18"/>
  <c r="E419" i="18"/>
  <c r="E420" i="18"/>
  <c r="E421" i="18"/>
  <c r="E422" i="18"/>
  <c r="E423" i="18"/>
  <c r="E424" i="18"/>
  <c r="E425" i="18"/>
  <c r="E426" i="18"/>
  <c r="E427" i="18"/>
  <c r="E428" i="18"/>
  <c r="E429" i="18"/>
  <c r="E430" i="18"/>
  <c r="E431" i="18"/>
  <c r="E432" i="18"/>
  <c r="E433" i="18"/>
  <c r="E434" i="18"/>
  <c r="E435" i="18"/>
  <c r="E436" i="18"/>
  <c r="E437" i="18"/>
  <c r="E438" i="18"/>
  <c r="E439" i="18"/>
  <c r="E440" i="18"/>
  <c r="E441" i="18"/>
  <c r="E442" i="18"/>
  <c r="E443" i="18"/>
  <c r="E444" i="18"/>
  <c r="E445" i="18"/>
  <c r="E446" i="18"/>
  <c r="E447" i="18"/>
  <c r="E448" i="18"/>
  <c r="E449" i="18"/>
  <c r="E450" i="18"/>
  <c r="E451" i="18"/>
  <c r="E452" i="18"/>
  <c r="E453" i="18"/>
  <c r="E454" i="18"/>
  <c r="E455" i="18"/>
  <c r="E456" i="18"/>
  <c r="E457" i="18"/>
  <c r="E458" i="18"/>
  <c r="E459" i="18"/>
  <c r="E460" i="18"/>
  <c r="E461" i="18"/>
  <c r="E462" i="18"/>
  <c r="E463" i="18"/>
  <c r="E464" i="18"/>
  <c r="E465" i="18"/>
  <c r="D5" i="28"/>
  <c r="D6" i="28"/>
  <c r="D7" i="28"/>
  <c r="E7" i="28" s="1"/>
  <c r="D8" i="28"/>
  <c r="E8" i="28" s="1"/>
  <c r="D9" i="28"/>
  <c r="D10" i="28"/>
  <c r="D11" i="28"/>
  <c r="D12" i="28"/>
  <c r="D13" i="28"/>
  <c r="D14" i="28"/>
  <c r="D15" i="28"/>
  <c r="E15" i="28" s="1"/>
  <c r="D16" i="28"/>
  <c r="E16" i="28" s="1"/>
  <c r="D17" i="28"/>
  <c r="D18" i="28"/>
  <c r="D19" i="28"/>
  <c r="D20" i="28"/>
  <c r="D21" i="28"/>
  <c r="D22" i="28"/>
  <c r="D23" i="28"/>
  <c r="E23" i="28" s="1"/>
  <c r="D24" i="28"/>
  <c r="E24" i="28" s="1"/>
  <c r="D25" i="28"/>
  <c r="D26" i="28"/>
  <c r="D27" i="28"/>
  <c r="D28" i="28"/>
  <c r="D29" i="28"/>
  <c r="D30" i="28"/>
  <c r="D31" i="28"/>
  <c r="E31" i="28" s="1"/>
  <c r="D32" i="28"/>
  <c r="E32" i="28" s="1"/>
  <c r="D33" i="28"/>
  <c r="D34" i="28"/>
  <c r="D35" i="28"/>
  <c r="D36" i="28"/>
  <c r="D37" i="28"/>
  <c r="D38" i="28"/>
  <c r="D39" i="28"/>
  <c r="E39" i="28" s="1"/>
  <c r="D40" i="28"/>
  <c r="E40" i="28" s="1"/>
  <c r="E5" i="28"/>
  <c r="H5" i="28" s="1"/>
  <c r="H6" i="28" s="1"/>
  <c r="E6" i="28"/>
  <c r="E10" i="28"/>
  <c r="E11" i="28"/>
  <c r="E12" i="28"/>
  <c r="E13" i="28"/>
  <c r="E14" i="28"/>
  <c r="E18" i="28"/>
  <c r="E19" i="28"/>
  <c r="E20" i="28"/>
  <c r="E21" i="28"/>
  <c r="E22" i="28"/>
  <c r="E26" i="28"/>
  <c r="E27" i="28"/>
  <c r="E28" i="28"/>
  <c r="E29" i="28"/>
  <c r="E30" i="28"/>
  <c r="E34" i="28"/>
  <c r="E35" i="28"/>
  <c r="E36" i="28"/>
  <c r="E37" i="28"/>
  <c r="E38" i="28"/>
  <c r="F5" i="28"/>
  <c r="F6" i="28"/>
  <c r="F7" i="28"/>
  <c r="F8" i="28"/>
  <c r="H8" i="28" s="1"/>
  <c r="I5" i="28"/>
  <c r="M5" i="28"/>
  <c r="H7" i="28" l="1"/>
  <c r="E33" i="28"/>
  <c r="E9" i="28"/>
  <c r="J5" i="28"/>
  <c r="K5" i="28" s="1"/>
  <c r="M6" i="28"/>
  <c r="G5" i="28"/>
  <c r="G6" i="28" s="1"/>
  <c r="G7" i="28" s="1"/>
  <c r="I7" i="28" s="1"/>
  <c r="F9" i="28"/>
  <c r="F10" i="28" s="1"/>
  <c r="G8" i="28"/>
  <c r="I8" i="28"/>
  <c r="E25" i="28"/>
  <c r="E17" i="28"/>
  <c r="I6" i="28"/>
  <c r="G10" i="28" l="1"/>
  <c r="I10" i="28"/>
  <c r="F11" i="28"/>
  <c r="J7" i="28"/>
  <c r="K7" i="28" s="1"/>
  <c r="M8" i="28"/>
  <c r="M9" i="28" s="1"/>
  <c r="L5" i="28"/>
  <c r="J6" i="28"/>
  <c r="K6" i="28" s="1"/>
  <c r="L7" i="28" s="1"/>
  <c r="M7" i="28"/>
  <c r="J8" i="28"/>
  <c r="G9" i="28"/>
  <c r="I9" i="28"/>
  <c r="H9" i="28"/>
  <c r="H10" i="28" s="1"/>
  <c r="AA13" i="16"/>
  <c r="L6" i="28" l="1"/>
  <c r="M10" i="28"/>
  <c r="J9" i="28"/>
  <c r="K8" i="28"/>
  <c r="G11" i="28"/>
  <c r="I11" i="28" s="1"/>
  <c r="H11" i="28"/>
  <c r="F12" i="28"/>
  <c r="J10" i="28"/>
  <c r="M11" i="28"/>
  <c r="G43" i="16"/>
  <c r="J11" i="28" l="1"/>
  <c r="K11" i="28" s="1"/>
  <c r="M12" i="28"/>
  <c r="H12" i="28"/>
  <c r="G12" i="28"/>
  <c r="F13" i="28"/>
  <c r="L8" i="28"/>
  <c r="K9" i="28"/>
  <c r="K10" i="28"/>
  <c r="L11" i="28" s="1"/>
  <c r="G22" i="27"/>
  <c r="H22" i="27"/>
  <c r="I22" i="27"/>
  <c r="J22" i="27"/>
  <c r="K22" i="27"/>
  <c r="L22" i="27"/>
  <c r="M22" i="27"/>
  <c r="N22" i="27"/>
  <c r="O22" i="27"/>
  <c r="P22" i="27"/>
  <c r="F22" i="27"/>
  <c r="G21" i="27"/>
  <c r="H21" i="27"/>
  <c r="I21" i="27"/>
  <c r="J21" i="27"/>
  <c r="K21" i="27"/>
  <c r="L21" i="27"/>
  <c r="M21" i="27"/>
  <c r="N21" i="27"/>
  <c r="O21" i="27"/>
  <c r="P21" i="27"/>
  <c r="F21" i="27"/>
  <c r="G20" i="27"/>
  <c r="H20" i="27"/>
  <c r="I20" i="27"/>
  <c r="J20" i="27"/>
  <c r="K20" i="27"/>
  <c r="L20" i="27"/>
  <c r="M20" i="27"/>
  <c r="N20" i="27"/>
  <c r="O20" i="27"/>
  <c r="P20" i="27"/>
  <c r="F20" i="27"/>
  <c r="L10" i="28" l="1"/>
  <c r="L9" i="28"/>
  <c r="H13" i="28"/>
  <c r="F14" i="28"/>
  <c r="G13" i="28"/>
  <c r="I13" i="28"/>
  <c r="I12" i="28"/>
  <c r="B8" i="27"/>
  <c r="C8" i="27" s="1"/>
  <c r="Q39" i="16" s="1"/>
  <c r="T40" i="16"/>
  <c r="J13" i="28" l="1"/>
  <c r="H14" i="28"/>
  <c r="F15" i="28"/>
  <c r="G14" i="28"/>
  <c r="I14" i="28"/>
  <c r="J12" i="28"/>
  <c r="K12" i="28" s="1"/>
  <c r="M13" i="28"/>
  <c r="M14" i="28" s="1"/>
  <c r="AA9" i="16"/>
  <c r="L12" i="28" l="1"/>
  <c r="H15" i="28"/>
  <c r="G15" i="28"/>
  <c r="F16" i="28"/>
  <c r="I15" i="28" s="1"/>
  <c r="J14" i="28"/>
  <c r="K14" i="28" s="1"/>
  <c r="M15" i="28"/>
  <c r="K13" i="28"/>
  <c r="AA4" i="16"/>
  <c r="J15" i="28" l="1"/>
  <c r="K15" i="28" s="1"/>
  <c r="M16" i="28"/>
  <c r="L15" i="28"/>
  <c r="G16" i="28"/>
  <c r="H16" i="28"/>
  <c r="F17" i="28"/>
  <c r="L14" i="28"/>
  <c r="L13" i="28"/>
  <c r="S44" i="16"/>
  <c r="S45" i="16"/>
  <c r="S46" i="16"/>
  <c r="S47" i="16"/>
  <c r="S48" i="16"/>
  <c r="T48" i="16" s="1"/>
  <c r="S49" i="16"/>
  <c r="S50" i="16"/>
  <c r="S51" i="16"/>
  <c r="S52" i="16"/>
  <c r="S53" i="16"/>
  <c r="S43" i="16"/>
  <c r="G17" i="28" l="1"/>
  <c r="H17" i="28"/>
  <c r="F18" i="28"/>
  <c r="I16" i="28"/>
  <c r="T46" i="16"/>
  <c r="T47" i="16"/>
  <c r="T50" i="16"/>
  <c r="T49" i="16"/>
  <c r="T43" i="16"/>
  <c r="T53" i="16"/>
  <c r="T45" i="16"/>
  <c r="T52" i="16"/>
  <c r="T44" i="16"/>
  <c r="T51" i="16"/>
  <c r="H46" i="16"/>
  <c r="G46" i="16"/>
  <c r="H49" i="16"/>
  <c r="G49" i="16"/>
  <c r="H45" i="16"/>
  <c r="G45" i="16"/>
  <c r="G50" i="16"/>
  <c r="H50" i="16"/>
  <c r="H52" i="16"/>
  <c r="G52" i="16"/>
  <c r="G44" i="16"/>
  <c r="H44" i="16"/>
  <c r="G48" i="16"/>
  <c r="H48" i="16"/>
  <c r="G47" i="16"/>
  <c r="H47" i="16"/>
  <c r="G51" i="16"/>
  <c r="H51" i="16"/>
  <c r="H43" i="16"/>
  <c r="F48" i="16"/>
  <c r="F49" i="16"/>
  <c r="F50" i="16"/>
  <c r="F52" i="16"/>
  <c r="F44" i="16"/>
  <c r="F45" i="16"/>
  <c r="F46" i="16"/>
  <c r="F47" i="16"/>
  <c r="F51" i="16"/>
  <c r="F43" i="16"/>
  <c r="Q44" i="16"/>
  <c r="Q43" i="16"/>
  <c r="G18" i="28" l="1"/>
  <c r="H18" i="28"/>
  <c r="F19" i="28"/>
  <c r="I17" i="28"/>
  <c r="M17" i="28"/>
  <c r="J16" i="28"/>
  <c r="K16" i="28" s="1"/>
  <c r="Q48" i="16"/>
  <c r="R43" i="16" s="1"/>
  <c r="Q47" i="16"/>
  <c r="Q53" i="16"/>
  <c r="Q45" i="16"/>
  <c r="Q52" i="16"/>
  <c r="Q51" i="16"/>
  <c r="Q49" i="16"/>
  <c r="Q46" i="16"/>
  <c r="Q50" i="16"/>
  <c r="I40" i="16"/>
  <c r="M18" i="28" l="1"/>
  <c r="J17" i="28"/>
  <c r="K17" i="28" s="1"/>
  <c r="L17" i="28"/>
  <c r="L16" i="28"/>
  <c r="G19" i="28"/>
  <c r="H19" i="28"/>
  <c r="F20" i="28"/>
  <c r="I18" i="28"/>
  <c r="R50" i="16"/>
  <c r="R52" i="16"/>
  <c r="R49" i="16"/>
  <c r="R53" i="16"/>
  <c r="R51" i="16"/>
  <c r="R47" i="16"/>
  <c r="R46" i="16"/>
  <c r="R45" i="16"/>
  <c r="R48" i="16"/>
  <c r="R44" i="16"/>
  <c r="H20" i="28" l="1"/>
  <c r="G20" i="28"/>
  <c r="F21" i="28"/>
  <c r="I19" i="28"/>
  <c r="J18" i="28"/>
  <c r="K18" i="28" s="1"/>
  <c r="M19" i="28"/>
  <c r="K40" i="16"/>
  <c r="O44" i="16"/>
  <c r="O45" i="16"/>
  <c r="O46" i="16"/>
  <c r="O47" i="16"/>
  <c r="O48" i="16"/>
  <c r="O49" i="16"/>
  <c r="O50" i="16"/>
  <c r="O51" i="16"/>
  <c r="O52" i="16"/>
  <c r="O53" i="16"/>
  <c r="O43" i="16"/>
  <c r="B5" i="27"/>
  <c r="B9" i="27" s="1"/>
  <c r="G19" i="27"/>
  <c r="H19" i="27"/>
  <c r="I19" i="27"/>
  <c r="J19" i="27"/>
  <c r="K19" i="27"/>
  <c r="L19" i="27"/>
  <c r="M19" i="27"/>
  <c r="N19" i="27"/>
  <c r="O19" i="27"/>
  <c r="P19" i="27"/>
  <c r="F19" i="27"/>
  <c r="C5" i="27"/>
  <c r="AA10" i="16"/>
  <c r="E44" i="16"/>
  <c r="E45" i="16"/>
  <c r="E46" i="16"/>
  <c r="E47" i="16"/>
  <c r="E48" i="16"/>
  <c r="E49" i="16"/>
  <c r="E50" i="16"/>
  <c r="E51" i="16"/>
  <c r="E52" i="16"/>
  <c r="E43" i="16"/>
  <c r="J19" i="28" l="1"/>
  <c r="K19" i="28" s="1"/>
  <c r="M20" i="28"/>
  <c r="H21" i="28"/>
  <c r="F22" i="28"/>
  <c r="G21" i="28"/>
  <c r="I21" i="28"/>
  <c r="L18" i="28"/>
  <c r="I20" i="28"/>
  <c r="P53" i="16"/>
  <c r="P52" i="16"/>
  <c r="P50" i="16"/>
  <c r="P51" i="16"/>
  <c r="P49" i="16"/>
  <c r="P44" i="16"/>
  <c r="P47" i="16"/>
  <c r="P45" i="16"/>
  <c r="P43" i="16"/>
  <c r="P46" i="16"/>
  <c r="B2" i="19"/>
  <c r="F4" i="18" l="1"/>
  <c r="F12" i="18"/>
  <c r="F20" i="18"/>
  <c r="F28" i="18"/>
  <c r="F36" i="18"/>
  <c r="F44" i="18"/>
  <c r="F52" i="18"/>
  <c r="F60" i="18"/>
  <c r="F68" i="18"/>
  <c r="F76" i="18"/>
  <c r="F84" i="18"/>
  <c r="F92" i="18"/>
  <c r="F100" i="18"/>
  <c r="F108" i="18"/>
  <c r="F116" i="18"/>
  <c r="F124" i="18"/>
  <c r="F132" i="18"/>
  <c r="F140" i="18"/>
  <c r="F148" i="18"/>
  <c r="F156" i="18"/>
  <c r="F164" i="18"/>
  <c r="F172" i="18"/>
  <c r="F180" i="18"/>
  <c r="F188" i="18"/>
  <c r="F196" i="18"/>
  <c r="F204" i="18"/>
  <c r="F212" i="18"/>
  <c r="F220" i="18"/>
  <c r="F228" i="18"/>
  <c r="F236" i="18"/>
  <c r="F244" i="18"/>
  <c r="F252" i="18"/>
  <c r="F260" i="18"/>
  <c r="F268" i="18"/>
  <c r="F276" i="18"/>
  <c r="F284" i="18"/>
  <c r="F292" i="18"/>
  <c r="F300" i="18"/>
  <c r="F308" i="18"/>
  <c r="F316" i="18"/>
  <c r="F324" i="18"/>
  <c r="F332" i="18"/>
  <c r="F340" i="18"/>
  <c r="F348" i="18"/>
  <c r="F356" i="18"/>
  <c r="F364" i="18"/>
  <c r="F372" i="18"/>
  <c r="F380" i="18"/>
  <c r="F388" i="18"/>
  <c r="F396" i="18"/>
  <c r="F404" i="18"/>
  <c r="F412" i="18"/>
  <c r="F420" i="18"/>
  <c r="F428" i="18"/>
  <c r="F436" i="18"/>
  <c r="F444" i="18"/>
  <c r="F452" i="18"/>
  <c r="F460" i="18"/>
  <c r="F5" i="18"/>
  <c r="I45" i="16" s="1"/>
  <c r="F13" i="18"/>
  <c r="F21" i="18"/>
  <c r="F29" i="18"/>
  <c r="F37" i="18"/>
  <c r="F45" i="18"/>
  <c r="F53" i="18"/>
  <c r="F61" i="18"/>
  <c r="F69" i="18"/>
  <c r="F77" i="18"/>
  <c r="F85" i="18"/>
  <c r="F93" i="18"/>
  <c r="F101" i="18"/>
  <c r="F109" i="18"/>
  <c r="F117" i="18"/>
  <c r="F125" i="18"/>
  <c r="F133" i="18"/>
  <c r="F141" i="18"/>
  <c r="F149" i="18"/>
  <c r="F157" i="18"/>
  <c r="F165" i="18"/>
  <c r="F173" i="18"/>
  <c r="F181" i="18"/>
  <c r="F189" i="18"/>
  <c r="F197" i="18"/>
  <c r="F205" i="18"/>
  <c r="F213" i="18"/>
  <c r="F221" i="18"/>
  <c r="F229" i="18"/>
  <c r="F237" i="18"/>
  <c r="F245" i="18"/>
  <c r="F253" i="18"/>
  <c r="F261" i="18"/>
  <c r="F269" i="18"/>
  <c r="F277" i="18"/>
  <c r="F285" i="18"/>
  <c r="F293" i="18"/>
  <c r="F301" i="18"/>
  <c r="F309" i="18"/>
  <c r="F317" i="18"/>
  <c r="F325" i="18"/>
  <c r="F333" i="18"/>
  <c r="F341" i="18"/>
  <c r="F349" i="18"/>
  <c r="F357" i="18"/>
  <c r="F365" i="18"/>
  <c r="F373" i="18"/>
  <c r="F381" i="18"/>
  <c r="F389" i="18"/>
  <c r="F397" i="18"/>
  <c r="F405" i="18"/>
  <c r="F413" i="18"/>
  <c r="F421" i="18"/>
  <c r="F429" i="18"/>
  <c r="F437" i="18"/>
  <c r="F445" i="18"/>
  <c r="F453" i="18"/>
  <c r="F461" i="18"/>
  <c r="F9" i="18"/>
  <c r="F17" i="18"/>
  <c r="F25" i="18"/>
  <c r="F33" i="18"/>
  <c r="F41" i="18"/>
  <c r="F49" i="18"/>
  <c r="F57" i="18"/>
  <c r="F65" i="18"/>
  <c r="F73" i="18"/>
  <c r="F81" i="18"/>
  <c r="F89" i="18"/>
  <c r="F97" i="18"/>
  <c r="F105" i="18"/>
  <c r="F113" i="18"/>
  <c r="F121" i="18"/>
  <c r="F129" i="18"/>
  <c r="F137" i="18"/>
  <c r="F145" i="18"/>
  <c r="F153" i="18"/>
  <c r="F161" i="18"/>
  <c r="F169" i="18"/>
  <c r="F177" i="18"/>
  <c r="F185" i="18"/>
  <c r="F193" i="18"/>
  <c r="F201" i="18"/>
  <c r="F209" i="18"/>
  <c r="F217" i="18"/>
  <c r="F225" i="18"/>
  <c r="F233" i="18"/>
  <c r="F241" i="18"/>
  <c r="F249" i="18"/>
  <c r="F257" i="18"/>
  <c r="F265" i="18"/>
  <c r="F273" i="18"/>
  <c r="F281" i="18"/>
  <c r="F289" i="18"/>
  <c r="F297" i="18"/>
  <c r="F305" i="18"/>
  <c r="F313" i="18"/>
  <c r="F321" i="18"/>
  <c r="F329" i="18"/>
  <c r="F337" i="18"/>
  <c r="F345" i="18"/>
  <c r="F353" i="18"/>
  <c r="F361" i="18"/>
  <c r="F369" i="18"/>
  <c r="F377" i="18"/>
  <c r="F385" i="18"/>
  <c r="F393" i="18"/>
  <c r="F401" i="18"/>
  <c r="F409" i="18"/>
  <c r="F417" i="18"/>
  <c r="F425" i="18"/>
  <c r="F433" i="18"/>
  <c r="F441" i="18"/>
  <c r="F449" i="18"/>
  <c r="F457" i="18"/>
  <c r="F465" i="18"/>
  <c r="F3" i="18"/>
  <c r="I43" i="16" s="1"/>
  <c r="F11" i="18"/>
  <c r="F19" i="18"/>
  <c r="F27" i="18"/>
  <c r="F35" i="18"/>
  <c r="F43" i="18"/>
  <c r="F51" i="18"/>
  <c r="F59" i="18"/>
  <c r="F75" i="18"/>
  <c r="F83" i="18"/>
  <c r="F99" i="18"/>
  <c r="F115" i="18"/>
  <c r="F131" i="18"/>
  <c r="F147" i="18"/>
  <c r="F163" i="18"/>
  <c r="F179" i="18"/>
  <c r="F195" i="18"/>
  <c r="F211" i="18"/>
  <c r="F227" i="18"/>
  <c r="F243" i="18"/>
  <c r="F259" i="18"/>
  <c r="F275" i="18"/>
  <c r="F291" i="18"/>
  <c r="F307" i="18"/>
  <c r="F323" i="18"/>
  <c r="F339" i="18"/>
  <c r="F355" i="18"/>
  <c r="F10" i="18"/>
  <c r="F18" i="18"/>
  <c r="F26" i="18"/>
  <c r="F34" i="18"/>
  <c r="F42" i="18"/>
  <c r="F50" i="18"/>
  <c r="F58" i="18"/>
  <c r="F66" i="18"/>
  <c r="F74" i="18"/>
  <c r="F82" i="18"/>
  <c r="F90" i="18"/>
  <c r="F98" i="18"/>
  <c r="F106" i="18"/>
  <c r="F114" i="18"/>
  <c r="F122" i="18"/>
  <c r="F130" i="18"/>
  <c r="F138" i="18"/>
  <c r="F146" i="18"/>
  <c r="F154" i="18"/>
  <c r="F162" i="18"/>
  <c r="F170" i="18"/>
  <c r="F178" i="18"/>
  <c r="F186" i="18"/>
  <c r="F194" i="18"/>
  <c r="F202" i="18"/>
  <c r="F210" i="18"/>
  <c r="F218" i="18"/>
  <c r="F226" i="18"/>
  <c r="F234" i="18"/>
  <c r="F242" i="18"/>
  <c r="F250" i="18"/>
  <c r="F258" i="18"/>
  <c r="F266" i="18"/>
  <c r="F274" i="18"/>
  <c r="F282" i="18"/>
  <c r="F290" i="18"/>
  <c r="F298" i="18"/>
  <c r="F306" i="18"/>
  <c r="F314" i="18"/>
  <c r="F322" i="18"/>
  <c r="F330" i="18"/>
  <c r="F338" i="18"/>
  <c r="F346" i="18"/>
  <c r="F354" i="18"/>
  <c r="F362" i="18"/>
  <c r="F370" i="18"/>
  <c r="F378" i="18"/>
  <c r="F386" i="18"/>
  <c r="F394" i="18"/>
  <c r="F402" i="18"/>
  <c r="F410" i="18"/>
  <c r="F418" i="18"/>
  <c r="F426" i="18"/>
  <c r="F434" i="18"/>
  <c r="F442" i="18"/>
  <c r="F450" i="18"/>
  <c r="F458" i="18"/>
  <c r="F67" i="18"/>
  <c r="F91" i="18"/>
  <c r="F107" i="18"/>
  <c r="F123" i="18"/>
  <c r="F139" i="18"/>
  <c r="F155" i="18"/>
  <c r="F171" i="18"/>
  <c r="F187" i="18"/>
  <c r="F203" i="18"/>
  <c r="F219" i="18"/>
  <c r="F235" i="18"/>
  <c r="F251" i="18"/>
  <c r="F267" i="18"/>
  <c r="F283" i="18"/>
  <c r="F299" i="18"/>
  <c r="F315" i="18"/>
  <c r="F331" i="18"/>
  <c r="F347" i="18"/>
  <c r="F363" i="18"/>
  <c r="F7" i="18"/>
  <c r="F30" i="18"/>
  <c r="F48" i="18"/>
  <c r="F71" i="18"/>
  <c r="F94" i="18"/>
  <c r="F112" i="18"/>
  <c r="F135" i="18"/>
  <c r="F158" i="18"/>
  <c r="F176" i="18"/>
  <c r="F199" i="18"/>
  <c r="F222" i="18"/>
  <c r="F240" i="18"/>
  <c r="F263" i="18"/>
  <c r="F286" i="18"/>
  <c r="F304" i="18"/>
  <c r="F327" i="18"/>
  <c r="F350" i="18"/>
  <c r="F368" i="18"/>
  <c r="F384" i="18"/>
  <c r="F416" i="18"/>
  <c r="F448" i="18"/>
  <c r="F38" i="18"/>
  <c r="F79" i="18"/>
  <c r="F120" i="18"/>
  <c r="F166" i="18"/>
  <c r="F207" i="18"/>
  <c r="F248" i="18"/>
  <c r="F294" i="18"/>
  <c r="F335" i="18"/>
  <c r="F375" i="18"/>
  <c r="F439" i="18"/>
  <c r="F456" i="18"/>
  <c r="F86" i="18"/>
  <c r="F168" i="18"/>
  <c r="F255" i="18"/>
  <c r="F342" i="18"/>
  <c r="F411" i="18"/>
  <c r="F8" i="18"/>
  <c r="F31" i="18"/>
  <c r="F54" i="18"/>
  <c r="F72" i="18"/>
  <c r="F95" i="18"/>
  <c r="F118" i="18"/>
  <c r="F136" i="18"/>
  <c r="F159" i="18"/>
  <c r="F182" i="18"/>
  <c r="F200" i="18"/>
  <c r="F223" i="18"/>
  <c r="F246" i="18"/>
  <c r="F264" i="18"/>
  <c r="F287" i="18"/>
  <c r="F310" i="18"/>
  <c r="F328" i="18"/>
  <c r="F351" i="18"/>
  <c r="F371" i="18"/>
  <c r="F387" i="18"/>
  <c r="F403" i="18"/>
  <c r="F419" i="18"/>
  <c r="F435" i="18"/>
  <c r="F451" i="18"/>
  <c r="F334" i="18"/>
  <c r="F390" i="18"/>
  <c r="F422" i="18"/>
  <c r="F454" i="18"/>
  <c r="F15" i="18"/>
  <c r="F56" i="18"/>
  <c r="F102" i="18"/>
  <c r="F143" i="18"/>
  <c r="F184" i="18"/>
  <c r="F230" i="18"/>
  <c r="F271" i="18"/>
  <c r="F312" i="18"/>
  <c r="F358" i="18"/>
  <c r="F391" i="18"/>
  <c r="F455" i="18"/>
  <c r="F39" i="18"/>
  <c r="F62" i="18"/>
  <c r="F103" i="18"/>
  <c r="F144" i="18"/>
  <c r="F190" i="18"/>
  <c r="F231" i="18"/>
  <c r="F272" i="18"/>
  <c r="F318" i="18"/>
  <c r="F359" i="18"/>
  <c r="F392" i="18"/>
  <c r="F424" i="18"/>
  <c r="F63" i="18"/>
  <c r="F150" i="18"/>
  <c r="F232" i="18"/>
  <c r="F296" i="18"/>
  <c r="F379" i="18"/>
  <c r="F443" i="18"/>
  <c r="F14" i="18"/>
  <c r="F32" i="18"/>
  <c r="F55" i="18"/>
  <c r="F78" i="18"/>
  <c r="F96" i="18"/>
  <c r="F119" i="18"/>
  <c r="F142" i="18"/>
  <c r="F160" i="18"/>
  <c r="F183" i="18"/>
  <c r="F206" i="18"/>
  <c r="F224" i="18"/>
  <c r="F247" i="18"/>
  <c r="F270" i="18"/>
  <c r="F288" i="18"/>
  <c r="F311" i="18"/>
  <c r="F352" i="18"/>
  <c r="F374" i="18"/>
  <c r="F406" i="18"/>
  <c r="F438" i="18"/>
  <c r="F423" i="18"/>
  <c r="F16" i="18"/>
  <c r="F80" i="18"/>
  <c r="F126" i="18"/>
  <c r="F167" i="18"/>
  <c r="F208" i="18"/>
  <c r="F254" i="18"/>
  <c r="F295" i="18"/>
  <c r="F336" i="18"/>
  <c r="F376" i="18"/>
  <c r="F408" i="18"/>
  <c r="F440" i="18"/>
  <c r="F22" i="18"/>
  <c r="F127" i="18"/>
  <c r="F214" i="18"/>
  <c r="F319" i="18"/>
  <c r="F395" i="18"/>
  <c r="F459" i="18"/>
  <c r="F23" i="18"/>
  <c r="F46" i="18"/>
  <c r="F64" i="18"/>
  <c r="F87" i="18"/>
  <c r="F110" i="18"/>
  <c r="F128" i="18"/>
  <c r="F151" i="18"/>
  <c r="F174" i="18"/>
  <c r="F192" i="18"/>
  <c r="F215" i="18"/>
  <c r="F238" i="18"/>
  <c r="F256" i="18"/>
  <c r="F279" i="18"/>
  <c r="F302" i="18"/>
  <c r="F320" i="18"/>
  <c r="F343" i="18"/>
  <c r="F366" i="18"/>
  <c r="F382" i="18"/>
  <c r="F398" i="18"/>
  <c r="F414" i="18"/>
  <c r="F430" i="18"/>
  <c r="F446" i="18"/>
  <c r="F462" i="18"/>
  <c r="F6" i="18"/>
  <c r="I46" i="16" s="1"/>
  <c r="F24" i="18"/>
  <c r="F47" i="18"/>
  <c r="F70" i="18"/>
  <c r="F88" i="18"/>
  <c r="F111" i="18"/>
  <c r="F134" i="18"/>
  <c r="F152" i="18"/>
  <c r="F175" i="18"/>
  <c r="F198" i="18"/>
  <c r="F216" i="18"/>
  <c r="F239" i="18"/>
  <c r="F262" i="18"/>
  <c r="F280" i="18"/>
  <c r="F303" i="18"/>
  <c r="F326" i="18"/>
  <c r="F344" i="18"/>
  <c r="F367" i="18"/>
  <c r="F383" i="18"/>
  <c r="F399" i="18"/>
  <c r="F415" i="18"/>
  <c r="F431" i="18"/>
  <c r="F447" i="18"/>
  <c r="F463" i="18"/>
  <c r="F400" i="18"/>
  <c r="F432" i="18"/>
  <c r="F464" i="18"/>
  <c r="F407" i="18"/>
  <c r="F40" i="18"/>
  <c r="F104" i="18"/>
  <c r="F191" i="18"/>
  <c r="F278" i="18"/>
  <c r="F360" i="18"/>
  <c r="F427" i="18"/>
  <c r="J21" i="28"/>
  <c r="K21" i="28" s="1"/>
  <c r="M22" i="28"/>
  <c r="H22" i="28"/>
  <c r="F23" i="28"/>
  <c r="G22" i="28"/>
  <c r="I22" i="28"/>
  <c r="J20" i="28"/>
  <c r="K20" i="28" s="1"/>
  <c r="L21" i="28" s="1"/>
  <c r="M21" i="28"/>
  <c r="L19" i="28"/>
  <c r="L20" i="28" l="1"/>
  <c r="G23" i="28"/>
  <c r="H23" i="28"/>
  <c r="F24" i="28"/>
  <c r="J22" i="28"/>
  <c r="K22" i="28" s="1"/>
  <c r="L22" i="28" s="1"/>
  <c r="M23" i="28"/>
  <c r="J45" i="16"/>
  <c r="K43" i="16"/>
  <c r="J43" i="16"/>
  <c r="K50" i="16"/>
  <c r="K51" i="16"/>
  <c r="I51" i="16"/>
  <c r="K48" i="16"/>
  <c r="K44" i="16"/>
  <c r="J52" i="16"/>
  <c r="J51" i="16"/>
  <c r="I50" i="16"/>
  <c r="K52" i="16"/>
  <c r="K45" i="16"/>
  <c r="I52" i="16"/>
  <c r="K49" i="16"/>
  <c r="J46" i="16"/>
  <c r="J50" i="16"/>
  <c r="J48" i="16"/>
  <c r="J49" i="16"/>
  <c r="I49" i="16"/>
  <c r="J47" i="16"/>
  <c r="K46" i="16"/>
  <c r="I48" i="16"/>
  <c r="J44" i="16"/>
  <c r="I44" i="16"/>
  <c r="I47" i="16"/>
  <c r="K47" i="16"/>
  <c r="G24" i="28" l="1"/>
  <c r="H24" i="28"/>
  <c r="F25" i="28"/>
  <c r="I23" i="28"/>
  <c r="G25" i="28" l="1"/>
  <c r="H25" i="28"/>
  <c r="F26" i="28"/>
  <c r="I25" i="28" s="1"/>
  <c r="I24" i="28"/>
  <c r="M24" i="28"/>
  <c r="J23" i="28"/>
  <c r="K23" i="28" s="1"/>
  <c r="J25" i="28" l="1"/>
  <c r="M25" i="28"/>
  <c r="M26" i="28" s="1"/>
  <c r="J24" i="28"/>
  <c r="K24" i="28" s="1"/>
  <c r="L24" i="28" s="1"/>
  <c r="L23" i="28"/>
  <c r="G26" i="28"/>
  <c r="I26" i="28" s="1"/>
  <c r="H26" i="28"/>
  <c r="F27" i="28"/>
  <c r="J26" i="28" l="1"/>
  <c r="K26" i="28" s="1"/>
  <c r="M27" i="28"/>
  <c r="K25" i="28"/>
  <c r="L26" i="28" s="1"/>
  <c r="H27" i="28"/>
  <c r="F28" i="28"/>
  <c r="G27" i="28"/>
  <c r="L25" i="28" l="1"/>
  <c r="H28" i="28"/>
  <c r="G28" i="28"/>
  <c r="F29" i="28"/>
  <c r="I27" i="28"/>
  <c r="H29" i="28" l="1"/>
  <c r="F30" i="28"/>
  <c r="G29" i="28"/>
  <c r="I28" i="28"/>
  <c r="J27" i="28"/>
  <c r="K27" i="28" s="1"/>
  <c r="M28" i="28"/>
  <c r="H30" i="28" l="1"/>
  <c r="F31" i="28"/>
  <c r="G30" i="28"/>
  <c r="I30" i="28"/>
  <c r="L27" i="28"/>
  <c r="J28" i="28"/>
  <c r="K28" i="28" s="1"/>
  <c r="L28" i="28" s="1"/>
  <c r="M29" i="28"/>
  <c r="I29" i="28"/>
  <c r="H31" i="28" l="1"/>
  <c r="G31" i="28"/>
  <c r="F32" i="28"/>
  <c r="I31" i="28" s="1"/>
  <c r="J30" i="28"/>
  <c r="K30" i="28" s="1"/>
  <c r="M31" i="28"/>
  <c r="J29" i="28"/>
  <c r="K29" i="28" s="1"/>
  <c r="L30" i="28" s="1"/>
  <c r="M30" i="28"/>
  <c r="J31" i="28" l="1"/>
  <c r="K31" i="28" s="1"/>
  <c r="M32" i="28"/>
  <c r="L31" i="28"/>
  <c r="G32" i="28"/>
  <c r="F33" i="28"/>
  <c r="I32" i="28" s="1"/>
  <c r="H32" i="28"/>
  <c r="L29" i="28"/>
  <c r="M33" i="28" l="1"/>
  <c r="J32" i="28"/>
  <c r="K32" i="28" s="1"/>
  <c r="G33" i="28"/>
  <c r="H33" i="28"/>
  <c r="F34" i="28"/>
  <c r="L32" i="28"/>
  <c r="G34" i="28" l="1"/>
  <c r="H34" i="28"/>
  <c r="F35" i="28"/>
  <c r="I33" i="28"/>
  <c r="M34" i="28" l="1"/>
  <c r="J33" i="28"/>
  <c r="K33" i="28" s="1"/>
  <c r="G35" i="28"/>
  <c r="H35" i="28"/>
  <c r="F36" i="28"/>
  <c r="I34" i="28"/>
  <c r="H36" i="28" l="1"/>
  <c r="G36" i="28"/>
  <c r="F37" i="28"/>
  <c r="I36" i="28" s="1"/>
  <c r="J34" i="28"/>
  <c r="K34" i="28" s="1"/>
  <c r="M35" i="28"/>
  <c r="L34" i="28"/>
  <c r="L33" i="28"/>
  <c r="I35" i="28"/>
  <c r="J36" i="28" l="1"/>
  <c r="H37" i="28"/>
  <c r="F38" i="28"/>
  <c r="G37" i="28"/>
  <c r="I37" i="28"/>
  <c r="J35" i="28"/>
  <c r="K35" i="28" s="1"/>
  <c r="M36" i="28"/>
  <c r="M37" i="28" s="1"/>
  <c r="J37" i="28" l="1"/>
  <c r="K37" i="28" s="1"/>
  <c r="M38" i="28"/>
  <c r="F39" i="28"/>
  <c r="H38" i="28"/>
  <c r="G38" i="28"/>
  <c r="I38" i="28"/>
  <c r="L35" i="28"/>
  <c r="K36" i="28"/>
  <c r="J38" i="28" l="1"/>
  <c r="K38" i="28" s="1"/>
  <c r="M39" i="28"/>
  <c r="H39" i="28"/>
  <c r="G39" i="28"/>
  <c r="F40" i="28"/>
  <c r="L37" i="28"/>
  <c r="L36" i="28"/>
  <c r="G40" i="28" l="1"/>
  <c r="H40" i="28"/>
  <c r="I40" i="28" s="1"/>
  <c r="J40" i="28" s="1"/>
  <c r="K40" i="28" s="1"/>
  <c r="I39" i="28"/>
  <c r="L38" i="28"/>
  <c r="J39" i="28" l="1"/>
  <c r="K39" i="28" s="1"/>
  <c r="M40" i="28"/>
  <c r="L40" i="28" l="1"/>
  <c r="C9" i="27"/>
  <c r="L39" i="28"/>
  <c r="T39" i="16" l="1"/>
  <c r="C10" i="27"/>
  <c r="N48" i="16" l="1"/>
  <c r="Q40" i="16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6-11-28' and AsOfDate&gt;= '2016-10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%' and m.category = 'MTG' and AsOfDate &lt;= '2016-11-28' and AsOfDate&gt;= '2016-11-23' order by d.AsOfDate"/>
  </connection>
  <connection id="3" name="FunctionOfRatesLoanQuery" type="1" refreshedVersion="4" savePassword="1" saveData="1">
    <dbPr connection="DSN=Agency" command="exec RefinancibleUniverse_FunctionOfRates_Loan  3.93100639619244, '2016-10-01', '2016-11-28'"/>
  </connection>
  <connection id="4" name="FunctionOfRatesLoanWithLowestRateQuery" type="1" refreshedVersion="4" savePassword="1" saveData="1">
    <dbPr connection="DSN=Agency" command="exec RefinancibleUniverse_FunctionOfRates_LowestRate_Loan 3.93100639619244, '2016-10-01', '2016-11-28', '2016-11-23'"/>
  </connection>
  <connection id="5" name="FunctionOfRatesLoanWithMediaEffectQuery" type="1" refreshedVersion="4" savePassword="1" saveData="1">
    <dbPr connection="DSN=Agency" command="exec RefinancibleUniverse_FunctionOfRates_MediaEffect_Loan 3.93100639619244, '2016-10-01', '2016-11-28', '2016-11-23'"/>
  </connection>
  <connection id="6" name="FunctionOfRatesPoolQuery" type="1" refreshedVersion="4" savePassword="1" saveData="1">
    <dbPr connection="DSN=Agency" command="exec RefinancibleUniverse_FunctionOfRates  3.93100639619244, '2016-10-01', '2016-11-28'"/>
  </connection>
  <connection id="7" name="LoanLevel12WeeksQuery" type="1" refreshedVersion="4" savePassword="1" saveData="1">
    <dbPr connection="DSN=Agency" command="select asofdate, SeriesNumValue from TimeSeriesMeta meta join TimeSeries ts on meta.TimeSeriesMetaId = ts.TimeSeriesMetaId where SeriesType = 'WEEKLY_12W_PCT_REFI' and TickerName = 'CONVENTIONAL_30YR_COMBINED'"/>
  </connection>
  <connection id="8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9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0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1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2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3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PMMSQuery" type="1" refreshedVersion="4" savePassword="1" saveData="1">
    <dbPr connection="DSN=Agency" command="commit; 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6-11-23' group by AsOfDate "/>
  </connection>
  <connection id="15" name="PoolLevelQuery" type="1" refreshedVersion="4" savePassword="1" saveData="1">
    <dbPr connection="DSN=Agency" command="select asofdate, SeriesNumValue from TimeSeriesMeta meta join TimeSeries ts on meta.TimeSeriesMetaId = ts.TimeSeriesMetaId where SeriesType = 'WEEKLY_PCT_REFI' and TickerName = 'CONVENTIONAL_30YR_POOL' and asofdate &gt; '2008-01-01' order by asofdate desc"/>
  </connection>
  <connection id="16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7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8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0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1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2" name="temp15" type="6" refreshedVersion="4" background="1" saveData="1">
    <textPr codePage="437" sourceFile="C:\Users\lien.chen\Desktop\temp.csv" comma="1" qualifier="singleQuote">
      <textFields count="2">
        <textField/>
        <textField/>
      </textFields>
    </textPr>
  </connection>
  <connection id="23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4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5" name="temp3" type="6" refreshedVersion="4" background="1" saveData="1">
    <textPr codePage="437" sourceFile="C:\Users\lien.chen\Desktop\temp.csv" comma="1" qualifier="singleQuote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<sst xmlns="http://schemas.openxmlformats.org/spreadsheetml/2006/main" count="191" uniqueCount="123">
  <si>
    <t>Database Env</t>
  </si>
  <si>
    <t>PROD</t>
  </si>
  <si>
    <t>Save Data to DB</t>
  </si>
  <si>
    <t>Yes</t>
  </si>
  <si>
    <t>As of Date</t>
  </si>
  <si>
    <t>Report Name</t>
  </si>
  <si>
    <t>1M Chg</t>
  </si>
  <si>
    <t>3M Chg</t>
  </si>
  <si>
    <t>Month</t>
  </si>
  <si>
    <t>Last Month</t>
  </si>
  <si>
    <t>Report Folder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</si>
  <si>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</si>
  <si>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</si>
  <si>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</si>
  <si>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</si>
  <si>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</si>
  <si>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</si>
  <si>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</si>
  <si>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</si>
  <si>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</si>
  <si>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</si>
  <si>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</si>
  <si>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</si>
  <si>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</si>
  <si>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</si>
  <si>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</si>
  <si>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</si>
  <si>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</si>
  <si>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</si>
  <si>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</si>
  <si>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</si>
  <si>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</si>
  <si>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</si>
  <si>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</si>
  <si>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-20 bps</t>
  </si>
  <si>
    <t>-40 bps</t>
  </si>
  <si>
    <t>+20 bps</t>
  </si>
  <si>
    <t>+40 bps</t>
  </si>
  <si>
    <t>Rates</t>
  </si>
  <si>
    <t>Refi %</t>
  </si>
  <si>
    <t>Chg</t>
  </si>
  <si>
    <t>-</t>
  </si>
  <si>
    <t>1-Point Rate:</t>
  </si>
  <si>
    <t>As Of:</t>
  </si>
  <si>
    <t>Refi Index</t>
  </si>
  <si>
    <t>With Lowest Rate</t>
  </si>
  <si>
    <t>Loan with Lowest Rate</t>
  </si>
  <si>
    <t>12 Weeks Scenario</t>
  </si>
  <si>
    <t>Lowest Rate Scen.</t>
  </si>
  <si>
    <t>Current Coupon:</t>
  </si>
  <si>
    <t>Servicing Spread:</t>
  </si>
  <si>
    <t>Current Coupon</t>
  </si>
  <si>
    <t>Servicing Spread</t>
  </si>
  <si>
    <t>Implied Rate</t>
  </si>
  <si>
    <t>Servicing Spread Query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</si>
  <si>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</si>
  <si>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</si>
  <si>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</si>
  <si>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</si>
  <si>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</si>
  <si>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</si>
  <si>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</si>
  <si>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 Non-Zero</t>
  </si>
  <si>
    <t>Servicing Spread 1m chg</t>
  </si>
  <si>
    <t>Survey Rate 1m chg</t>
  </si>
  <si>
    <t>TickerName</t>
  </si>
  <si>
    <t>MONDAY</t>
  </si>
  <si>
    <t>FN_CMM_30Yr</t>
  </si>
  <si>
    <t>TUESDAY</t>
  </si>
  <si>
    <t>WEDNESDAY</t>
  </si>
  <si>
    <t>THURSDAY</t>
  </si>
  <si>
    <t>FRIDAY</t>
  </si>
  <si>
    <t>SATURDAY</t>
  </si>
  <si>
    <t>SUNDAY</t>
  </si>
  <si>
    <t>Refi Percentage (12 Weeks Lookback)</t>
  </si>
  <si>
    <t>Implied Primary Rate:</t>
  </si>
  <si>
    <t>12 Weeks</t>
  </si>
  <si>
    <t>asofdate</t>
  </si>
  <si>
    <t>2016-10-03</t>
  </si>
  <si>
    <t>2016-10-04</t>
  </si>
  <si>
    <t>2016-10-05</t>
  </si>
  <si>
    <t>2016-10-06</t>
  </si>
  <si>
    <t>2016-10-07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</si>
  <si>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</si>
  <si>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</si>
  <si>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</si>
  <si>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</si>
  <si>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</si>
  <si>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</si>
  <si>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</si>
  <si>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</si>
  <si>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</si>
  <si>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</si>
  <si>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</si>
  <si>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</si>
  <si>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</si>
  <si>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</si>
  <si>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</si>
  <si>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S:\IT\Production\Daily Reports\Primary Market\2016-11\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</si>
  <si>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</si>
  <si>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</si>
  <si>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</si>
  <si>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</si>
  <si>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</si>
  <si>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</si>
  <si>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</si>
  <si>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</si>
  <si>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</si>
  <si>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</si>
  <si>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</si>
  <si>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</si>
  <si>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</si>
  <si>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</si>
  <si>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</si>
  <si>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</si>
  <si>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</si>
  <si>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</si>
  <si>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-100 bps</t>
  </si>
  <si>
    <t>-80 bps</t>
  </si>
  <si>
    <t>-60 bps</t>
  </si>
  <si>
    <t>+60 bps</t>
  </si>
  <si>
    <t>+80 bps</t>
  </si>
  <si>
    <t>+100 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</si>
</sst>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yyyy\-mm\-dd"/>
  </numFmts>
  <fonts count="17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5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</borders>
  <cellStyleXfs count="1049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11" borderId="0" applyNumberFormat="0" applyBorder="0" applyAlignment="0" applyProtection="0"/>
    <xf numFmtId="0" fontId="13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1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20" borderId="0" applyNumberFormat="0" applyBorder="0" applyAlignment="0" applyProtection="0"/>
    <xf numFmtId="0" fontId="11" fillId="16" borderId="0" applyNumberFormat="0" applyBorder="0" applyAlignment="0" applyProtection="0"/>
    <xf numFmtId="0" fontId="12" fillId="21" borderId="0" applyNumberFormat="0" applyBorder="0" applyAlignment="0" applyProtection="0"/>
    <xf numFmtId="0" fontId="13" fillId="13" borderId="0" applyNumberFormat="0" applyBorder="0" applyAlignment="0" applyProtection="0"/>
    <xf numFmtId="0" fontId="11" fillId="18" borderId="0" applyNumberFormat="0" applyBorder="0" applyAlignment="0" applyProtection="0"/>
    <xf numFmtId="0" fontId="12" fillId="15" borderId="0" applyNumberFormat="0" applyBorder="0" applyAlignment="0" applyProtection="0"/>
    <xf numFmtId="0" fontId="13" fillId="18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4" fillId="19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4" fillId="10" borderId="0" applyNumberFormat="0" applyBorder="0" applyAlignment="0" applyProtection="0"/>
    <xf numFmtId="0" fontId="15" fillId="13" borderId="0" applyNumberFormat="0" applyBorder="0" applyAlignment="0" applyProtection="0"/>
    <xf numFmtId="0" fontId="16" fillId="20" borderId="0" applyNumberFormat="0" applyBorder="0" applyAlignment="0" applyProtection="0"/>
    <xf numFmtId="0" fontId="14" fillId="16" borderId="0" applyNumberFormat="0" applyBorder="0" applyAlignment="0" applyProtection="0"/>
    <xf numFmtId="0" fontId="15" fillId="26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3" borderId="0" applyNumberFormat="0" applyBorder="0" applyAlignment="0" applyProtection="0"/>
    <xf numFmtId="0" fontId="14" fillId="8" borderId="0" applyNumberFormat="0" applyBorder="0" applyAlignment="0" applyProtection="0"/>
    <xf numFmtId="0" fontId="15" fillId="8" borderId="0" applyNumberFormat="0" applyBorder="0" applyAlignment="0" applyProtection="0"/>
    <xf numFmtId="0" fontId="16" fillId="28" borderId="0" applyNumberFormat="0" applyBorder="0" applyAlignment="0" applyProtection="0"/>
    <xf numFmtId="0" fontId="14" fillId="23" borderId="0" applyNumberFormat="0" applyBorder="0" applyAlignment="0" applyProtection="0"/>
    <xf numFmtId="0" fontId="15" fillId="29" borderId="0" applyNumberFormat="0" applyBorder="0" applyAlignment="0" applyProtection="0"/>
    <xf numFmtId="0" fontId="16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1" borderId="0" applyNumberFormat="0" applyBorder="0" applyAlignment="0" applyProtection="0"/>
    <xf numFmtId="0" fontId="14" fillId="33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4" fillId="29" borderId="0" applyNumberFormat="0" applyBorder="0" applyAlignment="0" applyProtection="0"/>
    <xf numFmtId="0" fontId="15" fillId="29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33" borderId="0" applyNumberFormat="0" applyBorder="0" applyAlignment="0" applyProtection="0"/>
    <xf numFmtId="0" fontId="16" fillId="23" borderId="0" applyNumberFormat="0" applyBorder="0" applyAlignment="0" applyProtection="0"/>
    <xf numFmtId="0" fontId="14" fillId="34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38" fontId="20" fillId="12" borderId="0"/>
    <xf numFmtId="0" fontId="21" fillId="0" borderId="0" applyNumberFormat="0" applyFill="0" applyBorder="0" applyAlignment="0" applyProtection="0"/>
    <xf numFmtId="0" fontId="22" fillId="35" borderId="0">
      <alignment horizontal="left"/>
    </xf>
    <xf numFmtId="2" fontId="23" fillId="36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7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2" borderId="7" applyNumberFormat="0" applyAlignment="0" applyProtection="0"/>
    <xf numFmtId="0" fontId="29" fillId="14" borderId="7" applyNumberFormat="0" applyAlignment="0" applyProtection="0"/>
    <xf numFmtId="0" fontId="30" fillId="16" borderId="7" applyNumberFormat="0" applyAlignment="0" applyProtection="0"/>
    <xf numFmtId="0" fontId="31" fillId="38" borderId="8" applyNumberFormat="0"/>
    <xf numFmtId="0" fontId="32" fillId="39" borderId="9" applyBorder="0">
      <alignment horizontal="center" wrapText="1"/>
    </xf>
    <xf numFmtId="0" fontId="32" fillId="40" borderId="9" applyBorder="0">
      <alignment horizontal="center" wrapText="1"/>
    </xf>
    <xf numFmtId="0" fontId="33" fillId="41" borderId="8" applyNumberFormat="0"/>
    <xf numFmtId="0" fontId="34" fillId="42" borderId="8" applyNumberFormat="0"/>
    <xf numFmtId="0" fontId="3" fillId="42" borderId="8" applyNumberFormat="0"/>
    <xf numFmtId="0" fontId="33" fillId="41" borderId="8" applyNumberFormat="0"/>
    <xf numFmtId="0" fontId="34" fillId="41" borderId="8" applyNumberFormat="0"/>
    <xf numFmtId="0" fontId="33" fillId="38" borderId="8" applyNumberFormat="0"/>
    <xf numFmtId="0" fontId="31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5" fillId="41" borderId="10" applyNumberFormat="0" applyAlignment="0"/>
    <xf numFmtId="14" fontId="35" fillId="42" borderId="10" applyNumberFormat="0" applyAlignment="0"/>
    <xf numFmtId="14" fontId="36" fillId="42" borderId="10" applyNumberFormat="0" applyAlignment="0"/>
    <xf numFmtId="0" fontId="37" fillId="43" borderId="11" applyNumberFormat="0" applyAlignment="0" applyProtection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2" borderId="0"/>
    <xf numFmtId="14" fontId="12" fillId="0" borderId="0" applyFill="0" applyBorder="0" applyAlignment="0"/>
    <xf numFmtId="0" fontId="45" fillId="36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9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2" borderId="0"/>
    <xf numFmtId="0" fontId="56" fillId="11" borderId="0" applyNumberFormat="0" applyBorder="0" applyAlignment="0" applyProtection="0"/>
    <xf numFmtId="0" fontId="57" fillId="15" borderId="0" applyNumberFormat="0" applyBorder="0" applyAlignment="0" applyProtection="0"/>
    <xf numFmtId="0" fontId="58" fillId="11" borderId="0" applyNumberFormat="0" applyBorder="0" applyAlignment="0" applyProtection="0"/>
    <xf numFmtId="2" fontId="59" fillId="36" borderId="6" applyProtection="0">
      <alignment horizontal="left"/>
      <protection locked="0"/>
    </xf>
    <xf numFmtId="38" fontId="40" fillId="44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6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2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5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4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2" borderId="0"/>
    <xf numFmtId="0" fontId="82" fillId="8" borderId="0" applyNumberFormat="0" applyBorder="0" applyAlignment="0" applyProtection="0"/>
    <xf numFmtId="0" fontId="83" fillId="13" borderId="0" applyNumberFormat="0" applyBorder="0" applyAlignment="0" applyProtection="0"/>
    <xf numFmtId="0" fontId="84" fillId="37" borderId="0" applyNumberFormat="0" applyBorder="0" applyAlignment="0" applyProtection="0"/>
    <xf numFmtId="37" fontId="85" fillId="0" borderId="0"/>
    <xf numFmtId="0" fontId="48" fillId="12" borderId="0" applyNumberFormat="0" applyFont="0" applyFill="0" applyBorder="0" applyAlignment="0"/>
    <xf numFmtId="10" fontId="12" fillId="12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2" borderId="0"/>
    <xf numFmtId="0" fontId="9" fillId="42" borderId="0"/>
    <xf numFmtId="0" fontId="9" fillId="0" borderId="0"/>
    <xf numFmtId="0" fontId="9" fillId="0" borderId="0"/>
    <xf numFmtId="0" fontId="33" fillId="41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33" fillId="41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10" borderId="26" applyNumberFormat="0" applyFont="0" applyAlignment="0" applyProtection="0"/>
    <xf numFmtId="0" fontId="88" fillId="10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10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6" borderId="6">
      <alignment horizontal="left"/>
    </xf>
    <xf numFmtId="0" fontId="92" fillId="12" borderId="28" applyNumberFormat="0" applyAlignment="0" applyProtection="0"/>
    <xf numFmtId="0" fontId="93" fillId="14" borderId="28" applyNumberFormat="0" applyAlignment="0" applyProtection="0"/>
    <xf numFmtId="0" fontId="94" fillId="16" borderId="28" applyNumberFormat="0" applyAlignment="0" applyProtection="0"/>
    <xf numFmtId="40" fontId="12" fillId="36" borderId="0">
      <alignment horizontal="right"/>
    </xf>
    <xf numFmtId="0" fontId="95" fillId="45" borderId="0">
      <alignment horizontal="center"/>
    </xf>
    <xf numFmtId="0" fontId="38" fillId="46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4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3" borderId="0">
      <alignment horizontal="left"/>
    </xf>
    <xf numFmtId="0" fontId="103" fillId="0" borderId="31"/>
    <xf numFmtId="187" fontId="23" fillId="10" borderId="0">
      <alignment horizontal="center"/>
    </xf>
    <xf numFmtId="187" fontId="104" fillId="10" borderId="0">
      <alignment horizontal="center"/>
    </xf>
    <xf numFmtId="187" fontId="23" fillId="11" borderId="0">
      <alignment horizontal="center"/>
    </xf>
    <xf numFmtId="0" fontId="23" fillId="10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10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6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7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2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2" borderId="0"/>
    <xf numFmtId="0" fontId="33" fillId="48" borderId="33" applyBorder="0">
      <alignment horizontal="center" wrapText="1"/>
    </xf>
    <xf numFmtId="0" fontId="32" fillId="39" borderId="9" applyBorder="0">
      <alignment horizontal="center" wrapText="1"/>
    </xf>
    <xf numFmtId="0" fontId="33" fillId="49" borderId="9" applyBorder="0">
      <alignment horizontal="center" wrapText="1"/>
    </xf>
    <xf numFmtId="0" fontId="32" fillId="40" borderId="9" applyBorder="0">
      <alignment horizontal="center" wrapText="1"/>
    </xf>
    <xf numFmtId="0" fontId="7" fillId="50" borderId="9" applyBorder="0">
      <alignment horizontal="center" wrapText="1"/>
    </xf>
    <xf numFmtId="0" fontId="32" fillId="51" borderId="9" applyBorder="0">
      <alignment horizontal="center" wrapText="1"/>
    </xf>
    <xf numFmtId="0" fontId="32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2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1" borderId="10"/>
    <xf numFmtId="1" fontId="123" fillId="42" borderId="10"/>
    <xf numFmtId="2" fontId="124" fillId="42" borderId="10"/>
    <xf numFmtId="0" fontId="125" fillId="41" borderId="4" applyNumberFormat="0" applyAlignment="0"/>
    <xf numFmtId="0" fontId="126" fillId="42" borderId="4" applyNumberFormat="0" applyAlignment="0"/>
    <xf numFmtId="1" fontId="127" fillId="42" borderId="10" applyNumberFormat="0"/>
    <xf numFmtId="177" fontId="128" fillId="42" borderId="10" applyNumberFormat="0"/>
    <xf numFmtId="0" fontId="9" fillId="0" borderId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" fillId="54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" fillId="56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8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" fillId="60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" fillId="62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53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" fillId="55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" fillId="57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9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61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" fillId="63" borderId="0" applyNumberFormat="0" applyBorder="0" applyAlignment="0" applyProtection="0"/>
    <xf numFmtId="0" fontId="133" fillId="52" borderId="1" applyNumberFormat="0" applyAlignment="0" applyProtection="0"/>
    <xf numFmtId="0" fontId="131" fillId="52" borderId="1" applyNumberFormat="0" applyAlignment="0" applyProtection="0"/>
    <xf numFmtId="0" fontId="34" fillId="42" borderId="8" applyNumberFormat="0"/>
    <xf numFmtId="0" fontId="79" fillId="36" borderId="39" applyNumberFormat="0"/>
    <xf numFmtId="0" fontId="79" fillId="36" borderId="39" applyNumberFormat="0"/>
    <xf numFmtId="0" fontId="33" fillId="38" borderId="8" applyNumberFormat="0"/>
    <xf numFmtId="0" fontId="134" fillId="65" borderId="39" applyNumberFormat="0"/>
    <xf numFmtId="14" fontId="35" fillId="41" borderId="10" applyNumberFormat="0" applyAlignment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35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2" fillId="0" borderId="0"/>
    <xf numFmtId="0" fontId="13" fillId="0" borderId="0"/>
    <xf numFmtId="0" fontId="13" fillId="0" borderId="0"/>
    <xf numFmtId="0" fontId="13" fillId="0" borderId="0"/>
    <xf numFmtId="0" fontId="134" fillId="36" borderId="0"/>
    <xf numFmtId="0" fontId="9" fillId="0" borderId="0"/>
    <xf numFmtId="0" fontId="13" fillId="0" borderId="0"/>
    <xf numFmtId="0" fontId="13" fillId="0" borderId="0"/>
    <xf numFmtId="0" fontId="13" fillId="0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3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33" fillId="6" borderId="0" applyNumberFormat="0" applyFont="0" applyBorder="0" applyAlignment="0" applyProtection="0"/>
    <xf numFmtId="0" fontId="130" fillId="52" borderId="38" applyNumberForma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2" fillId="39" borderId="9" applyBorder="0">
      <alignment horizontal="center" wrapText="1"/>
    </xf>
    <xf numFmtId="0" fontId="134" fillId="45" borderId="33" applyBorder="0">
      <alignment horizontal="center" wrapText="1"/>
    </xf>
    <xf numFmtId="0" fontId="33" fillId="49" borderId="9" applyBorder="0">
      <alignment horizontal="center" wrapText="1"/>
    </xf>
    <xf numFmtId="0" fontId="134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118" fillId="0" borderId="37" applyNumberFormat="0" applyFill="0" applyAlignment="0" applyProtection="0"/>
    <xf numFmtId="0" fontId="118" fillId="0" borderId="37" applyNumberFormat="0" applyFill="0" applyAlignment="0" applyProtection="0"/>
    <xf numFmtId="0" fontId="132" fillId="0" borderId="0" applyNumberFormat="0" applyFill="0" applyBorder="0" applyAlignment="0" applyProtection="0"/>
    <xf numFmtId="1" fontId="123" fillId="42" borderId="10"/>
    <xf numFmtId="0" fontId="125" fillId="41" borderId="4" applyNumberFormat="0" applyAlignment="0"/>
  </cellStyleXfs>
  <cellXfs count="192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129" fillId="0" borderId="0" xfId="0" applyFont="1" applyAlignment="1">
      <alignment horizontal="right"/>
    </xf>
    <xf numFmtId="164" fontId="8" fillId="7" borderId="40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0" xfId="1" applyNumberFormat="1" applyFont="1" applyBorder="1" applyAlignment="1">
      <alignment horizontal="center" vertical="center"/>
    </xf>
    <xf numFmtId="0" fontId="0" fillId="0" borderId="40" xfId="0" applyBorder="1"/>
    <xf numFmtId="10" fontId="0" fillId="0" borderId="40" xfId="0" applyNumberFormat="1" applyBorder="1"/>
    <xf numFmtId="2" fontId="8" fillId="7" borderId="40" xfId="0" applyNumberFormat="1" applyFont="1" applyFill="1" applyBorder="1" applyAlignment="1">
      <alignment horizontal="center"/>
    </xf>
    <xf numFmtId="0" fontId="136" fillId="0" borderId="0" xfId="0" applyFont="1"/>
    <xf numFmtId="0" fontId="137" fillId="0" borderId="0" xfId="0" applyFont="1"/>
    <xf numFmtId="0" fontId="137" fillId="0" borderId="0" xfId="0" applyFont="1" applyAlignment="1">
      <alignment horizontal="right"/>
    </xf>
    <xf numFmtId="164" fontId="8" fillId="7" borderId="42" xfId="0" applyNumberFormat="1" applyFont="1" applyFill="1" applyBorder="1" applyAlignment="1">
      <alignment horizontal="center"/>
    </xf>
    <xf numFmtId="164" fontId="8" fillId="7" borderId="43" xfId="0" applyNumberFormat="1" applyFont="1" applyFill="1" applyBorder="1" applyAlignment="1">
      <alignment horizontal="center"/>
    </xf>
    <xf numFmtId="194" fontId="7" fillId="0" borderId="45" xfId="1" applyNumberFormat="1" applyFont="1" applyBorder="1" applyAlignment="1">
      <alignment horizontal="center" vertical="center"/>
    </xf>
    <xf numFmtId="194" fontId="7" fillId="0" borderId="43" xfId="1" applyNumberFormat="1" applyFont="1" applyBorder="1" applyAlignment="1">
      <alignment horizontal="center" vertical="center"/>
    </xf>
    <xf numFmtId="194" fontId="7" fillId="0" borderId="46" xfId="1" applyNumberFormat="1" applyFont="1" applyBorder="1" applyAlignment="1">
      <alignment horizontal="center" vertical="center"/>
    </xf>
    <xf numFmtId="1" fontId="7" fillId="0" borderId="42" xfId="0" applyNumberFormat="1" applyFont="1" applyBorder="1" applyAlignment="1">
      <alignment horizontal="center" vertical="center"/>
    </xf>
    <xf numFmtId="1" fontId="7" fillId="0" borderId="44" xfId="0" applyNumberFormat="1" applyFont="1" applyBorder="1" applyAlignment="1">
      <alignment horizontal="center" vertical="center"/>
    </xf>
    <xf numFmtId="164" fontId="8" fillId="7" borderId="41" xfId="0" applyNumberFormat="1" applyFont="1" applyFill="1" applyBorder="1" applyAlignment="1">
      <alignment vertical="center"/>
    </xf>
    <xf numFmtId="2" fontId="4" fillId="67" borderId="42" xfId="0" applyNumberFormat="1" applyFont="1" applyFill="1" applyBorder="1" applyAlignment="1">
      <alignment horizontal="center" vertical="center"/>
    </xf>
    <xf numFmtId="194" fontId="4" fillId="67" borderId="43" xfId="1" quotePrefix="1" applyNumberFormat="1" applyFont="1" applyFill="1" applyBorder="1" applyAlignment="1">
      <alignment horizontal="center" vertical="center"/>
    </xf>
    <xf numFmtId="194" fontId="7" fillId="0" borderId="42" xfId="1" applyNumberFormat="1" applyFont="1" applyBorder="1" applyAlignment="1">
      <alignment horizontal="center" vertical="center"/>
    </xf>
    <xf numFmtId="194" fontId="4" fillId="67" borderId="42" xfId="1" applyNumberFormat="1" applyFont="1" applyFill="1" applyBorder="1" applyAlignment="1">
      <alignment horizontal="center" vertical="center"/>
    </xf>
    <xf numFmtId="194" fontId="7" fillId="0" borderId="44" xfId="1" applyNumberFormat="1" applyFont="1" applyBorder="1" applyAlignment="1">
      <alignment horizontal="center" vertical="center"/>
    </xf>
    <xf numFmtId="14" fontId="138" fillId="0" borderId="0" xfId="0" applyNumberFormat="1" applyFont="1"/>
    <xf numFmtId="10" fontId="138" fillId="0" borderId="0" xfId="0" applyNumberFormat="1" applyFont="1"/>
    <xf numFmtId="2" fontId="138" fillId="0" borderId="0" xfId="0" applyNumberFormat="1" applyFont="1"/>
    <xf numFmtId="14" fontId="137" fillId="0" borderId="0" xfId="0" applyNumberFormat="1" applyFont="1" applyAlignment="1">
      <alignment horizontal="left"/>
    </xf>
    <xf numFmtId="164" fontId="0" fillId="0" borderId="0" xfId="0" applyNumberFormat="1"/>
    <xf numFmtId="194" fontId="0" fillId="0" borderId="0" xfId="0" applyNumberFormat="1"/>
    <xf numFmtId="9" fontId="0" fillId="0" borderId="0" xfId="1" applyFont="1"/>
    <xf numFmtId="164" fontId="8" fillId="7" borderId="52" xfId="0" applyNumberFormat="1" applyFont="1" applyFill="1" applyBorder="1" applyAlignment="1">
      <alignment horizontal="left" vertical="center"/>
    </xf>
    <xf numFmtId="164" fontId="8" fillId="7" borderId="53" xfId="0" applyNumberFormat="1" applyFont="1" applyFill="1" applyBorder="1" applyAlignment="1">
      <alignment horizontal="center"/>
    </xf>
    <xf numFmtId="14" fontId="7" fillId="0" borderId="53" xfId="0" applyNumberFormat="1" applyFont="1" applyBorder="1" applyAlignment="1">
      <alignment horizontal="center" vertical="center"/>
    </xf>
    <xf numFmtId="14" fontId="7" fillId="0" borderId="54" xfId="0" applyNumberFormat="1" applyFont="1" applyBorder="1" applyAlignment="1">
      <alignment horizontal="center" vertical="center"/>
    </xf>
    <xf numFmtId="194" fontId="7" fillId="0" borderId="48" xfId="1" applyNumberFormat="1" applyFont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4" fontId="139" fillId="0" borderId="0" xfId="0" applyNumberFormat="1" applyFont="1"/>
    <xf numFmtId="10" fontId="139" fillId="0" borderId="0" xfId="0" applyNumberFormat="1" applyFont="1"/>
    <xf numFmtId="2" fontId="139" fillId="0" borderId="0" xfId="0" applyNumberFormat="1" applyFont="1"/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2" fontId="137" fillId="0" borderId="0" xfId="0" applyNumberFormat="1" applyFont="1" applyAlignment="1">
      <alignment horizontal="left"/>
    </xf>
    <xf numFmtId="2" fontId="141" fillId="0" borderId="0" xfId="0" applyNumberFormat="1" applyFont="1" applyAlignment="1">
      <alignment horizontal="left"/>
    </xf>
    <xf numFmtId="14" fontId="137" fillId="0" borderId="0" xfId="0" applyNumberFormat="1" applyFont="1" applyAlignment="1">
      <alignment horizontal="center"/>
    </xf>
    <xf numFmtId="195" fontId="7" fillId="0" borderId="0" xfId="0" applyNumberFormat="1" applyFont="1"/>
    <xf numFmtId="0" fontId="142" fillId="41" borderId="0" xfId="350" applyFont="1"/>
    <xf numFmtId="0" fontId="33" fillId="41" borderId="0" xfId="350"/>
    <xf numFmtId="0" fontId="33" fillId="41" borderId="0" xfId="350" applyFont="1" applyAlignment="1">
      <alignment horizontal="center"/>
    </xf>
    <xf numFmtId="14" fontId="33" fillId="41" borderId="0" xfId="350" applyNumberFormat="1" applyFont="1"/>
    <xf numFmtId="0" fontId="33" fillId="41" borderId="0" xfId="350" applyNumberFormat="1" applyFont="1"/>
    <xf numFmtId="0" fontId="33" fillId="41" borderId="0" xfId="350" applyFont="1"/>
    <xf numFmtId="0" fontId="143" fillId="41" borderId="0" xfId="350" applyFont="1"/>
    <xf numFmtId="0" fontId="141" fillId="0" borderId="0" xfId="0" applyFont="1" applyAlignment="1">
      <alignment horizontal="left"/>
    </xf>
    <xf numFmtId="14" fontId="144" fillId="0" borderId="0" xfId="0" applyNumberFormat="1" applyFont="1"/>
    <xf numFmtId="10" fontId="144" fillId="0" borderId="0" xfId="0" applyNumberFormat="1" applyFont="1"/>
    <xf numFmtId="2" fontId="144" fillId="0" borderId="0" xfId="0" applyNumberFormat="1" applyFont="1"/>
    <xf numFmtId="14" fontId="145" fillId="0" borderId="0" xfId="0" applyNumberFormat="1" applyFont="1"/>
    <xf numFmtId="10" fontId="145" fillId="0" borderId="0" xfId="0" applyNumberFormat="1" applyFont="1"/>
    <xf numFmtId="2" fontId="145" fillId="0" borderId="0" xfId="0" applyNumberFormat="1" applyFont="1"/>
    <xf numFmtId="14" fontId="146" fillId="0" borderId="0" xfId="0" applyNumberFormat="1" applyFont="1"/>
    <xf numFmtId="10" fontId="146" fillId="0" borderId="0" xfId="0" applyNumberFormat="1" applyFont="1"/>
    <xf numFmtId="2" fontId="146" fillId="0" borderId="0" xfId="0" applyNumberFormat="1" applyFont="1"/>
    <xf numFmtId="14" fontId="147" fillId="0" borderId="0" xfId="0" applyNumberFormat="1" applyFont="1"/>
    <xf numFmtId="10" fontId="147" fillId="0" borderId="0" xfId="0" applyNumberFormat="1" applyFont="1"/>
    <xf numFmtId="2" fontId="147" fillId="0" borderId="0" xfId="0" applyNumberFormat="1" applyFont="1"/>
    <xf numFmtId="14" fontId="148" fillId="0" borderId="0" xfId="0" applyNumberFormat="1" applyFont="1"/>
    <xf numFmtId="10" fontId="148" fillId="0" borderId="0" xfId="0" applyNumberFormat="1" applyFont="1"/>
    <xf numFmtId="2" fontId="148" fillId="0" borderId="0" xfId="0" applyNumberFormat="1" applyFont="1"/>
    <xf numFmtId="14" fontId="149" fillId="0" borderId="0" xfId="0" applyNumberFormat="1" applyFont="1"/>
    <xf numFmtId="10" fontId="149" fillId="0" borderId="0" xfId="0" applyNumberFormat="1" applyFont="1"/>
    <xf numFmtId="2" fontId="149" fillId="0" borderId="0" xfId="0" applyNumberFormat="1" applyFont="1"/>
    <xf numFmtId="14" fontId="150" fillId="0" borderId="0" xfId="0" applyNumberFormat="1" applyFont="1"/>
    <xf numFmtId="10" fontId="150" fillId="0" borderId="0" xfId="0" applyNumberFormat="1" applyFont="1"/>
    <xf numFmtId="2" fontId="150" fillId="0" borderId="0" xfId="0" applyNumberFormat="1" applyFont="1"/>
    <xf numFmtId="14" fontId="151" fillId="0" borderId="0" xfId="0" applyNumberFormat="1" applyFont="1"/>
    <xf numFmtId="10" fontId="151" fillId="0" borderId="0" xfId="0" applyNumberFormat="1" applyFont="1"/>
    <xf numFmtId="2" fontId="151" fillId="0" borderId="0" xfId="0" applyNumberFormat="1" applyFont="1"/>
    <xf numFmtId="14" fontId="152" fillId="0" borderId="0" xfId="0" applyNumberFormat="1" applyFont="1"/>
    <xf numFmtId="10" fontId="152" fillId="0" borderId="0" xfId="0" applyNumberFormat="1" applyFont="1"/>
    <xf numFmtId="2" fontId="152" fillId="0" borderId="0" xfId="0" applyNumberFormat="1" applyFont="1"/>
    <xf numFmtId="14" fontId="153" fillId="0" borderId="0" xfId="0" applyNumberFormat="1" applyFont="1"/>
    <xf numFmtId="10" fontId="153" fillId="0" borderId="0" xfId="0" applyNumberFormat="1" applyFont="1"/>
    <xf numFmtId="2" fontId="153" fillId="0" borderId="0" xfId="0" applyNumberFormat="1" applyFont="1"/>
    <xf numFmtId="14" fontId="154" fillId="0" borderId="0" xfId="0" applyNumberFormat="1" applyFont="1"/>
    <xf numFmtId="10" fontId="154" fillId="0" borderId="0" xfId="0" applyNumberFormat="1" applyFont="1"/>
    <xf numFmtId="2" fontId="154" fillId="0" borderId="0" xfId="0" applyNumberFormat="1" applyFont="1"/>
    <xf numFmtId="14" fontId="155" fillId="0" borderId="0" xfId="0" applyNumberFormat="1" applyFont="1"/>
    <xf numFmtId="10" fontId="155" fillId="0" borderId="0" xfId="0" applyNumberFormat="1" applyFont="1"/>
    <xf numFmtId="2" fontId="155" fillId="0" borderId="0" xfId="0" applyNumberFormat="1" applyFont="1"/>
    <xf numFmtId="14" fontId="156" fillId="0" borderId="0" xfId="0" applyNumberFormat="1" applyFont="1"/>
    <xf numFmtId="10" fontId="156" fillId="0" borderId="0" xfId="0" applyNumberFormat="1" applyFont="1"/>
    <xf numFmtId="2" fontId="156" fillId="0" borderId="0" xfId="0" applyNumberFormat="1" applyFont="1"/>
    <xf numFmtId="9" fontId="155" fillId="0" borderId="0" xfId="1" applyFont="1"/>
    <xf numFmtId="14" fontId="157" fillId="0" borderId="0" xfId="0" applyNumberFormat="1" applyFont="1"/>
    <xf numFmtId="10" fontId="157" fillId="0" borderId="0" xfId="0" applyNumberFormat="1" applyFont="1"/>
    <xf numFmtId="2" fontId="157" fillId="0" borderId="0" xfId="0" applyNumberFormat="1" applyFont="1"/>
    <xf numFmtId="14" fontId="158" fillId="0" borderId="0" xfId="0" applyNumberFormat="1" applyFont="1"/>
    <xf numFmtId="10" fontId="158" fillId="0" borderId="0" xfId="0" applyNumberFormat="1" applyFont="1"/>
    <xf numFmtId="2" fontId="158" fillId="0" borderId="0" xfId="0" applyNumberFormat="1" applyFont="1"/>
    <xf numFmtId="14" fontId="159" fillId="0" borderId="0" xfId="0" applyNumberFormat="1" applyFont="1"/>
    <xf numFmtId="10" fontId="159" fillId="0" borderId="0" xfId="0" applyNumberFormat="1" applyFont="1"/>
    <xf numFmtId="2" fontId="159" fillId="0" borderId="0" xfId="0" applyNumberFormat="1" applyFont="1"/>
    <xf numFmtId="14" fontId="160" fillId="0" borderId="0" xfId="0" applyNumberFormat="1" applyFont="1"/>
    <xf numFmtId="10" fontId="160" fillId="0" borderId="0" xfId="0" applyNumberFormat="1" applyFont="1"/>
    <xf numFmtId="2" fontId="160" fillId="0" borderId="0" xfId="0" applyNumberFormat="1" applyFont="1"/>
    <xf numFmtId="14" fontId="161" fillId="0" borderId="0" xfId="0" applyNumberFormat="1" applyFont="1"/>
    <xf numFmtId="10" fontId="161" fillId="0" borderId="0" xfId="0" applyNumberFormat="1" applyFont="1"/>
    <xf numFmtId="2" fontId="161" fillId="0" borderId="0" xfId="0" applyNumberFormat="1" applyFont="1"/>
    <xf numFmtId="14" fontId="162" fillId="0" borderId="0" xfId="0" applyNumberFormat="1" applyFont="1"/>
    <xf numFmtId="10" fontId="162" fillId="0" borderId="0" xfId="0" applyNumberFormat="1" applyFont="1"/>
    <xf numFmtId="2" fontId="162" fillId="0" borderId="0" xfId="0" applyNumberFormat="1" applyFont="1"/>
    <xf numFmtId="14" fontId="163" fillId="0" borderId="0" xfId="0" applyNumberFormat="1" applyFont="1"/>
    <xf numFmtId="10" fontId="163" fillId="0" borderId="0" xfId="0" applyNumberFormat="1" applyFont="1"/>
    <xf numFmtId="2" fontId="163" fillId="0" borderId="0" xfId="0" applyNumberFormat="1" applyFont="1"/>
    <xf numFmtId="9" fontId="7" fillId="0" borderId="0" xfId="1" applyFont="1"/>
    <xf numFmtId="9" fontId="138" fillId="0" borderId="0" xfId="1" applyFont="1"/>
    <xf numFmtId="9" fontId="139" fillId="0" borderId="0" xfId="1" applyFont="1"/>
    <xf numFmtId="9" fontId="140" fillId="0" borderId="0" xfId="1" applyFont="1"/>
    <xf numFmtId="9" fontId="144" fillId="0" borderId="0" xfId="1" applyFont="1"/>
    <xf numFmtId="9" fontId="145" fillId="0" borderId="0" xfId="1" applyFont="1"/>
    <xf numFmtId="9" fontId="146" fillId="0" borderId="0" xfId="1" applyFont="1"/>
    <xf numFmtId="9" fontId="147" fillId="0" borderId="0" xfId="1" applyFont="1"/>
    <xf numFmtId="9" fontId="148" fillId="0" borderId="0" xfId="1" applyFont="1"/>
    <xf numFmtId="9" fontId="149" fillId="0" borderId="0" xfId="1" applyFont="1"/>
    <xf numFmtId="9" fontId="150" fillId="0" borderId="0" xfId="1" applyFont="1"/>
    <xf numFmtId="9" fontId="151" fillId="0" borderId="0" xfId="1" applyFont="1"/>
    <xf numFmtId="9" fontId="152" fillId="0" borderId="0" xfId="1" applyFont="1"/>
    <xf numFmtId="9" fontId="153" fillId="0" borderId="0" xfId="1" applyFont="1"/>
    <xf numFmtId="9" fontId="154" fillId="0" borderId="0" xfId="1" applyFont="1"/>
    <xf numFmtId="9" fontId="156" fillId="0" borderId="0" xfId="1" applyFont="1"/>
    <xf numFmtId="9" fontId="157" fillId="0" borderId="0" xfId="1" applyFont="1"/>
    <xf numFmtId="9" fontId="158" fillId="0" borderId="0" xfId="1" applyFont="1"/>
    <xf numFmtId="9" fontId="159" fillId="0" borderId="0" xfId="1" applyFont="1"/>
    <xf numFmtId="9" fontId="160" fillId="0" borderId="0" xfId="1" applyFont="1"/>
    <xf numFmtId="9" fontId="161" fillId="0" borderId="0" xfId="1" applyFont="1"/>
    <xf numFmtId="9" fontId="162" fillId="0" borderId="0" xfId="1" applyFont="1"/>
    <xf numFmtId="9" fontId="163" fillId="0" borderId="0" xfId="1" applyFont="1"/>
    <xf numFmtId="14" fontId="164" fillId="0" borderId="0" xfId="0" applyNumberFormat="1" applyFont="1"/>
    <xf numFmtId="9" fontId="164" fillId="0" borderId="0" xfId="1" applyFont="1"/>
    <xf numFmtId="10" fontId="164" fillId="0" borderId="0" xfId="0" applyNumberFormat="1" applyFont="1"/>
    <xf numFmtId="2" fontId="164" fillId="0" borderId="0" xfId="0" applyNumberFormat="1" applyFont="1"/>
    <xf numFmtId="14" fontId="165" fillId="0" borderId="0" xfId="0" applyNumberFormat="1" applyFont="1"/>
    <xf numFmtId="9" fontId="165" fillId="0" borderId="0" xfId="1" applyFont="1"/>
    <xf numFmtId="10" fontId="165" fillId="0" borderId="0" xfId="0" applyNumberFormat="1" applyFont="1"/>
    <xf numFmtId="2" fontId="165" fillId="0" borderId="0" xfId="0" applyNumberFormat="1" applyFont="1"/>
    <xf numFmtId="14" fontId="166" fillId="0" borderId="0" xfId="0" applyNumberFormat="1" applyFont="1"/>
    <xf numFmtId="9" fontId="166" fillId="0" borderId="0" xfId="1" applyFont="1"/>
    <xf numFmtId="10" fontId="166" fillId="0" borderId="0" xfId="0" applyNumberFormat="1" applyFont="1"/>
    <xf numFmtId="2" fontId="166" fillId="0" borderId="0" xfId="0" applyNumberFormat="1" applyFont="1"/>
    <xf numFmtId="14" fontId="167" fillId="0" borderId="0" xfId="0" applyNumberFormat="1" applyFont="1"/>
    <xf numFmtId="9" fontId="167" fillId="0" borderId="0" xfId="1" applyFont="1"/>
    <xf numFmtId="10" fontId="167" fillId="0" borderId="0" xfId="0" applyNumberFormat="1" applyFont="1"/>
    <xf numFmtId="2" fontId="167" fillId="0" borderId="0" xfId="0" applyNumberFormat="1" applyFont="1"/>
    <xf numFmtId="0" fontId="168" fillId="41" borderId="0" xfId="350" applyNumberFormat="1" applyFont="1"/>
    <xf numFmtId="14" fontId="169" fillId="0" borderId="0" xfId="0" applyNumberFormat="1" applyFont="1"/>
    <xf numFmtId="9" fontId="169" fillId="0" borderId="0" xfId="1" applyFont="1"/>
    <xf numFmtId="10" fontId="169" fillId="0" borderId="0" xfId="0" applyNumberFormat="1" applyFont="1"/>
    <xf numFmtId="2" fontId="169" fillId="0" borderId="0" xfId="0" applyNumberFormat="1" applyFont="1"/>
    <xf numFmtId="14" fontId="168" fillId="68" borderId="0" xfId="350" applyNumberFormat="1" applyFont="1" applyFill="1"/>
    <xf numFmtId="0" fontId="169" fillId="68" borderId="0" xfId="0" applyFont="1" applyFill="1"/>
    <xf numFmtId="0" fontId="169" fillId="0" borderId="0" xfId="0" applyFont="1"/>
    <xf numFmtId="14" fontId="168" fillId="41" borderId="0" xfId="350" applyNumberFormat="1" applyFont="1"/>
    <xf numFmtId="14" fontId="170" fillId="41" borderId="0" xfId="350" applyNumberFormat="1" applyFont="1"/>
    <xf numFmtId="0" fontId="170" fillId="41" borderId="0" xfId="350" applyNumberFormat="1" applyFont="1"/>
    <xf numFmtId="14" fontId="7" fillId="0" borderId="42" xfId="0" quotePrefix="1" applyNumberFormat="1" applyFont="1" applyBorder="1" applyAlignment="1">
      <alignment horizontal="center" vertical="center"/>
    </xf>
    <xf numFmtId="14" fontId="7" fillId="0" borderId="44" xfId="0" quotePrefix="1" applyNumberFormat="1" applyFont="1" applyBorder="1" applyAlignment="1">
      <alignment horizontal="center" vertical="center"/>
    </xf>
    <xf numFmtId="164" fontId="8" fillId="7" borderId="47" xfId="0" applyNumberFormat="1" applyFont="1" applyFill="1" applyBorder="1" applyAlignment="1">
      <alignment horizontal="center" vertical="center"/>
    </xf>
    <xf numFmtId="164" fontId="8" fillId="7" borderId="50" xfId="0" applyNumberFormat="1" applyFont="1" applyFill="1" applyBorder="1" applyAlignment="1">
      <alignment horizontal="center" vertical="center"/>
    </xf>
    <xf numFmtId="164" fontId="8" fillId="7" borderId="51" xfId="0" applyNumberFormat="1" applyFont="1" applyFill="1" applyBorder="1" applyAlignment="1">
      <alignment horizontal="center" vertical="center"/>
    </xf>
  </cellXfs>
  <cellStyles count="1049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4 2" xfId="526"/>
    <cellStyle name="20% - Accent1 4 2 2" xfId="527"/>
    <cellStyle name="20% - Accent1 4 3" xfId="528"/>
    <cellStyle name="20% - Accent1 4 3 2" xfId="529"/>
    <cellStyle name="20% - Accent1 4 4" xfId="530"/>
    <cellStyle name="20% - Accent1 4_Primary vs Secondary Spread Oct 3" xfId="531"/>
    <cellStyle name="20% - Accent1 5" xfId="16"/>
    <cellStyle name="20% - Accent2 2" xfId="17"/>
    <cellStyle name="20% - Accent2 3" xfId="18"/>
    <cellStyle name="20% - Accent2 4" xfId="19"/>
    <cellStyle name="20% - Accent2 4 2" xfId="532"/>
    <cellStyle name="20% - Accent2 4 2 2" xfId="533"/>
    <cellStyle name="20% - Accent2 4 3" xfId="534"/>
    <cellStyle name="20% - Accent2 4 3 2" xfId="535"/>
    <cellStyle name="20% - Accent2 4 4" xfId="536"/>
    <cellStyle name="20% - Accent2 4_Primary vs Secondary Spread Oct 3" xfId="537"/>
    <cellStyle name="20% - Accent2 5" xfId="538"/>
    <cellStyle name="20% - Accent3 2" xfId="20"/>
    <cellStyle name="20% - Accent3 3" xfId="21"/>
    <cellStyle name="20% - Accent3 4" xfId="22"/>
    <cellStyle name="20% - Accent3 4 2" xfId="539"/>
    <cellStyle name="20% - Accent3 4 2 2" xfId="540"/>
    <cellStyle name="20% - Accent3 4 3" xfId="541"/>
    <cellStyle name="20% - Accent3 4 3 2" xfId="542"/>
    <cellStyle name="20% - Accent3 4 4" xfId="543"/>
    <cellStyle name="20% - Accent3 4_Primary vs Secondary Spread Oct 3" xfId="544"/>
    <cellStyle name="20% - Accent3 5" xfId="545"/>
    <cellStyle name="20% - Accent4 2" xfId="23"/>
    <cellStyle name="20% - Accent4 3" xfId="24"/>
    <cellStyle name="20% - Accent4 4" xfId="25"/>
    <cellStyle name="20% - Accent4 4 2" xfId="546"/>
    <cellStyle name="20% - Accent4 4 2 2" xfId="547"/>
    <cellStyle name="20% - Accent4 4 3" xfId="548"/>
    <cellStyle name="20% - Accent4 4 3 2" xfId="549"/>
    <cellStyle name="20% - Accent4 4 4" xfId="550"/>
    <cellStyle name="20% - Accent4 4_Primary vs Secondary Spread Oct 3" xfId="551"/>
    <cellStyle name="20% - Accent4 5" xfId="552"/>
    <cellStyle name="20% - Accent5 2" xfId="26"/>
    <cellStyle name="20% - Accent5 3" xfId="27"/>
    <cellStyle name="20% - Accent5 4" xfId="28"/>
    <cellStyle name="20% - Accent5 4 2" xfId="553"/>
    <cellStyle name="20% - Accent5 4 2 2" xfId="554"/>
    <cellStyle name="20% - Accent5 4 3" xfId="555"/>
    <cellStyle name="20% - Accent5 4 3 2" xfId="556"/>
    <cellStyle name="20% - Accent5 4 4" xfId="557"/>
    <cellStyle name="20% - Accent5 4_Primary vs Secondary Spread Oct 3" xfId="558"/>
    <cellStyle name="20% - Accent5 5" xfId="559"/>
    <cellStyle name="20% - Accent6 2" xfId="29"/>
    <cellStyle name="20% - Accent6 3" xfId="30"/>
    <cellStyle name="20% - Accent6 4" xfId="31"/>
    <cellStyle name="20% - Accent6 4 2" xfId="560"/>
    <cellStyle name="20% - Accent6 4 2 2" xfId="561"/>
    <cellStyle name="20% - Accent6 4 3" xfId="562"/>
    <cellStyle name="20% - Accent6 4 3 2" xfId="563"/>
    <cellStyle name="20% - Accent6 4 4" xfId="564"/>
    <cellStyle name="20% - Accent6 4_Primary vs Secondary Spread Oct 3" xfId="565"/>
    <cellStyle name="20% - Accent6 5" xfId="566"/>
    <cellStyle name="40% - Accent1 2" xfId="32"/>
    <cellStyle name="40% - Accent1 3" xfId="33"/>
    <cellStyle name="40% - Accent1 4" xfId="34"/>
    <cellStyle name="40% - Accent1 4 2" xfId="567"/>
    <cellStyle name="40% - Accent1 4 2 2" xfId="568"/>
    <cellStyle name="40% - Accent1 4 3" xfId="569"/>
    <cellStyle name="40% - Accent1 4 3 2" xfId="570"/>
    <cellStyle name="40% - Accent1 4 4" xfId="571"/>
    <cellStyle name="40% - Accent1 4_Primary vs Secondary Spread Oct 3" xfId="572"/>
    <cellStyle name="40% - Accent1 5" xfId="573"/>
    <cellStyle name="40% - Accent2 2" xfId="35"/>
    <cellStyle name="40% - Accent2 3" xfId="36"/>
    <cellStyle name="40% - Accent2 4" xfId="37"/>
    <cellStyle name="40% - Accent2 4 2" xfId="574"/>
    <cellStyle name="40% - Accent2 4 2 2" xfId="575"/>
    <cellStyle name="40% - Accent2 4 3" xfId="576"/>
    <cellStyle name="40% - Accent2 4 3 2" xfId="577"/>
    <cellStyle name="40% - Accent2 4 4" xfId="578"/>
    <cellStyle name="40% - Accent2 4_Primary vs Secondary Spread Oct 3" xfId="579"/>
    <cellStyle name="40% - Accent2 5" xfId="580"/>
    <cellStyle name="40% - Accent3 2" xfId="38"/>
    <cellStyle name="40% - Accent3 3" xfId="39"/>
    <cellStyle name="40% - Accent3 4" xfId="40"/>
    <cellStyle name="40% - Accent3 4 2" xfId="581"/>
    <cellStyle name="40% - Accent3 4 2 2" xfId="582"/>
    <cellStyle name="40% - Accent3 4 3" xfId="583"/>
    <cellStyle name="40% - Accent3 4 3 2" xfId="584"/>
    <cellStyle name="40% - Accent3 4 4" xfId="585"/>
    <cellStyle name="40% - Accent3 4_Primary vs Secondary Spread Oct 3" xfId="586"/>
    <cellStyle name="40% - Accent3 5" xfId="587"/>
    <cellStyle name="40% - Accent4 2" xfId="41"/>
    <cellStyle name="40% - Accent4 3" xfId="42"/>
    <cellStyle name="40% - Accent4 4" xfId="43"/>
    <cellStyle name="40% - Accent4 4 2" xfId="588"/>
    <cellStyle name="40% - Accent4 4 2 2" xfId="589"/>
    <cellStyle name="40% - Accent4 4 3" xfId="590"/>
    <cellStyle name="40% - Accent4 4 3 2" xfId="591"/>
    <cellStyle name="40% - Accent4 4 4" xfId="592"/>
    <cellStyle name="40% - Accent4 4_Primary vs Secondary Spread Oct 3" xfId="593"/>
    <cellStyle name="40% - Accent4 5" xfId="594"/>
    <cellStyle name="40% - Accent5 2" xfId="44"/>
    <cellStyle name="40% - Accent5 3" xfId="45"/>
    <cellStyle name="40% - Accent5 4" xfId="46"/>
    <cellStyle name="40% - Accent5 4 2" xfId="595"/>
    <cellStyle name="40% - Accent5 4 2 2" xfId="596"/>
    <cellStyle name="40% - Accent5 4 3" xfId="597"/>
    <cellStyle name="40% - Accent5 4 3 2" xfId="598"/>
    <cellStyle name="40% - Accent5 4 4" xfId="599"/>
    <cellStyle name="40% - Accent5 4_Primary vs Secondary Spread Oct 3" xfId="600"/>
    <cellStyle name="40% - Accent5 5" xfId="601"/>
    <cellStyle name="40% - Accent6 2" xfId="47"/>
    <cellStyle name="40% - Accent6 3" xfId="48"/>
    <cellStyle name="40% - Accent6 4" xfId="49"/>
    <cellStyle name="40% - Accent6 4 2" xfId="602"/>
    <cellStyle name="40% - Accent6 4 2 2" xfId="603"/>
    <cellStyle name="40% - Accent6 4 3" xfId="604"/>
    <cellStyle name="40% - Accent6 4 3 2" xfId="605"/>
    <cellStyle name="40% - Accent6 4 4" xfId="606"/>
    <cellStyle name="40% - Accent6 4_Primary vs Secondary Spread Oct 3" xfId="607"/>
    <cellStyle name="40% - Accent6 5" xfId="608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alculation 5" xfId="609"/>
    <cellStyle name="Calculation 6" xfId="610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2 3" xfId="611"/>
    <cellStyle name="Cello Calculation 2_Primary vs Secondary Spread Oct 3" xfId="612"/>
    <cellStyle name="Cello Calculation 3" xfId="125"/>
    <cellStyle name="Cello Calculation 4" xfId="126"/>
    <cellStyle name="Cello Calculation_Primary vs Secondary Spread Oct 3" xfId="613"/>
    <cellStyle name="Cello Input" xfId="2"/>
    <cellStyle name="Cello Input 2" xfId="127"/>
    <cellStyle name="Cello Input 2 2" xfId="128"/>
    <cellStyle name="Cello Input 2 3" xfId="129"/>
    <cellStyle name="Cello Input 2 4" xfId="614"/>
    <cellStyle name="Cello Input 2 5" xfId="130"/>
    <cellStyle name="Cello Input 2_Primary vs Secondary Spread Oct 3" xfId="615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ello Linked Cell 3" xfId="616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29 2 2" xfId="617"/>
    <cellStyle name="Comma 29 3" xfId="618"/>
    <cellStyle name="Comma 29 3 2" xfId="619"/>
    <cellStyle name="Comma 29 4" xfId="620"/>
    <cellStyle name="Comma 29 5" xfId="621"/>
    <cellStyle name="Comma 3" xfId="181"/>
    <cellStyle name="Comma 30" xfId="182"/>
    <cellStyle name="Comma 31" xfId="622"/>
    <cellStyle name="Comma 32" xfId="623"/>
    <cellStyle name="Comma 33" xfId="624"/>
    <cellStyle name="Comma 34" xfId="625"/>
    <cellStyle name="Comma 35" xfId="626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16" xfId="627"/>
    <cellStyle name="Currency 17" xfId="628"/>
    <cellStyle name="Currency 18" xfId="629"/>
    <cellStyle name="Currency 19" xfId="630"/>
    <cellStyle name="Currency 2" xfId="204"/>
    <cellStyle name="Currency 20" xfId="631"/>
    <cellStyle name="Currency 21" xfId="632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Hyperlink 3" xfId="633"/>
    <cellStyle name="Input [yellow]" xfId="287"/>
    <cellStyle name="Input 10" xfId="634"/>
    <cellStyle name="Input 11" xfId="635"/>
    <cellStyle name="Input 12" xfId="636"/>
    <cellStyle name="Input 13" xfId="637"/>
    <cellStyle name="Input 14" xfId="638"/>
    <cellStyle name="Input 15" xfId="639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nput 8" xfId="640"/>
    <cellStyle name="Input 9" xfId="641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2 3" xfId="642"/>
    <cellStyle name="Normal 2 2_Primary vs Secondary Spread Oct 3" xfId="643"/>
    <cellStyle name="Normal 2 3" xfId="339"/>
    <cellStyle name="Normal 2 3 2" xfId="340"/>
    <cellStyle name="Normal 2 3 2 2" xfId="341"/>
    <cellStyle name="Normal 2 3 3" xfId="342"/>
    <cellStyle name="Normal 2 3_Primary vs Secondary Spread Oct 3" xfId="644"/>
    <cellStyle name="Normal 2 4" xfId="343"/>
    <cellStyle name="Normal 2 4 2" xfId="344"/>
    <cellStyle name="Normal 2 4 2 2" xfId="345"/>
    <cellStyle name="Normal 2 4 3" xfId="346"/>
    <cellStyle name="Normal 2 4_Primary vs Secondary Spread Oct 3" xfId="645"/>
    <cellStyle name="Normal 2 5" xfId="347"/>
    <cellStyle name="Normal 2 5 2" xfId="348"/>
    <cellStyle name="Normal 2 6" xfId="349"/>
    <cellStyle name="Normal 2 7" xfId="350"/>
    <cellStyle name="Normal 2_Primary vs Secondary Spread Oct 3" xfId="646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 3" xfId="647"/>
    <cellStyle name="Normal 3_Primary vs Secondary Spread Oct 3" xfId="648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8_Primary vs Secondary Spread Oct 3" xfId="649"/>
    <cellStyle name="Normal 39" xfId="376"/>
    <cellStyle name="Normal 4" xfId="377"/>
    <cellStyle name="Normal 4 2" xfId="378"/>
    <cellStyle name="Normal 4 3" xfId="379"/>
    <cellStyle name="Normal 4 4" xfId="380"/>
    <cellStyle name="Normal 4_Primary vs Secondary Spread Oct 3" xfId="650"/>
    <cellStyle name="Normal 40" xfId="381"/>
    <cellStyle name="Normal 41" xfId="382"/>
    <cellStyle name="Normal 42" xfId="383"/>
    <cellStyle name="Normal 42 2" xfId="384"/>
    <cellStyle name="Normal 43" xfId="651"/>
    <cellStyle name="Normal 44" xfId="652"/>
    <cellStyle name="Normal 45" xfId="653"/>
    <cellStyle name="Normal 46" xfId="654"/>
    <cellStyle name="Normal 47" xfId="655"/>
    <cellStyle name="Normal 48" xfId="656"/>
    <cellStyle name="Normal 49" xfId="657"/>
    <cellStyle name="Normal 5" xfId="385"/>
    <cellStyle name="Normal 5 2" xfId="658"/>
    <cellStyle name="Normal 5 2 2" xfId="659"/>
    <cellStyle name="Normal 5 3" xfId="660"/>
    <cellStyle name="Normal 5 3 2" xfId="661"/>
    <cellStyle name="Normal 5 4" xfId="662"/>
    <cellStyle name="Normal 5_Primary vs Secondary Spread Oct 3" xfId="663"/>
    <cellStyle name="Normal 50" xfId="664"/>
    <cellStyle name="Normal 51" xfId="665"/>
    <cellStyle name="Normal 52" xfId="666"/>
    <cellStyle name="Normal 53" xfId="667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4 2" xfId="668"/>
    <cellStyle name="Note 4 2 2" xfId="669"/>
    <cellStyle name="Note 4 3" xfId="670"/>
    <cellStyle name="Note 4 3 2" xfId="671"/>
    <cellStyle name="Note 4 4" xfId="672"/>
    <cellStyle name="Note 5" xfId="400"/>
    <cellStyle name="Note 5 2" xfId="673"/>
    <cellStyle name="Note 5 2 2" xfId="674"/>
    <cellStyle name="Note 5 3" xfId="675"/>
    <cellStyle name="Note 5 3 2" xfId="676"/>
    <cellStyle name="Note 5 4" xfId="677"/>
    <cellStyle name="Note 6" xfId="401"/>
    <cellStyle name="Note 6 2" xfId="678"/>
    <cellStyle name="Note 6 2 2" xfId="679"/>
    <cellStyle name="Note 6 3" xfId="680"/>
    <cellStyle name="Note 6 3 2" xfId="681"/>
    <cellStyle name="Note 6 4" xfId="682"/>
    <cellStyle name="Note 6 5" xfId="683"/>
    <cellStyle name="Note 7" xfId="402"/>
    <cellStyle name="Note 7 2" xfId="403"/>
    <cellStyle name="Note 7 2 2" xfId="684"/>
    <cellStyle name="Note 7 3" xfId="685"/>
    <cellStyle name="Note 7 3 2" xfId="686"/>
    <cellStyle name="Note 7 4" xfId="687"/>
    <cellStyle name="Note 7 5" xfId="688"/>
    <cellStyle name="Note 8" xfId="404"/>
    <cellStyle name="Note 9" xfId="689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ffWhite 2" xfId="690"/>
    <cellStyle name="OffWhite 2 2" xfId="691"/>
    <cellStyle name="OffWhite 3" xfId="692"/>
    <cellStyle name="OffWhite 3 2" xfId="693"/>
    <cellStyle name="OffWhite 4" xfId="694"/>
    <cellStyle name="Option" xfId="412"/>
    <cellStyle name="orange text cell" xfId="413"/>
    <cellStyle name="Output 2" xfId="414"/>
    <cellStyle name="Output 3" xfId="415"/>
    <cellStyle name="Output 4" xfId="416"/>
    <cellStyle name="Output 5" xfId="695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2 2 2" xfId="696"/>
    <cellStyle name="Percent 2 3" xfId="697"/>
    <cellStyle name="Percent 2 3 2" xfId="698"/>
    <cellStyle name="Percent 2 4" xfId="699"/>
    <cellStyle name="Percent 2 5" xfId="700"/>
    <cellStyle name="Percent 3" xfId="430"/>
    <cellStyle name="Percent 3 2" xfId="701"/>
    <cellStyle name="Percent 3 2 2" xfId="702"/>
    <cellStyle name="Percent 3 3" xfId="703"/>
    <cellStyle name="Percent 3 3 2" xfId="704"/>
    <cellStyle name="Percent 3 4" xfId="705"/>
    <cellStyle name="Percent 4" xfId="706"/>
    <cellStyle name="Percent 4 2" xfId="707"/>
    <cellStyle name="Percent 4 2 2" xfId="708"/>
    <cellStyle name="Percent 4 3" xfId="709"/>
    <cellStyle name="Percent 4 3 2" xfId="710"/>
    <cellStyle name="Percent 4 4" xfId="711"/>
    <cellStyle name="Percent 5" xfId="712"/>
    <cellStyle name="Percent 5 2" xfId="713"/>
    <cellStyle name="Percent 5 2 2" xfId="714"/>
    <cellStyle name="Percent 5 3" xfId="715"/>
    <cellStyle name="Percent 5 3 2" xfId="716"/>
    <cellStyle name="Percent 5 4" xfId="717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Calculations 2 2" xfId="718"/>
    <cellStyle name="Title Calculations_Primary vs Secondary Spread Oct 3" xfId="719"/>
    <cellStyle name="Title Indicative" xfId="500"/>
    <cellStyle name="Title Indicative 2" xfId="501"/>
    <cellStyle name="Title Indicative 2 2" xfId="720"/>
    <cellStyle name="Title Indicative_Primary vs Secondary Spread Oct 3" xfId="721"/>
    <cellStyle name="Title Pricing Assumptions" xfId="502"/>
    <cellStyle name="Title Pricing Assumptions 10" xfId="722"/>
    <cellStyle name="Title Pricing Assumptions 10 2" xfId="723"/>
    <cellStyle name="Title Pricing Assumptions 10 2 2" xfId="724"/>
    <cellStyle name="Title Pricing Assumptions 10 2_Primary vs Secondary Spread Oct 3" xfId="725"/>
    <cellStyle name="Title Pricing Assumptions 10 3" xfId="726"/>
    <cellStyle name="Title Pricing Assumptions 10 4" xfId="727"/>
    <cellStyle name="Title Pricing Assumptions 10 5" xfId="728"/>
    <cellStyle name="Title Pricing Assumptions 10_Primary vs Secondary Spread Oct 3" xfId="729"/>
    <cellStyle name="Title Pricing Assumptions 11" xfId="730"/>
    <cellStyle name="Title Pricing Assumptions 11 2" xfId="731"/>
    <cellStyle name="Title Pricing Assumptions 11_Primary vs Secondary Spread Oct 3" xfId="732"/>
    <cellStyle name="Title Pricing Assumptions 12" xfId="733"/>
    <cellStyle name="Title Pricing Assumptions 12 2" xfId="734"/>
    <cellStyle name="Title Pricing Assumptions 12_Primary vs Secondary Spread Oct 3" xfId="735"/>
    <cellStyle name="Title Pricing Assumptions 13" xfId="736"/>
    <cellStyle name="Title Pricing Assumptions 14" xfId="737"/>
    <cellStyle name="Title Pricing Assumptions 15" xfId="738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0" xfId="739"/>
    <cellStyle name="Title Pricing Assumptions 3 10 2" xfId="740"/>
    <cellStyle name="Title Pricing Assumptions 3 10_Primary vs Secondary Spread Oct 3" xfId="741"/>
    <cellStyle name="Title Pricing Assumptions 3 11" xfId="742"/>
    <cellStyle name="Title Pricing Assumptions 3 12" xfId="743"/>
    <cellStyle name="Title Pricing Assumptions 3 12 8" xfId="507"/>
    <cellStyle name="Title Pricing Assumptions 3 2" xfId="744"/>
    <cellStyle name="Title Pricing Assumptions 3 2 2" xfId="745"/>
    <cellStyle name="Title Pricing Assumptions 3 2 2 2" xfId="746"/>
    <cellStyle name="Title Pricing Assumptions 3 2 2 2 2" xfId="747"/>
    <cellStyle name="Title Pricing Assumptions 3 2 2 2_Primary vs Secondary Spread Oct 3" xfId="748"/>
    <cellStyle name="Title Pricing Assumptions 3 2 2 3" xfId="749"/>
    <cellStyle name="Title Pricing Assumptions 3 2 2 4" xfId="750"/>
    <cellStyle name="Title Pricing Assumptions 3 2 2 5" xfId="751"/>
    <cellStyle name="Title Pricing Assumptions 3 2 2_Primary vs Secondary Spread Oct 3" xfId="752"/>
    <cellStyle name="Title Pricing Assumptions 3 2 3" xfId="753"/>
    <cellStyle name="Title Pricing Assumptions 3 2 3 2" xfId="754"/>
    <cellStyle name="Title Pricing Assumptions 3 2 3 2 2" xfId="755"/>
    <cellStyle name="Title Pricing Assumptions 3 2 3 2_Primary vs Secondary Spread Oct 3" xfId="756"/>
    <cellStyle name="Title Pricing Assumptions 3 2 3 3" xfId="757"/>
    <cellStyle name="Title Pricing Assumptions 3 2 3 4" xfId="758"/>
    <cellStyle name="Title Pricing Assumptions 3 2 3 5" xfId="759"/>
    <cellStyle name="Title Pricing Assumptions 3 2 3_Primary vs Secondary Spread Oct 3" xfId="760"/>
    <cellStyle name="Title Pricing Assumptions 3 2 4" xfId="761"/>
    <cellStyle name="Title Pricing Assumptions 3 2 4 2" xfId="762"/>
    <cellStyle name="Title Pricing Assumptions 3 2 4 2 2" xfId="763"/>
    <cellStyle name="Title Pricing Assumptions 3 2 4 2_Primary vs Secondary Spread Oct 3" xfId="764"/>
    <cellStyle name="Title Pricing Assumptions 3 2 4 3" xfId="765"/>
    <cellStyle name="Title Pricing Assumptions 3 2 4 4" xfId="766"/>
    <cellStyle name="Title Pricing Assumptions 3 2 4 5" xfId="767"/>
    <cellStyle name="Title Pricing Assumptions 3 2 4_Primary vs Secondary Spread Oct 3" xfId="768"/>
    <cellStyle name="Title Pricing Assumptions 3 2 5" xfId="769"/>
    <cellStyle name="Title Pricing Assumptions 3 2 5 2" xfId="770"/>
    <cellStyle name="Title Pricing Assumptions 3 2 5_Primary vs Secondary Spread Oct 3" xfId="771"/>
    <cellStyle name="Title Pricing Assumptions 3 2 6" xfId="772"/>
    <cellStyle name="Title Pricing Assumptions 3 2 6 2" xfId="773"/>
    <cellStyle name="Title Pricing Assumptions 3 2 6_Primary vs Secondary Spread Oct 3" xfId="774"/>
    <cellStyle name="Title Pricing Assumptions 3 2 7" xfId="775"/>
    <cellStyle name="Title Pricing Assumptions 3 2 8" xfId="776"/>
    <cellStyle name="Title Pricing Assumptions 3 2_Primary vs Secondary Spread Oct 3" xfId="777"/>
    <cellStyle name="Title Pricing Assumptions 3 3" xfId="778"/>
    <cellStyle name="Title Pricing Assumptions 3 3 2" xfId="779"/>
    <cellStyle name="Title Pricing Assumptions 3 3 2 2" xfId="780"/>
    <cellStyle name="Title Pricing Assumptions 3 3 2 2 2" xfId="781"/>
    <cellStyle name="Title Pricing Assumptions 3 3 2 2_Primary vs Secondary Spread Oct 3" xfId="782"/>
    <cellStyle name="Title Pricing Assumptions 3 3 2 3" xfId="783"/>
    <cellStyle name="Title Pricing Assumptions 3 3 2 4" xfId="784"/>
    <cellStyle name="Title Pricing Assumptions 3 3 2 5" xfId="785"/>
    <cellStyle name="Title Pricing Assumptions 3 3 2_Primary vs Secondary Spread Oct 3" xfId="786"/>
    <cellStyle name="Title Pricing Assumptions 3 3 3" xfId="787"/>
    <cellStyle name="Title Pricing Assumptions 3 3 3 2" xfId="788"/>
    <cellStyle name="Title Pricing Assumptions 3 3 3 2 2" xfId="789"/>
    <cellStyle name="Title Pricing Assumptions 3 3 3 2_Primary vs Secondary Spread Oct 3" xfId="790"/>
    <cellStyle name="Title Pricing Assumptions 3 3 3 3" xfId="791"/>
    <cellStyle name="Title Pricing Assumptions 3 3 3 4" xfId="792"/>
    <cellStyle name="Title Pricing Assumptions 3 3 3 5" xfId="793"/>
    <cellStyle name="Title Pricing Assumptions 3 3 3_Primary vs Secondary Spread Oct 3" xfId="794"/>
    <cellStyle name="Title Pricing Assumptions 3 3 4" xfId="795"/>
    <cellStyle name="Title Pricing Assumptions 3 3 4 2" xfId="796"/>
    <cellStyle name="Title Pricing Assumptions 3 3 4 2 2" xfId="797"/>
    <cellStyle name="Title Pricing Assumptions 3 3 4 2_Primary vs Secondary Spread Oct 3" xfId="798"/>
    <cellStyle name="Title Pricing Assumptions 3 3 4 3" xfId="799"/>
    <cellStyle name="Title Pricing Assumptions 3 3 4 4" xfId="800"/>
    <cellStyle name="Title Pricing Assumptions 3 3 4 5" xfId="801"/>
    <cellStyle name="Title Pricing Assumptions 3 3 4_Primary vs Secondary Spread Oct 3" xfId="802"/>
    <cellStyle name="Title Pricing Assumptions 3 3 5" xfId="803"/>
    <cellStyle name="Title Pricing Assumptions 3 3 5 2" xfId="804"/>
    <cellStyle name="Title Pricing Assumptions 3 3 5_Primary vs Secondary Spread Oct 3" xfId="805"/>
    <cellStyle name="Title Pricing Assumptions 3 3 6" xfId="806"/>
    <cellStyle name="Title Pricing Assumptions 3 3 6 2" xfId="807"/>
    <cellStyle name="Title Pricing Assumptions 3 3 6_Primary vs Secondary Spread Oct 3" xfId="808"/>
    <cellStyle name="Title Pricing Assumptions 3 3 7" xfId="809"/>
    <cellStyle name="Title Pricing Assumptions 3 3 8" xfId="810"/>
    <cellStyle name="Title Pricing Assumptions 3 3_Primary vs Secondary Spread Oct 3" xfId="811"/>
    <cellStyle name="Title Pricing Assumptions 3 4" xfId="812"/>
    <cellStyle name="Title Pricing Assumptions 3 4 2" xfId="813"/>
    <cellStyle name="Title Pricing Assumptions 3 4 2 2" xfId="814"/>
    <cellStyle name="Title Pricing Assumptions 3 4 2 2 2" xfId="815"/>
    <cellStyle name="Title Pricing Assumptions 3 4 2 2_Primary vs Secondary Spread Oct 3" xfId="816"/>
    <cellStyle name="Title Pricing Assumptions 3 4 2 3" xfId="817"/>
    <cellStyle name="Title Pricing Assumptions 3 4 2 4" xfId="818"/>
    <cellStyle name="Title Pricing Assumptions 3 4 2 5" xfId="819"/>
    <cellStyle name="Title Pricing Assumptions 3 4 2_Primary vs Secondary Spread Oct 3" xfId="820"/>
    <cellStyle name="Title Pricing Assumptions 3 4 3" xfId="821"/>
    <cellStyle name="Title Pricing Assumptions 3 4 3 2" xfId="822"/>
    <cellStyle name="Title Pricing Assumptions 3 4 3 2 2" xfId="823"/>
    <cellStyle name="Title Pricing Assumptions 3 4 3 2_Primary vs Secondary Spread Oct 3" xfId="824"/>
    <cellStyle name="Title Pricing Assumptions 3 4 3 3" xfId="825"/>
    <cellStyle name="Title Pricing Assumptions 3 4 3 4" xfId="826"/>
    <cellStyle name="Title Pricing Assumptions 3 4 3 5" xfId="827"/>
    <cellStyle name="Title Pricing Assumptions 3 4 3_Primary vs Secondary Spread Oct 3" xfId="828"/>
    <cellStyle name="Title Pricing Assumptions 3 4 4" xfId="829"/>
    <cellStyle name="Title Pricing Assumptions 3 4 4 2" xfId="830"/>
    <cellStyle name="Title Pricing Assumptions 3 4 4 2 2" xfId="831"/>
    <cellStyle name="Title Pricing Assumptions 3 4 4 2_Primary vs Secondary Spread Oct 3" xfId="832"/>
    <cellStyle name="Title Pricing Assumptions 3 4 4 3" xfId="833"/>
    <cellStyle name="Title Pricing Assumptions 3 4 4 4" xfId="834"/>
    <cellStyle name="Title Pricing Assumptions 3 4 4 5" xfId="835"/>
    <cellStyle name="Title Pricing Assumptions 3 4 4_Primary vs Secondary Spread Oct 3" xfId="836"/>
    <cellStyle name="Title Pricing Assumptions 3 4 5" xfId="837"/>
    <cellStyle name="Title Pricing Assumptions 3 4 5 2" xfId="838"/>
    <cellStyle name="Title Pricing Assumptions 3 4 5_Primary vs Secondary Spread Oct 3" xfId="839"/>
    <cellStyle name="Title Pricing Assumptions 3 4 6" xfId="840"/>
    <cellStyle name="Title Pricing Assumptions 3 4 6 2" xfId="841"/>
    <cellStyle name="Title Pricing Assumptions 3 4 6_Primary vs Secondary Spread Oct 3" xfId="842"/>
    <cellStyle name="Title Pricing Assumptions 3 4 7" xfId="843"/>
    <cellStyle name="Title Pricing Assumptions 3 4 8" xfId="844"/>
    <cellStyle name="Title Pricing Assumptions 3 4_Primary vs Secondary Spread Oct 3" xfId="845"/>
    <cellStyle name="Title Pricing Assumptions 3 5" xfId="846"/>
    <cellStyle name="Title Pricing Assumptions 3 5 2" xfId="847"/>
    <cellStyle name="Title Pricing Assumptions 3 5 2 2" xfId="848"/>
    <cellStyle name="Title Pricing Assumptions 3 5 2 2 2" xfId="849"/>
    <cellStyle name="Title Pricing Assumptions 3 5 2 2_Primary vs Secondary Spread Oct 3" xfId="850"/>
    <cellStyle name="Title Pricing Assumptions 3 5 2 3" xfId="851"/>
    <cellStyle name="Title Pricing Assumptions 3 5 2 4" xfId="852"/>
    <cellStyle name="Title Pricing Assumptions 3 5 2 5" xfId="853"/>
    <cellStyle name="Title Pricing Assumptions 3 5 2_Primary vs Secondary Spread Oct 3" xfId="854"/>
    <cellStyle name="Title Pricing Assumptions 3 5 3" xfId="855"/>
    <cellStyle name="Title Pricing Assumptions 3 5 3 2" xfId="856"/>
    <cellStyle name="Title Pricing Assumptions 3 5 3 2 2" xfId="857"/>
    <cellStyle name="Title Pricing Assumptions 3 5 3 2_Primary vs Secondary Spread Oct 3" xfId="858"/>
    <cellStyle name="Title Pricing Assumptions 3 5 3 3" xfId="859"/>
    <cellStyle name="Title Pricing Assumptions 3 5 3 4" xfId="860"/>
    <cellStyle name="Title Pricing Assumptions 3 5 3 5" xfId="861"/>
    <cellStyle name="Title Pricing Assumptions 3 5 3_Primary vs Secondary Spread Oct 3" xfId="862"/>
    <cellStyle name="Title Pricing Assumptions 3 5 4" xfId="863"/>
    <cellStyle name="Title Pricing Assumptions 3 5 4 2" xfId="864"/>
    <cellStyle name="Title Pricing Assumptions 3 5 4_Primary vs Secondary Spread Oct 3" xfId="865"/>
    <cellStyle name="Title Pricing Assumptions 3 5 5" xfId="866"/>
    <cellStyle name="Title Pricing Assumptions 3 5 5 2" xfId="867"/>
    <cellStyle name="Title Pricing Assumptions 3 5 5_Primary vs Secondary Spread Oct 3" xfId="868"/>
    <cellStyle name="Title Pricing Assumptions 3 5 6" xfId="869"/>
    <cellStyle name="Title Pricing Assumptions 3 5 7" xfId="870"/>
    <cellStyle name="Title Pricing Assumptions 3 5_Primary vs Secondary Spread Oct 3" xfId="871"/>
    <cellStyle name="Title Pricing Assumptions 3 6" xfId="872"/>
    <cellStyle name="Title Pricing Assumptions 3 6 2" xfId="873"/>
    <cellStyle name="Title Pricing Assumptions 3 6 2 2" xfId="874"/>
    <cellStyle name="Title Pricing Assumptions 3 6 2_Primary vs Secondary Spread Oct 3" xfId="875"/>
    <cellStyle name="Title Pricing Assumptions 3 6 3" xfId="876"/>
    <cellStyle name="Title Pricing Assumptions 3 6 4" xfId="877"/>
    <cellStyle name="Title Pricing Assumptions 3 6 4 2 8" xfId="508"/>
    <cellStyle name="Title Pricing Assumptions 3 6 5" xfId="878"/>
    <cellStyle name="Title Pricing Assumptions 3 6_Primary vs Secondary Spread Oct 3" xfId="879"/>
    <cellStyle name="Title Pricing Assumptions 3 7" xfId="880"/>
    <cellStyle name="Title Pricing Assumptions 3 7 2" xfId="881"/>
    <cellStyle name="Title Pricing Assumptions 3 7 2 2" xfId="882"/>
    <cellStyle name="Title Pricing Assumptions 3 7 2_Primary vs Secondary Spread Oct 3" xfId="883"/>
    <cellStyle name="Title Pricing Assumptions 3 7 3" xfId="884"/>
    <cellStyle name="Title Pricing Assumptions 3 7 4" xfId="885"/>
    <cellStyle name="Title Pricing Assumptions 3 7 5" xfId="886"/>
    <cellStyle name="Title Pricing Assumptions 3 7_Primary vs Secondary Spread Oct 3" xfId="887"/>
    <cellStyle name="Title Pricing Assumptions 3 8" xfId="888"/>
    <cellStyle name="Title Pricing Assumptions 3 8 2" xfId="889"/>
    <cellStyle name="Title Pricing Assumptions 3 8 2 2" xfId="890"/>
    <cellStyle name="Title Pricing Assumptions 3 8 2_Primary vs Secondary Spread Oct 3" xfId="891"/>
    <cellStyle name="Title Pricing Assumptions 3 8 3" xfId="892"/>
    <cellStyle name="Title Pricing Assumptions 3 8 4" xfId="893"/>
    <cellStyle name="Title Pricing Assumptions 3 8 5" xfId="894"/>
    <cellStyle name="Title Pricing Assumptions 3 8_Primary vs Secondary Spread Oct 3" xfId="895"/>
    <cellStyle name="Title Pricing Assumptions 3 9" xfId="896"/>
    <cellStyle name="Title Pricing Assumptions 3 9 2" xfId="897"/>
    <cellStyle name="Title Pricing Assumptions 3 9_Primary vs Secondary Spread Oct 3" xfId="898"/>
    <cellStyle name="Title Pricing Assumptions 3_Primary vs Secondary Spread Oct 3" xfId="899"/>
    <cellStyle name="Title Pricing Assumptions 4" xfId="900"/>
    <cellStyle name="Title Pricing Assumptions 4 2" xfId="901"/>
    <cellStyle name="Title Pricing Assumptions 4 2 2" xfId="902"/>
    <cellStyle name="Title Pricing Assumptions 4 2 2 2" xfId="903"/>
    <cellStyle name="Title Pricing Assumptions 4 2 2_Primary vs Secondary Spread Oct 3" xfId="904"/>
    <cellStyle name="Title Pricing Assumptions 4 2 3" xfId="905"/>
    <cellStyle name="Title Pricing Assumptions 4 2 4" xfId="906"/>
    <cellStyle name="Title Pricing Assumptions 4 2 5" xfId="907"/>
    <cellStyle name="Title Pricing Assumptions 4 2_Primary vs Secondary Spread Oct 3" xfId="908"/>
    <cellStyle name="Title Pricing Assumptions 4 3" xfId="909"/>
    <cellStyle name="Title Pricing Assumptions 4 3 2" xfId="910"/>
    <cellStyle name="Title Pricing Assumptions 4 3 2 2" xfId="911"/>
    <cellStyle name="Title Pricing Assumptions 4 3 2_Primary vs Secondary Spread Oct 3" xfId="912"/>
    <cellStyle name="Title Pricing Assumptions 4 3 3" xfId="913"/>
    <cellStyle name="Title Pricing Assumptions 4 3 4" xfId="914"/>
    <cellStyle name="Title Pricing Assumptions 4 3 5" xfId="915"/>
    <cellStyle name="Title Pricing Assumptions 4 3_Primary vs Secondary Spread Oct 3" xfId="916"/>
    <cellStyle name="Title Pricing Assumptions 4 4" xfId="917"/>
    <cellStyle name="Title Pricing Assumptions 4 4 2" xfId="918"/>
    <cellStyle name="Title Pricing Assumptions 4 4 2 2" xfId="919"/>
    <cellStyle name="Title Pricing Assumptions 4 4 2_Primary vs Secondary Spread Oct 3" xfId="920"/>
    <cellStyle name="Title Pricing Assumptions 4 4 3" xfId="921"/>
    <cellStyle name="Title Pricing Assumptions 4 4 4" xfId="922"/>
    <cellStyle name="Title Pricing Assumptions 4 4 5" xfId="923"/>
    <cellStyle name="Title Pricing Assumptions 4 4_Primary vs Secondary Spread Oct 3" xfId="924"/>
    <cellStyle name="Title Pricing Assumptions 4 5" xfId="925"/>
    <cellStyle name="Title Pricing Assumptions 4 5 2" xfId="926"/>
    <cellStyle name="Title Pricing Assumptions 4 5_Primary vs Secondary Spread Oct 3" xfId="927"/>
    <cellStyle name="Title Pricing Assumptions 4 6" xfId="928"/>
    <cellStyle name="Title Pricing Assumptions 4 6 2" xfId="929"/>
    <cellStyle name="Title Pricing Assumptions 4 6_Primary vs Secondary Spread Oct 3" xfId="930"/>
    <cellStyle name="Title Pricing Assumptions 4 7" xfId="931"/>
    <cellStyle name="Title Pricing Assumptions 4 8" xfId="932"/>
    <cellStyle name="Title Pricing Assumptions 4_Primary vs Secondary Spread Oct 3" xfId="933"/>
    <cellStyle name="Title Pricing Assumptions 5" xfId="934"/>
    <cellStyle name="Title Pricing Assumptions 5 2" xfId="935"/>
    <cellStyle name="Title Pricing Assumptions 5 2 2" xfId="936"/>
    <cellStyle name="Title Pricing Assumptions 5 2 2 2" xfId="937"/>
    <cellStyle name="Title Pricing Assumptions 5 2 2_Primary vs Secondary Spread Oct 3" xfId="938"/>
    <cellStyle name="Title Pricing Assumptions 5 2 3" xfId="939"/>
    <cellStyle name="Title Pricing Assumptions 5 2 4" xfId="940"/>
    <cellStyle name="Title Pricing Assumptions 5 2 5" xfId="941"/>
    <cellStyle name="Title Pricing Assumptions 5 2_Primary vs Secondary Spread Oct 3" xfId="942"/>
    <cellStyle name="Title Pricing Assumptions 5 3" xfId="943"/>
    <cellStyle name="Title Pricing Assumptions 5 3 2" xfId="944"/>
    <cellStyle name="Title Pricing Assumptions 5 3 2 2" xfId="945"/>
    <cellStyle name="Title Pricing Assumptions 5 3 2_Primary vs Secondary Spread Oct 3" xfId="946"/>
    <cellStyle name="Title Pricing Assumptions 5 3 3" xfId="947"/>
    <cellStyle name="Title Pricing Assumptions 5 3 4" xfId="948"/>
    <cellStyle name="Title Pricing Assumptions 5 3 5" xfId="949"/>
    <cellStyle name="Title Pricing Assumptions 5 3_Primary vs Secondary Spread Oct 3" xfId="950"/>
    <cellStyle name="Title Pricing Assumptions 5 4" xfId="951"/>
    <cellStyle name="Title Pricing Assumptions 5 4 2" xfId="952"/>
    <cellStyle name="Title Pricing Assumptions 5 4 2 2" xfId="953"/>
    <cellStyle name="Title Pricing Assumptions 5 4 2_Primary vs Secondary Spread Oct 3" xfId="954"/>
    <cellStyle name="Title Pricing Assumptions 5 4 3" xfId="955"/>
    <cellStyle name="Title Pricing Assumptions 5 4 4" xfId="956"/>
    <cellStyle name="Title Pricing Assumptions 5 4 5" xfId="957"/>
    <cellStyle name="Title Pricing Assumptions 5 4_Primary vs Secondary Spread Oct 3" xfId="958"/>
    <cellStyle name="Title Pricing Assumptions 5 5" xfId="959"/>
    <cellStyle name="Title Pricing Assumptions 5 5 2" xfId="960"/>
    <cellStyle name="Title Pricing Assumptions 5 5_Primary vs Secondary Spread Oct 3" xfId="961"/>
    <cellStyle name="Title Pricing Assumptions 5 6" xfId="962"/>
    <cellStyle name="Title Pricing Assumptions 5 6 2" xfId="963"/>
    <cellStyle name="Title Pricing Assumptions 5 6_Primary vs Secondary Spread Oct 3" xfId="964"/>
    <cellStyle name="Title Pricing Assumptions 5 7" xfId="965"/>
    <cellStyle name="Title Pricing Assumptions 5 8" xfId="966"/>
    <cellStyle name="Title Pricing Assumptions 5_Primary vs Secondary Spread Oct 3" xfId="967"/>
    <cellStyle name="Title Pricing Assumptions 6" xfId="968"/>
    <cellStyle name="Title Pricing Assumptions 6 2" xfId="969"/>
    <cellStyle name="Title Pricing Assumptions 6 2 2" xfId="970"/>
    <cellStyle name="Title Pricing Assumptions 6 2 2 2" xfId="971"/>
    <cellStyle name="Title Pricing Assumptions 6 2 2_Primary vs Secondary Spread Oct 3" xfId="972"/>
    <cellStyle name="Title Pricing Assumptions 6 2 3" xfId="973"/>
    <cellStyle name="Title Pricing Assumptions 6 2 4" xfId="974"/>
    <cellStyle name="Title Pricing Assumptions 6 2 5" xfId="975"/>
    <cellStyle name="Title Pricing Assumptions 6 2_Primary vs Secondary Spread Oct 3" xfId="976"/>
    <cellStyle name="Title Pricing Assumptions 6 3" xfId="977"/>
    <cellStyle name="Title Pricing Assumptions 6 3 2" xfId="978"/>
    <cellStyle name="Title Pricing Assumptions 6 3 2 2" xfId="979"/>
    <cellStyle name="Title Pricing Assumptions 6 3 2_Primary vs Secondary Spread Oct 3" xfId="980"/>
    <cellStyle name="Title Pricing Assumptions 6 3 3" xfId="981"/>
    <cellStyle name="Title Pricing Assumptions 6 3 4" xfId="982"/>
    <cellStyle name="Title Pricing Assumptions 6 3_Primary vs Secondary Spread Oct 3" xfId="983"/>
    <cellStyle name="Title Pricing Assumptions 6 4" xfId="984"/>
    <cellStyle name="Title Pricing Assumptions 6 4 2" xfId="985"/>
    <cellStyle name="Title Pricing Assumptions 6 4 2 2" xfId="986"/>
    <cellStyle name="Title Pricing Assumptions 6 4 2_Primary vs Secondary Spread Oct 3" xfId="987"/>
    <cellStyle name="Title Pricing Assumptions 6 4 3" xfId="988"/>
    <cellStyle name="Title Pricing Assumptions 6 4 4" xfId="989"/>
    <cellStyle name="Title Pricing Assumptions 6 4 5" xfId="990"/>
    <cellStyle name="Title Pricing Assumptions 6 4_Primary vs Secondary Spread Oct 3" xfId="991"/>
    <cellStyle name="Title Pricing Assumptions 6 5" xfId="992"/>
    <cellStyle name="Title Pricing Assumptions 6 5 2" xfId="993"/>
    <cellStyle name="Title Pricing Assumptions 6 5_Primary vs Secondary Spread Oct 3" xfId="994"/>
    <cellStyle name="Title Pricing Assumptions 6 6" xfId="995"/>
    <cellStyle name="Title Pricing Assumptions 6 6 2" xfId="996"/>
    <cellStyle name="Title Pricing Assumptions 6 6_Primary vs Secondary Spread Oct 3" xfId="997"/>
    <cellStyle name="Title Pricing Assumptions 6 7" xfId="998"/>
    <cellStyle name="Title Pricing Assumptions 6 8" xfId="999"/>
    <cellStyle name="Title Pricing Assumptions 6_Primary vs Secondary Spread Oct 3" xfId="1000"/>
    <cellStyle name="Title Pricing Assumptions 7" xfId="1001"/>
    <cellStyle name="Title Pricing Assumptions 7 2" xfId="1002"/>
    <cellStyle name="Title Pricing Assumptions 7 2 2" xfId="1003"/>
    <cellStyle name="Title Pricing Assumptions 7 2 2 2" xfId="1004"/>
    <cellStyle name="Title Pricing Assumptions 7 2 2_Primary vs Secondary Spread Oct 3" xfId="1005"/>
    <cellStyle name="Title Pricing Assumptions 7 2 3" xfId="1006"/>
    <cellStyle name="Title Pricing Assumptions 7 2 4" xfId="1007"/>
    <cellStyle name="Title Pricing Assumptions 7 2 5" xfId="1008"/>
    <cellStyle name="Title Pricing Assumptions 7 2_Primary vs Secondary Spread Oct 3" xfId="1009"/>
    <cellStyle name="Title Pricing Assumptions 7 3" xfId="1010"/>
    <cellStyle name="Title Pricing Assumptions 7 3 2" xfId="1011"/>
    <cellStyle name="Title Pricing Assumptions 7 3 2 2" xfId="1012"/>
    <cellStyle name="Title Pricing Assumptions 7 3 2_Primary vs Secondary Spread Oct 3" xfId="1013"/>
    <cellStyle name="Title Pricing Assumptions 7 3 3" xfId="1014"/>
    <cellStyle name="Title Pricing Assumptions 7 3 4" xfId="1015"/>
    <cellStyle name="Title Pricing Assumptions 7 3 5" xfId="1016"/>
    <cellStyle name="Title Pricing Assumptions 7 3_Primary vs Secondary Spread Oct 3" xfId="1017"/>
    <cellStyle name="Title Pricing Assumptions 7 4" xfId="1018"/>
    <cellStyle name="Title Pricing Assumptions 7 4 2" xfId="1019"/>
    <cellStyle name="Title Pricing Assumptions 7 4_Primary vs Secondary Spread Oct 3" xfId="1020"/>
    <cellStyle name="Title Pricing Assumptions 7 5" xfId="1021"/>
    <cellStyle name="Title Pricing Assumptions 7 5 2" xfId="1022"/>
    <cellStyle name="Title Pricing Assumptions 7 5_Primary vs Secondary Spread Oct 3" xfId="1023"/>
    <cellStyle name="Title Pricing Assumptions 7 6" xfId="1024"/>
    <cellStyle name="Title Pricing Assumptions 7 7" xfId="1025"/>
    <cellStyle name="Title Pricing Assumptions 7_Primary vs Secondary Spread Oct 3" xfId="1026"/>
    <cellStyle name="Title Pricing Assumptions 8" xfId="1027"/>
    <cellStyle name="Title Pricing Assumptions 8 2" xfId="1028"/>
    <cellStyle name="Title Pricing Assumptions 8 2 2" xfId="1029"/>
    <cellStyle name="Title Pricing Assumptions 8 2_Primary vs Secondary Spread Oct 3" xfId="1030"/>
    <cellStyle name="Title Pricing Assumptions 8 3" xfId="1031"/>
    <cellStyle name="Title Pricing Assumptions 8 4" xfId="1032"/>
    <cellStyle name="Title Pricing Assumptions 8 5" xfId="1033"/>
    <cellStyle name="Title Pricing Assumptions 8_Primary vs Secondary Spread Oct 3" xfId="1034"/>
    <cellStyle name="Title Pricing Assumptions 9" xfId="1035"/>
    <cellStyle name="Title Pricing Assumptions 9 2" xfId="1036"/>
    <cellStyle name="Title Pricing Assumptions 9 2 2" xfId="1037"/>
    <cellStyle name="Title Pricing Assumptions 9 2_Primary vs Secondary Spread Oct 3" xfId="1038"/>
    <cellStyle name="Title Pricing Assumptions 9 3" xfId="1039"/>
    <cellStyle name="Title Pricing Assumptions 9 4" xfId="1040"/>
    <cellStyle name="Title Pricing Assumptions 9 5" xfId="1041"/>
    <cellStyle name="Title Pricing Assumptions 9_Primary vs Secondary Spread Oct 3" xfId="1042"/>
    <cellStyle name="Title Pricing Assumptions_Primary vs Secondary Spread Oct 3" xfId="1043"/>
    <cellStyle name="Titles - Other" xfId="509"/>
    <cellStyle name="Total 2" xfId="510"/>
    <cellStyle name="Total 2 2" xfId="511"/>
    <cellStyle name="Total 3" xfId="512"/>
    <cellStyle name="Total 4" xfId="513"/>
    <cellStyle name="Total 4 2" xfId="1044"/>
    <cellStyle name="Total 4_Primary vs Secondary Spread Oct 3" xfId="1045"/>
    <cellStyle name="Warning" xfId="514"/>
    <cellStyle name="Warning Text 2" xfId="515"/>
    <cellStyle name="Warning Text 3" xfId="516"/>
    <cellStyle name="Warning Text 4" xfId="517"/>
    <cellStyle name="Warning Text 5" xfId="1046"/>
    <cellStyle name="YB Calculations" xfId="518"/>
    <cellStyle name="YB Calculations 2" xfId="519"/>
    <cellStyle name="YB Calculations 2 2" xfId="1047"/>
    <cellStyle name="YB Curve" xfId="520"/>
    <cellStyle name="YB Indicative" xfId="521"/>
    <cellStyle name="YB Indicative 2" xfId="1048"/>
    <cellStyle name="YBINDIC" xfId="522"/>
    <cellStyle name="YBIOPOBE" xfId="523"/>
    <cellStyle name="YBPRICE" xfId="524"/>
    <cellStyle name="一般_原始檔案" xfId="525"/>
  </cellStyles>
  <dxfs count="67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colors>
    <mruColors>
      <color rgb="FF2E398A"/>
      <color rgb="FF2E8A60"/>
      <color rgb="FFC7732D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'Function Of Rate'!$E$20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-100 bps</c:v>
                </c:pt>
                <c:pt idx="1">
                  <c:v>-80 bps</c:v>
                </c:pt>
                <c:pt idx="2">
                  <c:v>-60 bps</c:v>
                </c:pt>
                <c:pt idx="3">
                  <c:v>-40 bps</c:v>
                </c:pt>
                <c:pt idx="4">
                  <c:v>-20 bps</c:v>
                </c:pt>
                <c:pt idx="5">
                  <c:v>3.93</c:v>
                </c:pt>
                <c:pt idx="6">
                  <c:v>+20 bps</c:v>
                </c:pt>
                <c:pt idx="7">
                  <c:v>+40 bps</c:v>
                </c:pt>
                <c:pt idx="8">
                  <c:v>+60 bps</c:v>
                </c:pt>
                <c:pt idx="9">
                  <c:v>+80 bps</c:v>
                </c:pt>
                <c:pt idx="10">
                  <c:v>+100 bps</c:v>
                </c:pt>
              </c:strCache>
            </c:strRef>
          </c:cat>
          <c:val>
            <c:numRef>
              <c:f>'Function Of Rate'!$F$20:$P$20</c:f>
              <c:numCache>
                <c:formatCode>0.00%</c:formatCode>
                <c:ptCount val="11"/>
                <c:pt idx="0">
                  <c:v>2.5608275911288818E-5</c:v>
                </c:pt>
                <c:pt idx="1">
                  <c:v>2.5608275911288818E-5</c:v>
                </c:pt>
                <c:pt idx="2">
                  <c:v>2.5608102100367355E-5</c:v>
                </c:pt>
                <c:pt idx="3">
                  <c:v>2.5608102100367355E-5</c:v>
                </c:pt>
                <c:pt idx="4">
                  <c:v>2.5605494807286032E-5</c:v>
                </c:pt>
                <c:pt idx="5">
                  <c:v>2.5425071897228041E-5</c:v>
                </c:pt>
                <c:pt idx="6">
                  <c:v>2.5414284433000005E-5</c:v>
                </c:pt>
                <c:pt idx="7">
                  <c:v>2.5402368858734509E-5</c:v>
                </c:pt>
                <c:pt idx="8">
                  <c:v>2.5216589085161077E-5</c:v>
                </c:pt>
                <c:pt idx="9">
                  <c:v>2.5169456390573302E-5</c:v>
                </c:pt>
                <c:pt idx="10">
                  <c:v>2.4371659207705666E-5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'Function Of Rate'!$E$21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Rate'!$F$18:$P$18</c:f>
              <c:strCache>
                <c:ptCount val="11"/>
                <c:pt idx="0">
                  <c:v>-100 bps</c:v>
                </c:pt>
                <c:pt idx="1">
                  <c:v>-80 bps</c:v>
                </c:pt>
                <c:pt idx="2">
                  <c:v>-60 bps</c:v>
                </c:pt>
                <c:pt idx="3">
                  <c:v>-40 bps</c:v>
                </c:pt>
                <c:pt idx="4">
                  <c:v>-20 bps</c:v>
                </c:pt>
                <c:pt idx="5">
                  <c:v>3.93</c:v>
                </c:pt>
                <c:pt idx="6">
                  <c:v>+20 bps</c:v>
                </c:pt>
                <c:pt idx="7">
                  <c:v>+40 bps</c:v>
                </c:pt>
                <c:pt idx="8">
                  <c:v>+60 bps</c:v>
                </c:pt>
                <c:pt idx="9">
                  <c:v>+80 bps</c:v>
                </c:pt>
                <c:pt idx="10">
                  <c:v>+100 bps</c:v>
                </c:pt>
              </c:strCache>
            </c:strRef>
          </c:cat>
          <c:val>
            <c:numRef>
              <c:f>'Function Of Rate'!$F$21:$P$21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'Function Of Rate'!$E$22</c:f>
              <c:strCache>
                <c:ptCount val="1"/>
                <c:pt idx="0">
                  <c:v>12 Weeks Scenario</c:v>
                </c:pt>
              </c:strCache>
            </c:strRef>
          </c:tx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-100 bps</c:v>
                </c:pt>
                <c:pt idx="1">
                  <c:v>-80 bps</c:v>
                </c:pt>
                <c:pt idx="2">
                  <c:v>-60 bps</c:v>
                </c:pt>
                <c:pt idx="3">
                  <c:v>-40 bps</c:v>
                </c:pt>
                <c:pt idx="4">
                  <c:v>-20 bps</c:v>
                </c:pt>
                <c:pt idx="5">
                  <c:v>3.93</c:v>
                </c:pt>
                <c:pt idx="6">
                  <c:v>+20 bps</c:v>
                </c:pt>
                <c:pt idx="7">
                  <c:v>+40 bps</c:v>
                </c:pt>
                <c:pt idx="8">
                  <c:v>+60 bps</c:v>
                </c:pt>
                <c:pt idx="9">
                  <c:v>+80 bps</c:v>
                </c:pt>
                <c:pt idx="10">
                  <c:v>+100 bps</c:v>
                </c:pt>
              </c:strCache>
            </c:strRef>
          </c:cat>
          <c:val>
            <c:numRef>
              <c:f>'Function Of Rate'!$F$22:$P$22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744320"/>
        <c:axId val="274051456"/>
      </c:lineChart>
      <c:catAx>
        <c:axId val="26274432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74051456"/>
        <c:crosses val="autoZero"/>
        <c:auto val="1"/>
        <c:lblAlgn val="ctr"/>
        <c:lblOffset val="100"/>
        <c:noMultiLvlLbl val="0"/>
      </c:catAx>
      <c:valAx>
        <c:axId val="27405145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262744320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9.7829911451215848E-2"/>
          <c:y val="0.87468161200596628"/>
          <c:w val="0.87404010154358192"/>
          <c:h val="0.1068284078889611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Query!$E$2</c:f>
              <c:strCache>
                <c:ptCount val="1"/>
                <c:pt idx="0">
                  <c:v>Refi Percentage (12 Weeks Lookback)</c:v>
                </c:pt>
              </c:strCache>
            </c:strRef>
          </c:tx>
          <c:spPr>
            <a:solidFill>
              <a:srgbClr val="2E398A">
                <a:alpha val="50000"/>
              </a:srgbClr>
            </a:solidFill>
            <a:ln>
              <a:noFill/>
            </a:ln>
          </c:spPr>
          <c:invertIfNegative val="0"/>
          <c:cat>
            <c:numRef>
              <c:f>Query!$C$3:$C$465</c:f>
              <c:numCache>
                <c:formatCode>m/d/yyyy</c:formatCode>
                <c:ptCount val="463"/>
                <c:pt idx="0">
                  <c:v>42691</c:v>
                </c:pt>
                <c:pt idx="1">
                  <c:v>42684</c:v>
                </c:pt>
                <c:pt idx="2">
                  <c:v>42677</c:v>
                </c:pt>
                <c:pt idx="3">
                  <c:v>42670</c:v>
                </c:pt>
                <c:pt idx="4">
                  <c:v>42663</c:v>
                </c:pt>
                <c:pt idx="5">
                  <c:v>42649</c:v>
                </c:pt>
                <c:pt idx="6">
                  <c:v>42642</c:v>
                </c:pt>
                <c:pt idx="7">
                  <c:v>42635</c:v>
                </c:pt>
                <c:pt idx="8">
                  <c:v>42628</c:v>
                </c:pt>
                <c:pt idx="9">
                  <c:v>42621</c:v>
                </c:pt>
                <c:pt idx="10">
                  <c:v>42614</c:v>
                </c:pt>
                <c:pt idx="11">
                  <c:v>42606</c:v>
                </c:pt>
                <c:pt idx="12">
                  <c:v>42600</c:v>
                </c:pt>
                <c:pt idx="13">
                  <c:v>42593</c:v>
                </c:pt>
                <c:pt idx="14">
                  <c:v>42586</c:v>
                </c:pt>
                <c:pt idx="15">
                  <c:v>42579</c:v>
                </c:pt>
                <c:pt idx="16">
                  <c:v>42572</c:v>
                </c:pt>
                <c:pt idx="17">
                  <c:v>42565</c:v>
                </c:pt>
                <c:pt idx="18">
                  <c:v>42558</c:v>
                </c:pt>
                <c:pt idx="19">
                  <c:v>42551</c:v>
                </c:pt>
                <c:pt idx="20">
                  <c:v>42544</c:v>
                </c:pt>
                <c:pt idx="21">
                  <c:v>42537</c:v>
                </c:pt>
                <c:pt idx="22">
                  <c:v>42530</c:v>
                </c:pt>
                <c:pt idx="23">
                  <c:v>42523</c:v>
                </c:pt>
                <c:pt idx="24">
                  <c:v>42516</c:v>
                </c:pt>
                <c:pt idx="25">
                  <c:v>42509</c:v>
                </c:pt>
                <c:pt idx="26">
                  <c:v>42502</c:v>
                </c:pt>
                <c:pt idx="27">
                  <c:v>42495</c:v>
                </c:pt>
                <c:pt idx="28">
                  <c:v>42488</c:v>
                </c:pt>
                <c:pt idx="29">
                  <c:v>42481</c:v>
                </c:pt>
                <c:pt idx="30">
                  <c:v>42474</c:v>
                </c:pt>
                <c:pt idx="31">
                  <c:v>42467</c:v>
                </c:pt>
                <c:pt idx="32">
                  <c:v>42460</c:v>
                </c:pt>
                <c:pt idx="33">
                  <c:v>42453</c:v>
                </c:pt>
                <c:pt idx="34">
                  <c:v>42446</c:v>
                </c:pt>
                <c:pt idx="35">
                  <c:v>42439</c:v>
                </c:pt>
                <c:pt idx="36">
                  <c:v>42432</c:v>
                </c:pt>
                <c:pt idx="37">
                  <c:v>42425</c:v>
                </c:pt>
                <c:pt idx="38">
                  <c:v>42418</c:v>
                </c:pt>
                <c:pt idx="39">
                  <c:v>42411</c:v>
                </c:pt>
                <c:pt idx="40">
                  <c:v>42404</c:v>
                </c:pt>
                <c:pt idx="41">
                  <c:v>42397</c:v>
                </c:pt>
                <c:pt idx="42">
                  <c:v>42390</c:v>
                </c:pt>
                <c:pt idx="43">
                  <c:v>42383</c:v>
                </c:pt>
                <c:pt idx="44">
                  <c:v>42376</c:v>
                </c:pt>
                <c:pt idx="45">
                  <c:v>42369</c:v>
                </c:pt>
                <c:pt idx="46">
                  <c:v>42362</c:v>
                </c:pt>
                <c:pt idx="47">
                  <c:v>42355</c:v>
                </c:pt>
                <c:pt idx="48">
                  <c:v>42348</c:v>
                </c:pt>
                <c:pt idx="49">
                  <c:v>42341</c:v>
                </c:pt>
                <c:pt idx="50">
                  <c:v>42333</c:v>
                </c:pt>
                <c:pt idx="51">
                  <c:v>42327</c:v>
                </c:pt>
                <c:pt idx="52">
                  <c:v>42320</c:v>
                </c:pt>
                <c:pt idx="53">
                  <c:v>42313</c:v>
                </c:pt>
                <c:pt idx="54">
                  <c:v>42306</c:v>
                </c:pt>
                <c:pt idx="55">
                  <c:v>42299</c:v>
                </c:pt>
                <c:pt idx="56">
                  <c:v>42292</c:v>
                </c:pt>
                <c:pt idx="57">
                  <c:v>42285</c:v>
                </c:pt>
                <c:pt idx="58">
                  <c:v>42278</c:v>
                </c:pt>
                <c:pt idx="59">
                  <c:v>42271</c:v>
                </c:pt>
                <c:pt idx="60">
                  <c:v>42264</c:v>
                </c:pt>
                <c:pt idx="61">
                  <c:v>42257</c:v>
                </c:pt>
                <c:pt idx="62">
                  <c:v>42250</c:v>
                </c:pt>
                <c:pt idx="63">
                  <c:v>42243</c:v>
                </c:pt>
                <c:pt idx="64">
                  <c:v>42236</c:v>
                </c:pt>
                <c:pt idx="65">
                  <c:v>42229</c:v>
                </c:pt>
                <c:pt idx="66">
                  <c:v>42222</c:v>
                </c:pt>
                <c:pt idx="67">
                  <c:v>42215</c:v>
                </c:pt>
                <c:pt idx="68">
                  <c:v>42208</c:v>
                </c:pt>
                <c:pt idx="69">
                  <c:v>42201</c:v>
                </c:pt>
                <c:pt idx="70">
                  <c:v>42194</c:v>
                </c:pt>
                <c:pt idx="71">
                  <c:v>42187</c:v>
                </c:pt>
                <c:pt idx="72">
                  <c:v>42180</c:v>
                </c:pt>
                <c:pt idx="73">
                  <c:v>42173</c:v>
                </c:pt>
                <c:pt idx="74">
                  <c:v>42166</c:v>
                </c:pt>
                <c:pt idx="75">
                  <c:v>42159</c:v>
                </c:pt>
                <c:pt idx="76">
                  <c:v>42152</c:v>
                </c:pt>
                <c:pt idx="77">
                  <c:v>42145</c:v>
                </c:pt>
                <c:pt idx="78">
                  <c:v>42138</c:v>
                </c:pt>
                <c:pt idx="79">
                  <c:v>42131</c:v>
                </c:pt>
                <c:pt idx="80">
                  <c:v>42124</c:v>
                </c:pt>
                <c:pt idx="81">
                  <c:v>42117</c:v>
                </c:pt>
                <c:pt idx="82">
                  <c:v>42110</c:v>
                </c:pt>
                <c:pt idx="83">
                  <c:v>42103</c:v>
                </c:pt>
                <c:pt idx="84">
                  <c:v>42096</c:v>
                </c:pt>
                <c:pt idx="85">
                  <c:v>42089</c:v>
                </c:pt>
                <c:pt idx="86">
                  <c:v>42082</c:v>
                </c:pt>
                <c:pt idx="87">
                  <c:v>42075</c:v>
                </c:pt>
                <c:pt idx="88">
                  <c:v>42068</c:v>
                </c:pt>
                <c:pt idx="89">
                  <c:v>42061</c:v>
                </c:pt>
                <c:pt idx="90">
                  <c:v>42054</c:v>
                </c:pt>
                <c:pt idx="91">
                  <c:v>42047</c:v>
                </c:pt>
                <c:pt idx="92">
                  <c:v>42040</c:v>
                </c:pt>
                <c:pt idx="93">
                  <c:v>42033</c:v>
                </c:pt>
                <c:pt idx="94">
                  <c:v>42026</c:v>
                </c:pt>
                <c:pt idx="95">
                  <c:v>42019</c:v>
                </c:pt>
                <c:pt idx="96">
                  <c:v>42012</c:v>
                </c:pt>
                <c:pt idx="97">
                  <c:v>42004</c:v>
                </c:pt>
                <c:pt idx="98">
                  <c:v>41997</c:v>
                </c:pt>
                <c:pt idx="99">
                  <c:v>41991</c:v>
                </c:pt>
                <c:pt idx="100">
                  <c:v>41984</c:v>
                </c:pt>
                <c:pt idx="101">
                  <c:v>41977</c:v>
                </c:pt>
                <c:pt idx="102">
                  <c:v>41969</c:v>
                </c:pt>
                <c:pt idx="103">
                  <c:v>41963</c:v>
                </c:pt>
                <c:pt idx="104">
                  <c:v>41956</c:v>
                </c:pt>
                <c:pt idx="105">
                  <c:v>41949</c:v>
                </c:pt>
                <c:pt idx="106">
                  <c:v>41942</c:v>
                </c:pt>
                <c:pt idx="107">
                  <c:v>41935</c:v>
                </c:pt>
                <c:pt idx="108">
                  <c:v>41928</c:v>
                </c:pt>
                <c:pt idx="109">
                  <c:v>41921</c:v>
                </c:pt>
                <c:pt idx="110">
                  <c:v>41914</c:v>
                </c:pt>
                <c:pt idx="111">
                  <c:v>41907</c:v>
                </c:pt>
                <c:pt idx="112">
                  <c:v>41900</c:v>
                </c:pt>
                <c:pt idx="113">
                  <c:v>41893</c:v>
                </c:pt>
                <c:pt idx="114">
                  <c:v>41886</c:v>
                </c:pt>
                <c:pt idx="115">
                  <c:v>41879</c:v>
                </c:pt>
                <c:pt idx="116">
                  <c:v>41872</c:v>
                </c:pt>
                <c:pt idx="117">
                  <c:v>41865</c:v>
                </c:pt>
                <c:pt idx="118">
                  <c:v>41858</c:v>
                </c:pt>
                <c:pt idx="119">
                  <c:v>41851</c:v>
                </c:pt>
                <c:pt idx="120">
                  <c:v>41844</c:v>
                </c:pt>
                <c:pt idx="121">
                  <c:v>41837</c:v>
                </c:pt>
                <c:pt idx="122">
                  <c:v>41830</c:v>
                </c:pt>
                <c:pt idx="123">
                  <c:v>41823</c:v>
                </c:pt>
                <c:pt idx="124">
                  <c:v>41816</c:v>
                </c:pt>
                <c:pt idx="125">
                  <c:v>41809</c:v>
                </c:pt>
                <c:pt idx="126">
                  <c:v>41802</c:v>
                </c:pt>
                <c:pt idx="127">
                  <c:v>41795</c:v>
                </c:pt>
                <c:pt idx="128">
                  <c:v>41788</c:v>
                </c:pt>
                <c:pt idx="129">
                  <c:v>41781</c:v>
                </c:pt>
                <c:pt idx="130">
                  <c:v>41774</c:v>
                </c:pt>
                <c:pt idx="131">
                  <c:v>41767</c:v>
                </c:pt>
                <c:pt idx="132">
                  <c:v>41760</c:v>
                </c:pt>
                <c:pt idx="133">
                  <c:v>41753</c:v>
                </c:pt>
                <c:pt idx="134">
                  <c:v>41746</c:v>
                </c:pt>
                <c:pt idx="135">
                  <c:v>41739</c:v>
                </c:pt>
                <c:pt idx="136">
                  <c:v>41732</c:v>
                </c:pt>
                <c:pt idx="137">
                  <c:v>41725</c:v>
                </c:pt>
                <c:pt idx="138">
                  <c:v>41718</c:v>
                </c:pt>
                <c:pt idx="139">
                  <c:v>41711</c:v>
                </c:pt>
                <c:pt idx="140">
                  <c:v>41704</c:v>
                </c:pt>
                <c:pt idx="141">
                  <c:v>41697</c:v>
                </c:pt>
                <c:pt idx="142">
                  <c:v>41690</c:v>
                </c:pt>
                <c:pt idx="143">
                  <c:v>41683</c:v>
                </c:pt>
                <c:pt idx="144">
                  <c:v>41676</c:v>
                </c:pt>
                <c:pt idx="145">
                  <c:v>41669</c:v>
                </c:pt>
                <c:pt idx="146">
                  <c:v>41662</c:v>
                </c:pt>
                <c:pt idx="147">
                  <c:v>41655</c:v>
                </c:pt>
                <c:pt idx="148">
                  <c:v>41648</c:v>
                </c:pt>
                <c:pt idx="149">
                  <c:v>41641</c:v>
                </c:pt>
                <c:pt idx="150">
                  <c:v>41634</c:v>
                </c:pt>
                <c:pt idx="151">
                  <c:v>41627</c:v>
                </c:pt>
                <c:pt idx="152">
                  <c:v>41620</c:v>
                </c:pt>
                <c:pt idx="153">
                  <c:v>41613</c:v>
                </c:pt>
                <c:pt idx="154">
                  <c:v>41605</c:v>
                </c:pt>
                <c:pt idx="155">
                  <c:v>41599</c:v>
                </c:pt>
                <c:pt idx="156">
                  <c:v>41592</c:v>
                </c:pt>
                <c:pt idx="157">
                  <c:v>41585</c:v>
                </c:pt>
                <c:pt idx="158">
                  <c:v>41578</c:v>
                </c:pt>
                <c:pt idx="159">
                  <c:v>41571</c:v>
                </c:pt>
                <c:pt idx="160">
                  <c:v>41564</c:v>
                </c:pt>
                <c:pt idx="161">
                  <c:v>41557</c:v>
                </c:pt>
                <c:pt idx="162">
                  <c:v>41550</c:v>
                </c:pt>
                <c:pt idx="163">
                  <c:v>41543</c:v>
                </c:pt>
                <c:pt idx="164">
                  <c:v>41536</c:v>
                </c:pt>
                <c:pt idx="165">
                  <c:v>41529</c:v>
                </c:pt>
                <c:pt idx="166">
                  <c:v>41522</c:v>
                </c:pt>
                <c:pt idx="167">
                  <c:v>41515</c:v>
                </c:pt>
                <c:pt idx="168">
                  <c:v>41508</c:v>
                </c:pt>
                <c:pt idx="169">
                  <c:v>41501</c:v>
                </c:pt>
                <c:pt idx="170">
                  <c:v>41494</c:v>
                </c:pt>
                <c:pt idx="171">
                  <c:v>41487</c:v>
                </c:pt>
                <c:pt idx="172">
                  <c:v>41480</c:v>
                </c:pt>
                <c:pt idx="173">
                  <c:v>41473</c:v>
                </c:pt>
                <c:pt idx="174">
                  <c:v>41466</c:v>
                </c:pt>
                <c:pt idx="175">
                  <c:v>41458</c:v>
                </c:pt>
                <c:pt idx="176">
                  <c:v>41452</c:v>
                </c:pt>
                <c:pt idx="177">
                  <c:v>41445</c:v>
                </c:pt>
                <c:pt idx="178">
                  <c:v>41438</c:v>
                </c:pt>
                <c:pt idx="179">
                  <c:v>41431</c:v>
                </c:pt>
                <c:pt idx="180">
                  <c:v>41424</c:v>
                </c:pt>
                <c:pt idx="181">
                  <c:v>41417</c:v>
                </c:pt>
                <c:pt idx="182">
                  <c:v>41410</c:v>
                </c:pt>
                <c:pt idx="183">
                  <c:v>41403</c:v>
                </c:pt>
                <c:pt idx="184">
                  <c:v>41396</c:v>
                </c:pt>
                <c:pt idx="185">
                  <c:v>41389</c:v>
                </c:pt>
                <c:pt idx="186">
                  <c:v>41382</c:v>
                </c:pt>
                <c:pt idx="187">
                  <c:v>41375</c:v>
                </c:pt>
                <c:pt idx="188">
                  <c:v>41368</c:v>
                </c:pt>
                <c:pt idx="189">
                  <c:v>41361</c:v>
                </c:pt>
                <c:pt idx="190">
                  <c:v>41354</c:v>
                </c:pt>
                <c:pt idx="191">
                  <c:v>41347</c:v>
                </c:pt>
                <c:pt idx="192">
                  <c:v>41340</c:v>
                </c:pt>
                <c:pt idx="193">
                  <c:v>41333</c:v>
                </c:pt>
                <c:pt idx="194">
                  <c:v>41326</c:v>
                </c:pt>
                <c:pt idx="195">
                  <c:v>41319</c:v>
                </c:pt>
                <c:pt idx="196">
                  <c:v>41312</c:v>
                </c:pt>
                <c:pt idx="197">
                  <c:v>41305</c:v>
                </c:pt>
                <c:pt idx="198">
                  <c:v>41298</c:v>
                </c:pt>
                <c:pt idx="199">
                  <c:v>41291</c:v>
                </c:pt>
                <c:pt idx="200">
                  <c:v>41284</c:v>
                </c:pt>
                <c:pt idx="201">
                  <c:v>41277</c:v>
                </c:pt>
                <c:pt idx="202">
                  <c:v>41270</c:v>
                </c:pt>
                <c:pt idx="203">
                  <c:v>41263</c:v>
                </c:pt>
                <c:pt idx="204">
                  <c:v>41256</c:v>
                </c:pt>
                <c:pt idx="205">
                  <c:v>41249</c:v>
                </c:pt>
                <c:pt idx="206">
                  <c:v>41242</c:v>
                </c:pt>
                <c:pt idx="207">
                  <c:v>41234</c:v>
                </c:pt>
                <c:pt idx="208">
                  <c:v>41228</c:v>
                </c:pt>
                <c:pt idx="209">
                  <c:v>41221</c:v>
                </c:pt>
                <c:pt idx="210">
                  <c:v>41214</c:v>
                </c:pt>
                <c:pt idx="211">
                  <c:v>41207</c:v>
                </c:pt>
                <c:pt idx="212">
                  <c:v>41200</c:v>
                </c:pt>
                <c:pt idx="213">
                  <c:v>41193</c:v>
                </c:pt>
                <c:pt idx="214">
                  <c:v>41186</c:v>
                </c:pt>
                <c:pt idx="215">
                  <c:v>41179</c:v>
                </c:pt>
                <c:pt idx="216">
                  <c:v>41172</c:v>
                </c:pt>
                <c:pt idx="217">
                  <c:v>41165</c:v>
                </c:pt>
                <c:pt idx="218">
                  <c:v>41158</c:v>
                </c:pt>
                <c:pt idx="219">
                  <c:v>41151</c:v>
                </c:pt>
                <c:pt idx="220">
                  <c:v>41144</c:v>
                </c:pt>
                <c:pt idx="221">
                  <c:v>41137</c:v>
                </c:pt>
                <c:pt idx="222">
                  <c:v>41130</c:v>
                </c:pt>
                <c:pt idx="223">
                  <c:v>41123</c:v>
                </c:pt>
                <c:pt idx="224">
                  <c:v>41116</c:v>
                </c:pt>
                <c:pt idx="225">
                  <c:v>41109</c:v>
                </c:pt>
                <c:pt idx="226">
                  <c:v>41102</c:v>
                </c:pt>
                <c:pt idx="227">
                  <c:v>41095</c:v>
                </c:pt>
                <c:pt idx="228">
                  <c:v>41088</c:v>
                </c:pt>
                <c:pt idx="229">
                  <c:v>41081</c:v>
                </c:pt>
                <c:pt idx="230">
                  <c:v>41074</c:v>
                </c:pt>
                <c:pt idx="231">
                  <c:v>41067</c:v>
                </c:pt>
                <c:pt idx="232">
                  <c:v>41060</c:v>
                </c:pt>
                <c:pt idx="233">
                  <c:v>41053</c:v>
                </c:pt>
                <c:pt idx="234">
                  <c:v>41046</c:v>
                </c:pt>
                <c:pt idx="235">
                  <c:v>41039</c:v>
                </c:pt>
                <c:pt idx="236">
                  <c:v>41032</c:v>
                </c:pt>
                <c:pt idx="237">
                  <c:v>41025</c:v>
                </c:pt>
                <c:pt idx="238">
                  <c:v>41018</c:v>
                </c:pt>
                <c:pt idx="239">
                  <c:v>41011</c:v>
                </c:pt>
                <c:pt idx="240">
                  <c:v>41004</c:v>
                </c:pt>
                <c:pt idx="241">
                  <c:v>40997</c:v>
                </c:pt>
                <c:pt idx="242">
                  <c:v>40990</c:v>
                </c:pt>
                <c:pt idx="243">
                  <c:v>40983</c:v>
                </c:pt>
                <c:pt idx="244">
                  <c:v>40976</c:v>
                </c:pt>
                <c:pt idx="245">
                  <c:v>40969</c:v>
                </c:pt>
                <c:pt idx="246">
                  <c:v>40962</c:v>
                </c:pt>
                <c:pt idx="247">
                  <c:v>40955</c:v>
                </c:pt>
                <c:pt idx="248">
                  <c:v>40948</c:v>
                </c:pt>
                <c:pt idx="249">
                  <c:v>40941</c:v>
                </c:pt>
                <c:pt idx="250">
                  <c:v>40934</c:v>
                </c:pt>
                <c:pt idx="251">
                  <c:v>40927</c:v>
                </c:pt>
                <c:pt idx="252">
                  <c:v>40920</c:v>
                </c:pt>
                <c:pt idx="253">
                  <c:v>40913</c:v>
                </c:pt>
                <c:pt idx="254">
                  <c:v>40906</c:v>
                </c:pt>
                <c:pt idx="255">
                  <c:v>40899</c:v>
                </c:pt>
                <c:pt idx="256">
                  <c:v>40892</c:v>
                </c:pt>
                <c:pt idx="257">
                  <c:v>40885</c:v>
                </c:pt>
                <c:pt idx="258">
                  <c:v>40878</c:v>
                </c:pt>
                <c:pt idx="259">
                  <c:v>40870</c:v>
                </c:pt>
                <c:pt idx="260">
                  <c:v>40864</c:v>
                </c:pt>
                <c:pt idx="261">
                  <c:v>40857</c:v>
                </c:pt>
                <c:pt idx="262">
                  <c:v>40850</c:v>
                </c:pt>
                <c:pt idx="263">
                  <c:v>40843</c:v>
                </c:pt>
                <c:pt idx="264">
                  <c:v>40836</c:v>
                </c:pt>
                <c:pt idx="265">
                  <c:v>40829</c:v>
                </c:pt>
                <c:pt idx="266">
                  <c:v>40822</c:v>
                </c:pt>
                <c:pt idx="267">
                  <c:v>40815</c:v>
                </c:pt>
                <c:pt idx="268">
                  <c:v>40808</c:v>
                </c:pt>
                <c:pt idx="269">
                  <c:v>40801</c:v>
                </c:pt>
                <c:pt idx="270">
                  <c:v>40794</c:v>
                </c:pt>
                <c:pt idx="271">
                  <c:v>40787</c:v>
                </c:pt>
                <c:pt idx="272">
                  <c:v>40780</c:v>
                </c:pt>
                <c:pt idx="273">
                  <c:v>40773</c:v>
                </c:pt>
                <c:pt idx="274">
                  <c:v>40766</c:v>
                </c:pt>
                <c:pt idx="275">
                  <c:v>40759</c:v>
                </c:pt>
                <c:pt idx="276">
                  <c:v>40752</c:v>
                </c:pt>
                <c:pt idx="277">
                  <c:v>40745</c:v>
                </c:pt>
                <c:pt idx="278">
                  <c:v>40738</c:v>
                </c:pt>
                <c:pt idx="279">
                  <c:v>40731</c:v>
                </c:pt>
                <c:pt idx="280">
                  <c:v>40724</c:v>
                </c:pt>
                <c:pt idx="281">
                  <c:v>40717</c:v>
                </c:pt>
                <c:pt idx="282">
                  <c:v>40710</c:v>
                </c:pt>
                <c:pt idx="283">
                  <c:v>40703</c:v>
                </c:pt>
                <c:pt idx="284">
                  <c:v>40696</c:v>
                </c:pt>
                <c:pt idx="285">
                  <c:v>40689</c:v>
                </c:pt>
                <c:pt idx="286">
                  <c:v>40682</c:v>
                </c:pt>
                <c:pt idx="287">
                  <c:v>40675</c:v>
                </c:pt>
                <c:pt idx="288">
                  <c:v>40668</c:v>
                </c:pt>
                <c:pt idx="289">
                  <c:v>40661</c:v>
                </c:pt>
                <c:pt idx="290">
                  <c:v>40654</c:v>
                </c:pt>
                <c:pt idx="291">
                  <c:v>40647</c:v>
                </c:pt>
                <c:pt idx="292">
                  <c:v>40640</c:v>
                </c:pt>
                <c:pt idx="293">
                  <c:v>40633</c:v>
                </c:pt>
                <c:pt idx="294">
                  <c:v>40626</c:v>
                </c:pt>
                <c:pt idx="295">
                  <c:v>40619</c:v>
                </c:pt>
                <c:pt idx="296">
                  <c:v>40612</c:v>
                </c:pt>
                <c:pt idx="297">
                  <c:v>40605</c:v>
                </c:pt>
                <c:pt idx="298">
                  <c:v>40598</c:v>
                </c:pt>
                <c:pt idx="299">
                  <c:v>40591</c:v>
                </c:pt>
                <c:pt idx="300">
                  <c:v>40584</c:v>
                </c:pt>
                <c:pt idx="301">
                  <c:v>40577</c:v>
                </c:pt>
                <c:pt idx="302">
                  <c:v>40570</c:v>
                </c:pt>
                <c:pt idx="303">
                  <c:v>40563</c:v>
                </c:pt>
                <c:pt idx="304">
                  <c:v>40556</c:v>
                </c:pt>
                <c:pt idx="305">
                  <c:v>40549</c:v>
                </c:pt>
                <c:pt idx="306">
                  <c:v>40542</c:v>
                </c:pt>
                <c:pt idx="307">
                  <c:v>40535</c:v>
                </c:pt>
                <c:pt idx="308">
                  <c:v>40528</c:v>
                </c:pt>
                <c:pt idx="309">
                  <c:v>40521</c:v>
                </c:pt>
                <c:pt idx="310">
                  <c:v>40514</c:v>
                </c:pt>
                <c:pt idx="311">
                  <c:v>40506</c:v>
                </c:pt>
                <c:pt idx="312">
                  <c:v>40500</c:v>
                </c:pt>
                <c:pt idx="313">
                  <c:v>40493</c:v>
                </c:pt>
                <c:pt idx="314">
                  <c:v>40486</c:v>
                </c:pt>
                <c:pt idx="315">
                  <c:v>40479</c:v>
                </c:pt>
                <c:pt idx="316">
                  <c:v>40472</c:v>
                </c:pt>
                <c:pt idx="317">
                  <c:v>40465</c:v>
                </c:pt>
                <c:pt idx="318">
                  <c:v>40458</c:v>
                </c:pt>
                <c:pt idx="319">
                  <c:v>40451</c:v>
                </c:pt>
                <c:pt idx="320">
                  <c:v>40444</c:v>
                </c:pt>
                <c:pt idx="321">
                  <c:v>40437</c:v>
                </c:pt>
                <c:pt idx="322">
                  <c:v>40430</c:v>
                </c:pt>
                <c:pt idx="323">
                  <c:v>40423</c:v>
                </c:pt>
                <c:pt idx="324">
                  <c:v>40416</c:v>
                </c:pt>
                <c:pt idx="325">
                  <c:v>40409</c:v>
                </c:pt>
                <c:pt idx="326">
                  <c:v>40402</c:v>
                </c:pt>
                <c:pt idx="327">
                  <c:v>40395</c:v>
                </c:pt>
                <c:pt idx="328">
                  <c:v>40388</c:v>
                </c:pt>
                <c:pt idx="329">
                  <c:v>40381</c:v>
                </c:pt>
                <c:pt idx="330">
                  <c:v>40374</c:v>
                </c:pt>
                <c:pt idx="331">
                  <c:v>40367</c:v>
                </c:pt>
                <c:pt idx="332">
                  <c:v>40360</c:v>
                </c:pt>
                <c:pt idx="333">
                  <c:v>40353</c:v>
                </c:pt>
                <c:pt idx="334">
                  <c:v>40346</c:v>
                </c:pt>
                <c:pt idx="335">
                  <c:v>40339</c:v>
                </c:pt>
                <c:pt idx="336">
                  <c:v>40332</c:v>
                </c:pt>
                <c:pt idx="337">
                  <c:v>40325</c:v>
                </c:pt>
                <c:pt idx="338">
                  <c:v>40318</c:v>
                </c:pt>
                <c:pt idx="339">
                  <c:v>40311</c:v>
                </c:pt>
                <c:pt idx="340">
                  <c:v>40304</c:v>
                </c:pt>
                <c:pt idx="341">
                  <c:v>40297</c:v>
                </c:pt>
                <c:pt idx="342">
                  <c:v>40290</c:v>
                </c:pt>
                <c:pt idx="343">
                  <c:v>40283</c:v>
                </c:pt>
                <c:pt idx="344">
                  <c:v>40276</c:v>
                </c:pt>
                <c:pt idx="345">
                  <c:v>40269</c:v>
                </c:pt>
                <c:pt idx="346">
                  <c:v>40262</c:v>
                </c:pt>
                <c:pt idx="347">
                  <c:v>40255</c:v>
                </c:pt>
                <c:pt idx="348">
                  <c:v>40248</c:v>
                </c:pt>
                <c:pt idx="349">
                  <c:v>40241</c:v>
                </c:pt>
                <c:pt idx="350">
                  <c:v>40234</c:v>
                </c:pt>
                <c:pt idx="351">
                  <c:v>40227</c:v>
                </c:pt>
                <c:pt idx="352">
                  <c:v>40220</c:v>
                </c:pt>
                <c:pt idx="353">
                  <c:v>40213</c:v>
                </c:pt>
                <c:pt idx="354">
                  <c:v>40206</c:v>
                </c:pt>
                <c:pt idx="355">
                  <c:v>40199</c:v>
                </c:pt>
                <c:pt idx="356">
                  <c:v>40192</c:v>
                </c:pt>
                <c:pt idx="357">
                  <c:v>40185</c:v>
                </c:pt>
                <c:pt idx="358">
                  <c:v>40178</c:v>
                </c:pt>
                <c:pt idx="359">
                  <c:v>40171</c:v>
                </c:pt>
                <c:pt idx="360">
                  <c:v>40164</c:v>
                </c:pt>
                <c:pt idx="361">
                  <c:v>40157</c:v>
                </c:pt>
                <c:pt idx="362">
                  <c:v>40150</c:v>
                </c:pt>
                <c:pt idx="363">
                  <c:v>40142</c:v>
                </c:pt>
                <c:pt idx="364">
                  <c:v>40136</c:v>
                </c:pt>
                <c:pt idx="365">
                  <c:v>40129</c:v>
                </c:pt>
                <c:pt idx="366">
                  <c:v>40122</c:v>
                </c:pt>
                <c:pt idx="367">
                  <c:v>40115</c:v>
                </c:pt>
                <c:pt idx="368">
                  <c:v>40108</c:v>
                </c:pt>
                <c:pt idx="369">
                  <c:v>40101</c:v>
                </c:pt>
                <c:pt idx="370">
                  <c:v>40094</c:v>
                </c:pt>
                <c:pt idx="371">
                  <c:v>40087</c:v>
                </c:pt>
                <c:pt idx="372">
                  <c:v>40080</c:v>
                </c:pt>
                <c:pt idx="373">
                  <c:v>40073</c:v>
                </c:pt>
                <c:pt idx="374">
                  <c:v>40066</c:v>
                </c:pt>
                <c:pt idx="375">
                  <c:v>40059</c:v>
                </c:pt>
                <c:pt idx="376">
                  <c:v>40052</c:v>
                </c:pt>
                <c:pt idx="377">
                  <c:v>40045</c:v>
                </c:pt>
                <c:pt idx="378">
                  <c:v>40038</c:v>
                </c:pt>
                <c:pt idx="379">
                  <c:v>40031</c:v>
                </c:pt>
                <c:pt idx="380">
                  <c:v>40024</c:v>
                </c:pt>
                <c:pt idx="381">
                  <c:v>40017</c:v>
                </c:pt>
                <c:pt idx="382">
                  <c:v>40010</c:v>
                </c:pt>
                <c:pt idx="383">
                  <c:v>40003</c:v>
                </c:pt>
                <c:pt idx="384">
                  <c:v>39996</c:v>
                </c:pt>
                <c:pt idx="385">
                  <c:v>39989</c:v>
                </c:pt>
                <c:pt idx="386">
                  <c:v>39982</c:v>
                </c:pt>
                <c:pt idx="387">
                  <c:v>39975</c:v>
                </c:pt>
                <c:pt idx="388">
                  <c:v>39968</c:v>
                </c:pt>
                <c:pt idx="389">
                  <c:v>39961</c:v>
                </c:pt>
                <c:pt idx="390">
                  <c:v>39954</c:v>
                </c:pt>
                <c:pt idx="391">
                  <c:v>39947</c:v>
                </c:pt>
                <c:pt idx="392">
                  <c:v>39940</c:v>
                </c:pt>
                <c:pt idx="393">
                  <c:v>39933</c:v>
                </c:pt>
                <c:pt idx="394">
                  <c:v>39926</c:v>
                </c:pt>
                <c:pt idx="395">
                  <c:v>39919</c:v>
                </c:pt>
                <c:pt idx="396">
                  <c:v>39912</c:v>
                </c:pt>
                <c:pt idx="397">
                  <c:v>39905</c:v>
                </c:pt>
                <c:pt idx="398">
                  <c:v>39898</c:v>
                </c:pt>
                <c:pt idx="399">
                  <c:v>39891</c:v>
                </c:pt>
                <c:pt idx="400">
                  <c:v>39884</c:v>
                </c:pt>
                <c:pt idx="401">
                  <c:v>39877</c:v>
                </c:pt>
                <c:pt idx="402">
                  <c:v>39870</c:v>
                </c:pt>
                <c:pt idx="403">
                  <c:v>39863</c:v>
                </c:pt>
                <c:pt idx="404">
                  <c:v>39856</c:v>
                </c:pt>
                <c:pt idx="405">
                  <c:v>39849</c:v>
                </c:pt>
                <c:pt idx="406">
                  <c:v>39842</c:v>
                </c:pt>
                <c:pt idx="407">
                  <c:v>39835</c:v>
                </c:pt>
                <c:pt idx="408">
                  <c:v>39828</c:v>
                </c:pt>
                <c:pt idx="409">
                  <c:v>39821</c:v>
                </c:pt>
                <c:pt idx="410">
                  <c:v>39813</c:v>
                </c:pt>
                <c:pt idx="411">
                  <c:v>39806</c:v>
                </c:pt>
                <c:pt idx="412">
                  <c:v>39800</c:v>
                </c:pt>
                <c:pt idx="413">
                  <c:v>39793</c:v>
                </c:pt>
                <c:pt idx="414">
                  <c:v>39786</c:v>
                </c:pt>
                <c:pt idx="415">
                  <c:v>39778</c:v>
                </c:pt>
                <c:pt idx="416">
                  <c:v>39772</c:v>
                </c:pt>
                <c:pt idx="417">
                  <c:v>39765</c:v>
                </c:pt>
                <c:pt idx="418">
                  <c:v>39758</c:v>
                </c:pt>
                <c:pt idx="419">
                  <c:v>39751</c:v>
                </c:pt>
                <c:pt idx="420">
                  <c:v>39744</c:v>
                </c:pt>
                <c:pt idx="421">
                  <c:v>39737</c:v>
                </c:pt>
                <c:pt idx="422">
                  <c:v>39730</c:v>
                </c:pt>
                <c:pt idx="423">
                  <c:v>39723</c:v>
                </c:pt>
                <c:pt idx="424">
                  <c:v>39716</c:v>
                </c:pt>
                <c:pt idx="425">
                  <c:v>39709</c:v>
                </c:pt>
                <c:pt idx="426">
                  <c:v>39702</c:v>
                </c:pt>
                <c:pt idx="427">
                  <c:v>39695</c:v>
                </c:pt>
                <c:pt idx="428">
                  <c:v>39688</c:v>
                </c:pt>
                <c:pt idx="429">
                  <c:v>39681</c:v>
                </c:pt>
                <c:pt idx="430">
                  <c:v>39674</c:v>
                </c:pt>
                <c:pt idx="431">
                  <c:v>39667</c:v>
                </c:pt>
                <c:pt idx="432">
                  <c:v>39660</c:v>
                </c:pt>
                <c:pt idx="433">
                  <c:v>39653</c:v>
                </c:pt>
                <c:pt idx="434">
                  <c:v>39646</c:v>
                </c:pt>
                <c:pt idx="435">
                  <c:v>39639</c:v>
                </c:pt>
                <c:pt idx="436">
                  <c:v>39632</c:v>
                </c:pt>
                <c:pt idx="437">
                  <c:v>39625</c:v>
                </c:pt>
                <c:pt idx="438">
                  <c:v>39618</c:v>
                </c:pt>
                <c:pt idx="439">
                  <c:v>39611</c:v>
                </c:pt>
                <c:pt idx="440">
                  <c:v>39604</c:v>
                </c:pt>
                <c:pt idx="441">
                  <c:v>39597</c:v>
                </c:pt>
                <c:pt idx="442">
                  <c:v>39590</c:v>
                </c:pt>
                <c:pt idx="443">
                  <c:v>39583</c:v>
                </c:pt>
                <c:pt idx="444">
                  <c:v>39576</c:v>
                </c:pt>
                <c:pt idx="445">
                  <c:v>39569</c:v>
                </c:pt>
                <c:pt idx="446">
                  <c:v>39562</c:v>
                </c:pt>
                <c:pt idx="447">
                  <c:v>39555</c:v>
                </c:pt>
                <c:pt idx="448">
                  <c:v>39548</c:v>
                </c:pt>
                <c:pt idx="449">
                  <c:v>39541</c:v>
                </c:pt>
                <c:pt idx="450">
                  <c:v>39534</c:v>
                </c:pt>
                <c:pt idx="451">
                  <c:v>39527</c:v>
                </c:pt>
                <c:pt idx="452">
                  <c:v>39520</c:v>
                </c:pt>
                <c:pt idx="453">
                  <c:v>39513</c:v>
                </c:pt>
                <c:pt idx="454">
                  <c:v>39506</c:v>
                </c:pt>
                <c:pt idx="455">
                  <c:v>39499</c:v>
                </c:pt>
                <c:pt idx="456">
                  <c:v>39492</c:v>
                </c:pt>
                <c:pt idx="457">
                  <c:v>39485</c:v>
                </c:pt>
                <c:pt idx="458">
                  <c:v>39478</c:v>
                </c:pt>
                <c:pt idx="459">
                  <c:v>39471</c:v>
                </c:pt>
                <c:pt idx="460">
                  <c:v>39464</c:v>
                </c:pt>
                <c:pt idx="461">
                  <c:v>39457</c:v>
                </c:pt>
                <c:pt idx="462">
                  <c:v>39450</c:v>
                </c:pt>
              </c:numCache>
            </c:numRef>
          </c:cat>
          <c:val>
            <c:numRef>
              <c:f>Query!$E$3:$E$465</c:f>
              <c:numCache>
                <c:formatCode>0.00%</c:formatCode>
                <c:ptCount val="463"/>
                <c:pt idx="0">
                  <c:v>0</c:v>
                </c:pt>
                <c:pt idx="1">
                  <c:v>0</c:v>
                </c:pt>
                <c:pt idx="2">
                  <c:v>4.2075057000000001E-3</c:v>
                </c:pt>
                <c:pt idx="3">
                  <c:v>7.8617854999999993E-3</c:v>
                </c:pt>
                <c:pt idx="4">
                  <c:v>6.2051012000000003E-3</c:v>
                </c:pt>
                <c:pt idx="5">
                  <c:v>0.41034721800000001</c:v>
                </c:pt>
                <c:pt idx="6">
                  <c:v>0.39018605709999998</c:v>
                </c:pt>
                <c:pt idx="7">
                  <c:v>0.30217912299999999</c:v>
                </c:pt>
                <c:pt idx="8">
                  <c:v>0.32322800000000002</c:v>
                </c:pt>
                <c:pt idx="9">
                  <c:v>0.34740422609999999</c:v>
                </c:pt>
                <c:pt idx="10">
                  <c:v>0.36009890300000003</c:v>
                </c:pt>
                <c:pt idx="11">
                  <c:v>0.35762316199999999</c:v>
                </c:pt>
                <c:pt idx="12">
                  <c:v>0.38668737850000001</c:v>
                </c:pt>
                <c:pt idx="13">
                  <c:v>0.36346232249999999</c:v>
                </c:pt>
                <c:pt idx="14">
                  <c:v>0.39867826690000002</c:v>
                </c:pt>
                <c:pt idx="15">
                  <c:v>0.35342993379999998</c:v>
                </c:pt>
                <c:pt idx="16">
                  <c:v>0.3641181121</c:v>
                </c:pt>
                <c:pt idx="17">
                  <c:v>0.73452463619999997</c:v>
                </c:pt>
                <c:pt idx="18">
                  <c:v>0.74659079689999996</c:v>
                </c:pt>
                <c:pt idx="19">
                  <c:v>0.36450145699999997</c:v>
                </c:pt>
                <c:pt idx="20">
                  <c:v>0.29603398609999998</c:v>
                </c:pt>
                <c:pt idx="21">
                  <c:v>0.3231848464</c:v>
                </c:pt>
                <c:pt idx="22">
                  <c:v>0.29154228319999997</c:v>
                </c:pt>
                <c:pt idx="23">
                  <c:v>0.24658262720000002</c:v>
                </c:pt>
                <c:pt idx="24">
                  <c:v>0.25614855920000001</c:v>
                </c:pt>
                <c:pt idx="25">
                  <c:v>0.28823591269999999</c:v>
                </c:pt>
                <c:pt idx="26">
                  <c:v>0.29953785770000002</c:v>
                </c:pt>
                <c:pt idx="27">
                  <c:v>0.26121759630000002</c:v>
                </c:pt>
                <c:pt idx="28">
                  <c:v>6.7427045199999994E-2</c:v>
                </c:pt>
                <c:pt idx="29">
                  <c:v>0.27404515070000002</c:v>
                </c:pt>
                <c:pt idx="30">
                  <c:v>0.28374614799999998</c:v>
                </c:pt>
                <c:pt idx="31">
                  <c:v>0.27836232100000002</c:v>
                </c:pt>
                <c:pt idx="32">
                  <c:v>4.9843355999999998E-2</c:v>
                </c:pt>
                <c:pt idx="33">
                  <c:v>0.2031771</c:v>
                </c:pt>
                <c:pt idx="34">
                  <c:v>4.2037071199999998E-2</c:v>
                </c:pt>
                <c:pt idx="35">
                  <c:v>0.2267590142</c:v>
                </c:pt>
                <c:pt idx="36">
                  <c:v>0.23816616020000003</c:v>
                </c:pt>
                <c:pt idx="37">
                  <c:v>0.23417131099999999</c:v>
                </c:pt>
                <c:pt idx="38">
                  <c:v>0.23187807120000001</c:v>
                </c:pt>
                <c:pt idx="39">
                  <c:v>0.23383256720000001</c:v>
                </c:pt>
                <c:pt idx="40">
                  <c:v>0.1952732136</c:v>
                </c:pt>
                <c:pt idx="41">
                  <c:v>1.7591301199999999E-2</c:v>
                </c:pt>
                <c:pt idx="42">
                  <c:v>1.7296221699999999E-2</c:v>
                </c:pt>
                <c:pt idx="43">
                  <c:v>6.2010661000000003E-3</c:v>
                </c:pt>
                <c:pt idx="44">
                  <c:v>3.0047211000000002E-3</c:v>
                </c:pt>
                <c:pt idx="45">
                  <c:v>4.7134729999999999E-4</c:v>
                </c:pt>
                <c:pt idx="46">
                  <c:v>3.7034997000000001E-3</c:v>
                </c:pt>
                <c:pt idx="47">
                  <c:v>2.1328380000000002E-3</c:v>
                </c:pt>
                <c:pt idx="48">
                  <c:v>3.7282702000000002E-3</c:v>
                </c:pt>
                <c:pt idx="49">
                  <c:v>3.8999424000000001E-3</c:v>
                </c:pt>
                <c:pt idx="50">
                  <c:v>2.5040428E-3</c:v>
                </c:pt>
                <c:pt idx="51">
                  <c:v>2.5053662999999999E-3</c:v>
                </c:pt>
                <c:pt idx="52">
                  <c:v>1.9502083E-3</c:v>
                </c:pt>
                <c:pt idx="53">
                  <c:v>6.5558735999999996E-3</c:v>
                </c:pt>
                <c:pt idx="54">
                  <c:v>1.6887394600000001E-2</c:v>
                </c:pt>
                <c:pt idx="55">
                  <c:v>1.2722163599999999E-2</c:v>
                </c:pt>
                <c:pt idx="56">
                  <c:v>8.9844881000000001E-3</c:v>
                </c:pt>
                <c:pt idx="57">
                  <c:v>1.6887394600000001E-2</c:v>
                </c:pt>
                <c:pt idx="58">
                  <c:v>8.5607423000000002E-3</c:v>
                </c:pt>
                <c:pt idx="59">
                  <c:v>2.6883557000000002E-3</c:v>
                </c:pt>
                <c:pt idx="60">
                  <c:v>2.1280814000000001E-3</c:v>
                </c:pt>
                <c:pt idx="61">
                  <c:v>2.6022055E-3</c:v>
                </c:pt>
                <c:pt idx="62">
                  <c:v>2.5424555000000001E-3</c:v>
                </c:pt>
                <c:pt idx="63">
                  <c:v>3.8897602E-3</c:v>
                </c:pt>
                <c:pt idx="64">
                  <c:v>1.2478017E-3</c:v>
                </c:pt>
                <c:pt idx="65">
                  <c:v>1.2033200999999999E-3</c:v>
                </c:pt>
                <c:pt idx="66">
                  <c:v>1.7238742999999999E-3</c:v>
                </c:pt>
                <c:pt idx="67">
                  <c:v>6.1178580000000005E-4</c:v>
                </c:pt>
                <c:pt idx="68">
                  <c:v>2.7958969999999998E-4</c:v>
                </c:pt>
                <c:pt idx="69">
                  <c:v>2.279929E-4</c:v>
                </c:pt>
                <c:pt idx="70">
                  <c:v>4.2772040000000001E-4</c:v>
                </c:pt>
                <c:pt idx="71">
                  <c:v>2.3109220000000003E-4</c:v>
                </c:pt>
                <c:pt idx="72">
                  <c:v>2.4672490000000001E-4</c:v>
                </c:pt>
                <c:pt idx="73">
                  <c:v>3.3476369999999999E-4</c:v>
                </c:pt>
                <c:pt idx="74">
                  <c:v>2.4672490000000001E-4</c:v>
                </c:pt>
                <c:pt idx="75">
                  <c:v>6.7233240000000001E-4</c:v>
                </c:pt>
                <c:pt idx="76">
                  <c:v>9.922666000000001E-4</c:v>
                </c:pt>
                <c:pt idx="77">
                  <c:v>9.9403300000000007E-4</c:v>
                </c:pt>
                <c:pt idx="78">
                  <c:v>1.3725467999999999E-3</c:v>
                </c:pt>
                <c:pt idx="79">
                  <c:v>3.6102309000000002E-3</c:v>
                </c:pt>
                <c:pt idx="80">
                  <c:v>0.1684494299</c:v>
                </c:pt>
                <c:pt idx="81">
                  <c:v>0.18959361860000001</c:v>
                </c:pt>
                <c:pt idx="82">
                  <c:v>0.16713277909999999</c:v>
                </c:pt>
                <c:pt idx="83">
                  <c:v>0.1873139328</c:v>
                </c:pt>
                <c:pt idx="84">
                  <c:v>0.16610413060000001</c:v>
                </c:pt>
                <c:pt idx="85">
                  <c:v>0.16740534970000001</c:v>
                </c:pt>
                <c:pt idx="86">
                  <c:v>0.1449887732</c:v>
                </c:pt>
                <c:pt idx="87">
                  <c:v>0.1083162191</c:v>
                </c:pt>
                <c:pt idx="88">
                  <c:v>0.14748581329999999</c:v>
                </c:pt>
                <c:pt idx="89">
                  <c:v>0.1283141562</c:v>
                </c:pt>
                <c:pt idx="90">
                  <c:v>0.1446313645</c:v>
                </c:pt>
                <c:pt idx="91">
                  <c:v>0.16619450729999999</c:v>
                </c:pt>
                <c:pt idx="92">
                  <c:v>0.18792449059999999</c:v>
                </c:pt>
                <c:pt idx="93">
                  <c:v>0.1572286852</c:v>
                </c:pt>
                <c:pt idx="94">
                  <c:v>0.15858242340000001</c:v>
                </c:pt>
                <c:pt idx="95">
                  <c:v>0.1584462643</c:v>
                </c:pt>
                <c:pt idx="96">
                  <c:v>0.1273646118</c:v>
                </c:pt>
                <c:pt idx="97">
                  <c:v>8.6651293800000001E-2</c:v>
                </c:pt>
                <c:pt idx="98">
                  <c:v>0.10126768060000001</c:v>
                </c:pt>
                <c:pt idx="99">
                  <c:v>0.10451944790000001</c:v>
                </c:pt>
                <c:pt idx="100">
                  <c:v>8.4487762800000005E-2</c:v>
                </c:pt>
                <c:pt idx="101">
                  <c:v>8.6751430899999996E-2</c:v>
                </c:pt>
                <c:pt idx="102">
                  <c:v>6.7707112400000005E-2</c:v>
                </c:pt>
                <c:pt idx="103">
                  <c:v>6.6589140500000005E-2</c:v>
                </c:pt>
                <c:pt idx="104">
                  <c:v>5.5975736900000003E-2</c:v>
                </c:pt>
                <c:pt idx="105">
                  <c:v>5.4808828800000001E-2</c:v>
                </c:pt>
                <c:pt idx="106">
                  <c:v>6.58072299E-2</c:v>
                </c:pt>
                <c:pt idx="107">
                  <c:v>8.0790795400000004E-2</c:v>
                </c:pt>
                <c:pt idx="108">
                  <c:v>6.6342163999999995E-2</c:v>
                </c:pt>
                <c:pt idx="109">
                  <c:v>3.7750656600000002E-2</c:v>
                </c:pt>
                <c:pt idx="110">
                  <c:v>4.4517187000000001E-3</c:v>
                </c:pt>
                <c:pt idx="111">
                  <c:v>1.0817228000000001E-3</c:v>
                </c:pt>
                <c:pt idx="112">
                  <c:v>1.0672454E-3</c:v>
                </c:pt>
                <c:pt idx="113">
                  <c:v>3.5835296099999997E-2</c:v>
                </c:pt>
                <c:pt idx="114">
                  <c:v>3.6285921499999998E-2</c:v>
                </c:pt>
                <c:pt idx="115">
                  <c:v>3.3991505900000003E-2</c:v>
                </c:pt>
                <c:pt idx="116">
                  <c:v>3.4152590300000001E-2</c:v>
                </c:pt>
                <c:pt idx="117">
                  <c:v>2.55482595E-2</c:v>
                </c:pt>
                <c:pt idx="118">
                  <c:v>1.7283762099999999E-2</c:v>
                </c:pt>
                <c:pt idx="119">
                  <c:v>2.30179571E-2</c:v>
                </c:pt>
                <c:pt idx="120">
                  <c:v>2.2488169999999998E-2</c:v>
                </c:pt>
                <c:pt idx="121">
                  <c:v>2.2488169999999998E-2</c:v>
                </c:pt>
                <c:pt idx="122">
                  <c:v>1.53662698E-2</c:v>
                </c:pt>
                <c:pt idx="123">
                  <c:v>3.0136103599999998E-2</c:v>
                </c:pt>
                <c:pt idx="124">
                  <c:v>1.9671418699999998E-2</c:v>
                </c:pt>
                <c:pt idx="125">
                  <c:v>1.32202901E-2</c:v>
                </c:pt>
                <c:pt idx="126">
                  <c:v>1.2623503499999999E-2</c:v>
                </c:pt>
                <c:pt idx="127">
                  <c:v>1.96890295E-2</c:v>
                </c:pt>
                <c:pt idx="128">
                  <c:v>1.60394271E-2</c:v>
                </c:pt>
                <c:pt idx="129">
                  <c:v>1.5686025700000002E-2</c:v>
                </c:pt>
                <c:pt idx="130">
                  <c:v>1.05214531E-2</c:v>
                </c:pt>
                <c:pt idx="131">
                  <c:v>1.0483459699999999E-2</c:v>
                </c:pt>
                <c:pt idx="132">
                  <c:v>4.4909529000000002E-3</c:v>
                </c:pt>
                <c:pt idx="133">
                  <c:v>2.7504809999999999E-3</c:v>
                </c:pt>
                <c:pt idx="134">
                  <c:v>4.0369202999999999E-3</c:v>
                </c:pt>
                <c:pt idx="135">
                  <c:v>1.9011290000000001E-3</c:v>
                </c:pt>
                <c:pt idx="136">
                  <c:v>8.6125899999999996E-4</c:v>
                </c:pt>
                <c:pt idx="137">
                  <c:v>1.5209316000000001E-3</c:v>
                </c:pt>
                <c:pt idx="138">
                  <c:v>3.1422589000000001E-3</c:v>
                </c:pt>
                <c:pt idx="139">
                  <c:v>1.5497656E-3</c:v>
                </c:pt>
                <c:pt idx="140">
                  <c:v>3.1871104000000001E-3</c:v>
                </c:pt>
                <c:pt idx="141">
                  <c:v>1.2179790999999999E-3</c:v>
                </c:pt>
                <c:pt idx="142">
                  <c:v>1.7492553E-3</c:v>
                </c:pt>
                <c:pt idx="143">
                  <c:v>2.7459873999999998E-3</c:v>
                </c:pt>
                <c:pt idx="144">
                  <c:v>4.1986916999999999E-3</c:v>
                </c:pt>
                <c:pt idx="145">
                  <c:v>2.1653044E-3</c:v>
                </c:pt>
                <c:pt idx="146">
                  <c:v>1.0005254999999999E-3</c:v>
                </c:pt>
                <c:pt idx="147">
                  <c:v>9.4387099999999999E-4</c:v>
                </c:pt>
                <c:pt idx="148">
                  <c:v>4.2450890000000002E-4</c:v>
                </c:pt>
                <c:pt idx="149">
                  <c:v>2.8858790000000002E-4</c:v>
                </c:pt>
                <c:pt idx="150">
                  <c:v>3.251269E-4</c:v>
                </c:pt>
                <c:pt idx="151">
                  <c:v>4.0954339999999998E-4</c:v>
                </c:pt>
                <c:pt idx="152">
                  <c:v>5.8953909999999996E-4</c:v>
                </c:pt>
                <c:pt idx="153">
                  <c:v>5.6739439999999996E-4</c:v>
                </c:pt>
                <c:pt idx="154">
                  <c:v>7.5008080000000003E-4</c:v>
                </c:pt>
                <c:pt idx="155">
                  <c:v>1.2986059999999999E-3</c:v>
                </c:pt>
                <c:pt idx="156">
                  <c:v>4.2373589999999999E-4</c:v>
                </c:pt>
                <c:pt idx="157">
                  <c:v>1.9713356E-3</c:v>
                </c:pt>
                <c:pt idx="158">
                  <c:v>1.2472223E-3</c:v>
                </c:pt>
                <c:pt idx="159">
                  <c:v>7.9651050000000001E-4</c:v>
                </c:pt>
                <c:pt idx="160">
                  <c:v>2.6763429999999999E-4</c:v>
                </c:pt>
                <c:pt idx="161">
                  <c:v>4.333532E-4</c:v>
                </c:pt>
                <c:pt idx="162">
                  <c:v>4.1454790000000001E-4</c:v>
                </c:pt>
                <c:pt idx="163">
                  <c:v>4.4069100000000008E-5</c:v>
                </c:pt>
                <c:pt idx="164">
                  <c:v>7.8880999999999999E-6</c:v>
                </c:pt>
                <c:pt idx="165">
                  <c:v>1.6727999999999999E-6</c:v>
                </c:pt>
                <c:pt idx="166">
                  <c:v>6.0324E-6</c:v>
                </c:pt>
                <c:pt idx="167">
                  <c:v>5.6934000000000004E-6</c:v>
                </c:pt>
                <c:pt idx="168">
                  <c:v>2.9668000000000001E-6</c:v>
                </c:pt>
                <c:pt idx="169">
                  <c:v>9.7079999999999992E-6</c:v>
                </c:pt>
                <c:pt idx="170">
                  <c:v>1.6226999999999999E-5</c:v>
                </c:pt>
                <c:pt idx="171">
                  <c:v>1.6114199999999999E-5</c:v>
                </c:pt>
                <c:pt idx="172">
                  <c:v>1.3372400000000001E-5</c:v>
                </c:pt>
                <c:pt idx="173">
                  <c:v>1.1374700000000001E-5</c:v>
                </c:pt>
                <c:pt idx="174">
                  <c:v>2.6485999999999999E-6</c:v>
                </c:pt>
                <c:pt idx="175">
                  <c:v>2.4788900000000002E-5</c:v>
                </c:pt>
                <c:pt idx="176">
                  <c:v>1.731E-6</c:v>
                </c:pt>
                <c:pt idx="177">
                  <c:v>1.097799E-4</c:v>
                </c:pt>
                <c:pt idx="178">
                  <c:v>1.0584839999999999E-4</c:v>
                </c:pt>
                <c:pt idx="179">
                  <c:v>1.4563609999999999E-4</c:v>
                </c:pt>
                <c:pt idx="180">
                  <c:v>1.8729679999999999E-4</c:v>
                </c:pt>
                <c:pt idx="181">
                  <c:v>8.693657E-4</c:v>
                </c:pt>
                <c:pt idx="182">
                  <c:v>3.7372027E-3</c:v>
                </c:pt>
                <c:pt idx="183">
                  <c:v>9.1322767000000006E-3</c:v>
                </c:pt>
                <c:pt idx="184">
                  <c:v>0.79671017649999998</c:v>
                </c:pt>
                <c:pt idx="185">
                  <c:v>6.9385708000000001E-3</c:v>
                </c:pt>
                <c:pt idx="186">
                  <c:v>1.0720968000000001E-2</c:v>
                </c:pt>
                <c:pt idx="187">
                  <c:v>4.8411004999999998E-3</c:v>
                </c:pt>
                <c:pt idx="188">
                  <c:v>1.8700698000000001E-3</c:v>
                </c:pt>
                <c:pt idx="189">
                  <c:v>8.0177180000000001E-4</c:v>
                </c:pt>
                <c:pt idx="190">
                  <c:v>1.1878606E-3</c:v>
                </c:pt>
                <c:pt idx="191">
                  <c:v>5.728234E-4</c:v>
                </c:pt>
                <c:pt idx="192">
                  <c:v>2.7074109999999998E-3</c:v>
                </c:pt>
                <c:pt idx="193">
                  <c:v>1.8279983000000001E-3</c:v>
                </c:pt>
                <c:pt idx="194">
                  <c:v>1.1744309000000001E-3</c:v>
                </c:pt>
                <c:pt idx="195">
                  <c:v>1.8188139000000002E-3</c:v>
                </c:pt>
                <c:pt idx="196">
                  <c:v>1.8016234000000002E-3</c:v>
                </c:pt>
                <c:pt idx="197">
                  <c:v>1.2356666000000001E-3</c:v>
                </c:pt>
                <c:pt idx="198">
                  <c:v>5.6133948999999997E-3</c:v>
                </c:pt>
                <c:pt idx="199">
                  <c:v>0.86332672129999999</c:v>
                </c:pt>
                <c:pt idx="200">
                  <c:v>5.7415477999999999E-3</c:v>
                </c:pt>
                <c:pt idx="201">
                  <c:v>0.86713239769999995</c:v>
                </c:pt>
                <c:pt idx="202">
                  <c:v>0.89223126149999998</c:v>
                </c:pt>
                <c:pt idx="203">
                  <c:v>0.89028689569999997</c:v>
                </c:pt>
                <c:pt idx="204">
                  <c:v>0.90754307509999999</c:v>
                </c:pt>
                <c:pt idx="205">
                  <c:v>0.89290404879999996</c:v>
                </c:pt>
                <c:pt idx="206">
                  <c:v>0.91339134359999996</c:v>
                </c:pt>
                <c:pt idx="207">
                  <c:v>0.9281076654</c:v>
                </c:pt>
                <c:pt idx="208">
                  <c:v>0.9140931699</c:v>
                </c:pt>
                <c:pt idx="209">
                  <c:v>0.89563676619999999</c:v>
                </c:pt>
                <c:pt idx="210">
                  <c:v>0.89593566410000003</c:v>
                </c:pt>
                <c:pt idx="211">
                  <c:v>0.90785050069999995</c:v>
                </c:pt>
                <c:pt idx="212">
                  <c:v>0.92467963080000004</c:v>
                </c:pt>
                <c:pt idx="213">
                  <c:v>0.91033834270000002</c:v>
                </c:pt>
                <c:pt idx="214">
                  <c:v>0.92807978840000005</c:v>
                </c:pt>
                <c:pt idx="215">
                  <c:v>0.935348391</c:v>
                </c:pt>
                <c:pt idx="216">
                  <c:v>0.90078150499999998</c:v>
                </c:pt>
                <c:pt idx="217">
                  <c:v>0.88552599899999995</c:v>
                </c:pt>
                <c:pt idx="218">
                  <c:v>0.88326700709999995</c:v>
                </c:pt>
                <c:pt idx="219">
                  <c:v>0.89042659729999996</c:v>
                </c:pt>
                <c:pt idx="220">
                  <c:v>0.86383307760000005</c:v>
                </c:pt>
                <c:pt idx="221">
                  <c:v>0.87699596440000005</c:v>
                </c:pt>
                <c:pt idx="222">
                  <c:v>0.89042659729999996</c:v>
                </c:pt>
                <c:pt idx="223">
                  <c:v>0.89163810899999996</c:v>
                </c:pt>
                <c:pt idx="224">
                  <c:v>0.91595412320000003</c:v>
                </c:pt>
                <c:pt idx="225">
                  <c:v>0.90462039660000004</c:v>
                </c:pt>
                <c:pt idx="226">
                  <c:v>0.90261395929999999</c:v>
                </c:pt>
                <c:pt idx="227">
                  <c:v>0.87826553819999997</c:v>
                </c:pt>
                <c:pt idx="228">
                  <c:v>0.87680139130000012</c:v>
                </c:pt>
                <c:pt idx="229">
                  <c:v>0.87680139130000012</c:v>
                </c:pt>
                <c:pt idx="230">
                  <c:v>0.86089525339999995</c:v>
                </c:pt>
                <c:pt idx="231">
                  <c:v>0.87641126130000013</c:v>
                </c:pt>
                <c:pt idx="232">
                  <c:v>0.83983334480000005</c:v>
                </c:pt>
                <c:pt idx="233">
                  <c:v>0.8368782226</c:v>
                </c:pt>
                <c:pt idx="234">
                  <c:v>0.83830150820000005</c:v>
                </c:pt>
                <c:pt idx="235">
                  <c:v>0.81730839639999997</c:v>
                </c:pt>
                <c:pt idx="236">
                  <c:v>0.81120579599999998</c:v>
                </c:pt>
                <c:pt idx="237">
                  <c:v>0.80339735970000004</c:v>
                </c:pt>
                <c:pt idx="238">
                  <c:v>0.7867426193</c:v>
                </c:pt>
                <c:pt idx="239">
                  <c:v>0.80339735970000004</c:v>
                </c:pt>
                <c:pt idx="240">
                  <c:v>1.7660772999999999E-3</c:v>
                </c:pt>
                <c:pt idx="241">
                  <c:v>1.0400513000000001E-3</c:v>
                </c:pt>
                <c:pt idx="242">
                  <c:v>4.8803479999999998E-4</c:v>
                </c:pt>
                <c:pt idx="243">
                  <c:v>0.79234198489999996</c:v>
                </c:pt>
                <c:pt idx="244">
                  <c:v>0.79522232680000005</c:v>
                </c:pt>
                <c:pt idx="245">
                  <c:v>0.79401839910000005</c:v>
                </c:pt>
                <c:pt idx="246">
                  <c:v>0.78675289839999996</c:v>
                </c:pt>
                <c:pt idx="247">
                  <c:v>0.81679852819999998</c:v>
                </c:pt>
                <c:pt idx="248">
                  <c:v>0.81679852819999998</c:v>
                </c:pt>
                <c:pt idx="249">
                  <c:v>0.81672062599999995</c:v>
                </c:pt>
                <c:pt idx="250">
                  <c:v>0.79480169020000002</c:v>
                </c:pt>
                <c:pt idx="251">
                  <c:v>0.81587214029999999</c:v>
                </c:pt>
                <c:pt idx="252">
                  <c:v>0.82555159239999998</c:v>
                </c:pt>
                <c:pt idx="253">
                  <c:v>0.81306843449999999</c:v>
                </c:pt>
                <c:pt idx="254">
                  <c:v>0.82759405100000005</c:v>
                </c:pt>
                <c:pt idx="255">
                  <c:v>0.830488738</c:v>
                </c:pt>
                <c:pt idx="256">
                  <c:v>0.81138436970000005</c:v>
                </c:pt>
                <c:pt idx="257">
                  <c:v>0.80660984030000005</c:v>
                </c:pt>
                <c:pt idx="258">
                  <c:v>0.80600962949999999</c:v>
                </c:pt>
                <c:pt idx="259">
                  <c:v>0.82428877489999997</c:v>
                </c:pt>
                <c:pt idx="260">
                  <c:v>0.82076592839999996</c:v>
                </c:pt>
                <c:pt idx="261">
                  <c:v>0.82124413969999999</c:v>
                </c:pt>
                <c:pt idx="262">
                  <c:v>0.82057806970000002</c:v>
                </c:pt>
                <c:pt idx="263">
                  <c:v>0.79036593970000002</c:v>
                </c:pt>
                <c:pt idx="264">
                  <c:v>0.79023149569999995</c:v>
                </c:pt>
                <c:pt idx="265">
                  <c:v>0.77494347910000005</c:v>
                </c:pt>
                <c:pt idx="266">
                  <c:v>0.83641698470000003</c:v>
                </c:pt>
                <c:pt idx="267">
                  <c:v>0.83290245399999996</c:v>
                </c:pt>
                <c:pt idx="268">
                  <c:v>0.79840746299999998</c:v>
                </c:pt>
                <c:pt idx="269">
                  <c:v>0.79840746299999998</c:v>
                </c:pt>
                <c:pt idx="270">
                  <c:v>0.79336326020000003</c:v>
                </c:pt>
                <c:pt idx="271">
                  <c:v>0.74648771319999996</c:v>
                </c:pt>
                <c:pt idx="272">
                  <c:v>0.74829940930000005</c:v>
                </c:pt>
                <c:pt idx="273">
                  <c:v>0.77916685399999996</c:v>
                </c:pt>
                <c:pt idx="274">
                  <c:v>0.71224306630000001</c:v>
                </c:pt>
                <c:pt idx="275">
                  <c:v>0.6369486822</c:v>
                </c:pt>
                <c:pt idx="276">
                  <c:v>5.0448213999999998E-3</c:v>
                </c:pt>
                <c:pt idx="277">
                  <c:v>5.2483534999999996E-3</c:v>
                </c:pt>
                <c:pt idx="278">
                  <c:v>7.4002171000000002E-3</c:v>
                </c:pt>
                <c:pt idx="279">
                  <c:v>3.8639739E-3</c:v>
                </c:pt>
                <c:pt idx="280">
                  <c:v>5.4026478000000003E-3</c:v>
                </c:pt>
                <c:pt idx="281">
                  <c:v>4.2508548000000004E-3</c:v>
                </c:pt>
                <c:pt idx="282">
                  <c:v>5.4689739000000001E-3</c:v>
                </c:pt>
                <c:pt idx="283">
                  <c:v>5.4808193000000002E-3</c:v>
                </c:pt>
                <c:pt idx="284">
                  <c:v>4.2099418999999999E-3</c:v>
                </c:pt>
                <c:pt idx="285">
                  <c:v>1.7436814999999999E-3</c:v>
                </c:pt>
                <c:pt idx="286">
                  <c:v>1.7274497000000001E-3</c:v>
                </c:pt>
                <c:pt idx="287">
                  <c:v>1.7191680999999999E-3</c:v>
                </c:pt>
                <c:pt idx="288">
                  <c:v>8.1981839999999996E-4</c:v>
                </c:pt>
                <c:pt idx="289">
                  <c:v>2.459594E-4</c:v>
                </c:pt>
                <c:pt idx="290">
                  <c:v>2.441136E-4</c:v>
                </c:pt>
                <c:pt idx="291">
                  <c:v>7.0255399999999998E-5</c:v>
                </c:pt>
                <c:pt idx="292">
                  <c:v>6.8381599999999996E-5</c:v>
                </c:pt>
                <c:pt idx="293">
                  <c:v>6.8061700000000006E-5</c:v>
                </c:pt>
                <c:pt idx="294">
                  <c:v>1.752143E-4</c:v>
                </c:pt>
                <c:pt idx="295">
                  <c:v>4.507925E-4</c:v>
                </c:pt>
                <c:pt idx="296">
                  <c:v>6.7790400000000001E-5</c:v>
                </c:pt>
                <c:pt idx="297">
                  <c:v>6.8061700000000006E-5</c:v>
                </c:pt>
                <c:pt idx="298">
                  <c:v>3.87933E-5</c:v>
                </c:pt>
                <c:pt idx="299">
                  <c:v>2.3976100000000002E-5</c:v>
                </c:pt>
                <c:pt idx="300">
                  <c:v>1.7607900000000001E-5</c:v>
                </c:pt>
                <c:pt idx="301">
                  <c:v>1.0595339999999999E-4</c:v>
                </c:pt>
                <c:pt idx="302">
                  <c:v>1.2575109999999999E-4</c:v>
                </c:pt>
                <c:pt idx="303">
                  <c:v>2.7941290000000002E-4</c:v>
                </c:pt>
                <c:pt idx="304">
                  <c:v>4.067427E-4</c:v>
                </c:pt>
                <c:pt idx="305">
                  <c:v>2.7164890000000002E-4</c:v>
                </c:pt>
                <c:pt idx="306">
                  <c:v>1.1514540000000001E-4</c:v>
                </c:pt>
                <c:pt idx="307">
                  <c:v>2.180665E-4</c:v>
                </c:pt>
                <c:pt idx="308">
                  <c:v>1.217348E-4</c:v>
                </c:pt>
                <c:pt idx="309">
                  <c:v>6.9437969999999998E-4</c:v>
                </c:pt>
                <c:pt idx="310">
                  <c:v>1.3575178E-3</c:v>
                </c:pt>
                <c:pt idx="311">
                  <c:v>4.1857947000000003E-3</c:v>
                </c:pt>
                <c:pt idx="312">
                  <c:v>4.1800915000000001E-3</c:v>
                </c:pt>
                <c:pt idx="313">
                  <c:v>0.87849900790000013</c:v>
                </c:pt>
                <c:pt idx="314">
                  <c:v>0.83158081500000003</c:v>
                </c:pt>
                <c:pt idx="315">
                  <c:v>0.87352285470000002</c:v>
                </c:pt>
                <c:pt idx="316">
                  <c:v>0.87405301849999995</c:v>
                </c:pt>
                <c:pt idx="317">
                  <c:v>0.87668126219999998</c:v>
                </c:pt>
                <c:pt idx="318">
                  <c:v>0.84601650620000002</c:v>
                </c:pt>
                <c:pt idx="319">
                  <c:v>0.82255319569999996</c:v>
                </c:pt>
                <c:pt idx="320">
                  <c:v>0.82065378529999999</c:v>
                </c:pt>
                <c:pt idx="321">
                  <c:v>0.82065378529999999</c:v>
                </c:pt>
                <c:pt idx="322">
                  <c:v>0.82249875709999998</c:v>
                </c:pt>
                <c:pt idx="323">
                  <c:v>0.8595783092</c:v>
                </c:pt>
                <c:pt idx="324">
                  <c:v>0.83767788539999999</c:v>
                </c:pt>
                <c:pt idx="325">
                  <c:v>0.80875793200000001</c:v>
                </c:pt>
                <c:pt idx="326">
                  <c:v>0.80814178439999995</c:v>
                </c:pt>
                <c:pt idx="327">
                  <c:v>0.77103122199999996</c:v>
                </c:pt>
                <c:pt idx="328">
                  <c:v>0.76295205990000003</c:v>
                </c:pt>
                <c:pt idx="329">
                  <c:v>0.76214313</c:v>
                </c:pt>
                <c:pt idx="330">
                  <c:v>0.76127916539999996</c:v>
                </c:pt>
                <c:pt idx="331">
                  <c:v>0.76127916539999996</c:v>
                </c:pt>
                <c:pt idx="332">
                  <c:v>0.74095838449999996</c:v>
                </c:pt>
                <c:pt idx="333">
                  <c:v>0.72360327089999998</c:v>
                </c:pt>
                <c:pt idx="334">
                  <c:v>0.7033472181</c:v>
                </c:pt>
                <c:pt idx="335">
                  <c:v>0.70511369130000001</c:v>
                </c:pt>
                <c:pt idx="336">
                  <c:v>0.68294508980000002</c:v>
                </c:pt>
                <c:pt idx="337">
                  <c:v>0.69746715989999997</c:v>
                </c:pt>
                <c:pt idx="338">
                  <c:v>0.67392174719999998</c:v>
                </c:pt>
                <c:pt idx="339">
                  <c:v>1.7426468099999998E-2</c:v>
                </c:pt>
                <c:pt idx="340">
                  <c:v>1.2717029000000001E-3</c:v>
                </c:pt>
                <c:pt idx="341">
                  <c:v>2.9468639999999998E-4</c:v>
                </c:pt>
                <c:pt idx="342">
                  <c:v>2.9192680000000003E-4</c:v>
                </c:pt>
                <c:pt idx="343">
                  <c:v>6.7993339999999989E-4</c:v>
                </c:pt>
                <c:pt idx="344">
                  <c:v>3.2240799999999998E-5</c:v>
                </c:pt>
                <c:pt idx="345">
                  <c:v>1.615617E-4</c:v>
                </c:pt>
                <c:pt idx="346">
                  <c:v>1.8597026000000002E-3</c:v>
                </c:pt>
                <c:pt idx="347">
                  <c:v>8.1109384E-3</c:v>
                </c:pt>
                <c:pt idx="348">
                  <c:v>1.18532042E-2</c:v>
                </c:pt>
                <c:pt idx="349">
                  <c:v>8.0942342999999993E-3</c:v>
                </c:pt>
                <c:pt idx="350">
                  <c:v>2.6490880000000001E-4</c:v>
                </c:pt>
                <c:pt idx="351">
                  <c:v>1.5519953899999999E-2</c:v>
                </c:pt>
                <c:pt idx="352">
                  <c:v>7.9416000999999996E-3</c:v>
                </c:pt>
                <c:pt idx="353">
                  <c:v>1.5017113999999999E-3</c:v>
                </c:pt>
                <c:pt idx="354">
                  <c:v>7.3673740000000003E-3</c:v>
                </c:pt>
                <c:pt idx="355">
                  <c:v>7.3323073999999999E-3</c:v>
                </c:pt>
                <c:pt idx="356">
                  <c:v>5.125997E-4</c:v>
                </c:pt>
                <c:pt idx="357">
                  <c:v>3.354365E-4</c:v>
                </c:pt>
                <c:pt idx="358">
                  <c:v>1.3941899999999999E-5</c:v>
                </c:pt>
                <c:pt idx="359">
                  <c:v>7.6324699999999999E-4</c:v>
                </c:pt>
                <c:pt idx="360">
                  <c:v>1.26402865E-2</c:v>
                </c:pt>
                <c:pt idx="361">
                  <c:v>0.77487696129999994</c:v>
                </c:pt>
                <c:pt idx="362">
                  <c:v>0.79182101829999996</c:v>
                </c:pt>
                <c:pt idx="363">
                  <c:v>0.78926948910000005</c:v>
                </c:pt>
                <c:pt idx="364">
                  <c:v>0.77043178379999999</c:v>
                </c:pt>
                <c:pt idx="365">
                  <c:v>0.747663572</c:v>
                </c:pt>
                <c:pt idx="366">
                  <c:v>9.4062940000000008E-3</c:v>
                </c:pt>
                <c:pt idx="367">
                  <c:v>4.9326667000000003E-3</c:v>
                </c:pt>
                <c:pt idx="368">
                  <c:v>8.2292375999999997E-3</c:v>
                </c:pt>
                <c:pt idx="369">
                  <c:v>0.76839137859999995</c:v>
                </c:pt>
                <c:pt idx="370">
                  <c:v>0.79045908549999999</c:v>
                </c:pt>
                <c:pt idx="371">
                  <c:v>0.76420351740000003</c:v>
                </c:pt>
                <c:pt idx="372">
                  <c:v>1.51329173E-2</c:v>
                </c:pt>
                <c:pt idx="373">
                  <c:v>9.0398625000000007E-3</c:v>
                </c:pt>
                <c:pt idx="374">
                  <c:v>9.0105779000000004E-3</c:v>
                </c:pt>
                <c:pt idx="375">
                  <c:v>7.4750987999999997E-3</c:v>
                </c:pt>
                <c:pt idx="376">
                  <c:v>3.8280061000000002E-3</c:v>
                </c:pt>
                <c:pt idx="377">
                  <c:v>6.7441365000000001E-3</c:v>
                </c:pt>
                <c:pt idx="378">
                  <c:v>1.407658E-3</c:v>
                </c:pt>
                <c:pt idx="379">
                  <c:v>3.6532496000000001E-3</c:v>
                </c:pt>
                <c:pt idx="380">
                  <c:v>2.0640286000000001E-3</c:v>
                </c:pt>
                <c:pt idx="381">
                  <c:v>2.4396846999999999E-3</c:v>
                </c:pt>
                <c:pt idx="382">
                  <c:v>4.5963966000000002E-3</c:v>
                </c:pt>
                <c:pt idx="383">
                  <c:v>2.4396846999999999E-3</c:v>
                </c:pt>
                <c:pt idx="384">
                  <c:v>1.6449741E-3</c:v>
                </c:pt>
                <c:pt idx="385">
                  <c:v>4.422645E-4</c:v>
                </c:pt>
                <c:pt idx="386">
                  <c:v>5.4072379999999995E-4</c:v>
                </c:pt>
                <c:pt idx="387">
                  <c:v>2.6793020000000001E-4</c:v>
                </c:pt>
                <c:pt idx="388">
                  <c:v>6.9875139999999998E-4</c:v>
                </c:pt>
                <c:pt idx="389">
                  <c:v>0.91703471479999998</c:v>
                </c:pt>
                <c:pt idx="390">
                  <c:v>0.95023078650000004</c:v>
                </c:pt>
                <c:pt idx="391">
                  <c:v>0.9382895819</c:v>
                </c:pt>
                <c:pt idx="392">
                  <c:v>0.93819680849999998</c:v>
                </c:pt>
                <c:pt idx="393">
                  <c:v>0.96773525760000001</c:v>
                </c:pt>
                <c:pt idx="394">
                  <c:v>0.96668307070000004</c:v>
                </c:pt>
                <c:pt idx="395">
                  <c:v>0.96711362749999996</c:v>
                </c:pt>
                <c:pt idx="396">
                  <c:v>0.9513298858</c:v>
                </c:pt>
                <c:pt idx="397">
                  <c:v>0.96773525760000001</c:v>
                </c:pt>
                <c:pt idx="398">
                  <c:v>0.95662482240000002</c:v>
                </c:pt>
                <c:pt idx="399">
                  <c:v>0.89907836969999999</c:v>
                </c:pt>
                <c:pt idx="400">
                  <c:v>0.86873115099999998</c:v>
                </c:pt>
                <c:pt idx="401">
                  <c:v>0.78969731409999999</c:v>
                </c:pt>
                <c:pt idx="402">
                  <c:v>0.85325570760000002</c:v>
                </c:pt>
                <c:pt idx="403">
                  <c:v>0.86630603630000003</c:v>
                </c:pt>
                <c:pt idx="404">
                  <c:v>0.78832157729999996</c:v>
                </c:pt>
                <c:pt idx="405">
                  <c:v>0.69663565689999996</c:v>
                </c:pt>
                <c:pt idx="406">
                  <c:v>0.83093630070000002</c:v>
                </c:pt>
                <c:pt idx="407">
                  <c:v>0.82580071769999996</c:v>
                </c:pt>
                <c:pt idx="408">
                  <c:v>0.91180757339999996</c:v>
                </c:pt>
                <c:pt idx="409">
                  <c:v>0.89735601710000001</c:v>
                </c:pt>
                <c:pt idx="410">
                  <c:v>0.83225440230000003</c:v>
                </c:pt>
                <c:pt idx="411">
                  <c:v>0.78993674390000002</c:v>
                </c:pt>
                <c:pt idx="412">
                  <c:v>0.78361411790000002</c:v>
                </c:pt>
                <c:pt idx="413">
                  <c:v>0.54517550680000004</c:v>
                </c:pt>
                <c:pt idx="414">
                  <c:v>0.4238442993</c:v>
                </c:pt>
                <c:pt idx="415">
                  <c:v>2.9545367900000001E-2</c:v>
                </c:pt>
                <c:pt idx="416">
                  <c:v>2.1773385499999999E-2</c:v>
                </c:pt>
                <c:pt idx="417">
                  <c:v>1.49714459E-2</c:v>
                </c:pt>
                <c:pt idx="418">
                  <c:v>1.3662998900000001E-2</c:v>
                </c:pt>
                <c:pt idx="419">
                  <c:v>2.0620106000000002E-3</c:v>
                </c:pt>
                <c:pt idx="420">
                  <c:v>1.7940324800000001E-2</c:v>
                </c:pt>
                <c:pt idx="421">
                  <c:v>2.1092658000000002E-3</c:v>
                </c:pt>
                <c:pt idx="422">
                  <c:v>4.1625742200000003E-2</c:v>
                </c:pt>
                <c:pt idx="423">
                  <c:v>1.6478596700000001E-2</c:v>
                </c:pt>
                <c:pt idx="424">
                  <c:v>1.33154169E-2</c:v>
                </c:pt>
                <c:pt idx="425">
                  <c:v>0.29699088080000002</c:v>
                </c:pt>
                <c:pt idx="426">
                  <c:v>0.2034955198</c:v>
                </c:pt>
                <c:pt idx="427">
                  <c:v>5.6994957000000004E-3</c:v>
                </c:pt>
                <c:pt idx="428">
                  <c:v>4.3470202000000001E-3</c:v>
                </c:pt>
                <c:pt idx="429">
                  <c:v>3.5366915E-3</c:v>
                </c:pt>
                <c:pt idx="430">
                  <c:v>1.1530172E-3</c:v>
                </c:pt>
                <c:pt idx="431">
                  <c:v>1.1530172E-3</c:v>
                </c:pt>
                <c:pt idx="432">
                  <c:v>1.5464712000000001E-3</c:v>
                </c:pt>
                <c:pt idx="433">
                  <c:v>1.2603665999999999E-3</c:v>
                </c:pt>
                <c:pt idx="434">
                  <c:v>5.1440979000000001E-3</c:v>
                </c:pt>
                <c:pt idx="435">
                  <c:v>4.1558315999999998E-3</c:v>
                </c:pt>
                <c:pt idx="436">
                  <c:v>4.3317863000000003E-3</c:v>
                </c:pt>
                <c:pt idx="437">
                  <c:v>1.0353853999999999E-3</c:v>
                </c:pt>
                <c:pt idx="438">
                  <c:v>1.0355873E-3</c:v>
                </c:pt>
                <c:pt idx="439">
                  <c:v>1.3281057E-3</c:v>
                </c:pt>
                <c:pt idx="440">
                  <c:v>6.5142758999999998E-3</c:v>
                </c:pt>
                <c:pt idx="441">
                  <c:v>3.8501543999999999E-3</c:v>
                </c:pt>
                <c:pt idx="442">
                  <c:v>2.1854756900000001E-2</c:v>
                </c:pt>
                <c:pt idx="443">
                  <c:v>1.1820247799999999E-2</c:v>
                </c:pt>
                <c:pt idx="444">
                  <c:v>2.1851759599999999E-2</c:v>
                </c:pt>
                <c:pt idx="445">
                  <c:v>1.1809742200000001E-2</c:v>
                </c:pt>
                <c:pt idx="446">
                  <c:v>0.20767634430000001</c:v>
                </c:pt>
                <c:pt idx="447">
                  <c:v>0.26324610580000002</c:v>
                </c:pt>
                <c:pt idx="448">
                  <c:v>0.26324610580000002</c:v>
                </c:pt>
                <c:pt idx="449">
                  <c:v>0.24287441949999999</c:v>
                </c:pt>
                <c:pt idx="450">
                  <c:v>0.27855394999999999</c:v>
                </c:pt>
                <c:pt idx="451">
                  <c:v>0.27596594369999999</c:v>
                </c:pt>
                <c:pt idx="452">
                  <c:v>1.49967391E-2</c:v>
                </c:pt>
                <c:pt idx="453">
                  <c:v>0.20492897060000001</c:v>
                </c:pt>
                <c:pt idx="454">
                  <c:v>5.5073624999999998E-3</c:v>
                </c:pt>
                <c:pt idx="455">
                  <c:v>0.17051092370000004</c:v>
                </c:pt>
                <c:pt idx="456">
                  <c:v>0.33635192619999998</c:v>
                </c:pt>
                <c:pt idx="457">
                  <c:v>0.41170641790000001</c:v>
                </c:pt>
                <c:pt idx="458">
                  <c:v>0.38285928120000001</c:v>
                </c:pt>
                <c:pt idx="459">
                  <c:v>0.66163350180000002</c:v>
                </c:pt>
                <c:pt idx="460">
                  <c:v>0.32976146579999999</c:v>
                </c:pt>
                <c:pt idx="461">
                  <c:v>0.26151994560000003</c:v>
                </c:pt>
                <c:pt idx="462">
                  <c:v>0.16352889400000001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554048"/>
        <c:axId val="359793792"/>
      </c:barChart>
      <c:lineChart>
        <c:grouping val="standard"/>
        <c:varyColors val="0"/>
        <c:ser>
          <c:idx val="3"/>
          <c:order val="1"/>
          <c:tx>
            <c:strRef>
              <c:f>Query!$F$2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Query!$C$3:$C$465</c:f>
              <c:numCache>
                <c:formatCode>m/d/yyyy</c:formatCode>
                <c:ptCount val="463"/>
                <c:pt idx="0">
                  <c:v>42691</c:v>
                </c:pt>
                <c:pt idx="1">
                  <c:v>42684</c:v>
                </c:pt>
                <c:pt idx="2">
                  <c:v>42677</c:v>
                </c:pt>
                <c:pt idx="3">
                  <c:v>42670</c:v>
                </c:pt>
                <c:pt idx="4">
                  <c:v>42663</c:v>
                </c:pt>
                <c:pt idx="5">
                  <c:v>42649</c:v>
                </c:pt>
                <c:pt idx="6">
                  <c:v>42642</c:v>
                </c:pt>
                <c:pt idx="7">
                  <c:v>42635</c:v>
                </c:pt>
                <c:pt idx="8">
                  <c:v>42628</c:v>
                </c:pt>
                <c:pt idx="9">
                  <c:v>42621</c:v>
                </c:pt>
                <c:pt idx="10">
                  <c:v>42614</c:v>
                </c:pt>
                <c:pt idx="11">
                  <c:v>42606</c:v>
                </c:pt>
                <c:pt idx="12">
                  <c:v>42600</c:v>
                </c:pt>
                <c:pt idx="13">
                  <c:v>42593</c:v>
                </c:pt>
                <c:pt idx="14">
                  <c:v>42586</c:v>
                </c:pt>
                <c:pt idx="15">
                  <c:v>42579</c:v>
                </c:pt>
                <c:pt idx="16">
                  <c:v>42572</c:v>
                </c:pt>
                <c:pt idx="17">
                  <c:v>42565</c:v>
                </c:pt>
                <c:pt idx="18">
                  <c:v>42558</c:v>
                </c:pt>
                <c:pt idx="19">
                  <c:v>42551</c:v>
                </c:pt>
                <c:pt idx="20">
                  <c:v>42544</c:v>
                </c:pt>
                <c:pt idx="21">
                  <c:v>42537</c:v>
                </c:pt>
                <c:pt idx="22">
                  <c:v>42530</c:v>
                </c:pt>
                <c:pt idx="23">
                  <c:v>42523</c:v>
                </c:pt>
                <c:pt idx="24">
                  <c:v>42516</c:v>
                </c:pt>
                <c:pt idx="25">
                  <c:v>42509</c:v>
                </c:pt>
                <c:pt idx="26">
                  <c:v>42502</c:v>
                </c:pt>
                <c:pt idx="27">
                  <c:v>42495</c:v>
                </c:pt>
                <c:pt idx="28">
                  <c:v>42488</c:v>
                </c:pt>
                <c:pt idx="29">
                  <c:v>42481</c:v>
                </c:pt>
                <c:pt idx="30">
                  <c:v>42474</c:v>
                </c:pt>
                <c:pt idx="31">
                  <c:v>42467</c:v>
                </c:pt>
                <c:pt idx="32">
                  <c:v>42460</c:v>
                </c:pt>
                <c:pt idx="33">
                  <c:v>42453</c:v>
                </c:pt>
                <c:pt idx="34">
                  <c:v>42446</c:v>
                </c:pt>
                <c:pt idx="35">
                  <c:v>42439</c:v>
                </c:pt>
                <c:pt idx="36">
                  <c:v>42432</c:v>
                </c:pt>
                <c:pt idx="37">
                  <c:v>42425</c:v>
                </c:pt>
                <c:pt idx="38">
                  <c:v>42418</c:v>
                </c:pt>
                <c:pt idx="39">
                  <c:v>42411</c:v>
                </c:pt>
                <c:pt idx="40">
                  <c:v>42404</c:v>
                </c:pt>
                <c:pt idx="41">
                  <c:v>42397</c:v>
                </c:pt>
                <c:pt idx="42">
                  <c:v>42390</c:v>
                </c:pt>
                <c:pt idx="43">
                  <c:v>42383</c:v>
                </c:pt>
                <c:pt idx="44">
                  <c:v>42376</c:v>
                </c:pt>
                <c:pt idx="45">
                  <c:v>42369</c:v>
                </c:pt>
                <c:pt idx="46">
                  <c:v>42362</c:v>
                </c:pt>
                <c:pt idx="47">
                  <c:v>42355</c:v>
                </c:pt>
                <c:pt idx="48">
                  <c:v>42348</c:v>
                </c:pt>
                <c:pt idx="49">
                  <c:v>42341</c:v>
                </c:pt>
                <c:pt idx="50">
                  <c:v>42333</c:v>
                </c:pt>
                <c:pt idx="51">
                  <c:v>42327</c:v>
                </c:pt>
                <c:pt idx="52">
                  <c:v>42320</c:v>
                </c:pt>
                <c:pt idx="53">
                  <c:v>42313</c:v>
                </c:pt>
                <c:pt idx="54">
                  <c:v>42306</c:v>
                </c:pt>
                <c:pt idx="55">
                  <c:v>42299</c:v>
                </c:pt>
                <c:pt idx="56">
                  <c:v>42292</c:v>
                </c:pt>
                <c:pt idx="57">
                  <c:v>42285</c:v>
                </c:pt>
                <c:pt idx="58">
                  <c:v>42278</c:v>
                </c:pt>
                <c:pt idx="59">
                  <c:v>42271</c:v>
                </c:pt>
                <c:pt idx="60">
                  <c:v>42264</c:v>
                </c:pt>
                <c:pt idx="61">
                  <c:v>42257</c:v>
                </c:pt>
                <c:pt idx="62">
                  <c:v>42250</c:v>
                </c:pt>
                <c:pt idx="63">
                  <c:v>42243</c:v>
                </c:pt>
                <c:pt idx="64">
                  <c:v>42236</c:v>
                </c:pt>
                <c:pt idx="65">
                  <c:v>42229</c:v>
                </c:pt>
                <c:pt idx="66">
                  <c:v>42222</c:v>
                </c:pt>
                <c:pt idx="67">
                  <c:v>42215</c:v>
                </c:pt>
                <c:pt idx="68">
                  <c:v>42208</c:v>
                </c:pt>
                <c:pt idx="69">
                  <c:v>42201</c:v>
                </c:pt>
                <c:pt idx="70">
                  <c:v>42194</c:v>
                </c:pt>
                <c:pt idx="71">
                  <c:v>42187</c:v>
                </c:pt>
                <c:pt idx="72">
                  <c:v>42180</c:v>
                </c:pt>
                <c:pt idx="73">
                  <c:v>42173</c:v>
                </c:pt>
                <c:pt idx="74">
                  <c:v>42166</c:v>
                </c:pt>
                <c:pt idx="75">
                  <c:v>42159</c:v>
                </c:pt>
                <c:pt idx="76">
                  <c:v>42152</c:v>
                </c:pt>
                <c:pt idx="77">
                  <c:v>42145</c:v>
                </c:pt>
                <c:pt idx="78">
                  <c:v>42138</c:v>
                </c:pt>
                <c:pt idx="79">
                  <c:v>42131</c:v>
                </c:pt>
                <c:pt idx="80">
                  <c:v>42124</c:v>
                </c:pt>
                <c:pt idx="81">
                  <c:v>42117</c:v>
                </c:pt>
                <c:pt idx="82">
                  <c:v>42110</c:v>
                </c:pt>
                <c:pt idx="83">
                  <c:v>42103</c:v>
                </c:pt>
                <c:pt idx="84">
                  <c:v>42096</c:v>
                </c:pt>
                <c:pt idx="85">
                  <c:v>42089</c:v>
                </c:pt>
                <c:pt idx="86">
                  <c:v>42082</c:v>
                </c:pt>
                <c:pt idx="87">
                  <c:v>42075</c:v>
                </c:pt>
                <c:pt idx="88">
                  <c:v>42068</c:v>
                </c:pt>
                <c:pt idx="89">
                  <c:v>42061</c:v>
                </c:pt>
                <c:pt idx="90">
                  <c:v>42054</c:v>
                </c:pt>
                <c:pt idx="91">
                  <c:v>42047</c:v>
                </c:pt>
                <c:pt idx="92">
                  <c:v>42040</c:v>
                </c:pt>
                <c:pt idx="93">
                  <c:v>42033</c:v>
                </c:pt>
                <c:pt idx="94">
                  <c:v>42026</c:v>
                </c:pt>
                <c:pt idx="95">
                  <c:v>42019</c:v>
                </c:pt>
                <c:pt idx="96">
                  <c:v>42012</c:v>
                </c:pt>
                <c:pt idx="97">
                  <c:v>42004</c:v>
                </c:pt>
                <c:pt idx="98">
                  <c:v>41997</c:v>
                </c:pt>
                <c:pt idx="99">
                  <c:v>41991</c:v>
                </c:pt>
                <c:pt idx="100">
                  <c:v>41984</c:v>
                </c:pt>
                <c:pt idx="101">
                  <c:v>41977</c:v>
                </c:pt>
                <c:pt idx="102">
                  <c:v>41969</c:v>
                </c:pt>
                <c:pt idx="103">
                  <c:v>41963</c:v>
                </c:pt>
                <c:pt idx="104">
                  <c:v>41956</c:v>
                </c:pt>
                <c:pt idx="105">
                  <c:v>41949</c:v>
                </c:pt>
                <c:pt idx="106">
                  <c:v>41942</c:v>
                </c:pt>
                <c:pt idx="107">
                  <c:v>41935</c:v>
                </c:pt>
                <c:pt idx="108">
                  <c:v>41928</c:v>
                </c:pt>
                <c:pt idx="109">
                  <c:v>41921</c:v>
                </c:pt>
                <c:pt idx="110">
                  <c:v>41914</c:v>
                </c:pt>
                <c:pt idx="111">
                  <c:v>41907</c:v>
                </c:pt>
                <c:pt idx="112">
                  <c:v>41900</c:v>
                </c:pt>
                <c:pt idx="113">
                  <c:v>41893</c:v>
                </c:pt>
                <c:pt idx="114">
                  <c:v>41886</c:v>
                </c:pt>
                <c:pt idx="115">
                  <c:v>41879</c:v>
                </c:pt>
                <c:pt idx="116">
                  <c:v>41872</c:v>
                </c:pt>
                <c:pt idx="117">
                  <c:v>41865</c:v>
                </c:pt>
                <c:pt idx="118">
                  <c:v>41858</c:v>
                </c:pt>
                <c:pt idx="119">
                  <c:v>41851</c:v>
                </c:pt>
                <c:pt idx="120">
                  <c:v>41844</c:v>
                </c:pt>
                <c:pt idx="121">
                  <c:v>41837</c:v>
                </c:pt>
                <c:pt idx="122">
                  <c:v>41830</c:v>
                </c:pt>
                <c:pt idx="123">
                  <c:v>41823</c:v>
                </c:pt>
                <c:pt idx="124">
                  <c:v>41816</c:v>
                </c:pt>
                <c:pt idx="125">
                  <c:v>41809</c:v>
                </c:pt>
                <c:pt idx="126">
                  <c:v>41802</c:v>
                </c:pt>
                <c:pt idx="127">
                  <c:v>41795</c:v>
                </c:pt>
                <c:pt idx="128">
                  <c:v>41788</c:v>
                </c:pt>
                <c:pt idx="129">
                  <c:v>41781</c:v>
                </c:pt>
                <c:pt idx="130">
                  <c:v>41774</c:v>
                </c:pt>
                <c:pt idx="131">
                  <c:v>41767</c:v>
                </c:pt>
                <c:pt idx="132">
                  <c:v>41760</c:v>
                </c:pt>
                <c:pt idx="133">
                  <c:v>41753</c:v>
                </c:pt>
                <c:pt idx="134">
                  <c:v>41746</c:v>
                </c:pt>
                <c:pt idx="135">
                  <c:v>41739</c:v>
                </c:pt>
                <c:pt idx="136">
                  <c:v>41732</c:v>
                </c:pt>
                <c:pt idx="137">
                  <c:v>41725</c:v>
                </c:pt>
                <c:pt idx="138">
                  <c:v>41718</c:v>
                </c:pt>
                <c:pt idx="139">
                  <c:v>41711</c:v>
                </c:pt>
                <c:pt idx="140">
                  <c:v>41704</c:v>
                </c:pt>
                <c:pt idx="141">
                  <c:v>41697</c:v>
                </c:pt>
                <c:pt idx="142">
                  <c:v>41690</c:v>
                </c:pt>
                <c:pt idx="143">
                  <c:v>41683</c:v>
                </c:pt>
                <c:pt idx="144">
                  <c:v>41676</c:v>
                </c:pt>
                <c:pt idx="145">
                  <c:v>41669</c:v>
                </c:pt>
                <c:pt idx="146">
                  <c:v>41662</c:v>
                </c:pt>
                <c:pt idx="147">
                  <c:v>41655</c:v>
                </c:pt>
                <c:pt idx="148">
                  <c:v>41648</c:v>
                </c:pt>
                <c:pt idx="149">
                  <c:v>41641</c:v>
                </c:pt>
                <c:pt idx="150">
                  <c:v>41634</c:v>
                </c:pt>
                <c:pt idx="151">
                  <c:v>41627</c:v>
                </c:pt>
                <c:pt idx="152">
                  <c:v>41620</c:v>
                </c:pt>
                <c:pt idx="153">
                  <c:v>41613</c:v>
                </c:pt>
                <c:pt idx="154">
                  <c:v>41605</c:v>
                </c:pt>
                <c:pt idx="155">
                  <c:v>41599</c:v>
                </c:pt>
                <c:pt idx="156">
                  <c:v>41592</c:v>
                </c:pt>
                <c:pt idx="157">
                  <c:v>41585</c:v>
                </c:pt>
                <c:pt idx="158">
                  <c:v>41578</c:v>
                </c:pt>
                <c:pt idx="159">
                  <c:v>41571</c:v>
                </c:pt>
                <c:pt idx="160">
                  <c:v>41564</c:v>
                </c:pt>
                <c:pt idx="161">
                  <c:v>41557</c:v>
                </c:pt>
                <c:pt idx="162">
                  <c:v>41550</c:v>
                </c:pt>
                <c:pt idx="163">
                  <c:v>41543</c:v>
                </c:pt>
                <c:pt idx="164">
                  <c:v>41536</c:v>
                </c:pt>
                <c:pt idx="165">
                  <c:v>41529</c:v>
                </c:pt>
                <c:pt idx="166">
                  <c:v>41522</c:v>
                </c:pt>
                <c:pt idx="167">
                  <c:v>41515</c:v>
                </c:pt>
                <c:pt idx="168">
                  <c:v>41508</c:v>
                </c:pt>
                <c:pt idx="169">
                  <c:v>41501</c:v>
                </c:pt>
                <c:pt idx="170">
                  <c:v>41494</c:v>
                </c:pt>
                <c:pt idx="171">
                  <c:v>41487</c:v>
                </c:pt>
                <c:pt idx="172">
                  <c:v>41480</c:v>
                </c:pt>
                <c:pt idx="173">
                  <c:v>41473</c:v>
                </c:pt>
                <c:pt idx="174">
                  <c:v>41466</c:v>
                </c:pt>
                <c:pt idx="175">
                  <c:v>41458</c:v>
                </c:pt>
                <c:pt idx="176">
                  <c:v>41452</c:v>
                </c:pt>
                <c:pt idx="177">
                  <c:v>41445</c:v>
                </c:pt>
                <c:pt idx="178">
                  <c:v>41438</c:v>
                </c:pt>
                <c:pt idx="179">
                  <c:v>41431</c:v>
                </c:pt>
                <c:pt idx="180">
                  <c:v>41424</c:v>
                </c:pt>
                <c:pt idx="181">
                  <c:v>41417</c:v>
                </c:pt>
                <c:pt idx="182">
                  <c:v>41410</c:v>
                </c:pt>
                <c:pt idx="183">
                  <c:v>41403</c:v>
                </c:pt>
                <c:pt idx="184">
                  <c:v>41396</c:v>
                </c:pt>
                <c:pt idx="185">
                  <c:v>41389</c:v>
                </c:pt>
                <c:pt idx="186">
                  <c:v>41382</c:v>
                </c:pt>
                <c:pt idx="187">
                  <c:v>41375</c:v>
                </c:pt>
                <c:pt idx="188">
                  <c:v>41368</c:v>
                </c:pt>
                <c:pt idx="189">
                  <c:v>41361</c:v>
                </c:pt>
                <c:pt idx="190">
                  <c:v>41354</c:v>
                </c:pt>
                <c:pt idx="191">
                  <c:v>41347</c:v>
                </c:pt>
                <c:pt idx="192">
                  <c:v>41340</c:v>
                </c:pt>
                <c:pt idx="193">
                  <c:v>41333</c:v>
                </c:pt>
                <c:pt idx="194">
                  <c:v>41326</c:v>
                </c:pt>
                <c:pt idx="195">
                  <c:v>41319</c:v>
                </c:pt>
                <c:pt idx="196">
                  <c:v>41312</c:v>
                </c:pt>
                <c:pt idx="197">
                  <c:v>41305</c:v>
                </c:pt>
                <c:pt idx="198">
                  <c:v>41298</c:v>
                </c:pt>
                <c:pt idx="199">
                  <c:v>41291</c:v>
                </c:pt>
                <c:pt idx="200">
                  <c:v>41284</c:v>
                </c:pt>
                <c:pt idx="201">
                  <c:v>41277</c:v>
                </c:pt>
                <c:pt idx="202">
                  <c:v>41270</c:v>
                </c:pt>
                <c:pt idx="203">
                  <c:v>41263</c:v>
                </c:pt>
                <c:pt idx="204">
                  <c:v>41256</c:v>
                </c:pt>
                <c:pt idx="205">
                  <c:v>41249</c:v>
                </c:pt>
                <c:pt idx="206">
                  <c:v>41242</c:v>
                </c:pt>
                <c:pt idx="207">
                  <c:v>41234</c:v>
                </c:pt>
                <c:pt idx="208">
                  <c:v>41228</c:v>
                </c:pt>
                <c:pt idx="209">
                  <c:v>41221</c:v>
                </c:pt>
                <c:pt idx="210">
                  <c:v>41214</c:v>
                </c:pt>
                <c:pt idx="211">
                  <c:v>41207</c:v>
                </c:pt>
                <c:pt idx="212">
                  <c:v>41200</c:v>
                </c:pt>
                <c:pt idx="213">
                  <c:v>41193</c:v>
                </c:pt>
                <c:pt idx="214">
                  <c:v>41186</c:v>
                </c:pt>
                <c:pt idx="215">
                  <c:v>41179</c:v>
                </c:pt>
                <c:pt idx="216">
                  <c:v>41172</c:v>
                </c:pt>
                <c:pt idx="217">
                  <c:v>41165</c:v>
                </c:pt>
                <c:pt idx="218">
                  <c:v>41158</c:v>
                </c:pt>
                <c:pt idx="219">
                  <c:v>41151</c:v>
                </c:pt>
                <c:pt idx="220">
                  <c:v>41144</c:v>
                </c:pt>
                <c:pt idx="221">
                  <c:v>41137</c:v>
                </c:pt>
                <c:pt idx="222">
                  <c:v>41130</c:v>
                </c:pt>
                <c:pt idx="223">
                  <c:v>41123</c:v>
                </c:pt>
                <c:pt idx="224">
                  <c:v>41116</c:v>
                </c:pt>
                <c:pt idx="225">
                  <c:v>41109</c:v>
                </c:pt>
                <c:pt idx="226">
                  <c:v>41102</c:v>
                </c:pt>
                <c:pt idx="227">
                  <c:v>41095</c:v>
                </c:pt>
                <c:pt idx="228">
                  <c:v>41088</c:v>
                </c:pt>
                <c:pt idx="229">
                  <c:v>41081</c:v>
                </c:pt>
                <c:pt idx="230">
                  <c:v>41074</c:v>
                </c:pt>
                <c:pt idx="231">
                  <c:v>41067</c:v>
                </c:pt>
                <c:pt idx="232">
                  <c:v>41060</c:v>
                </c:pt>
                <c:pt idx="233">
                  <c:v>41053</c:v>
                </c:pt>
                <c:pt idx="234">
                  <c:v>41046</c:v>
                </c:pt>
                <c:pt idx="235">
                  <c:v>41039</c:v>
                </c:pt>
                <c:pt idx="236">
                  <c:v>41032</c:v>
                </c:pt>
                <c:pt idx="237">
                  <c:v>41025</c:v>
                </c:pt>
                <c:pt idx="238">
                  <c:v>41018</c:v>
                </c:pt>
                <c:pt idx="239">
                  <c:v>41011</c:v>
                </c:pt>
                <c:pt idx="240">
                  <c:v>41004</c:v>
                </c:pt>
                <c:pt idx="241">
                  <c:v>40997</c:v>
                </c:pt>
                <c:pt idx="242">
                  <c:v>40990</c:v>
                </c:pt>
                <c:pt idx="243">
                  <c:v>40983</c:v>
                </c:pt>
                <c:pt idx="244">
                  <c:v>40976</c:v>
                </c:pt>
                <c:pt idx="245">
                  <c:v>40969</c:v>
                </c:pt>
                <c:pt idx="246">
                  <c:v>40962</c:v>
                </c:pt>
                <c:pt idx="247">
                  <c:v>40955</c:v>
                </c:pt>
                <c:pt idx="248">
                  <c:v>40948</c:v>
                </c:pt>
                <c:pt idx="249">
                  <c:v>40941</c:v>
                </c:pt>
                <c:pt idx="250">
                  <c:v>40934</c:v>
                </c:pt>
                <c:pt idx="251">
                  <c:v>40927</c:v>
                </c:pt>
                <c:pt idx="252">
                  <c:v>40920</c:v>
                </c:pt>
                <c:pt idx="253">
                  <c:v>40913</c:v>
                </c:pt>
                <c:pt idx="254">
                  <c:v>40906</c:v>
                </c:pt>
                <c:pt idx="255">
                  <c:v>40899</c:v>
                </c:pt>
                <c:pt idx="256">
                  <c:v>40892</c:v>
                </c:pt>
                <c:pt idx="257">
                  <c:v>40885</c:v>
                </c:pt>
                <c:pt idx="258">
                  <c:v>40878</c:v>
                </c:pt>
                <c:pt idx="259">
                  <c:v>40870</c:v>
                </c:pt>
                <c:pt idx="260">
                  <c:v>40864</c:v>
                </c:pt>
                <c:pt idx="261">
                  <c:v>40857</c:v>
                </c:pt>
                <c:pt idx="262">
                  <c:v>40850</c:v>
                </c:pt>
                <c:pt idx="263">
                  <c:v>40843</c:v>
                </c:pt>
                <c:pt idx="264">
                  <c:v>40836</c:v>
                </c:pt>
                <c:pt idx="265">
                  <c:v>40829</c:v>
                </c:pt>
                <c:pt idx="266">
                  <c:v>40822</c:v>
                </c:pt>
                <c:pt idx="267">
                  <c:v>40815</c:v>
                </c:pt>
                <c:pt idx="268">
                  <c:v>40808</c:v>
                </c:pt>
                <c:pt idx="269">
                  <c:v>40801</c:v>
                </c:pt>
                <c:pt idx="270">
                  <c:v>40794</c:v>
                </c:pt>
                <c:pt idx="271">
                  <c:v>40787</c:v>
                </c:pt>
                <c:pt idx="272">
                  <c:v>40780</c:v>
                </c:pt>
                <c:pt idx="273">
                  <c:v>40773</c:v>
                </c:pt>
                <c:pt idx="274">
                  <c:v>40766</c:v>
                </c:pt>
                <c:pt idx="275">
                  <c:v>40759</c:v>
                </c:pt>
                <c:pt idx="276">
                  <c:v>40752</c:v>
                </c:pt>
                <c:pt idx="277">
                  <c:v>40745</c:v>
                </c:pt>
                <c:pt idx="278">
                  <c:v>40738</c:v>
                </c:pt>
                <c:pt idx="279">
                  <c:v>40731</c:v>
                </c:pt>
                <c:pt idx="280">
                  <c:v>40724</c:v>
                </c:pt>
                <c:pt idx="281">
                  <c:v>40717</c:v>
                </c:pt>
                <c:pt idx="282">
                  <c:v>40710</c:v>
                </c:pt>
                <c:pt idx="283">
                  <c:v>40703</c:v>
                </c:pt>
                <c:pt idx="284">
                  <c:v>40696</c:v>
                </c:pt>
                <c:pt idx="285">
                  <c:v>40689</c:v>
                </c:pt>
                <c:pt idx="286">
                  <c:v>40682</c:v>
                </c:pt>
                <c:pt idx="287">
                  <c:v>40675</c:v>
                </c:pt>
                <c:pt idx="288">
                  <c:v>40668</c:v>
                </c:pt>
                <c:pt idx="289">
                  <c:v>40661</c:v>
                </c:pt>
                <c:pt idx="290">
                  <c:v>40654</c:v>
                </c:pt>
                <c:pt idx="291">
                  <c:v>40647</c:v>
                </c:pt>
                <c:pt idx="292">
                  <c:v>40640</c:v>
                </c:pt>
                <c:pt idx="293">
                  <c:v>40633</c:v>
                </c:pt>
                <c:pt idx="294">
                  <c:v>40626</c:v>
                </c:pt>
                <c:pt idx="295">
                  <c:v>40619</c:v>
                </c:pt>
                <c:pt idx="296">
                  <c:v>40612</c:v>
                </c:pt>
                <c:pt idx="297">
                  <c:v>40605</c:v>
                </c:pt>
                <c:pt idx="298">
                  <c:v>40598</c:v>
                </c:pt>
                <c:pt idx="299">
                  <c:v>40591</c:v>
                </c:pt>
                <c:pt idx="300">
                  <c:v>40584</c:v>
                </c:pt>
                <c:pt idx="301">
                  <c:v>40577</c:v>
                </c:pt>
                <c:pt idx="302">
                  <c:v>40570</c:v>
                </c:pt>
                <c:pt idx="303">
                  <c:v>40563</c:v>
                </c:pt>
                <c:pt idx="304">
                  <c:v>40556</c:v>
                </c:pt>
                <c:pt idx="305">
                  <c:v>40549</c:v>
                </c:pt>
                <c:pt idx="306">
                  <c:v>40542</c:v>
                </c:pt>
                <c:pt idx="307">
                  <c:v>40535</c:v>
                </c:pt>
                <c:pt idx="308">
                  <c:v>40528</c:v>
                </c:pt>
                <c:pt idx="309">
                  <c:v>40521</c:v>
                </c:pt>
                <c:pt idx="310">
                  <c:v>40514</c:v>
                </c:pt>
                <c:pt idx="311">
                  <c:v>40506</c:v>
                </c:pt>
                <c:pt idx="312">
                  <c:v>40500</c:v>
                </c:pt>
                <c:pt idx="313">
                  <c:v>40493</c:v>
                </c:pt>
                <c:pt idx="314">
                  <c:v>40486</c:v>
                </c:pt>
                <c:pt idx="315">
                  <c:v>40479</c:v>
                </c:pt>
                <c:pt idx="316">
                  <c:v>40472</c:v>
                </c:pt>
                <c:pt idx="317">
                  <c:v>40465</c:v>
                </c:pt>
                <c:pt idx="318">
                  <c:v>40458</c:v>
                </c:pt>
                <c:pt idx="319">
                  <c:v>40451</c:v>
                </c:pt>
                <c:pt idx="320">
                  <c:v>40444</c:v>
                </c:pt>
                <c:pt idx="321">
                  <c:v>40437</c:v>
                </c:pt>
                <c:pt idx="322">
                  <c:v>40430</c:v>
                </c:pt>
                <c:pt idx="323">
                  <c:v>40423</c:v>
                </c:pt>
                <c:pt idx="324">
                  <c:v>40416</c:v>
                </c:pt>
                <c:pt idx="325">
                  <c:v>40409</c:v>
                </c:pt>
                <c:pt idx="326">
                  <c:v>40402</c:v>
                </c:pt>
                <c:pt idx="327">
                  <c:v>40395</c:v>
                </c:pt>
                <c:pt idx="328">
                  <c:v>40388</c:v>
                </c:pt>
                <c:pt idx="329">
                  <c:v>40381</c:v>
                </c:pt>
                <c:pt idx="330">
                  <c:v>40374</c:v>
                </c:pt>
                <c:pt idx="331">
                  <c:v>40367</c:v>
                </c:pt>
                <c:pt idx="332">
                  <c:v>40360</c:v>
                </c:pt>
                <c:pt idx="333">
                  <c:v>40353</c:v>
                </c:pt>
                <c:pt idx="334">
                  <c:v>40346</c:v>
                </c:pt>
                <c:pt idx="335">
                  <c:v>40339</c:v>
                </c:pt>
                <c:pt idx="336">
                  <c:v>40332</c:v>
                </c:pt>
                <c:pt idx="337">
                  <c:v>40325</c:v>
                </c:pt>
                <c:pt idx="338">
                  <c:v>40318</c:v>
                </c:pt>
                <c:pt idx="339">
                  <c:v>40311</c:v>
                </c:pt>
                <c:pt idx="340">
                  <c:v>40304</c:v>
                </c:pt>
                <c:pt idx="341">
                  <c:v>40297</c:v>
                </c:pt>
                <c:pt idx="342">
                  <c:v>40290</c:v>
                </c:pt>
                <c:pt idx="343">
                  <c:v>40283</c:v>
                </c:pt>
                <c:pt idx="344">
                  <c:v>40276</c:v>
                </c:pt>
                <c:pt idx="345">
                  <c:v>40269</c:v>
                </c:pt>
                <c:pt idx="346">
                  <c:v>40262</c:v>
                </c:pt>
                <c:pt idx="347">
                  <c:v>40255</c:v>
                </c:pt>
                <c:pt idx="348">
                  <c:v>40248</c:v>
                </c:pt>
                <c:pt idx="349">
                  <c:v>40241</c:v>
                </c:pt>
                <c:pt idx="350">
                  <c:v>40234</c:v>
                </c:pt>
                <c:pt idx="351">
                  <c:v>40227</c:v>
                </c:pt>
                <c:pt idx="352">
                  <c:v>40220</c:v>
                </c:pt>
                <c:pt idx="353">
                  <c:v>40213</c:v>
                </c:pt>
                <c:pt idx="354">
                  <c:v>40206</c:v>
                </c:pt>
                <c:pt idx="355">
                  <c:v>40199</c:v>
                </c:pt>
                <c:pt idx="356">
                  <c:v>40192</c:v>
                </c:pt>
                <c:pt idx="357">
                  <c:v>40185</c:v>
                </c:pt>
                <c:pt idx="358">
                  <c:v>40178</c:v>
                </c:pt>
                <c:pt idx="359">
                  <c:v>40171</c:v>
                </c:pt>
                <c:pt idx="360">
                  <c:v>40164</c:v>
                </c:pt>
                <c:pt idx="361">
                  <c:v>40157</c:v>
                </c:pt>
                <c:pt idx="362">
                  <c:v>40150</c:v>
                </c:pt>
                <c:pt idx="363">
                  <c:v>40142</c:v>
                </c:pt>
                <c:pt idx="364">
                  <c:v>40136</c:v>
                </c:pt>
                <c:pt idx="365">
                  <c:v>40129</c:v>
                </c:pt>
                <c:pt idx="366">
                  <c:v>40122</c:v>
                </c:pt>
                <c:pt idx="367">
                  <c:v>40115</c:v>
                </c:pt>
                <c:pt idx="368">
                  <c:v>40108</c:v>
                </c:pt>
                <c:pt idx="369">
                  <c:v>40101</c:v>
                </c:pt>
                <c:pt idx="370">
                  <c:v>40094</c:v>
                </c:pt>
                <c:pt idx="371">
                  <c:v>40087</c:v>
                </c:pt>
                <c:pt idx="372">
                  <c:v>40080</c:v>
                </c:pt>
                <c:pt idx="373">
                  <c:v>40073</c:v>
                </c:pt>
                <c:pt idx="374">
                  <c:v>40066</c:v>
                </c:pt>
                <c:pt idx="375">
                  <c:v>40059</c:v>
                </c:pt>
                <c:pt idx="376">
                  <c:v>40052</c:v>
                </c:pt>
                <c:pt idx="377">
                  <c:v>40045</c:v>
                </c:pt>
                <c:pt idx="378">
                  <c:v>40038</c:v>
                </c:pt>
                <c:pt idx="379">
                  <c:v>40031</c:v>
                </c:pt>
                <c:pt idx="380">
                  <c:v>40024</c:v>
                </c:pt>
                <c:pt idx="381">
                  <c:v>40017</c:v>
                </c:pt>
                <c:pt idx="382">
                  <c:v>40010</c:v>
                </c:pt>
                <c:pt idx="383">
                  <c:v>40003</c:v>
                </c:pt>
                <c:pt idx="384">
                  <c:v>39996</c:v>
                </c:pt>
                <c:pt idx="385">
                  <c:v>39989</c:v>
                </c:pt>
                <c:pt idx="386">
                  <c:v>39982</c:v>
                </c:pt>
                <c:pt idx="387">
                  <c:v>39975</c:v>
                </c:pt>
                <c:pt idx="388">
                  <c:v>39968</c:v>
                </c:pt>
                <c:pt idx="389">
                  <c:v>39961</c:v>
                </c:pt>
                <c:pt idx="390">
                  <c:v>39954</c:v>
                </c:pt>
                <c:pt idx="391">
                  <c:v>39947</c:v>
                </c:pt>
                <c:pt idx="392">
                  <c:v>39940</c:v>
                </c:pt>
                <c:pt idx="393">
                  <c:v>39933</c:v>
                </c:pt>
                <c:pt idx="394">
                  <c:v>39926</c:v>
                </c:pt>
                <c:pt idx="395">
                  <c:v>39919</c:v>
                </c:pt>
                <c:pt idx="396">
                  <c:v>39912</c:v>
                </c:pt>
                <c:pt idx="397">
                  <c:v>39905</c:v>
                </c:pt>
                <c:pt idx="398">
                  <c:v>39898</c:v>
                </c:pt>
                <c:pt idx="399">
                  <c:v>39891</c:v>
                </c:pt>
                <c:pt idx="400">
                  <c:v>39884</c:v>
                </c:pt>
                <c:pt idx="401">
                  <c:v>39877</c:v>
                </c:pt>
                <c:pt idx="402">
                  <c:v>39870</c:v>
                </c:pt>
                <c:pt idx="403">
                  <c:v>39863</c:v>
                </c:pt>
                <c:pt idx="404">
                  <c:v>39856</c:v>
                </c:pt>
                <c:pt idx="405">
                  <c:v>39849</c:v>
                </c:pt>
                <c:pt idx="406">
                  <c:v>39842</c:v>
                </c:pt>
                <c:pt idx="407">
                  <c:v>39835</c:v>
                </c:pt>
                <c:pt idx="408">
                  <c:v>39828</c:v>
                </c:pt>
                <c:pt idx="409">
                  <c:v>39821</c:v>
                </c:pt>
                <c:pt idx="410">
                  <c:v>39813</c:v>
                </c:pt>
                <c:pt idx="411">
                  <c:v>39806</c:v>
                </c:pt>
                <c:pt idx="412">
                  <c:v>39800</c:v>
                </c:pt>
                <c:pt idx="413">
                  <c:v>39793</c:v>
                </c:pt>
                <c:pt idx="414">
                  <c:v>39786</c:v>
                </c:pt>
                <c:pt idx="415">
                  <c:v>39778</c:v>
                </c:pt>
                <c:pt idx="416">
                  <c:v>39772</c:v>
                </c:pt>
                <c:pt idx="417">
                  <c:v>39765</c:v>
                </c:pt>
                <c:pt idx="418">
                  <c:v>39758</c:v>
                </c:pt>
                <c:pt idx="419">
                  <c:v>39751</c:v>
                </c:pt>
                <c:pt idx="420">
                  <c:v>39744</c:v>
                </c:pt>
                <c:pt idx="421">
                  <c:v>39737</c:v>
                </c:pt>
                <c:pt idx="422">
                  <c:v>39730</c:v>
                </c:pt>
                <c:pt idx="423">
                  <c:v>39723</c:v>
                </c:pt>
                <c:pt idx="424">
                  <c:v>39716</c:v>
                </c:pt>
                <c:pt idx="425">
                  <c:v>39709</c:v>
                </c:pt>
                <c:pt idx="426">
                  <c:v>39702</c:v>
                </c:pt>
                <c:pt idx="427">
                  <c:v>39695</c:v>
                </c:pt>
                <c:pt idx="428">
                  <c:v>39688</c:v>
                </c:pt>
                <c:pt idx="429">
                  <c:v>39681</c:v>
                </c:pt>
                <c:pt idx="430">
                  <c:v>39674</c:v>
                </c:pt>
                <c:pt idx="431">
                  <c:v>39667</c:v>
                </c:pt>
                <c:pt idx="432">
                  <c:v>39660</c:v>
                </c:pt>
                <c:pt idx="433">
                  <c:v>39653</c:v>
                </c:pt>
                <c:pt idx="434">
                  <c:v>39646</c:v>
                </c:pt>
                <c:pt idx="435">
                  <c:v>39639</c:v>
                </c:pt>
                <c:pt idx="436">
                  <c:v>39632</c:v>
                </c:pt>
                <c:pt idx="437">
                  <c:v>39625</c:v>
                </c:pt>
                <c:pt idx="438">
                  <c:v>39618</c:v>
                </c:pt>
                <c:pt idx="439">
                  <c:v>39611</c:v>
                </c:pt>
                <c:pt idx="440">
                  <c:v>39604</c:v>
                </c:pt>
                <c:pt idx="441">
                  <c:v>39597</c:v>
                </c:pt>
                <c:pt idx="442">
                  <c:v>39590</c:v>
                </c:pt>
                <c:pt idx="443">
                  <c:v>39583</c:v>
                </c:pt>
                <c:pt idx="444">
                  <c:v>39576</c:v>
                </c:pt>
                <c:pt idx="445">
                  <c:v>39569</c:v>
                </c:pt>
                <c:pt idx="446">
                  <c:v>39562</c:v>
                </c:pt>
                <c:pt idx="447">
                  <c:v>39555</c:v>
                </c:pt>
                <c:pt idx="448">
                  <c:v>39548</c:v>
                </c:pt>
                <c:pt idx="449">
                  <c:v>39541</c:v>
                </c:pt>
                <c:pt idx="450">
                  <c:v>39534</c:v>
                </c:pt>
                <c:pt idx="451">
                  <c:v>39527</c:v>
                </c:pt>
                <c:pt idx="452">
                  <c:v>39520</c:v>
                </c:pt>
                <c:pt idx="453">
                  <c:v>39513</c:v>
                </c:pt>
                <c:pt idx="454">
                  <c:v>39506</c:v>
                </c:pt>
                <c:pt idx="455">
                  <c:v>39499</c:v>
                </c:pt>
                <c:pt idx="456">
                  <c:v>39492</c:v>
                </c:pt>
                <c:pt idx="457">
                  <c:v>39485</c:v>
                </c:pt>
                <c:pt idx="458">
                  <c:v>39478</c:v>
                </c:pt>
                <c:pt idx="459">
                  <c:v>39471</c:v>
                </c:pt>
                <c:pt idx="460">
                  <c:v>39464</c:v>
                </c:pt>
                <c:pt idx="461">
                  <c:v>39457</c:v>
                </c:pt>
                <c:pt idx="462">
                  <c:v>39450</c:v>
                </c:pt>
              </c:numCache>
            </c:numRef>
          </c:cat>
          <c:val>
            <c:numRef>
              <c:f>Query!$F$3:$F$465</c:f>
              <c:numCache>
                <c:formatCode>0.00</c:formatCode>
                <c:ptCount val="463"/>
                <c:pt idx="0">
                  <c:v>1620.2</c:v>
                </c:pt>
                <c:pt idx="1">
                  <c:v>1648</c:v>
                </c:pt>
                <c:pt idx="2">
                  <c:v>1883</c:v>
                </c:pt>
                <c:pt idx="3">
                  <c:v>1937.8</c:v>
                </c:pt>
                <c:pt idx="4">
                  <c:v>1972.5</c:v>
                </c:pt>
                <c:pt idx="5">
                  <c:v>2075.9</c:v>
                </c:pt>
                <c:pt idx="6">
                  <c:v>2301.9</c:v>
                </c:pt>
                <c:pt idx="7">
                  <c:v>2170.3000000000002</c:v>
                </c:pt>
                <c:pt idx="8">
                  <c:v>2217.4</c:v>
                </c:pt>
                <c:pt idx="9">
                  <c:v>2424.5</c:v>
                </c:pt>
                <c:pt idx="10">
                  <c:v>2382.1999999999998</c:v>
                </c:pt>
                <c:pt idx="11">
                  <c:v>#N/A</c:v>
                </c:pt>
                <c:pt idx="12">
                  <c:v>2296.5</c:v>
                </c:pt>
                <c:pt idx="13">
                  <c:v>2302.4</c:v>
                </c:pt>
                <c:pt idx="14">
                  <c:v>2386.3000000000002</c:v>
                </c:pt>
                <c:pt idx="15">
                  <c:v>2254.9</c:v>
                </c:pt>
                <c:pt idx="16">
                  <c:v>2333.1999999999998</c:v>
                </c:pt>
                <c:pt idx="17">
                  <c:v>2783.1</c:v>
                </c:pt>
                <c:pt idx="18">
                  <c:v>2771.6</c:v>
                </c:pt>
                <c:pt idx="19">
                  <c:v>2474.3000000000002</c:v>
                </c:pt>
                <c:pt idx="20">
                  <c:v>2037</c:v>
                </c:pt>
                <c:pt idx="21">
                  <c:v>2081.1999999999998</c:v>
                </c:pt>
                <c:pt idx="22">
                  <c:v>1967.5</c:v>
                </c:pt>
                <c:pt idx="23">
                  <c:v>1922.8</c:v>
                </c:pt>
                <c:pt idx="24">
                  <c:v>1770.1</c:v>
                </c:pt>
                <c:pt idx="25">
                  <c:v>1866.3</c:v>
                </c:pt>
                <c:pt idx="26">
                  <c:v>1849.7</c:v>
                </c:pt>
                <c:pt idx="27">
                  <c:v>1812</c:v>
                </c:pt>
                <c:pt idx="28">
                  <c:v>1791.9</c:v>
                </c:pt>
                <c:pt idx="29">
                  <c:v>1910.1</c:v>
                </c:pt>
                <c:pt idx="30">
                  <c:v>2072.6</c:v>
                </c:pt>
                <c:pt idx="31">
                  <c:v>2061.1</c:v>
                </c:pt>
                <c:pt idx="32">
                  <c:v>1815.4</c:v>
                </c:pt>
                <c:pt idx="33">
                  <c:v>1671.6</c:v>
                </c:pt>
                <c:pt idx="34">
                  <c:v>1743.3</c:v>
                </c:pt>
                <c:pt idx="35">
                  <c:v>1841.2</c:v>
                </c:pt>
                <c:pt idx="36">
                  <c:v>1928</c:v>
                </c:pt>
                <c:pt idx="37">
                  <c:v>1992.9</c:v>
                </c:pt>
                <c:pt idx="38">
                  <c:v>2099.9</c:v>
                </c:pt>
                <c:pt idx="39">
                  <c:v>2341.5</c:v>
                </c:pt>
                <c:pt idx="40">
                  <c:v>2015.4</c:v>
                </c:pt>
                <c:pt idx="41">
                  <c:v>1726.6</c:v>
                </c:pt>
                <c:pt idx="42">
                  <c:v>1734.4</c:v>
                </c:pt>
                <c:pt idx="43">
                  <c:v>1544.6</c:v>
                </c:pt>
                <c:pt idx="44">
                  <c:v>1273.8</c:v>
                </c:pt>
                <c:pt idx="45">
                  <c:v>1020.5</c:v>
                </c:pt>
                <c:pt idx="46">
                  <c:v>1174.0999999999999</c:v>
                </c:pt>
                <c:pt idx="47">
                  <c:v>1667.4</c:v>
                </c:pt>
                <c:pt idx="48">
                  <c:v>1470.6</c:v>
                </c:pt>
                <c:pt idx="49">
                  <c:v>1451.5</c:v>
                </c:pt>
                <c:pt idx="50">
                  <c:v>1410.2</c:v>
                </c:pt>
                <c:pt idx="51">
                  <c:v>1489</c:v>
                </c:pt>
                <c:pt idx="52">
                  <c:v>1528.7</c:v>
                </c:pt>
                <c:pt idx="53">
                  <c:v>1514.1</c:v>
                </c:pt>
                <c:pt idx="54">
                  <c:v>1548.6</c:v>
                </c:pt>
                <c:pt idx="55">
                  <c:v>1544.8</c:v>
                </c:pt>
                <c:pt idx="56">
                  <c:v>1575.3</c:v>
                </c:pt>
                <c:pt idx="57">
                  <c:v>1534.5</c:v>
                </c:pt>
                <c:pt idx="58">
                  <c:v>2071.6</c:v>
                </c:pt>
                <c:pt idx="59">
                  <c:v>1589.5</c:v>
                </c:pt>
                <c:pt idx="60">
                  <c:v>1759.9</c:v>
                </c:pt>
                <c:pt idx="61">
                  <c:v>1473.7</c:v>
                </c:pt>
                <c:pt idx="62">
                  <c:v>1626.9</c:v>
                </c:pt>
                <c:pt idx="63">
                  <c:v>1857.7</c:v>
                </c:pt>
                <c:pt idx="64">
                  <c:v>1545.5</c:v>
                </c:pt>
                <c:pt idx="65">
                  <c:v>1561.2</c:v>
                </c:pt>
                <c:pt idx="66">
                  <c:v>1455.2</c:v>
                </c:pt>
                <c:pt idx="67">
                  <c:v>1418</c:v>
                </c:pt>
                <c:pt idx="68">
                  <c:v>1339.9</c:v>
                </c:pt>
                <c:pt idx="69">
                  <c:v>1305.5999999999999</c:v>
                </c:pt>
                <c:pt idx="70">
                  <c:v>1332.4</c:v>
                </c:pt>
                <c:pt idx="71">
                  <c:v>1299.9000000000001</c:v>
                </c:pt>
                <c:pt idx="72">
                  <c:v>1246.0999999999999</c:v>
                </c:pt>
                <c:pt idx="73">
                  <c:v>1318.3</c:v>
                </c:pt>
                <c:pt idx="74">
                  <c:v>1273.4000000000001</c:v>
                </c:pt>
                <c:pt idx="75">
                  <c:v>1342.4</c:v>
                </c:pt>
                <c:pt idx="76">
                  <c:v>1233.9000000000001</c:v>
                </c:pt>
                <c:pt idx="77">
                  <c:v>1408.1</c:v>
                </c:pt>
                <c:pt idx="78">
                  <c:v>1448.8</c:v>
                </c:pt>
                <c:pt idx="79">
                  <c:v>1477.8</c:v>
                </c:pt>
                <c:pt idx="80">
                  <c:v>1559.4</c:v>
                </c:pt>
                <c:pt idx="81">
                  <c:v>1723</c:v>
                </c:pt>
                <c:pt idx="82">
                  <c:v>1817</c:v>
                </c:pt>
                <c:pt idx="83">
                  <c:v>1804.6</c:v>
                </c:pt>
                <c:pt idx="84">
                  <c:v>1854.7</c:v>
                </c:pt>
                <c:pt idx="85">
                  <c:v>1941.6</c:v>
                </c:pt>
                <c:pt idx="86">
                  <c:v>1860.8</c:v>
                </c:pt>
                <c:pt idx="87">
                  <c:v>1623.6</c:v>
                </c:pt>
                <c:pt idx="88">
                  <c:v>1685.7</c:v>
                </c:pt>
                <c:pt idx="89">
                  <c:v>1740.3</c:v>
                </c:pt>
                <c:pt idx="90">
                  <c:v>1703.1</c:v>
                </c:pt>
                <c:pt idx="91">
                  <c:v>1904.2</c:v>
                </c:pt>
                <c:pt idx="92">
                  <c:v>2291.3000000000002</c:v>
                </c:pt>
                <c:pt idx="93">
                  <c:v>2584.8000000000002</c:v>
                </c:pt>
                <c:pt idx="94">
                  <c:v>2572.3000000000002</c:v>
                </c:pt>
                <c:pt idx="95">
                  <c:v>2799.3</c:v>
                </c:pt>
                <c:pt idx="96">
                  <c:v>2271.5</c:v>
                </c:pt>
                <c:pt idx="97">
                  <c:v>1347.6</c:v>
                </c:pt>
                <c:pt idx="98">
                  <c:v>1164.2</c:v>
                </c:pt>
                <c:pt idx="99">
                  <c:v>1538.7</c:v>
                </c:pt>
                <c:pt idx="100">
                  <c:v>1518.8</c:v>
                </c:pt>
                <c:pt idx="101">
                  <c:v>1548.6</c:v>
                </c:pt>
                <c:pt idx="102">
                  <c:v>#N/A</c:v>
                </c:pt>
                <c:pt idx="103">
                  <c:v>1547.9</c:v>
                </c:pt>
                <c:pt idx="104">
                  <c:v>1563.2</c:v>
                </c:pt>
                <c:pt idx="105">
                  <c:v>1565.3</c:v>
                </c:pt>
                <c:pt idx="106">
                  <c:v>1604.8</c:v>
                </c:pt>
                <c:pt idx="107">
                  <c:v>1713.6</c:v>
                </c:pt>
                <c:pt idx="108">
                  <c:v>1898.2</c:v>
                </c:pt>
                <c:pt idx="109">
                  <c:v>1560.6</c:v>
                </c:pt>
                <c:pt idx="110">
                  <c:v>1387.1</c:v>
                </c:pt>
                <c:pt idx="111">
                  <c:v>1326.2</c:v>
                </c:pt>
                <c:pt idx="112">
                  <c:v>1335.1</c:v>
                </c:pt>
                <c:pt idx="113">
                  <c:v>1398.4</c:v>
                </c:pt>
                <c:pt idx="114">
                  <c:v>1275.8</c:v>
                </c:pt>
                <c:pt idx="115">
                  <c:v>1436</c:v>
                </c:pt>
                <c:pt idx="116">
                  <c:v>1439.4</c:v>
                </c:pt>
                <c:pt idx="117">
                  <c:v>1404.9</c:v>
                </c:pt>
                <c:pt idx="118">
                  <c:v>1342.6</c:v>
                </c:pt>
                <c:pt idx="119">
                  <c:v>1373.9</c:v>
                </c:pt>
                <c:pt idx="120">
                  <c:v>1327.5</c:v>
                </c:pt>
                <c:pt idx="121">
                  <c:v>1400.7</c:v>
                </c:pt>
                <c:pt idx="122">
                  <c:v>1329.7</c:v>
                </c:pt>
                <c:pt idx="123">
                  <c:v>1346.8</c:v>
                </c:pt>
                <c:pt idx="124">
                  <c:v>1341.8</c:v>
                </c:pt>
                <c:pt idx="125">
                  <c:v>1333.5</c:v>
                </c:pt>
                <c:pt idx="126">
                  <c:v>1321.3</c:v>
                </c:pt>
                <c:pt idx="127">
                  <c:v>1516.9</c:v>
                </c:pt>
                <c:pt idx="128">
                  <c:v>1382.6</c:v>
                </c:pt>
                <c:pt idx="129">
                  <c:v>1453.4</c:v>
                </c:pt>
                <c:pt idx="130">
                  <c:v>1460.6</c:v>
                </c:pt>
                <c:pt idx="131">
                  <c:v>1400.9</c:v>
                </c:pt>
                <c:pt idx="132">
                  <c:v>1323.9</c:v>
                </c:pt>
                <c:pt idx="133">
                  <c:v>1298.0999999999999</c:v>
                </c:pt>
                <c:pt idx="134">
                  <c:v>1370.9</c:v>
                </c:pt>
                <c:pt idx="135">
                  <c:v>1429.9</c:v>
                </c:pt>
                <c:pt idx="136">
                  <c:v>1324.7</c:v>
                </c:pt>
                <c:pt idx="137">
                  <c:v>1383.5</c:v>
                </c:pt>
                <c:pt idx="138">
                  <c:v>1426.3</c:v>
                </c:pt>
                <c:pt idx="139">
                  <c:v>1552.1</c:v>
                </c:pt>
                <c:pt idx="140">
                  <c:v>1528</c:v>
                </c:pt>
                <c:pt idx="141">
                  <c:v>1600.6</c:v>
                </c:pt>
                <c:pt idx="142">
                  <c:v>1442.3</c:v>
                </c:pt>
                <c:pt idx="143">
                  <c:v>1650.6</c:v>
                </c:pt>
                <c:pt idx="144">
                  <c:v>1674.2</c:v>
                </c:pt>
                <c:pt idx="145">
                  <c:v>1667.5</c:v>
                </c:pt>
                <c:pt idx="146">
                  <c:v>1601.2</c:v>
                </c:pt>
                <c:pt idx="147">
                  <c:v>1675.8</c:v>
                </c:pt>
                <c:pt idx="148">
                  <c:v>1507</c:v>
                </c:pt>
                <c:pt idx="149">
                  <c:v>1352.7</c:v>
                </c:pt>
                <c:pt idx="150">
                  <c:v>1277.8</c:v>
                </c:pt>
                <c:pt idx="151">
                  <c:v>1426.7</c:v>
                </c:pt>
                <c:pt idx="152">
                  <c:v>1529.8</c:v>
                </c:pt>
                <c:pt idx="153">
                  <c:v>1599.4</c:v>
                </c:pt>
                <c:pt idx="154">
                  <c:v>#N/A</c:v>
                </c:pt>
                <c:pt idx="155">
                  <c:v>1917.2</c:v>
                </c:pt>
                <c:pt idx="156">
                  <c:v>1903.5</c:v>
                </c:pt>
                <c:pt idx="157">
                  <c:v>2056.9</c:v>
                </c:pt>
                <c:pt idx="158">
                  <c:v>2105.6</c:v>
                </c:pt>
                <c:pt idx="159">
                  <c:v>2211.8000000000002</c:v>
                </c:pt>
                <c:pt idx="160">
                  <c:v>2033.7</c:v>
                </c:pt>
                <c:pt idx="161">
                  <c:v>2102.6999999999998</c:v>
                </c:pt>
                <c:pt idx="162">
                  <c:v>2025.3</c:v>
                </c:pt>
                <c:pt idx="163">
                  <c:v>1956.6</c:v>
                </c:pt>
                <c:pt idx="164">
                  <c:v>1922.9</c:v>
                </c:pt>
                <c:pt idx="165">
                  <c:v>1814</c:v>
                </c:pt>
                <c:pt idx="166">
                  <c:v>1512.9</c:v>
                </c:pt>
                <c:pt idx="167">
                  <c:v>1909</c:v>
                </c:pt>
                <c:pt idx="168">
                  <c:v>1842.6</c:v>
                </c:pt>
                <c:pt idx="169">
                  <c:v>1935.1</c:v>
                </c:pt>
                <c:pt idx="170">
                  <c:v>2110.6</c:v>
                </c:pt>
                <c:pt idx="171">
                  <c:v>2228.9</c:v>
                </c:pt>
                <c:pt idx="172">
                  <c:v>2218.3000000000002</c:v>
                </c:pt>
                <c:pt idx="173">
                  <c:v>2288</c:v>
                </c:pt>
                <c:pt idx="174">
                  <c:v>2242.1999999999998</c:v>
                </c:pt>
                <c:pt idx="175">
                  <c:v>#N/A</c:v>
                </c:pt>
                <c:pt idx="176">
                  <c:v>2573.4</c:v>
                </c:pt>
                <c:pt idx="177">
                  <c:v>3040.1</c:v>
                </c:pt>
                <c:pt idx="178">
                  <c:v>3214.4</c:v>
                </c:pt>
                <c:pt idx="179">
                  <c:v>3339.8</c:v>
                </c:pt>
                <c:pt idx="180">
                  <c:v>3163.6</c:v>
                </c:pt>
                <c:pt idx="181">
                  <c:v>3709.4</c:v>
                </c:pt>
                <c:pt idx="182">
                  <c:v>4241.5</c:v>
                </c:pt>
                <c:pt idx="183">
                  <c:v>4797.2</c:v>
                </c:pt>
                <c:pt idx="184">
                  <c:v>5279.9</c:v>
                </c:pt>
                <c:pt idx="185">
                  <c:v>4854.1000000000004</c:v>
                </c:pt>
                <c:pt idx="186">
                  <c:v>4672.1000000000004</c:v>
                </c:pt>
                <c:pt idx="187">
                  <c:v>4726.8999999999996</c:v>
                </c:pt>
                <c:pt idx="188">
                  <c:v>4528.8999999999996</c:v>
                </c:pt>
                <c:pt idx="189">
                  <c:v>4119.2</c:v>
                </c:pt>
                <c:pt idx="190">
                  <c:v>4412.8999999999996</c:v>
                </c:pt>
                <c:pt idx="191">
                  <c:v>4111.3</c:v>
                </c:pt>
                <c:pt idx="192">
                  <c:v>4485.2</c:v>
                </c:pt>
                <c:pt idx="193">
                  <c:v>4724.8999999999996</c:v>
                </c:pt>
                <c:pt idx="194">
                  <c:v>4136.3</c:v>
                </c:pt>
                <c:pt idx="195">
                  <c:v>4261.8</c:v>
                </c:pt>
                <c:pt idx="196">
                  <c:v>4284.3</c:v>
                </c:pt>
                <c:pt idx="197">
                  <c:v>4579</c:v>
                </c:pt>
                <c:pt idx="198">
                  <c:v>4433.6000000000004</c:v>
                </c:pt>
                <c:pt idx="199">
                  <c:v>4937.3999999999996</c:v>
                </c:pt>
                <c:pt idx="200">
                  <c:v>4554.3999999999996</c:v>
                </c:pt>
                <c:pt idx="201">
                  <c:v>3896.4</c:v>
                </c:pt>
                <c:pt idx="202">
                  <c:v>3488.9</c:v>
                </c:pt>
                <c:pt idx="203">
                  <c:v>3983.2</c:v>
                </c:pt>
                <c:pt idx="204">
                  <c:v>4564.3999999999996</c:v>
                </c:pt>
                <c:pt idx="205">
                  <c:v>5368.1</c:v>
                </c:pt>
                <c:pt idx="206">
                  <c:v>4943</c:v>
                </c:pt>
                <c:pt idx="207">
                  <c:v>#N/A</c:v>
                </c:pt>
                <c:pt idx="208">
                  <c:v>4702.3999999999996</c:v>
                </c:pt>
                <c:pt idx="209">
                  <c:v>4856.1000000000004</c:v>
                </c:pt>
                <c:pt idx="210">
                  <c:v>4297.7</c:v>
                </c:pt>
                <c:pt idx="211">
                  <c:v>4550.7</c:v>
                </c:pt>
                <c:pt idx="212">
                  <c:v>4847.2</c:v>
                </c:pt>
                <c:pt idx="213">
                  <c:v>5572.2</c:v>
                </c:pt>
                <c:pt idx="214">
                  <c:v>5892.5</c:v>
                </c:pt>
                <c:pt idx="215">
                  <c:v>5965.5</c:v>
                </c:pt>
                <c:pt idx="216">
                  <c:v>4979</c:v>
                </c:pt>
                <c:pt idx="217">
                  <c:v>4823.3</c:v>
                </c:pt>
                <c:pt idx="218">
                  <c:v>4779.1000000000004</c:v>
                </c:pt>
                <c:pt idx="219">
                  <c:v>4274.8</c:v>
                </c:pt>
                <c:pt idx="220">
                  <c:v>4414.6000000000004</c:v>
                </c:pt>
                <c:pt idx="221">
                  <c:v>4671.1000000000004</c:v>
                </c:pt>
                <c:pt idx="222">
                  <c:v>5172.2</c:v>
                </c:pt>
                <c:pt idx="223">
                  <c:v>5444.3</c:v>
                </c:pt>
                <c:pt idx="224">
                  <c:v>5492.1</c:v>
                </c:pt>
                <c:pt idx="225">
                  <c:v>5383.1</c:v>
                </c:pt>
                <c:pt idx="226">
                  <c:v>5246.8</c:v>
                </c:pt>
                <c:pt idx="227">
                  <c:v>4267.8999999999996</c:v>
                </c:pt>
                <c:pt idx="228">
                  <c:v>4372.2</c:v>
                </c:pt>
                <c:pt idx="229">
                  <c:v>4585.8</c:v>
                </c:pt>
                <c:pt idx="230">
                  <c:v>4719.6000000000004</c:v>
                </c:pt>
                <c:pt idx="231">
                  <c:v>5590</c:v>
                </c:pt>
                <c:pt idx="232">
                  <c:v>4736</c:v>
                </c:pt>
                <c:pt idx="233">
                  <c:v>4675.8999999999996</c:v>
                </c:pt>
                <c:pt idx="234">
                  <c:v>4732</c:v>
                </c:pt>
                <c:pt idx="235">
                  <c:v>4482</c:v>
                </c:pt>
                <c:pt idx="236">
                  <c:v>3924.4</c:v>
                </c:pt>
                <c:pt idx="237">
                  <c:v>3856</c:v>
                </c:pt>
                <c:pt idx="238">
                  <c:v>3892.2</c:v>
                </c:pt>
                <c:pt idx="239">
                  <c:v>4144.3</c:v>
                </c:pt>
                <c:pt idx="240">
                  <c:v>3549.3</c:v>
                </c:pt>
                <c:pt idx="241">
                  <c:v>3699.5</c:v>
                </c:pt>
                <c:pt idx="242">
                  <c:v>3588.4</c:v>
                </c:pt>
                <c:pt idx="243">
                  <c:v>3715.2</c:v>
                </c:pt>
                <c:pt idx="244">
                  <c:v>4063.4</c:v>
                </c:pt>
                <c:pt idx="245">
                  <c:v>4277.6000000000004</c:v>
                </c:pt>
                <c:pt idx="246">
                  <c:v>4379.1000000000004</c:v>
                </c:pt>
                <c:pt idx="247">
                  <c:v>4466.8999999999996</c:v>
                </c:pt>
                <c:pt idx="248">
                  <c:v>4716.1000000000004</c:v>
                </c:pt>
                <c:pt idx="249">
                  <c:v>4617.1000000000004</c:v>
                </c:pt>
                <c:pt idx="250">
                  <c:v>4184.3</c:v>
                </c:pt>
                <c:pt idx="251">
                  <c:v>4326.3999999999996</c:v>
                </c:pt>
                <c:pt idx="252">
                  <c:v>4626.5</c:v>
                </c:pt>
                <c:pt idx="253">
                  <c:v>3668.3</c:v>
                </c:pt>
                <c:pt idx="254">
                  <c:v>3608.1</c:v>
                </c:pt>
                <c:pt idx="255">
                  <c:v>3684.5</c:v>
                </c:pt>
                <c:pt idx="256">
                  <c:v>3676.1</c:v>
                </c:pt>
                <c:pt idx="257">
                  <c:v>3708.6</c:v>
                </c:pt>
                <c:pt idx="258">
                  <c:v>3394.7</c:v>
                </c:pt>
                <c:pt idx="259">
                  <c:v>#N/A</c:v>
                </c:pt>
                <c:pt idx="260">
                  <c:v>3466.8</c:v>
                </c:pt>
                <c:pt idx="261">
                  <c:v>3664.5</c:v>
                </c:pt>
                <c:pt idx="262">
                  <c:v>4137.6000000000004</c:v>
                </c:pt>
                <c:pt idx="263">
                  <c:v>3695</c:v>
                </c:pt>
                <c:pt idx="264">
                  <c:v>3719.3</c:v>
                </c:pt>
                <c:pt idx="265">
                  <c:v>3553.2</c:v>
                </c:pt>
                <c:pt idx="266">
                  <c:v>4251.1000000000004</c:v>
                </c:pt>
                <c:pt idx="267">
                  <c:v>4241.8</c:v>
                </c:pt>
                <c:pt idx="268">
                  <c:v>4512.1000000000004</c:v>
                </c:pt>
                <c:pt idx="269">
                  <c:v>4033.8</c:v>
                </c:pt>
                <c:pt idx="270">
                  <c:v>3571.7</c:v>
                </c:pt>
                <c:pt idx="271">
                  <c:v>3372</c:v>
                </c:pt>
                <c:pt idx="272">
                  <c:v>3601.3</c:v>
                </c:pt>
                <c:pt idx="273">
                  <c:v>4110.8</c:v>
                </c:pt>
                <c:pt idx="274">
                  <c:v>4184.3999999999996</c:v>
                </c:pt>
                <c:pt idx="275">
                  <c:v>3880.9</c:v>
                </c:pt>
                <c:pt idx="276">
                  <c:v>2974.1</c:v>
                </c:pt>
                <c:pt idx="277">
                  <c:v>2769.6</c:v>
                </c:pt>
                <c:pt idx="278">
                  <c:v>2923.8</c:v>
                </c:pt>
                <c:pt idx="279">
                  <c:v>2362.6999999999998</c:v>
                </c:pt>
                <c:pt idx="280">
                  <c:v>2527.5</c:v>
                </c:pt>
                <c:pt idx="281">
                  <c:v>2809.5</c:v>
                </c:pt>
                <c:pt idx="282">
                  <c:v>2857.9</c:v>
                </c:pt>
                <c:pt idx="283">
                  <c:v>3101.7</c:v>
                </c:pt>
                <c:pt idx="284">
                  <c:v>2648</c:v>
                </c:pt>
                <c:pt idx="285">
                  <c:v>2619.6999999999998</c:v>
                </c:pt>
                <c:pt idx="286">
                  <c:v>2764.6</c:v>
                </c:pt>
                <c:pt idx="287">
                  <c:v>2742.2</c:v>
                </c:pt>
                <c:pt idx="288">
                  <c:v>2414.9</c:v>
                </c:pt>
                <c:pt idx="289">
                  <c:v>2220.1</c:v>
                </c:pt>
                <c:pt idx="290">
                  <c:v>2091.4</c:v>
                </c:pt>
                <c:pt idx="291">
                  <c:v>2065.3000000000002</c:v>
                </c:pt>
                <c:pt idx="292">
                  <c:v>2010.6</c:v>
                </c:pt>
                <c:pt idx="293">
                  <c:v>2194.4</c:v>
                </c:pt>
                <c:pt idx="294">
                  <c:v>2350.6999999999998</c:v>
                </c:pt>
                <c:pt idx="295">
                  <c:v>2620.8000000000002</c:v>
                </c:pt>
                <c:pt idx="296">
                  <c:v>2563.6</c:v>
                </c:pt>
                <c:pt idx="297">
                  <c:v>2539.4</c:v>
                </c:pt>
                <c:pt idx="298">
                  <c:v>2155.5</c:v>
                </c:pt>
                <c:pt idx="299">
                  <c:v>2325.3000000000002</c:v>
                </c:pt>
                <c:pt idx="300">
                  <c:v>1953.2</c:v>
                </c:pt>
                <c:pt idx="301">
                  <c:v>2190.4</c:v>
                </c:pt>
                <c:pt idx="302">
                  <c:v>2371.1</c:v>
                </c:pt>
                <c:pt idx="303">
                  <c:v>2129.6999999999998</c:v>
                </c:pt>
                <c:pt idx="304">
                  <c:v>2528.6999999999998</c:v>
                </c:pt>
                <c:pt idx="305">
                  <c:v>2344.3000000000002</c:v>
                </c:pt>
                <c:pt idx="306">
                  <c:v>2249.6</c:v>
                </c:pt>
                <c:pt idx="307">
                  <c:v>2185.5</c:v>
                </c:pt>
                <c:pt idx="308">
                  <c:v>2319.9</c:v>
                </c:pt>
                <c:pt idx="309">
                  <c:v>3067.3</c:v>
                </c:pt>
                <c:pt idx="310">
                  <c:v>3066.2</c:v>
                </c:pt>
                <c:pt idx="311">
                  <c:v>#N/A</c:v>
                </c:pt>
                <c:pt idx="312">
                  <c:v>4009.2</c:v>
                </c:pt>
                <c:pt idx="313">
                  <c:v>4015.2</c:v>
                </c:pt>
                <c:pt idx="314">
                  <c:v>4836.3999999999996</c:v>
                </c:pt>
                <c:pt idx="315">
                  <c:v>4568.1000000000004</c:v>
                </c:pt>
                <c:pt idx="316">
                  <c:v>4904.2</c:v>
                </c:pt>
                <c:pt idx="317">
                  <c:v>4768.6000000000004</c:v>
                </c:pt>
                <c:pt idx="318">
                  <c:v>5455.4</c:v>
                </c:pt>
                <c:pt idx="319">
                  <c:v>4395.5</c:v>
                </c:pt>
                <c:pt idx="320">
                  <c:v>4549.3</c:v>
                </c:pt>
                <c:pt idx="321">
                  <c:v>4624.6000000000004</c:v>
                </c:pt>
                <c:pt idx="322">
                  <c:v>4663.8</c:v>
                </c:pt>
                <c:pt idx="323">
                  <c:v>5214.6000000000004</c:v>
                </c:pt>
                <c:pt idx="324">
                  <c:v>5431.5</c:v>
                </c:pt>
                <c:pt idx="325">
                  <c:v>5260.7</c:v>
                </c:pt>
                <c:pt idx="326">
                  <c:v>4940.8999999999996</c:v>
                </c:pt>
                <c:pt idx="327">
                  <c:v>4147.1000000000004</c:v>
                </c:pt>
                <c:pt idx="328">
                  <c:v>4155.5</c:v>
                </c:pt>
                <c:pt idx="329">
                  <c:v>4097.3</c:v>
                </c:pt>
                <c:pt idx="330">
                  <c:v>4345.3999999999996</c:v>
                </c:pt>
                <c:pt idx="331">
                  <c:v>3925.8</c:v>
                </c:pt>
                <c:pt idx="332">
                  <c:v>3925.9</c:v>
                </c:pt>
                <c:pt idx="333">
                  <c:v>3546.2</c:v>
                </c:pt>
                <c:pt idx="334">
                  <c:v>3107.1</c:v>
                </c:pt>
                <c:pt idx="335">
                  <c:v>3387.8</c:v>
                </c:pt>
                <c:pt idx="336">
                  <c:v>2781.6</c:v>
                </c:pt>
                <c:pt idx="337">
                  <c:v>3239.2</c:v>
                </c:pt>
                <c:pt idx="338">
                  <c:v>3154.9</c:v>
                </c:pt>
                <c:pt idx="339">
                  <c:v>2668.6</c:v>
                </c:pt>
                <c:pt idx="340">
                  <c:v>2303.6</c:v>
                </c:pt>
                <c:pt idx="341">
                  <c:v>1953.3</c:v>
                </c:pt>
                <c:pt idx="342">
                  <c:v>1984.5</c:v>
                </c:pt>
                <c:pt idx="343">
                  <c:v>2217</c:v>
                </c:pt>
                <c:pt idx="344">
                  <c:v>1892.5</c:v>
                </c:pt>
                <c:pt idx="345">
                  <c:v>2051.3000000000002</c:v>
                </c:pt>
                <c:pt idx="346">
                  <c:v>2577.1999999999998</c:v>
                </c:pt>
                <c:pt idx="347">
                  <c:v>2617.6999999999998</c:v>
                </c:pt>
                <c:pt idx="348">
                  <c:v>2847.2</c:v>
                </c:pt>
                <c:pt idx="349">
                  <c:v>2937.6</c:v>
                </c:pt>
                <c:pt idx="350">
                  <c:v>2971.5</c:v>
                </c:pt>
                <c:pt idx="351">
                  <c:v>2474.9</c:v>
                </c:pt>
                <c:pt idx="352">
                  <c:v>2781.2</c:v>
                </c:pt>
                <c:pt idx="353">
                  <c:v>2807.8</c:v>
                </c:pt>
                <c:pt idx="354">
                  <c:v>2763.6</c:v>
                </c:pt>
                <c:pt idx="355">
                  <c:v>2192.1</c:v>
                </c:pt>
                <c:pt idx="356">
                  <c:v>2638.2</c:v>
                </c:pt>
                <c:pt idx="357">
                  <c:v>2430</c:v>
                </c:pt>
                <c:pt idx="358">
                  <c:v>2021.1</c:v>
                </c:pt>
                <c:pt idx="359">
                  <c:v>2038.4</c:v>
                </c:pt>
                <c:pt idx="360">
                  <c:v>2988.7</c:v>
                </c:pt>
                <c:pt idx="361">
                  <c:v>3354</c:v>
                </c:pt>
                <c:pt idx="362">
                  <c:v>3312.7</c:v>
                </c:pt>
                <c:pt idx="363">
                  <c:v>#N/A</c:v>
                </c:pt>
                <c:pt idx="364">
                  <c:v>2815.1</c:v>
                </c:pt>
                <c:pt idx="365">
                  <c:v>3117</c:v>
                </c:pt>
                <c:pt idx="366">
                  <c:v>2996</c:v>
                </c:pt>
                <c:pt idx="367">
                  <c:v>2715.2</c:v>
                </c:pt>
                <c:pt idx="368">
                  <c:v>2304</c:v>
                </c:pt>
                <c:pt idx="369">
                  <c:v>2774.7</c:v>
                </c:pt>
                <c:pt idx="370">
                  <c:v>3280.3</c:v>
                </c:pt>
                <c:pt idx="371">
                  <c:v>3230.9</c:v>
                </c:pt>
                <c:pt idx="372">
                  <c:v>2655.8</c:v>
                </c:pt>
                <c:pt idx="373">
                  <c:v>2632.2</c:v>
                </c:pt>
                <c:pt idx="374">
                  <c:v>2216.3000000000002</c:v>
                </c:pt>
                <c:pt idx="375">
                  <c:v>2383.6999999999998</c:v>
                </c:pt>
                <c:pt idx="376">
                  <c:v>1955.9</c:v>
                </c:pt>
                <c:pt idx="377">
                  <c:v>1983.2</c:v>
                </c:pt>
                <c:pt idx="378">
                  <c:v>1782.2</c:v>
                </c:pt>
                <c:pt idx="379">
                  <c:v>1659.1</c:v>
                </c:pt>
                <c:pt idx="380">
                  <c:v>1826</c:v>
                </c:pt>
                <c:pt idx="381">
                  <c:v>1702.7</c:v>
                </c:pt>
                <c:pt idx="382">
                  <c:v>1982.8</c:v>
                </c:pt>
                <c:pt idx="383">
                  <c:v>1915.5</c:v>
                </c:pt>
                <c:pt idx="384">
                  <c:v>1583.5</c:v>
                </c:pt>
                <c:pt idx="385">
                  <c:v>1328.1</c:v>
                </c:pt>
                <c:pt idx="386">
                  <c:v>1504.6</c:v>
                </c:pt>
                <c:pt idx="387">
                  <c:v>1482.7</c:v>
                </c:pt>
                <c:pt idx="388">
                  <c:v>2156.5</c:v>
                </c:pt>
                <c:pt idx="389">
                  <c:v>2583</c:v>
                </c:pt>
                <c:pt idx="390">
                  <c:v>3590.1</c:v>
                </c:pt>
                <c:pt idx="391">
                  <c:v>4586.2</c:v>
                </c:pt>
                <c:pt idx="392">
                  <c:v>4353.1000000000004</c:v>
                </c:pt>
                <c:pt idx="393">
                  <c:v>5084.2</c:v>
                </c:pt>
                <c:pt idx="394">
                  <c:v>4957.8999999999996</c:v>
                </c:pt>
                <c:pt idx="395">
                  <c:v>6547.2</c:v>
                </c:pt>
                <c:pt idx="396">
                  <c:v>6127.3</c:v>
                </c:pt>
                <c:pt idx="397">
                  <c:v>6734.2</c:v>
                </c:pt>
                <c:pt idx="398">
                  <c:v>6522</c:v>
                </c:pt>
                <c:pt idx="399">
                  <c:v>6374.7</c:v>
                </c:pt>
                <c:pt idx="400">
                  <c:v>4428.1000000000004</c:v>
                </c:pt>
                <c:pt idx="401">
                  <c:v>3352.8</c:v>
                </c:pt>
                <c:pt idx="402">
                  <c:v>2945.5</c:v>
                </c:pt>
                <c:pt idx="403">
                  <c:v>3531.5</c:v>
                </c:pt>
                <c:pt idx="404">
                  <c:v>4564.5</c:v>
                </c:pt>
                <c:pt idx="405">
                  <c:v>2611.1</c:v>
                </c:pt>
                <c:pt idx="406">
                  <c:v>3871.3</c:v>
                </c:pt>
                <c:pt idx="407">
                  <c:v>3300.6</c:v>
                </c:pt>
                <c:pt idx="408">
                  <c:v>6768.6</c:v>
                </c:pt>
                <c:pt idx="409">
                  <c:v>7842.7</c:v>
                </c:pt>
                <c:pt idx="410">
                  <c:v>#N/A</c:v>
                </c:pt>
                <c:pt idx="411">
                  <c:v>#N/A</c:v>
                </c:pt>
                <c:pt idx="412">
                  <c:v>7098.9</c:v>
                </c:pt>
                <c:pt idx="413">
                  <c:v>4013.2</c:v>
                </c:pt>
                <c:pt idx="414">
                  <c:v>3746.9</c:v>
                </c:pt>
                <c:pt idx="415">
                  <c:v>#N/A</c:v>
                </c:pt>
                <c:pt idx="416">
                  <c:v>896.8</c:v>
                </c:pt>
                <c:pt idx="417">
                  <c:v>927.3</c:v>
                </c:pt>
                <c:pt idx="418">
                  <c:v>907.7</c:v>
                </c:pt>
                <c:pt idx="419">
                  <c:v>688.8</c:v>
                </c:pt>
                <c:pt idx="420">
                  <c:v>1135.5999999999999</c:v>
                </c:pt>
                <c:pt idx="421">
                  <c:v>798</c:v>
                </c:pt>
                <c:pt idx="422">
                  <c:v>1190.8</c:v>
                </c:pt>
                <c:pt idx="423">
                  <c:v>999.6</c:v>
                </c:pt>
                <c:pt idx="424">
                  <c:v>1026</c:v>
                </c:pt>
                <c:pt idx="425">
                  <c:v>1756.8</c:v>
                </c:pt>
                <c:pt idx="426">
                  <c:v>2068.5</c:v>
                </c:pt>
                <c:pt idx="427">
                  <c:v>998.3</c:v>
                </c:pt>
                <c:pt idx="428">
                  <c:v>825</c:v>
                </c:pt>
                <c:pt idx="429">
                  <c:v>793.9</c:v>
                </c:pt>
                <c:pt idx="430">
                  <c:v>815.2</c:v>
                </c:pt>
                <c:pt idx="431">
                  <c:v>853.1</c:v>
                </c:pt>
                <c:pt idx="432">
                  <c:v>897.7</c:v>
                </c:pt>
                <c:pt idx="433">
                  <c:v>874.1</c:v>
                </c:pt>
                <c:pt idx="434">
                  <c:v>1213.9000000000001</c:v>
                </c:pt>
                <c:pt idx="435">
                  <c:v>1270.5999999999999</c:v>
                </c:pt>
                <c:pt idx="436">
                  <c:v>1166.5</c:v>
                </c:pt>
                <c:pt idx="437">
                  <c:v>1111.3</c:v>
                </c:pt>
                <c:pt idx="438">
                  <c:v>1044.5999999999999</c:v>
                </c:pt>
                <c:pt idx="439">
                  <c:v>1219.7</c:v>
                </c:pt>
                <c:pt idx="440">
                  <c:v>1477.5</c:v>
                </c:pt>
                <c:pt idx="441">
                  <c:v>1387.8</c:v>
                </c:pt>
                <c:pt idx="442">
                  <c:v>1930.4</c:v>
                </c:pt>
                <c:pt idx="443">
                  <c:v>2135.8000000000002</c:v>
                </c:pt>
                <c:pt idx="444">
                  <c:v>2388.8000000000002</c:v>
                </c:pt>
                <c:pt idx="445">
                  <c:v>2195</c:v>
                </c:pt>
                <c:pt idx="446">
                  <c:v>1809.5</c:v>
                </c:pt>
                <c:pt idx="447">
                  <c:v>2215.6999999999998</c:v>
                </c:pt>
                <c:pt idx="448">
                  <c:v>2880.7</c:v>
                </c:pt>
                <c:pt idx="449">
                  <c:v>2709.1</c:v>
                </c:pt>
                <c:pt idx="450">
                  <c:v>2653.2</c:v>
                </c:pt>
                <c:pt idx="451">
                  <c:v>4468.3999999999996</c:v>
                </c:pt>
                <c:pt idx="452">
                  <c:v>2338.8000000000002</c:v>
                </c:pt>
                <c:pt idx="453">
                  <c:v>2519.4</c:v>
                </c:pt>
                <c:pt idx="454">
                  <c:v>2667.8</c:v>
                </c:pt>
                <c:pt idx="455">
                  <c:v>2571.6</c:v>
                </c:pt>
                <c:pt idx="456">
                  <c:v>3784.1</c:v>
                </c:pt>
                <c:pt idx="457">
                  <c:v>5362.6</c:v>
                </c:pt>
                <c:pt idx="458">
                  <c:v>5523.9</c:v>
                </c:pt>
                <c:pt idx="459">
                  <c:v>5682.2</c:v>
                </c:pt>
                <c:pt idx="460">
                  <c:v>4588.3999999999996</c:v>
                </c:pt>
                <c:pt idx="461">
                  <c:v>3923.5</c:v>
                </c:pt>
                <c:pt idx="462">
                  <c:v>2729.3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362752"/>
        <c:axId val="362243200"/>
      </c:lineChart>
      <c:dateAx>
        <c:axId val="359554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59793792"/>
        <c:crosses val="autoZero"/>
        <c:auto val="1"/>
        <c:lblOffset val="100"/>
        <c:baseTimeUnit val="days"/>
        <c:majorUnit val="6"/>
        <c:majorTimeUnit val="months"/>
      </c:dateAx>
      <c:valAx>
        <c:axId val="35979379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59554048"/>
        <c:crosses val="autoZero"/>
        <c:crossBetween val="between"/>
      </c:valAx>
      <c:valAx>
        <c:axId val="362243200"/>
        <c:scaling>
          <c:orientation val="minMax"/>
          <c:max val="6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62362752"/>
        <c:crosses val="max"/>
        <c:crossBetween val="between"/>
      </c:valAx>
      <c:dateAx>
        <c:axId val="3623627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62243200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37</xdr:row>
      <xdr:rowOff>142875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539751</xdr:colOff>
      <xdr:row>10</xdr:row>
      <xdr:rowOff>133350</xdr:rowOff>
    </xdr:from>
    <xdr:to>
      <xdr:col>13</xdr:col>
      <xdr:colOff>381001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561974</xdr:colOff>
      <xdr:row>52</xdr:row>
      <xdr:rowOff>57150</xdr:rowOff>
    </xdr:from>
    <xdr:to>
      <xdr:col>11</xdr:col>
      <xdr:colOff>171449</xdr:colOff>
      <xdr:row>56</xdr:row>
      <xdr:rowOff>85725</xdr:rowOff>
    </xdr:to>
    <xdr:sp macro="" textlink="">
      <xdr:nvSpPr>
        <xdr:cNvPr id="9" name="TextBox 8"/>
        <xdr:cNvSpPr txBox="1"/>
      </xdr:nvSpPr>
      <xdr:spPr>
        <a:xfrm>
          <a:off x="2390774" y="8467725"/>
          <a:ext cx="4924425" cy="704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The refinancible</a:t>
          </a:r>
          <a:r>
            <a:rPr lang="en-US" sz="1000" baseline="0"/>
            <a:t> loans should be:</a:t>
          </a:r>
          <a:endParaRPr lang="en-US" sz="1000"/>
        </a:p>
        <a:p>
          <a:r>
            <a:rPr lang="en-US" sz="1000"/>
            <a:t>1)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 bps in the money;</a:t>
          </a:r>
          <a:endParaRPr lang="en-US" sz="1000"/>
        </a:p>
        <a:p>
          <a:r>
            <a:rPr lang="en-US" sz="1000"/>
            <a:t>2)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 or below this rate for less than 3 months (12 weeks) over its history</a:t>
          </a:r>
          <a:endParaRPr lang="en-US" sz="1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1.Refinanceable%20Percentage%20Mas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Query"/>
      <sheetName val="Bloomberg"/>
      <sheetName val="Function Of Rate"/>
      <sheetName val="Current Coupon"/>
      <sheetName val="11"/>
    </sheetNames>
    <sheetDataSet>
      <sheetData sheetId="0">
        <row r="2">
          <cell r="AA2">
            <v>42844</v>
          </cell>
        </row>
        <row r="3">
          <cell r="AA3" t="str">
            <v>S:\IT\Production\Daily Reports\Primary Market\2016-11\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5" autoFormatId="16" applyNumberFormats="0" applyBorderFormats="0" applyFontFormats="0" applyPatternFormats="0" applyAlignmentFormats="0" applyWidthHeightFormats="0">
  <queryTableRefresh nextId="80" unboundColumnsRight="2">
    <queryTableFields count="4">
      <queryTableField id="62" name="AsOfDate" tableColumnId="1"/>
      <queryTableField id="79" name="SeriesNumValue" tableColumnId="3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5" backgroundRefresh="0" adjustColumnWidth="0" connectionId="7" autoFormatId="16" applyNumberFormats="0" applyBorderFormats="0" applyFontFormats="0" applyPatternFormats="0" applyAlignmentFormats="0" applyWidthHeightFormats="0">
  <queryTableRefresh nextId="79">
    <queryTableFields count="2">
      <queryTableField id="62" name="AsOfDate" tableColumnId="1"/>
      <queryTableField id="78" name="SeriesNumValue" tableColumnId="2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1" backgroundRefresh="0" adjustColumnWidth="0" connectionId="14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5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6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112">
    <queryTableFields count="11">
      <queryTableField id="101" name="refinancible1" tableColumnId="1"/>
      <queryTableField id="102" name="refinancible2" tableColumnId="2"/>
      <queryTableField id="103" name="refinancible3" tableColumnId="3"/>
      <queryTableField id="104" name="refinancible4" tableColumnId="4"/>
      <queryTableField id="105" name="refinancible5" tableColumnId="5"/>
      <queryTableField id="106" name="refinancible6" tableColumnId="6"/>
      <queryTableField id="107" name="refinancible7" tableColumnId="7"/>
      <queryTableField id="108" name="refinancible8" tableColumnId="8"/>
      <queryTableField id="109" name="refinancible9" tableColumnId="9"/>
      <queryTableField id="110" name="refinancible10" tableColumnId="10"/>
      <queryTableField id="111" name="refinancible11" tableColumnId="11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temp" connectionId="2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0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4" name="CurrentMtgRatesDataTable825" displayName="CurrentMtgRatesDataTable825" ref="C2:F465" tableType="queryTable" totalsRowShown="0" headerRowDxfId="49" dataDxfId="48">
  <tableColumns count="4">
    <tableColumn id="1" uniqueName="1" name="asofdate" queryTableFieldId="62" dataDxfId="47"/>
    <tableColumn id="3" uniqueName="3" name="SeriesNumValue" queryTableFieldId="79" dataDxfId="46" dataCellStyle="Percent"/>
    <tableColumn id="2" uniqueName="2" name="Refi Percentage (12 Weeks Lookback)" queryTableFieldId="78" dataDxfId="45">
      <calculatedColumnFormula>VLOOKUP(CurrentMtgRatesDataTable825[[#This Row],[asofdate]],J:K,2,0)</calculatedColumnFormula>
    </tableColumn>
    <tableColumn id="6" uniqueName="6" name="Refi Index" queryTableFieldId="77" dataDxfId="44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1" name="CurrentMtgRatesDataTable82527141720" displayName="CurrentMtgRatesDataTable82527141720" ref="J2:K1191" tableType="queryTable" totalsRowShown="0" headerRowDxfId="43" dataDxfId="42">
  <tableColumns count="2">
    <tableColumn id="1" uniqueName="1" name="asofdate" queryTableFieldId="62" dataDxfId="41"/>
    <tableColumn id="2" uniqueName="2" name="SeriesNumValue" queryTableFieldId="78" dataDxfId="40" dataCellStyle="Percent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2523" displayName="CurrentMtgRatesDataTable82523" ref="B2:C3" tableType="queryTable" totalsRowShown="0" headerRowDxfId="39" dataDxfId="38">
  <tableColumns count="2">
    <tableColumn id="1" uniqueName="1" name="AsOfDate" queryTableFieldId="62" dataDxfId="37"/>
    <tableColumn id="6" uniqueName="6" name="SeriesNumValue" queryTableFieldId="77" dataDxfId="3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25234" displayName="CurrentMtgRatesDataTable825234" ref="F2:P3" tableType="queryTable" totalsRowShown="0" headerRowDxfId="35" dataDxfId="34">
  <tableColumns count="11">
    <tableColumn id="7" uniqueName="7" name="refinancible1" queryTableFieldId="78" dataDxfId="33"/>
    <tableColumn id="8" uniqueName="8" name="refinancible2" queryTableFieldId="79" dataDxfId="32"/>
    <tableColumn id="9" uniqueName="9" name="refinancible3" queryTableFieldId="80" dataDxfId="31"/>
    <tableColumn id="10" uniqueName="10" name="refinancible4" queryTableFieldId="81" dataDxfId="30"/>
    <tableColumn id="11" uniqueName="11" name="refinancible5" queryTableFieldId="82" dataDxfId="29"/>
    <tableColumn id="12" uniqueName="12" name="refinancible6" queryTableFieldId="83" dataDxfId="28"/>
    <tableColumn id="13" uniqueName="13" name="refinancible7" queryTableFieldId="84" dataDxfId="27"/>
    <tableColumn id="14" uniqueName="14" name="refinancible8" queryTableFieldId="85" dataDxfId="26"/>
    <tableColumn id="15" uniqueName="15" name="refinancible9" queryTableFieldId="86" dataDxfId="25"/>
    <tableColumn id="16" uniqueName="16" name="refinancible10" queryTableFieldId="87" dataDxfId="24"/>
    <tableColumn id="17" uniqueName="17" name="refinancible11" queryTableFieldId="88" dataDxfId="2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CurrentMtgRatesDataTable8252346" displayName="CurrentMtgRatesDataTable8252346" ref="F7:P8" tableType="queryTable" totalsRowShown="0" headerRowDxfId="22">
  <tableColumns count="11">
    <tableColumn id="1" uniqueName="1" name="refinancible1" queryTableFieldId="101"/>
    <tableColumn id="2" uniqueName="2" name="refinancible2" queryTableFieldId="102"/>
    <tableColumn id="3" uniqueName="3" name="refinancible3" queryTableFieldId="103"/>
    <tableColumn id="4" uniqueName="4" name="refinancible4" queryTableFieldId="104"/>
    <tableColumn id="5" uniqueName="5" name="refinancible5" queryTableFieldId="105"/>
    <tableColumn id="6" uniqueName="6" name="refinancible6" queryTableFieldId="106"/>
    <tableColumn id="7" uniqueName="7" name="refinancible7" queryTableFieldId="107"/>
    <tableColumn id="8" uniqueName="8" name="refinancible8" queryTableFieldId="108"/>
    <tableColumn id="9" uniqueName="9" name="refinancible9" queryTableFieldId="109"/>
    <tableColumn id="10" uniqueName="10" name="refinancible10" queryTableFieldId="110"/>
    <tableColumn id="11" uniqueName="11" name="refinancible11" queryTableFieldId="111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21">
  <tableColumns count="11">
    <tableColumn id="1" uniqueName="1" name="refinancible1" queryTableFieldId="101"/>
    <tableColumn id="2" uniqueName="2" name="refinancible2" queryTableFieldId="102"/>
    <tableColumn id="3" uniqueName="3" name="refinancible3" queryTableFieldId="103"/>
    <tableColumn id="4" uniqueName="4" name="refinancible4" queryTableFieldId="104"/>
    <tableColumn id="5" uniqueName="5" name="refinancible5" queryTableFieldId="105"/>
    <tableColumn id="6" uniqueName="6" name="refinancible6" queryTableFieldId="106"/>
    <tableColumn id="7" uniqueName="7" name="refinancible7" queryTableFieldId="107"/>
    <tableColumn id="8" uniqueName="8" name="refinancible8" queryTableFieldId="108"/>
    <tableColumn id="9" uniqueName="9" name="refinancible9" queryTableFieldId="109"/>
    <tableColumn id="10" uniqueName="10" name="refinancible10" queryTableFieldId="110"/>
    <tableColumn id="11" uniqueName="11" name="refinancible11" queryTableFieldId="1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" name="CurrentMtgRatesDataTable825234682" displayName="CurrentMtgRatesDataTable825234682" ref="F15:P16" tableType="queryTable" totalsRowShown="0" headerRowDxfId="20">
  <tableColumns count="11">
    <tableColumn id="1" uniqueName="1" name="refinancible1" queryTableFieldId="101"/>
    <tableColumn id="2" uniqueName="2" name="refinancible2" queryTableFieldId="102"/>
    <tableColumn id="3" uniqueName="3" name="refinancible3" queryTableFieldId="103"/>
    <tableColumn id="4" uniqueName="4" name="refinancible4" queryTableFieldId="104"/>
    <tableColumn id="5" uniqueName="5" name="refinancible5" queryTableFieldId="105"/>
    <tableColumn id="6" uniqueName="6" name="refinancible6" queryTableFieldId="106"/>
    <tableColumn id="7" uniqueName="7" name="refinancible7" queryTableFieldId="107"/>
    <tableColumn id="8" uniqueName="8" name="refinancible8" queryTableFieldId="108"/>
    <tableColumn id="9" uniqueName="9" name="refinancible9" queryTableFieldId="109"/>
    <tableColumn id="10" uniqueName="10" name="refinancible10" queryTableFieldId="110"/>
    <tableColumn id="11" uniqueName="11" name="refinancible11" queryTableFieldId="11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10" displayName="CurrentMtgRatesDataTable810" ref="S4:U7" tableType="queryTable" totalsRowShown="0" headerRowDxfId="19" dataDxfId="18">
  <tableColumns count="3">
    <tableColumn id="10" uniqueName="10" name="AsOfDate" queryTableFieldId="51" dataDxfId="17" dataCellStyle="Normal 2 7"/>
    <tableColumn id="5" uniqueName="5" name="SeriesNumValue" queryTableFieldId="68" dataDxfId="16" dataCellStyle="Normal 2 7"/>
    <tableColumn id="1" uniqueName="1" name="TickerName" queryTableFieldId="82" dataDxfId="15" dataCellStyle="Normal 2 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9" name="CurrentMtgRatesDataTable811" displayName="CurrentMtgRatesDataTable811" ref="A4:M40" tableType="queryTable" totalsRowShown="0" headerRowDxfId="14" dataDxfId="13">
  <tableColumns count="13">
    <tableColumn id="10" uniqueName="10" name="AsOfDate" queryTableFieldId="51" dataDxfId="12" dataCellStyle="Normal 2 7"/>
    <tableColumn id="5" uniqueName="5" name="SeriesNumValue" queryTableFieldId="68" dataDxfId="11"/>
    <tableColumn id="1" uniqueName="1" name="Rate" queryTableFieldId="69" dataDxfId="10"/>
    <tableColumn id="2" uniqueName="2" name="Weekday" queryTableFieldId="70" dataDxfId="9" dataCellStyle="Normal 2 7">
      <calculatedColumnFormula>WEEKDAY(A5,14)</calculatedColumnFormula>
    </tableColumn>
    <tableColumn id="3" uniqueName="3" name="Weight" queryTableFieldId="75" dataDxfId="8" dataCellStyle="Normal 2 7">
      <calculatedColumnFormula>VLOOKUP(D5,P$5:Q$11,2,FALSE)</calculatedColumnFormula>
    </tableColumn>
    <tableColumn id="4" uniqueName="4" name="Counter" queryTableFieldId="74" dataDxfId="7" dataCellStyle="Normal 2 7">
      <calculatedColumnFormula>IF(AND(D5&gt;D4,F4&lt;6),F4+1,1)</calculatedColumnFormula>
    </tableColumn>
    <tableColumn id="6" uniqueName="6" name="Accumulated Weighted CC" queryTableFieldId="73" dataDxfId="6" dataCellStyle="Normal 2 7">
      <calculatedColumnFormula>IF(F5&gt;F4,G4+B5*E5,B5*E5)</calculatedColumnFormula>
    </tableColumn>
    <tableColumn id="7" uniqueName="7" name="AccumulatedWeight" queryTableFieldId="72" dataDxfId="5" dataCellStyle="Normal 2 7">
      <calculatedColumnFormula>IF(AND(F5&lt;6,F5&gt;F4),E5+H4,E5)</calculatedColumnFormula>
    </tableColumn>
    <tableColumn id="8" uniqueName="8" name="WA CC" queryTableFieldId="71" dataDxfId="4" dataCellStyle="Normal 2 7">
      <calculatedColumnFormula>IF(F5&gt;F6,G5/H5,0)</calculatedColumnFormula>
    </tableColumn>
    <tableColumn id="9" uniqueName="9" name="Servicing Spread" queryTableFieldId="76" dataDxfId="3" dataCellStyle="Normal 2 7">
      <calculatedColumnFormula>IF(CurrentMtgRatesDataTable811[[#This Row],[WA CC]]&lt;&gt;0,C4-CurrentMtgRatesDataTable811[[#This Row],[WA CC]],0)</calculatedColumnFormula>
    </tableColumn>
    <tableColumn id="11" uniqueName="11" name="Servicing Spread Non-Zero" queryTableFieldId="77" dataDxfId="2" dataCellStyle="Normal 2 7">
      <calculatedColumnFormula>IF(CurrentMtgRatesDataTable811[[#This Row],[Servicing Spread]]&lt;=0,K4,CurrentMtgRatesDataTable811[[#This Row],[Servicing Spread]])</calculatedColumnFormula>
    </tableColumn>
    <tableColumn id="12" uniqueName="12" name="Servicing Spread 1m chg" queryTableFieldId="78" dataDxfId="1" dataCellStyle="Normal 2 7">
      <calculatedColumnFormula>CurrentMtgRatesDataTable811[[#This Row],[Servicing Spread Non-Zero]]-K4</calculatedColumnFormula>
    </tableColumn>
    <tableColumn id="15" uniqueName="15" name="Survey Rate 1m chg" queryTableFieldId="81" dataDxfId="0" dataCellStyle="Normal 2 7">
      <calculatedColumnFormula>IF(I4&lt;&gt;0,CurrentMtgRatesDataTable811[[#This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queryTable" Target="../queryTables/query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E1:AC62"/>
  <sheetViews>
    <sheetView showGridLines="0" zoomScaleNormal="100" workbookViewId="0">
      <selection activeCell="N58" sqref="N58"/>
    </sheetView>
  </sheetViews>
  <sheetFormatPr defaultRowHeight="12.75"/>
  <cols>
    <col min="1" max="2" width="9.140625" style="6" customWidth="1"/>
    <col min="3" max="3" width="9.140625" style="6"/>
    <col min="4" max="4" width="8.85546875" style="6" customWidth="1"/>
    <col min="5" max="5" width="11" style="6" customWidth="1"/>
    <col min="6" max="6" width="9.140625" style="6"/>
    <col min="7" max="13" width="10.140625" style="6" customWidth="1"/>
    <col min="14" max="14" width="10.28515625" style="6" customWidth="1"/>
    <col min="15" max="19" width="8.7109375" style="6" customWidth="1"/>
    <col min="20" max="20" width="9.28515625" style="6" bestFit="1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7:29">
      <c r="Z1" s="2" t="s">
        <v>0</v>
      </c>
      <c r="AA1" s="3" t="s">
        <v>1</v>
      </c>
      <c r="AB1" s="6" t="s">
        <v>2</v>
      </c>
      <c r="AC1" s="3" t="s">
        <v>3</v>
      </c>
    </row>
    <row r="2" spans="7:29">
      <c r="Z2" s="2" t="s">
        <v>4</v>
      </c>
      <c r="AA2" s="4">
        <v>42702</v>
      </c>
    </row>
    <row r="3" spans="7:29">
      <c r="Z3" s="2" t="s">
        <v>10</v>
      </c>
      <c r="AA3" s="16" t="s">
        <v>98</v>
      </c>
    </row>
    <row r="4" spans="7:29">
      <c r="Z4" s="2" t="s">
        <v>5</v>
      </c>
      <c r="AA4" s="3" t="str">
        <f>PDFReportDir&amp;"Refinancible Universe - Media Effect Scenario " &amp; TEXT(CurrentCloseDate, "yyyy-mm-dd") &amp; ".pdf"</f>
        <v>S:\IT\Production\Daily Reports\Primary Market\2016-11\Refinancible Universe - Media Effect Scenario 2016-11-28.pdf</v>
      </c>
    </row>
    <row r="5" spans="7:29">
      <c r="Z5" s="7"/>
    </row>
    <row r="6" spans="7:29">
      <c r="Z6" s="7"/>
    </row>
    <row r="9" spans="7:29" s="8" customFormat="1"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8</v>
      </c>
      <c r="AA9" s="10">
        <f>IF(DAY(CurrentCloseDate)&lt;0,(CurrentCloseDate-DAY(CurrentCloseDate))-DAY((CurrentCloseDate-DAY(CurrentCloseDate)))+1,CurrentCloseDate-DAY(CurrentCloseDate)+1)</f>
        <v>42675</v>
      </c>
    </row>
    <row r="10" spans="7:29" s="9" customFormat="1"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9</v>
      </c>
      <c r="AA10" s="11">
        <f>(AA9-1)-DAY((AA9-1))+1</f>
        <v>42644</v>
      </c>
    </row>
    <row r="11" spans="7:29" s="9" customFormat="1"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7:29" s="9" customFormat="1"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1"/>
    </row>
    <row r="13" spans="7:29" s="9" customFormat="1"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20</v>
      </c>
      <c r="AA13" s="11">
        <f>IF(WEEKDAY(CurrentCloseDate,2)&lt;4,CurrentCloseDate-WEEKDAY(CurrentCloseDate,2)-3,CurrentCloseDate-WEEKDAY(CurrentCloseDate,2)+4)-1</f>
        <v>42697</v>
      </c>
    </row>
    <row r="14" spans="7:29" s="9" customFormat="1"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7:29" s="9" customFormat="1"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7:29" s="9" customFormat="1"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7:24" s="9" customFormat="1"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7:24" s="9" customFormat="1"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7:24" s="9" customFormat="1"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7:24" s="9" customFormat="1"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7:24" s="9" customFormat="1"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9" spans="5:20">
      <c r="O39" s="30" t="s">
        <v>49</v>
      </c>
      <c r="P39" s="30"/>
      <c r="Q39" s="64">
        <f>'Function Of Rate'!C8</f>
        <v>3.0232721749517699</v>
      </c>
      <c r="S39" s="31" t="s">
        <v>50</v>
      </c>
      <c r="T39" s="64">
        <f>'Function Of Rate'!C9</f>
        <v>0.90773422124067249</v>
      </c>
    </row>
    <row r="40" spans="5:20" ht="15.75" thickBot="1">
      <c r="E40" s="5" t="s">
        <v>19</v>
      </c>
      <c r="G40" s="17"/>
      <c r="H40" s="30" t="s">
        <v>42</v>
      </c>
      <c r="I40" s="75">
        <f>CurrentMtgRatesDataTable82523[SeriesNumValue]</f>
        <v>3.9050000000000002</v>
      </c>
      <c r="J40" s="31" t="s">
        <v>43</v>
      </c>
      <c r="K40" s="48">
        <f>CurrentMtgRatesDataTable82523[AsOfDate]</f>
        <v>42697</v>
      </c>
      <c r="O40" s="30" t="s">
        <v>75</v>
      </c>
      <c r="P40" s="30"/>
      <c r="Q40" s="65">
        <f>ImpliedRate</f>
        <v>3.9310063961924424</v>
      </c>
      <c r="S40" s="31" t="s">
        <v>43</v>
      </c>
      <c r="T40" s="66">
        <f>CurrentCloseDate</f>
        <v>42702</v>
      </c>
    </row>
    <row r="41" spans="5:20" s="24" customFormat="1" ht="13.5" customHeight="1">
      <c r="E41" s="52"/>
      <c r="F41" s="189" t="s">
        <v>47</v>
      </c>
      <c r="G41" s="190"/>
      <c r="H41" s="191"/>
      <c r="I41" s="189" t="s">
        <v>17</v>
      </c>
      <c r="J41" s="190"/>
      <c r="K41" s="191"/>
      <c r="N41" s="39"/>
      <c r="O41" s="189" t="s">
        <v>11</v>
      </c>
      <c r="P41" s="191"/>
      <c r="Q41" s="189" t="s">
        <v>48</v>
      </c>
      <c r="R41" s="191"/>
      <c r="S41" s="189" t="s">
        <v>47</v>
      </c>
      <c r="T41" s="191"/>
    </row>
    <row r="42" spans="5:20" s="24" customFormat="1" ht="13.5" customHeight="1">
      <c r="E42" s="53" t="s">
        <v>18</v>
      </c>
      <c r="F42" s="32" t="s">
        <v>16</v>
      </c>
      <c r="G42" s="18" t="s">
        <v>6</v>
      </c>
      <c r="H42" s="33" t="s">
        <v>7</v>
      </c>
      <c r="I42" s="32" t="s">
        <v>16</v>
      </c>
      <c r="J42" s="18" t="s">
        <v>6</v>
      </c>
      <c r="K42" s="33" t="s">
        <v>7</v>
      </c>
      <c r="N42" s="32" t="s">
        <v>38</v>
      </c>
      <c r="O42" s="32" t="s">
        <v>39</v>
      </c>
      <c r="P42" s="33" t="s">
        <v>40</v>
      </c>
      <c r="Q42" s="32" t="s">
        <v>39</v>
      </c>
      <c r="R42" s="33" t="s">
        <v>40</v>
      </c>
      <c r="S42" s="32" t="s">
        <v>39</v>
      </c>
      <c r="T42" s="33" t="s">
        <v>40</v>
      </c>
    </row>
    <row r="43" spans="5:20" s="24" customFormat="1" ht="13.5" customHeight="1">
      <c r="E43" s="54">
        <f>Query!C3</f>
        <v>42691</v>
      </c>
      <c r="F43" s="56">
        <f>Query!E3</f>
        <v>0</v>
      </c>
      <c r="G43" s="25">
        <f>Query!E3-Query!E7</f>
        <v>-6.2051012000000003E-3</v>
      </c>
      <c r="H43" s="35">
        <f>Query!E3-Query!E16</f>
        <v>-0.36346232249999999</v>
      </c>
      <c r="I43" s="37">
        <f ca="1">Query!F3</f>
        <v>1620.2</v>
      </c>
      <c r="J43" s="25">
        <f ca="1">(Query!F3-Query!F7)/Query!F7</f>
        <v>-0.1786058301647655</v>
      </c>
      <c r="K43" s="35">
        <f ca="1">(Query!F3-Query!F16)/Query!F16</f>
        <v>-0.29629951355107714</v>
      </c>
      <c r="N43" s="187" t="s">
        <v>117</v>
      </c>
      <c r="O43" s="42">
        <f>'Function Of Rate'!F$20</f>
        <v>2.5608275911288818E-5</v>
      </c>
      <c r="P43" s="35">
        <f>O43-$O$48</f>
        <v>1.8320401406077689E-7</v>
      </c>
      <c r="Q43" s="42">
        <f>'Function Of Rate'!F21</f>
        <v>0</v>
      </c>
      <c r="R43" s="35">
        <f>Q43-$Q$48</f>
        <v>0</v>
      </c>
      <c r="S43" s="42">
        <f>'Function Of Rate'!F22</f>
        <v>0</v>
      </c>
      <c r="T43" s="35">
        <f>S43-$S$48</f>
        <v>0</v>
      </c>
    </row>
    <row r="44" spans="5:20" s="24" customFormat="1" ht="13.5" customHeight="1">
      <c r="E44" s="54">
        <f>Query!C4</f>
        <v>42684</v>
      </c>
      <c r="F44" s="56">
        <f>Query!E4</f>
        <v>0</v>
      </c>
      <c r="G44" s="25">
        <f>Query!E4-Query!E8</f>
        <v>-0.41034721800000001</v>
      </c>
      <c r="H44" s="35">
        <f>Query!E4-Query!E17</f>
        <v>-0.39867826690000002</v>
      </c>
      <c r="I44" s="37">
        <f ca="1">Query!F4</f>
        <v>1648</v>
      </c>
      <c r="J44" s="25">
        <f ca="1">(Query!F4-Query!F8)/Query!F8</f>
        <v>-0.20612746278722485</v>
      </c>
      <c r="K44" s="35">
        <f ca="1">(Query!F4-Query!F17)/Query!F17</f>
        <v>-0.30939110757239247</v>
      </c>
      <c r="N44" s="187" t="s">
        <v>118</v>
      </c>
      <c r="O44" s="42">
        <f>'Function Of Rate'!G$20</f>
        <v>2.5608275911288818E-5</v>
      </c>
      <c r="P44" s="35">
        <f>O44-$O$48</f>
        <v>1.8320401406077689E-7</v>
      </c>
      <c r="Q44" s="42">
        <f>'Function Of Rate'!G21</f>
        <v>0</v>
      </c>
      <c r="R44" s="35">
        <f t="shared" ref="R44:R53" si="0">Q44-$Q$48</f>
        <v>0</v>
      </c>
      <c r="S44" s="42">
        <f>'Function Of Rate'!G22</f>
        <v>0</v>
      </c>
      <c r="T44" s="35">
        <f t="shared" ref="T44:T53" si="1">S44-$S$48</f>
        <v>0</v>
      </c>
    </row>
    <row r="45" spans="5:20" s="24" customFormat="1" ht="13.5" customHeight="1">
      <c r="E45" s="54">
        <f>Query!C5</f>
        <v>42677</v>
      </c>
      <c r="F45" s="56">
        <f>Query!E5</f>
        <v>4.2075057000000001E-3</v>
      </c>
      <c r="G45" s="25">
        <f>Query!E5-Query!E9</f>
        <v>-0.38597855139999998</v>
      </c>
      <c r="H45" s="35">
        <f>Query!E5-Query!E18</f>
        <v>-0.34922242809999998</v>
      </c>
      <c r="I45" s="37">
        <f ca="1">Query!F5</f>
        <v>1883</v>
      </c>
      <c r="J45" s="25">
        <f ca="1">(Query!F5-Query!F9)/Query!F9</f>
        <v>-0.18198010339284942</v>
      </c>
      <c r="K45" s="35">
        <f ca="1">(Query!F5-Query!F18)/Query!F18</f>
        <v>-0.16492970863452927</v>
      </c>
      <c r="N45" s="187" t="s">
        <v>119</v>
      </c>
      <c r="O45" s="42">
        <f>'Function Of Rate'!H$20</f>
        <v>2.5608102100367355E-5</v>
      </c>
      <c r="P45" s="35">
        <f>O45-$O$48</f>
        <v>1.8303020313931422E-7</v>
      </c>
      <c r="Q45" s="42">
        <f>'Function Of Rate'!H21</f>
        <v>0</v>
      </c>
      <c r="R45" s="35">
        <f t="shared" si="0"/>
        <v>0</v>
      </c>
      <c r="S45" s="42">
        <f>'Function Of Rate'!H22</f>
        <v>0</v>
      </c>
      <c r="T45" s="35">
        <f t="shared" si="1"/>
        <v>0</v>
      </c>
    </row>
    <row r="46" spans="5:20" s="24" customFormat="1" ht="13.5" customHeight="1">
      <c r="E46" s="54">
        <f>Query!C6</f>
        <v>42670</v>
      </c>
      <c r="F46" s="56">
        <f>Query!E6</f>
        <v>7.8617854999999993E-3</v>
      </c>
      <c r="G46" s="25">
        <f>Query!E6-Query!E10</f>
        <v>-0.2943173375</v>
      </c>
      <c r="H46" s="35">
        <f>Query!E6-Query!E19</f>
        <v>-0.35625632660000001</v>
      </c>
      <c r="I46" s="37">
        <f ca="1">Query!F6</f>
        <v>1937.8</v>
      </c>
      <c r="J46" s="25">
        <f ca="1">(Query!F6-Query!F10)/Query!F10</f>
        <v>-0.10712804681380464</v>
      </c>
      <c r="K46" s="35">
        <f ca="1">(Query!F6-Query!F19)/Query!F19</f>
        <v>-0.16946682667581001</v>
      </c>
      <c r="N46" s="187" t="s">
        <v>35</v>
      </c>
      <c r="O46" s="42">
        <f>'Function Of Rate'!I$20</f>
        <v>2.5608102100367355E-5</v>
      </c>
      <c r="P46" s="35">
        <f>O46-$O$48</f>
        <v>1.8303020313931422E-7</v>
      </c>
      <c r="Q46" s="42">
        <f>'Function Of Rate'!I21</f>
        <v>0</v>
      </c>
      <c r="R46" s="35">
        <f t="shared" si="0"/>
        <v>0</v>
      </c>
      <c r="S46" s="42">
        <f>'Function Of Rate'!I22</f>
        <v>0</v>
      </c>
      <c r="T46" s="35">
        <f t="shared" si="1"/>
        <v>0</v>
      </c>
    </row>
    <row r="47" spans="5:20" s="24" customFormat="1" ht="13.5" customHeight="1">
      <c r="E47" s="54">
        <f>Query!C7</f>
        <v>42663</v>
      </c>
      <c r="F47" s="56">
        <f>Query!E7</f>
        <v>6.2051012000000003E-3</v>
      </c>
      <c r="G47" s="25">
        <f>Query!E7-Query!E11</f>
        <v>-0.31702289880000001</v>
      </c>
      <c r="H47" s="35">
        <f>Query!E7-Query!E20</f>
        <v>-0.72831953500000002</v>
      </c>
      <c r="I47" s="37">
        <f ca="1">Query!F7</f>
        <v>1972.5</v>
      </c>
      <c r="J47" s="25">
        <f ca="1">(Query!F7-Query!F11)/Query!F11</f>
        <v>-0.1104446649228827</v>
      </c>
      <c r="K47" s="35">
        <f ca="1">(Query!F7-Query!F20)/Query!F20</f>
        <v>-0.29125794976824404</v>
      </c>
      <c r="N47" s="187" t="s">
        <v>34</v>
      </c>
      <c r="O47" s="42">
        <f>'Function Of Rate'!J$20</f>
        <v>2.5605494807286032E-5</v>
      </c>
      <c r="P47" s="35">
        <f>O47-$O$48</f>
        <v>1.8042291005799157E-7</v>
      </c>
      <c r="Q47" s="42">
        <f>'Function Of Rate'!J21</f>
        <v>0</v>
      </c>
      <c r="R47" s="35">
        <f t="shared" si="0"/>
        <v>0</v>
      </c>
      <c r="S47" s="42">
        <f>'Function Of Rate'!J22</f>
        <v>0</v>
      </c>
      <c r="T47" s="35">
        <f t="shared" si="1"/>
        <v>0</v>
      </c>
    </row>
    <row r="48" spans="5:20" s="24" customFormat="1" ht="13.5" customHeight="1">
      <c r="E48" s="54">
        <f>Query!C8</f>
        <v>42649</v>
      </c>
      <c r="F48" s="56">
        <f>Query!E8</f>
        <v>0.41034721800000001</v>
      </c>
      <c r="G48" s="25">
        <f>Query!E8-Query!E12</f>
        <v>6.2942991900000023E-2</v>
      </c>
      <c r="H48" s="35">
        <f>Query!E8-Query!E21</f>
        <v>-0.33624357889999995</v>
      </c>
      <c r="I48" s="37">
        <f ca="1">Query!F8</f>
        <v>2075.9</v>
      </c>
      <c r="J48" s="25">
        <f ca="1">(Query!F8-Query!F12)/Query!F12</f>
        <v>-0.14378222313879147</v>
      </c>
      <c r="K48" s="35">
        <f ca="1">(Query!F8-Query!F21)/Query!F21</f>
        <v>-0.25101024678885836</v>
      </c>
      <c r="N48" s="40">
        <f>'Function Of Rate'!$K$18</f>
        <v>3.9310063961924424</v>
      </c>
      <c r="O48" s="43">
        <f>'Function Of Rate'!K$20</f>
        <v>2.5425071897228041E-5</v>
      </c>
      <c r="P48" s="41" t="s">
        <v>41</v>
      </c>
      <c r="Q48" s="43">
        <f>'Function Of Rate'!K21</f>
        <v>0</v>
      </c>
      <c r="R48" s="41">
        <f t="shared" si="0"/>
        <v>0</v>
      </c>
      <c r="S48" s="43">
        <f>'Function Of Rate'!K22</f>
        <v>0</v>
      </c>
      <c r="T48" s="41">
        <f t="shared" si="1"/>
        <v>0</v>
      </c>
    </row>
    <row r="49" spans="5:20" s="24" customFormat="1" ht="13.5" customHeight="1">
      <c r="E49" s="54">
        <f>Query!C9</f>
        <v>42642</v>
      </c>
      <c r="F49" s="56">
        <f>Query!E9</f>
        <v>0.39018605709999998</v>
      </c>
      <c r="G49" s="25">
        <f>Query!E9-Query!E13</f>
        <v>3.0087154099999958E-2</v>
      </c>
      <c r="H49" s="35">
        <f>Query!E9-Query!E22</f>
        <v>2.568460010000001E-2</v>
      </c>
      <c r="I49" s="37">
        <f ca="1">Query!F9</f>
        <v>2301.9</v>
      </c>
      <c r="J49" s="25">
        <f ca="1">(Query!F9-Query!F13)/Query!F13</f>
        <v>-3.370833683150018E-2</v>
      </c>
      <c r="K49" s="35">
        <f ca="1">(Query!F9-Query!F22)/Query!F22</f>
        <v>-6.9676272076951082E-2</v>
      </c>
      <c r="N49" s="187" t="s">
        <v>36</v>
      </c>
      <c r="O49" s="42">
        <f>'Function Of Rate'!L$20</f>
        <v>2.5414284433000005E-5</v>
      </c>
      <c r="P49" s="35">
        <f>O49-$O$48</f>
        <v>-1.0787464228035899E-8</v>
      </c>
      <c r="Q49" s="42">
        <f>'Function Of Rate'!L21</f>
        <v>0</v>
      </c>
      <c r="R49" s="35">
        <f t="shared" si="0"/>
        <v>0</v>
      </c>
      <c r="S49" s="42">
        <f>'Function Of Rate'!L22</f>
        <v>0</v>
      </c>
      <c r="T49" s="35">
        <f t="shared" si="1"/>
        <v>0</v>
      </c>
    </row>
    <row r="50" spans="5:20" s="24" customFormat="1" ht="13.5" customHeight="1">
      <c r="E50" s="54">
        <f>Query!C10</f>
        <v>42635</v>
      </c>
      <c r="F50" s="56">
        <f>Query!E10</f>
        <v>0.30217912299999999</v>
      </c>
      <c r="G50" s="25">
        <f>Query!E10-Query!E14</f>
        <v>-5.5444039000000001E-2</v>
      </c>
      <c r="H50" s="35">
        <f>Query!E10-Query!E23</f>
        <v>6.1451369000000144E-3</v>
      </c>
      <c r="I50" s="37">
        <f ca="1">Query!F10</f>
        <v>2170.3000000000002</v>
      </c>
      <c r="J50" s="25" t="e">
        <f ca="1">(Query!F10-Query!F14)/Query!F14</f>
        <v>#N/A</v>
      </c>
      <c r="K50" s="35">
        <f ca="1">(Query!F10-Query!F23)/Query!F23</f>
        <v>6.5439371624938722E-2</v>
      </c>
      <c r="N50" s="187" t="s">
        <v>37</v>
      </c>
      <c r="O50" s="42">
        <f>'Function Of Rate'!M$20</f>
        <v>2.5402368858734509E-5</v>
      </c>
      <c r="P50" s="35">
        <f>O50-$O$48</f>
        <v>-2.270303849353139E-8</v>
      </c>
      <c r="Q50" s="42">
        <f>'Function Of Rate'!M21</f>
        <v>0</v>
      </c>
      <c r="R50" s="35">
        <f t="shared" si="0"/>
        <v>0</v>
      </c>
      <c r="S50" s="42">
        <f>'Function Of Rate'!M22</f>
        <v>0</v>
      </c>
      <c r="T50" s="35">
        <f t="shared" si="1"/>
        <v>0</v>
      </c>
    </row>
    <row r="51" spans="5:20" s="24" customFormat="1" ht="13.5" customHeight="1">
      <c r="E51" s="54">
        <f>Query!C11</f>
        <v>42628</v>
      </c>
      <c r="F51" s="56">
        <f>Query!E11</f>
        <v>0.32322800000000002</v>
      </c>
      <c r="G51" s="25">
        <f>Query!E11-Query!E15</f>
        <v>-6.3459378499999997E-2</v>
      </c>
      <c r="H51" s="35">
        <f>Query!E11-Query!E24</f>
        <v>4.3153600000012116E-5</v>
      </c>
      <c r="I51" s="37">
        <f ca="1">Query!F11</f>
        <v>2217.4</v>
      </c>
      <c r="J51" s="25">
        <f ca="1">(Query!F11-Query!F15)/Query!F15</f>
        <v>-3.4443718702373137E-2</v>
      </c>
      <c r="K51" s="35">
        <f ca="1">(Query!F11-Query!F24)/Query!F24</f>
        <v>6.5443013645973616E-2</v>
      </c>
      <c r="N51" s="187" t="s">
        <v>120</v>
      </c>
      <c r="O51" s="42">
        <f>'Function Of Rate'!N$20</f>
        <v>2.5216589085161077E-5</v>
      </c>
      <c r="P51" s="35">
        <f>O51-$O$48</f>
        <v>-2.0848281206696357E-7</v>
      </c>
      <c r="Q51" s="42">
        <f>'Function Of Rate'!N21</f>
        <v>0</v>
      </c>
      <c r="R51" s="35">
        <f t="shared" si="0"/>
        <v>0</v>
      </c>
      <c r="S51" s="42">
        <f>'Function Of Rate'!N22</f>
        <v>0</v>
      </c>
      <c r="T51" s="35">
        <f t="shared" si="1"/>
        <v>0</v>
      </c>
    </row>
    <row r="52" spans="5:20" s="24" customFormat="1" ht="13.5" customHeight="1" thickBot="1">
      <c r="E52" s="55">
        <f>Query!C12</f>
        <v>42621</v>
      </c>
      <c r="F52" s="57">
        <f>Query!E12</f>
        <v>0.34740422609999999</v>
      </c>
      <c r="G52" s="34">
        <f>Query!E12-Query!E16</f>
        <v>-1.6058096399999999E-2</v>
      </c>
      <c r="H52" s="36">
        <f>Query!E12-Query!E25</f>
        <v>5.5861942900000017E-2</v>
      </c>
      <c r="I52" s="38">
        <f ca="1">Query!F12</f>
        <v>2424.5</v>
      </c>
      <c r="J52" s="34">
        <f ca="1">(Query!F12-Query!F16)/Query!F16</f>
        <v>5.3031619179986063E-2</v>
      </c>
      <c r="K52" s="36">
        <f ca="1">(Query!F12-Query!F25)/Query!F25</f>
        <v>0.23227445997458704</v>
      </c>
      <c r="N52" s="187" t="s">
        <v>121</v>
      </c>
      <c r="O52" s="42">
        <f>'Function Of Rate'!O$20</f>
        <v>2.5169456390573302E-5</v>
      </c>
      <c r="P52" s="35">
        <f>O52-$O$48</f>
        <v>-2.5561550665473853E-7</v>
      </c>
      <c r="Q52" s="42">
        <f>'Function Of Rate'!O21</f>
        <v>0</v>
      </c>
      <c r="R52" s="35">
        <f t="shared" si="0"/>
        <v>0</v>
      </c>
      <c r="S52" s="42">
        <f>'Function Of Rate'!O22</f>
        <v>0</v>
      </c>
      <c r="T52" s="35">
        <f t="shared" si="1"/>
        <v>0</v>
      </c>
    </row>
    <row r="53" spans="5:20" ht="13.5" customHeight="1" thickBot="1">
      <c r="E53" s="29"/>
      <c r="K53" s="29"/>
      <c r="L53"/>
      <c r="N53" s="188" t="s">
        <v>122</v>
      </c>
      <c r="O53" s="44">
        <f>'Function Of Rate'!P$20</f>
        <v>2.4371659207705666E-5</v>
      </c>
      <c r="P53" s="36">
        <f>O53-$O$48</f>
        <v>-1.0534126895223751E-6</v>
      </c>
      <c r="Q53" s="44">
        <f>'Function Of Rate'!P21</f>
        <v>0</v>
      </c>
      <c r="R53" s="36">
        <f t="shared" si="0"/>
        <v>0</v>
      </c>
      <c r="S53" s="44">
        <f>'Function Of Rate'!P22</f>
        <v>0</v>
      </c>
      <c r="T53" s="36">
        <f t="shared" si="1"/>
        <v>0</v>
      </c>
    </row>
    <row r="54" spans="5:20" ht="12" customHeight="1">
      <c r="E54" s="29"/>
    </row>
    <row r="56" spans="5:20" ht="15">
      <c r="H56"/>
      <c r="I56"/>
      <c r="J56"/>
    </row>
    <row r="57" spans="5:20" ht="15">
      <c r="H57"/>
      <c r="I57"/>
      <c r="J57"/>
    </row>
    <row r="58" spans="5:20" ht="15">
      <c r="H58"/>
      <c r="I58"/>
      <c r="J58"/>
    </row>
    <row r="59" spans="5:20" ht="15">
      <c r="H59"/>
      <c r="I59"/>
      <c r="J59"/>
      <c r="K59" s="14"/>
    </row>
    <row r="60" spans="5:20" ht="15">
      <c r="H60"/>
      <c r="I60"/>
      <c r="J60"/>
    </row>
    <row r="62" spans="5:20">
      <c r="H62" s="12"/>
      <c r="I62" s="13"/>
      <c r="J62" s="13"/>
      <c r="K62" s="14"/>
    </row>
  </sheetData>
  <mergeCells count="5">
    <mergeCell ref="I41:K41"/>
    <mergeCell ref="F41:H41"/>
    <mergeCell ref="Q41:R41"/>
    <mergeCell ref="O41:P41"/>
    <mergeCell ref="S41:T41"/>
  </mergeCells>
  <conditionalFormatting sqref="F43:H52">
    <cfRule type="cellIs" dxfId="66" priority="45" operator="lessThan">
      <formula>0</formula>
    </cfRule>
  </conditionalFormatting>
  <conditionalFormatting sqref="J43:J52">
    <cfRule type="cellIs" dxfId="65" priority="43" operator="lessThan">
      <formula>0</formula>
    </cfRule>
  </conditionalFormatting>
  <conditionalFormatting sqref="K43:K52">
    <cfRule type="cellIs" dxfId="64" priority="41" operator="lessThan">
      <formula>0</formula>
    </cfRule>
  </conditionalFormatting>
  <conditionalFormatting sqref="F43:K52">
    <cfRule type="containsErrors" dxfId="63" priority="39">
      <formula>ISERROR(F43)</formula>
    </cfRule>
    <cfRule type="containsErrors" priority="40">
      <formula>ISERROR(F43)</formula>
    </cfRule>
  </conditionalFormatting>
  <conditionalFormatting sqref="P43:P53">
    <cfRule type="cellIs" dxfId="62" priority="32" operator="lessThan">
      <formula>0</formula>
    </cfRule>
  </conditionalFormatting>
  <conditionalFormatting sqref="P43:P53">
    <cfRule type="containsErrors" dxfId="61" priority="30">
      <formula>ISERROR(P43)</formula>
    </cfRule>
    <cfRule type="containsErrors" priority="31">
      <formula>ISERROR(P43)</formula>
    </cfRule>
  </conditionalFormatting>
  <conditionalFormatting sqref="O43:P43 O44:O53">
    <cfRule type="cellIs" dxfId="60" priority="29" operator="lessThan">
      <formula>0</formula>
    </cfRule>
  </conditionalFormatting>
  <conditionalFormatting sqref="O43:P43 O44:O53">
    <cfRule type="containsErrors" dxfId="59" priority="27">
      <formula>ISERROR(O43)</formula>
    </cfRule>
    <cfRule type="containsErrors" priority="28">
      <formula>ISERROR(O43)</formula>
    </cfRule>
  </conditionalFormatting>
  <conditionalFormatting sqref="K43:K51">
    <cfRule type="cellIs" dxfId="58" priority="19" operator="lessThan">
      <formula>0</formula>
    </cfRule>
  </conditionalFormatting>
  <conditionalFormatting sqref="S43:T43 S44:S53">
    <cfRule type="containsErrors" dxfId="57" priority="1">
      <formula>ISERROR(S43)</formula>
    </cfRule>
    <cfRule type="containsErrors" priority="2">
      <formula>ISERROR(S43)</formula>
    </cfRule>
  </conditionalFormatting>
  <conditionalFormatting sqref="T43:T53">
    <cfRule type="cellIs" dxfId="56" priority="6" operator="lessThan">
      <formula>0</formula>
    </cfRule>
  </conditionalFormatting>
  <conditionalFormatting sqref="T43:T53">
    <cfRule type="containsErrors" dxfId="55" priority="4">
      <formula>ISERROR(T43)</formula>
    </cfRule>
    <cfRule type="containsErrors" priority="5">
      <formula>ISERROR(T43)</formula>
    </cfRule>
  </conditionalFormatting>
  <conditionalFormatting sqref="S43:T43 S44:S53">
    <cfRule type="cellIs" dxfId="54" priority="3" operator="lessThan">
      <formula>0</formula>
    </cfRule>
  </conditionalFormatting>
  <conditionalFormatting sqref="R43:R53">
    <cfRule type="cellIs" dxfId="53" priority="12" operator="lessThan">
      <formula>0</formula>
    </cfRule>
  </conditionalFormatting>
  <conditionalFormatting sqref="R43:R53">
    <cfRule type="containsErrors" dxfId="52" priority="10">
      <formula>ISERROR(R43)</formula>
    </cfRule>
    <cfRule type="containsErrors" priority="11">
      <formula>ISERROR(R43)</formula>
    </cfRule>
  </conditionalFormatting>
  <conditionalFormatting sqref="Q43:R43 Q44:Q53">
    <cfRule type="cellIs" dxfId="51" priority="9" operator="lessThan">
      <formula>0</formula>
    </cfRule>
  </conditionalFormatting>
  <conditionalFormatting sqref="Q43:R43 Q44:Q53">
    <cfRule type="containsErrors" dxfId="50" priority="7">
      <formula>ISERROR(Q43)</formula>
    </cfRule>
    <cfRule type="containsErrors" priority="8">
      <formula>ISERROR(Q43)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pageMargins left="0.25" right="0.25" top="0.255" bottom="0.25" header="0.1" footer="0.1"/>
  <pageSetup scale="72" orientation="landscape" horizontalDpi="1200" verticalDpi="1200" r:id="rId1"/>
  <headerFooter scaleWithDoc="0">
    <oddHeader>&amp;L&amp;G&amp;C&amp;"-,Bold"&amp;10&amp;K2E398A
&amp;15Refinancible Universe - 12 Weeks Lookback&amp;R&amp;"-,Bold"&amp;10&amp;K2E398A
As of 11/28/2016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K1195"/>
  <sheetViews>
    <sheetView topLeftCell="B1" zoomScaleNormal="100" workbookViewId="0">
      <selection activeCell="D11" sqref="D11"/>
    </sheetView>
  </sheetViews>
  <sheetFormatPr defaultRowHeight="15"/>
  <cols>
    <col min="3" max="3" width="10.42578125" bestFit="1" customWidth="1"/>
    <col min="4" max="4" width="10.42578125" style="51" customWidth="1"/>
    <col min="7" max="7" width="10.7109375" bestFit="1" customWidth="1"/>
    <col min="8" max="8" width="16.42578125" customWidth="1"/>
    <col min="10" max="10" width="9.140625" style="51"/>
  </cols>
  <sheetData>
    <row r="1" spans="3:11">
      <c r="C1" t="s">
        <v>14</v>
      </c>
      <c r="K1" t="s">
        <v>76</v>
      </c>
    </row>
    <row r="2" spans="3:11">
      <c r="C2" s="6" t="s">
        <v>77</v>
      </c>
      <c r="D2" s="137" t="s">
        <v>22</v>
      </c>
      <c r="E2" s="6" t="s">
        <v>74</v>
      </c>
      <c r="F2" s="6" t="s">
        <v>44</v>
      </c>
      <c r="I2" s="137"/>
      <c r="J2" s="6" t="s">
        <v>77</v>
      </c>
      <c r="K2" s="137" t="s">
        <v>22</v>
      </c>
    </row>
    <row r="3" spans="3:11">
      <c r="C3" s="15">
        <v>42691</v>
      </c>
      <c r="D3" s="137">
        <v>0.4060261711</v>
      </c>
      <c r="E3" s="19">
        <f>VLOOKUP(CurrentMtgRatesDataTable825[[#This Row],[asofdate]],J:K,2,0)</f>
        <v>0</v>
      </c>
      <c r="F3" s="22">
        <f ca="1">VLOOKUP(CurrentMtgRatesDataTable825[[#This Row],[asofdate]]+1,Bloomberg!B:C,2,0)</f>
        <v>1620.2</v>
      </c>
      <c r="I3" s="137"/>
      <c r="J3" s="15">
        <v>34369</v>
      </c>
      <c r="K3" s="137">
        <v>5.8638778099999997E-2</v>
      </c>
    </row>
    <row r="4" spans="3:11">
      <c r="C4" s="15">
        <v>42684</v>
      </c>
      <c r="D4" s="137">
        <v>0.6707544755</v>
      </c>
      <c r="E4" s="19">
        <f>VLOOKUP(CurrentMtgRatesDataTable825[[#This Row],[asofdate]],J:K,2,0)</f>
        <v>0</v>
      </c>
      <c r="F4" s="22">
        <f ca="1">VLOOKUP(CurrentMtgRatesDataTable825[[#This Row],[asofdate]]+1,Bloomberg!B:C,2,0)</f>
        <v>1648</v>
      </c>
      <c r="I4" s="137"/>
      <c r="J4" s="15">
        <v>34376</v>
      </c>
      <c r="K4" s="137">
        <v>2.4778140899999999E-2</v>
      </c>
    </row>
    <row r="5" spans="3:11">
      <c r="C5" s="15">
        <v>42677</v>
      </c>
      <c r="D5" s="137">
        <v>0.68895440220000004</v>
      </c>
      <c r="E5" s="19">
        <f>VLOOKUP(CurrentMtgRatesDataTable825[[#This Row],[asofdate]],J:K,2,0)</f>
        <v>4.2075057000000001E-3</v>
      </c>
      <c r="F5" s="22">
        <f ca="1">VLOOKUP(CurrentMtgRatesDataTable825[[#This Row],[asofdate]]+1,Bloomberg!B:C,2,0)</f>
        <v>1883</v>
      </c>
      <c r="I5" s="137"/>
      <c r="J5" s="15">
        <v>34383</v>
      </c>
      <c r="K5" s="137">
        <v>3.4626242299999999E-2</v>
      </c>
    </row>
    <row r="6" spans="3:11">
      <c r="C6" s="15">
        <v>42670</v>
      </c>
      <c r="D6" s="137">
        <v>0.72616169269999997</v>
      </c>
      <c r="E6" s="19">
        <f>VLOOKUP(CurrentMtgRatesDataTable825[[#This Row],[asofdate]],J:K,2,0)</f>
        <v>7.8617854999999993E-3</v>
      </c>
      <c r="F6" s="22">
        <f ca="1">VLOOKUP(CurrentMtgRatesDataTable825[[#This Row],[asofdate]]+1,Bloomberg!B:C,2,0)</f>
        <v>1937.8</v>
      </c>
      <c r="I6" s="137"/>
      <c r="J6" s="15">
        <v>34390</v>
      </c>
      <c r="K6" s="137">
        <v>1.6359501299999999E-2</v>
      </c>
    </row>
    <row r="7" spans="3:11">
      <c r="C7" s="15">
        <v>42663</v>
      </c>
      <c r="D7" s="137">
        <v>0.71783683799999998</v>
      </c>
      <c r="E7" s="19">
        <f>VLOOKUP(CurrentMtgRatesDataTable825[[#This Row],[asofdate]],J:K,2,0)</f>
        <v>6.2051012000000003E-3</v>
      </c>
      <c r="F7" s="22">
        <f ca="1">VLOOKUP(CurrentMtgRatesDataTable825[[#This Row],[asofdate]]+1,Bloomberg!B:C,2,0)</f>
        <v>1972.5</v>
      </c>
      <c r="I7" s="137"/>
      <c r="J7" s="15">
        <v>34397</v>
      </c>
      <c r="K7" s="137">
        <v>3.4243110000000001E-4</v>
      </c>
    </row>
    <row r="8" spans="3:11">
      <c r="C8" s="15">
        <v>42649</v>
      </c>
      <c r="D8" s="137">
        <v>0.75526650819999996</v>
      </c>
      <c r="E8" s="19">
        <f>VLOOKUP(CurrentMtgRatesDataTable825[[#This Row],[asofdate]],J:K,2,0)</f>
        <v>0.41034721800000001</v>
      </c>
      <c r="F8" s="22">
        <f ca="1">VLOOKUP(CurrentMtgRatesDataTable825[[#This Row],[asofdate]]+1,Bloomberg!B:C,2,0)</f>
        <v>2075.9</v>
      </c>
      <c r="I8" s="137"/>
      <c r="J8" s="15">
        <v>34404</v>
      </c>
      <c r="K8" s="137">
        <v>2.419117E-4</v>
      </c>
    </row>
    <row r="9" spans="3:11">
      <c r="C9" s="15">
        <v>42642</v>
      </c>
      <c r="D9" s="137">
        <v>0.76584412719999995</v>
      </c>
      <c r="E9" s="19">
        <f>VLOOKUP(CurrentMtgRatesDataTable825[[#This Row],[asofdate]],J:K,2,0)</f>
        <v>0.39018605709999998</v>
      </c>
      <c r="F9" s="22">
        <f ca="1">VLOOKUP(CurrentMtgRatesDataTable825[[#This Row],[asofdate]]+1,Bloomberg!B:C,2,0)</f>
        <v>2301.9</v>
      </c>
      <c r="I9" s="137"/>
      <c r="J9" s="15">
        <v>34411</v>
      </c>
      <c r="K9" s="137">
        <v>1.2986359999999999E-4</v>
      </c>
    </row>
    <row r="10" spans="3:11">
      <c r="C10" s="15">
        <v>42635</v>
      </c>
      <c r="D10" s="137">
        <v>0.73718828079999998</v>
      </c>
      <c r="E10" s="19">
        <f>VLOOKUP(CurrentMtgRatesDataTable825[[#This Row],[asofdate]],J:K,2,0)</f>
        <v>0.30217912299999999</v>
      </c>
      <c r="F10" s="22">
        <f ca="1">VLOOKUP(CurrentMtgRatesDataTable825[[#This Row],[asofdate]]+1,Bloomberg!B:C,2,0)</f>
        <v>2170.3000000000002</v>
      </c>
      <c r="I10" s="137"/>
      <c r="J10" s="15">
        <v>34418</v>
      </c>
      <c r="K10" s="137">
        <v>1.0977649999999999E-4</v>
      </c>
    </row>
    <row r="11" spans="3:11">
      <c r="C11" s="15">
        <v>42628</v>
      </c>
      <c r="D11" s="137">
        <v>0.73933698849999996</v>
      </c>
      <c r="E11" s="19">
        <f>VLOOKUP(CurrentMtgRatesDataTable825[[#This Row],[asofdate]],J:K,2,0)</f>
        <v>0.32322800000000002</v>
      </c>
      <c r="F11" s="22">
        <f ca="1">VLOOKUP(CurrentMtgRatesDataTable825[[#This Row],[asofdate]]+1,Bloomberg!B:C,2,0)</f>
        <v>2217.4</v>
      </c>
      <c r="I11" s="137"/>
      <c r="J11" s="15">
        <v>34425</v>
      </c>
      <c r="K11" s="137">
        <v>8.8478000000000016E-5</v>
      </c>
    </row>
    <row r="12" spans="3:11">
      <c r="C12" s="15">
        <v>42621</v>
      </c>
      <c r="D12" s="137">
        <v>0.75420412839999995</v>
      </c>
      <c r="E12" s="19">
        <f>VLOOKUP(CurrentMtgRatesDataTable825[[#This Row],[asofdate]],J:K,2,0)</f>
        <v>0.34740422609999999</v>
      </c>
      <c r="F12" s="22">
        <f ca="1">VLOOKUP(CurrentMtgRatesDataTable825[[#This Row],[asofdate]]+1,Bloomberg!B:C,2,0)</f>
        <v>2424.5</v>
      </c>
      <c r="I12" s="137"/>
      <c r="J12" s="15">
        <v>34432</v>
      </c>
      <c r="K12" s="137">
        <v>2.9519500000000001E-5</v>
      </c>
    </row>
    <row r="13" spans="3:11">
      <c r="C13" s="15">
        <v>42614</v>
      </c>
      <c r="D13" s="137">
        <v>0.75536947659999998</v>
      </c>
      <c r="E13" s="19">
        <f>VLOOKUP(CurrentMtgRatesDataTable825[[#This Row],[asofdate]],J:K,2,0)</f>
        <v>0.36009890300000003</v>
      </c>
      <c r="F13" s="22">
        <f ca="1">VLOOKUP(CurrentMtgRatesDataTable825[[#This Row],[asofdate]]+1,Bloomberg!B:C,2,0)</f>
        <v>2382.1999999999998</v>
      </c>
      <c r="I13" s="137"/>
      <c r="J13" s="15">
        <v>34439</v>
      </c>
      <c r="K13" s="137">
        <v>4.6138700000000006E-5</v>
      </c>
    </row>
    <row r="14" spans="3:11">
      <c r="C14" s="15">
        <v>42606</v>
      </c>
      <c r="D14" s="137">
        <v>0.76877242759999997</v>
      </c>
      <c r="E14" s="19">
        <f>VLOOKUP(CurrentMtgRatesDataTable825[[#This Row],[asofdate]],J:K,2,0)</f>
        <v>0.35762316199999999</v>
      </c>
      <c r="F14" s="22" t="e">
        <f ca="1">VLOOKUP(CurrentMtgRatesDataTable825[[#This Row],[asofdate]]+1,Bloomberg!B:C,2,0)</f>
        <v>#N/A</v>
      </c>
      <c r="I14" s="137"/>
      <c r="J14" s="15">
        <v>34446</v>
      </c>
      <c r="K14" s="137">
        <v>2.9519500000000001E-5</v>
      </c>
    </row>
    <row r="15" spans="3:11">
      <c r="C15" s="15">
        <v>42600</v>
      </c>
      <c r="D15" s="137">
        <v>0.77541171040000001</v>
      </c>
      <c r="E15" s="19">
        <f>VLOOKUP(CurrentMtgRatesDataTable825[[#This Row],[asofdate]],J:K,2,0)</f>
        <v>0.38668737850000001</v>
      </c>
      <c r="F15" s="22">
        <f ca="1">VLOOKUP(CurrentMtgRatesDataTable825[[#This Row],[asofdate]]+1,Bloomberg!B:C,2,0)</f>
        <v>2296.5</v>
      </c>
      <c r="I15" s="137"/>
      <c r="J15" s="15">
        <v>34453</v>
      </c>
      <c r="K15" s="137">
        <v>4.6138700000000006E-5</v>
      </c>
    </row>
    <row r="16" spans="3:11">
      <c r="C16" s="15">
        <v>42593</v>
      </c>
      <c r="D16" s="137">
        <v>0.76978437820000001</v>
      </c>
      <c r="E16" s="19">
        <f>VLOOKUP(CurrentMtgRatesDataTable825[[#This Row],[asofdate]],J:K,2,0)</f>
        <v>0.36346232249999999</v>
      </c>
      <c r="F16" s="22">
        <f ca="1">VLOOKUP(CurrentMtgRatesDataTable825[[#This Row],[asofdate]]+1,Bloomberg!B:C,2,0)</f>
        <v>2302.4</v>
      </c>
      <c r="I16" s="137"/>
      <c r="J16" s="15">
        <v>34460</v>
      </c>
      <c r="K16" s="137">
        <v>9.8779999999999993E-6</v>
      </c>
    </row>
    <row r="17" spans="3:11">
      <c r="C17" s="15">
        <v>42586</v>
      </c>
      <c r="D17" s="137">
        <v>0.77541171040000001</v>
      </c>
      <c r="E17" s="19">
        <f>VLOOKUP(CurrentMtgRatesDataTable825[[#This Row],[asofdate]],J:K,2,0)</f>
        <v>0.39867826690000002</v>
      </c>
      <c r="F17" s="22">
        <f ca="1">VLOOKUP(CurrentMtgRatesDataTable825[[#This Row],[asofdate]]+1,Bloomberg!B:C,2,0)</f>
        <v>2386.3000000000002</v>
      </c>
      <c r="I17" s="137"/>
      <c r="J17" s="15">
        <v>34467</v>
      </c>
      <c r="K17" s="137">
        <v>4.1324999999999998E-6</v>
      </c>
    </row>
    <row r="18" spans="3:11">
      <c r="C18" s="15">
        <v>42579</v>
      </c>
      <c r="D18" s="137">
        <v>0.75670920239999995</v>
      </c>
      <c r="E18" s="19">
        <f>VLOOKUP(CurrentMtgRatesDataTable825[[#This Row],[asofdate]],J:K,2,0)</f>
        <v>0.35342993379999998</v>
      </c>
      <c r="F18" s="22">
        <f ca="1">VLOOKUP(CurrentMtgRatesDataTable825[[#This Row],[asofdate]]+1,Bloomberg!B:C,2,0)</f>
        <v>2254.9</v>
      </c>
      <c r="I18" s="137"/>
      <c r="J18" s="15">
        <v>34474</v>
      </c>
      <c r="K18" s="137">
        <v>9.8779999999999993E-6</v>
      </c>
    </row>
    <row r="19" spans="3:11">
      <c r="C19" s="15">
        <v>42572</v>
      </c>
      <c r="D19" s="137">
        <v>0.76434424749999996</v>
      </c>
      <c r="E19" s="19">
        <f>VLOOKUP(CurrentMtgRatesDataTable825[[#This Row],[asofdate]],J:K,2,0)</f>
        <v>0.3641181121</v>
      </c>
      <c r="F19" s="22">
        <f ca="1">VLOOKUP(CurrentMtgRatesDataTable825[[#This Row],[asofdate]]+1,Bloomberg!B:C,2,0)</f>
        <v>2333.1999999999998</v>
      </c>
      <c r="I19" s="137"/>
      <c r="J19" s="15">
        <v>34481</v>
      </c>
      <c r="K19" s="137">
        <v>9.8779999999999993E-6</v>
      </c>
    </row>
    <row r="20" spans="3:11">
      <c r="C20" s="15">
        <v>42565</v>
      </c>
      <c r="D20" s="137">
        <v>0.77197328470000004</v>
      </c>
      <c r="E20" s="19">
        <f>VLOOKUP(CurrentMtgRatesDataTable825[[#This Row],[asofdate]],J:K,2,0)</f>
        <v>0.73452463619999997</v>
      </c>
      <c r="F20" s="22">
        <f ca="1">VLOOKUP(CurrentMtgRatesDataTable825[[#This Row],[asofdate]]+1,Bloomberg!B:C,2,0)</f>
        <v>2783.1</v>
      </c>
      <c r="I20" s="137"/>
      <c r="J20" s="15">
        <v>34488</v>
      </c>
      <c r="K20" s="137">
        <v>0</v>
      </c>
    </row>
    <row r="21" spans="3:11">
      <c r="C21" s="15">
        <v>42558</v>
      </c>
      <c r="D21" s="137">
        <v>0.77565743450000002</v>
      </c>
      <c r="E21" s="19">
        <f>VLOOKUP(CurrentMtgRatesDataTable825[[#This Row],[asofdate]],J:K,2,0)</f>
        <v>0.74659079689999996</v>
      </c>
      <c r="F21" s="22">
        <f ca="1">VLOOKUP(CurrentMtgRatesDataTable825[[#This Row],[asofdate]]+1,Bloomberg!B:C,2,0)</f>
        <v>2771.6</v>
      </c>
      <c r="I21" s="137"/>
      <c r="J21" s="15">
        <v>34495</v>
      </c>
      <c r="K21" s="137">
        <v>0</v>
      </c>
    </row>
    <row r="22" spans="3:11">
      <c r="C22" s="15">
        <v>42551</v>
      </c>
      <c r="D22" s="137">
        <v>0.76587515090000002</v>
      </c>
      <c r="E22" s="19">
        <f>VLOOKUP(CurrentMtgRatesDataTable825[[#This Row],[asofdate]],J:K,2,0)</f>
        <v>0.36450145699999997</v>
      </c>
      <c r="F22" s="22">
        <f ca="1">VLOOKUP(CurrentMtgRatesDataTable825[[#This Row],[asofdate]]+1,Bloomberg!B:C,2,0)</f>
        <v>2474.3000000000002</v>
      </c>
      <c r="I22" s="137"/>
      <c r="J22" s="15">
        <v>34502</v>
      </c>
      <c r="K22" s="137">
        <v>0</v>
      </c>
    </row>
    <row r="23" spans="3:11">
      <c r="C23" s="15">
        <v>42544</v>
      </c>
      <c r="D23" s="137">
        <v>0.69110725210000001</v>
      </c>
      <c r="E23" s="19">
        <f>VLOOKUP(CurrentMtgRatesDataTable825[[#This Row],[asofdate]],J:K,2,0)</f>
        <v>0.29603398609999998</v>
      </c>
      <c r="F23" s="22">
        <f ca="1">VLOOKUP(CurrentMtgRatesDataTable825[[#This Row],[asofdate]]+1,Bloomberg!B:C,2,0)</f>
        <v>2037</v>
      </c>
      <c r="I23" s="137"/>
      <c r="J23" s="15">
        <v>34509</v>
      </c>
      <c r="K23" s="137">
        <v>0</v>
      </c>
    </row>
    <row r="24" spans="3:11">
      <c r="C24" s="15">
        <v>42537</v>
      </c>
      <c r="D24" s="137">
        <v>0.73739072439999997</v>
      </c>
      <c r="E24" s="19">
        <f>VLOOKUP(CurrentMtgRatesDataTable825[[#This Row],[asofdate]],J:K,2,0)</f>
        <v>0.3231848464</v>
      </c>
      <c r="F24" s="22">
        <f ca="1">VLOOKUP(CurrentMtgRatesDataTable825[[#This Row],[asofdate]]+1,Bloomberg!B:C,2,0)</f>
        <v>2081.1999999999998</v>
      </c>
      <c r="I24" s="137"/>
      <c r="J24" s="15">
        <v>34516</v>
      </c>
      <c r="K24" s="137">
        <v>1.5620389000000001E-3</v>
      </c>
    </row>
    <row r="25" spans="3:11">
      <c r="C25" s="15">
        <v>42530</v>
      </c>
      <c r="D25" s="137">
        <v>0.66438425379999999</v>
      </c>
      <c r="E25" s="19">
        <f>VLOOKUP(CurrentMtgRatesDataTable825[[#This Row],[asofdate]],J:K,2,0)</f>
        <v>0.29154228319999997</v>
      </c>
      <c r="F25" s="22">
        <f ca="1">VLOOKUP(CurrentMtgRatesDataTable825[[#This Row],[asofdate]]+1,Bloomberg!B:C,2,0)</f>
        <v>1967.5</v>
      </c>
      <c r="I25" s="137"/>
      <c r="J25" s="15">
        <v>34523</v>
      </c>
      <c r="K25" s="137">
        <v>9.6829109999999996E-4</v>
      </c>
    </row>
    <row r="26" spans="3:11">
      <c r="C26" s="15">
        <v>42523</v>
      </c>
      <c r="D26" s="137">
        <v>0.58526010230000003</v>
      </c>
      <c r="E26" s="19">
        <f>VLOOKUP(CurrentMtgRatesDataTable825[[#This Row],[asofdate]],J:K,2,0)</f>
        <v>0.24658262720000002</v>
      </c>
      <c r="F26" s="22">
        <f ca="1">VLOOKUP(CurrentMtgRatesDataTable825[[#This Row],[asofdate]]+1,Bloomberg!B:C,2,0)</f>
        <v>1922.8</v>
      </c>
      <c r="I26" s="137"/>
      <c r="J26" s="15">
        <v>34530</v>
      </c>
      <c r="K26" s="137">
        <v>7.9129929999999997E-4</v>
      </c>
    </row>
    <row r="27" spans="3:11">
      <c r="C27" s="15">
        <v>42516</v>
      </c>
      <c r="D27" s="137">
        <v>0.62190941929999999</v>
      </c>
      <c r="E27" s="19">
        <f>VLOOKUP(CurrentMtgRatesDataTable825[[#This Row],[asofdate]],J:K,2,0)</f>
        <v>0.25614855920000001</v>
      </c>
      <c r="F27" s="22">
        <f ca="1">VLOOKUP(CurrentMtgRatesDataTable825[[#This Row],[asofdate]]+1,Bloomberg!B:C,2,0)</f>
        <v>1770.1</v>
      </c>
      <c r="I27" s="137"/>
      <c r="J27" s="15">
        <v>34537</v>
      </c>
      <c r="K27" s="137">
        <v>1.5620389000000001E-3</v>
      </c>
    </row>
    <row r="28" spans="3:11">
      <c r="C28" s="15">
        <v>42509</v>
      </c>
      <c r="D28" s="137">
        <v>0.66521365170000002</v>
      </c>
      <c r="E28" s="19">
        <f>VLOOKUP(CurrentMtgRatesDataTable825[[#This Row],[asofdate]],J:K,2,0)</f>
        <v>0.28823591269999999</v>
      </c>
      <c r="F28" s="22">
        <f ca="1">VLOOKUP(CurrentMtgRatesDataTable825[[#This Row],[asofdate]]+1,Bloomberg!B:C,2,0)</f>
        <v>1866.3</v>
      </c>
      <c r="I28" s="137"/>
      <c r="J28" s="15">
        <v>34544</v>
      </c>
      <c r="K28" s="137">
        <v>1.5620389000000001E-3</v>
      </c>
    </row>
    <row r="29" spans="3:11">
      <c r="C29" s="15">
        <v>42502</v>
      </c>
      <c r="D29" s="137">
        <v>0.71267394809999995</v>
      </c>
      <c r="E29" s="19">
        <f>VLOOKUP(CurrentMtgRatesDataTable825[[#This Row],[asofdate]],J:K,2,0)</f>
        <v>0.29953785770000002</v>
      </c>
      <c r="F29" s="22">
        <f ca="1">VLOOKUP(CurrentMtgRatesDataTable825[[#This Row],[asofdate]]+1,Bloomberg!B:C,2,0)</f>
        <v>1849.7</v>
      </c>
      <c r="I29" s="137"/>
      <c r="J29" s="15">
        <v>34551</v>
      </c>
      <c r="K29" s="137">
        <v>8.6249410000000003E-4</v>
      </c>
    </row>
    <row r="30" spans="3:11">
      <c r="C30" s="15">
        <v>42495</v>
      </c>
      <c r="D30" s="137">
        <v>0.62371322269999996</v>
      </c>
      <c r="E30" s="19">
        <f>VLOOKUP(CurrentMtgRatesDataTable825[[#This Row],[asofdate]],J:K,2,0)</f>
        <v>0.26121759630000002</v>
      </c>
      <c r="F30" s="22">
        <f ca="1">VLOOKUP(CurrentMtgRatesDataTable825[[#This Row],[asofdate]]+1,Bloomberg!B:C,2,0)</f>
        <v>1812</v>
      </c>
      <c r="I30" s="137"/>
      <c r="J30" s="15">
        <v>34558</v>
      </c>
      <c r="K30" s="137">
        <v>4.2375810000000002E-4</v>
      </c>
    </row>
    <row r="31" spans="3:11">
      <c r="C31" s="15">
        <v>42488</v>
      </c>
      <c r="D31" s="137">
        <v>0.57406643820000003</v>
      </c>
      <c r="E31" s="19">
        <f>VLOOKUP(CurrentMtgRatesDataTable825[[#This Row],[asofdate]],J:K,2,0)</f>
        <v>6.7427045199999994E-2</v>
      </c>
      <c r="F31" s="22">
        <f ca="1">VLOOKUP(CurrentMtgRatesDataTable825[[#This Row],[asofdate]]+1,Bloomberg!B:C,2,0)</f>
        <v>1791.9</v>
      </c>
      <c r="I31" s="137"/>
      <c r="J31" s="15">
        <v>34565</v>
      </c>
      <c r="K31" s="137">
        <v>5.2652410000000004E-4</v>
      </c>
    </row>
    <row r="32" spans="3:11">
      <c r="C32" s="15">
        <v>42481</v>
      </c>
      <c r="D32" s="137">
        <v>0.64436269310000005</v>
      </c>
      <c r="E32" s="19">
        <f>VLOOKUP(CurrentMtgRatesDataTable825[[#This Row],[asofdate]],J:K,2,0)</f>
        <v>0.27404515070000002</v>
      </c>
      <c r="F32" s="22">
        <f ca="1">VLOOKUP(CurrentMtgRatesDataTable825[[#This Row],[asofdate]]+1,Bloomberg!B:C,2,0)</f>
        <v>1910.1</v>
      </c>
      <c r="I32" s="137"/>
      <c r="J32" s="15">
        <v>34572</v>
      </c>
      <c r="K32" s="137">
        <v>4.3254159999999998E-4</v>
      </c>
    </row>
    <row r="33" spans="3:11">
      <c r="C33" s="15">
        <v>42474</v>
      </c>
      <c r="D33" s="137">
        <v>0.69672383459999998</v>
      </c>
      <c r="E33" s="19">
        <f>VLOOKUP(CurrentMtgRatesDataTable825[[#This Row],[asofdate]],J:K,2,0)</f>
        <v>0.28374614799999998</v>
      </c>
      <c r="F33" s="22">
        <f ca="1">VLOOKUP(CurrentMtgRatesDataTable825[[#This Row],[asofdate]]+1,Bloomberg!B:C,2,0)</f>
        <v>2072.6</v>
      </c>
      <c r="I33" s="137"/>
      <c r="J33" s="15">
        <v>34579</v>
      </c>
      <c r="K33" s="137">
        <v>1.9185097999999999E-3</v>
      </c>
    </row>
    <row r="34" spans="3:11">
      <c r="C34" s="15">
        <v>42467</v>
      </c>
      <c r="D34" s="137">
        <v>0.68664584439999998</v>
      </c>
      <c r="E34" s="19">
        <f>VLOOKUP(CurrentMtgRatesDataTable825[[#This Row],[asofdate]],J:K,2,0)</f>
        <v>0.27836232100000002</v>
      </c>
      <c r="F34" s="22">
        <f ca="1">VLOOKUP(CurrentMtgRatesDataTable825[[#This Row],[asofdate]]+1,Bloomberg!B:C,2,0)</f>
        <v>2061.1</v>
      </c>
      <c r="I34" s="137"/>
      <c r="J34" s="15">
        <v>34586</v>
      </c>
      <c r="K34" s="137">
        <v>1.6668391000000001E-3</v>
      </c>
    </row>
    <row r="35" spans="3:11">
      <c r="C35" s="15">
        <v>42460</v>
      </c>
      <c r="D35" s="137">
        <v>0.56749132749999998</v>
      </c>
      <c r="E35" s="19">
        <f>VLOOKUP(CurrentMtgRatesDataTable825[[#This Row],[asofdate]],J:K,2,0)</f>
        <v>4.9843355999999998E-2</v>
      </c>
      <c r="F35" s="22">
        <f ca="1">VLOOKUP(CurrentMtgRatesDataTable825[[#This Row],[asofdate]]+1,Bloomberg!B:C,2,0)</f>
        <v>1815.4</v>
      </c>
      <c r="I35" s="137"/>
      <c r="J35" s="15">
        <v>34593</v>
      </c>
      <c r="K35" s="137">
        <v>6.8870240000000005E-4</v>
      </c>
    </row>
    <row r="36" spans="3:11">
      <c r="C36" s="15">
        <v>42453</v>
      </c>
      <c r="D36" s="137">
        <v>0.56749132749999998</v>
      </c>
      <c r="E36" s="19">
        <f>VLOOKUP(CurrentMtgRatesDataTable825[[#This Row],[asofdate]],J:K,2,0)</f>
        <v>0.2031771</v>
      </c>
      <c r="F36" s="22">
        <f ca="1">VLOOKUP(CurrentMtgRatesDataTable825[[#This Row],[asofdate]]+1,Bloomberg!B:C,2,0)</f>
        <v>1671.6</v>
      </c>
      <c r="I36" s="137"/>
      <c r="J36" s="15">
        <v>34600</v>
      </c>
      <c r="K36" s="137">
        <v>4.472104E-4</v>
      </c>
    </row>
    <row r="37" spans="3:11">
      <c r="C37" s="15">
        <v>42446</v>
      </c>
      <c r="D37" s="137">
        <v>0.54737976219999995</v>
      </c>
      <c r="E37" s="19">
        <f>VLOOKUP(CurrentMtgRatesDataTable825[[#This Row],[asofdate]],J:K,2,0)</f>
        <v>4.2037071199999998E-2</v>
      </c>
      <c r="F37" s="22">
        <f ca="1">VLOOKUP(CurrentMtgRatesDataTable825[[#This Row],[asofdate]]+1,Bloomberg!B:C,2,0)</f>
        <v>1743.3</v>
      </c>
      <c r="I37" s="137"/>
      <c r="J37" s="15">
        <v>34607</v>
      </c>
      <c r="K37" s="137">
        <v>0</v>
      </c>
    </row>
    <row r="38" spans="3:11">
      <c r="C38" s="15">
        <v>42439</v>
      </c>
      <c r="D38" s="137">
        <v>0.58587521639999995</v>
      </c>
      <c r="E38" s="19">
        <f>VLOOKUP(CurrentMtgRatesDataTable825[[#This Row],[asofdate]],J:K,2,0)</f>
        <v>0.2267590142</v>
      </c>
      <c r="F38" s="22">
        <f ca="1">VLOOKUP(CurrentMtgRatesDataTable825[[#This Row],[asofdate]]+1,Bloomberg!B:C,2,0)</f>
        <v>1841.2</v>
      </c>
      <c r="I38" s="137"/>
      <c r="J38" s="15">
        <v>34614</v>
      </c>
      <c r="K38" s="137">
        <v>2.277173E-4</v>
      </c>
    </row>
    <row r="39" spans="3:11">
      <c r="C39" s="15">
        <v>42432</v>
      </c>
      <c r="D39" s="137">
        <v>0.62315819090000002</v>
      </c>
      <c r="E39" s="19">
        <f>VLOOKUP(CurrentMtgRatesDataTable825[[#This Row],[asofdate]],J:K,2,0)</f>
        <v>0.23816616020000003</v>
      </c>
      <c r="F39" s="22">
        <f ca="1">VLOOKUP(CurrentMtgRatesDataTable825[[#This Row],[asofdate]]+1,Bloomberg!B:C,2,0)</f>
        <v>1928</v>
      </c>
      <c r="I39" s="137"/>
      <c r="J39" s="15">
        <v>34621</v>
      </c>
      <c r="K39" s="137">
        <v>1.9858210000000002E-4</v>
      </c>
    </row>
    <row r="40" spans="3:11">
      <c r="C40" s="15">
        <v>42425</v>
      </c>
      <c r="D40" s="137">
        <v>0.62152081729999997</v>
      </c>
      <c r="E40" s="19">
        <f>VLOOKUP(CurrentMtgRatesDataTable825[[#This Row],[asofdate]],J:K,2,0)</f>
        <v>0.23417131099999999</v>
      </c>
      <c r="F40" s="22">
        <f ca="1">VLOOKUP(CurrentMtgRatesDataTable825[[#This Row],[asofdate]]+1,Bloomberg!B:C,2,0)</f>
        <v>1992.9</v>
      </c>
      <c r="I40" s="137"/>
      <c r="J40" s="15">
        <v>34628</v>
      </c>
      <c r="K40" s="137">
        <v>3.5987209999999994E-4</v>
      </c>
    </row>
    <row r="41" spans="3:11">
      <c r="C41" s="15">
        <v>42418</v>
      </c>
      <c r="D41" s="137">
        <v>0.61975450249999997</v>
      </c>
      <c r="E41" s="19">
        <f>VLOOKUP(CurrentMtgRatesDataTable825[[#This Row],[asofdate]],J:K,2,0)</f>
        <v>0.23187807120000001</v>
      </c>
      <c r="F41" s="22">
        <f ca="1">VLOOKUP(CurrentMtgRatesDataTable825[[#This Row],[asofdate]]+1,Bloomberg!B:C,2,0)</f>
        <v>2099.9</v>
      </c>
      <c r="I41" s="137"/>
      <c r="J41" s="15">
        <v>34635</v>
      </c>
      <c r="K41" s="137">
        <v>1.066873E-4</v>
      </c>
    </row>
    <row r="42" spans="3:11">
      <c r="C42" s="15">
        <v>42411</v>
      </c>
      <c r="D42" s="137">
        <v>0.61975450249999997</v>
      </c>
      <c r="E42" s="19">
        <f>VLOOKUP(CurrentMtgRatesDataTable825[[#This Row],[asofdate]],J:K,2,0)</f>
        <v>0.23383256720000001</v>
      </c>
      <c r="F42" s="22">
        <f ca="1">VLOOKUP(CurrentMtgRatesDataTable825[[#This Row],[asofdate]]+1,Bloomberg!B:C,2,0)</f>
        <v>2341.5</v>
      </c>
      <c r="I42" s="137"/>
      <c r="J42" s="15">
        <v>34642</v>
      </c>
      <c r="K42" s="137">
        <v>1.6869159999999999E-4</v>
      </c>
    </row>
    <row r="43" spans="3:11">
      <c r="C43" s="15">
        <v>42404</v>
      </c>
      <c r="D43" s="137">
        <v>0.53918901320000001</v>
      </c>
      <c r="E43" s="19">
        <f>VLOOKUP(CurrentMtgRatesDataTable825[[#This Row],[asofdate]],J:K,2,0)</f>
        <v>0.1952732136</v>
      </c>
      <c r="F43" s="22">
        <f ca="1">VLOOKUP(CurrentMtgRatesDataTable825[[#This Row],[asofdate]]+1,Bloomberg!B:C,2,0)</f>
        <v>2015.4</v>
      </c>
      <c r="I43" s="137"/>
      <c r="J43" s="15">
        <v>34649</v>
      </c>
      <c r="K43" s="137">
        <v>1.112245E-4</v>
      </c>
    </row>
    <row r="44" spans="3:11">
      <c r="C44" s="15">
        <v>42397</v>
      </c>
      <c r="D44" s="137">
        <v>0.50272537399999995</v>
      </c>
      <c r="E44" s="19">
        <f>VLOOKUP(CurrentMtgRatesDataTable825[[#This Row],[asofdate]],J:K,2,0)</f>
        <v>1.7591301199999999E-2</v>
      </c>
      <c r="F44" s="22">
        <f ca="1">VLOOKUP(CurrentMtgRatesDataTable825[[#This Row],[asofdate]]+1,Bloomberg!B:C,2,0)</f>
        <v>1726.6</v>
      </c>
      <c r="I44" s="137"/>
      <c r="J44" s="15">
        <v>34656</v>
      </c>
      <c r="K44" s="137">
        <v>1.112245E-4</v>
      </c>
    </row>
    <row r="45" spans="3:11">
      <c r="C45" s="15">
        <v>42390</v>
      </c>
      <c r="D45" s="137">
        <v>0.49753910080000002</v>
      </c>
      <c r="E45" s="19">
        <f>VLOOKUP(CurrentMtgRatesDataTable825[[#This Row],[asofdate]],J:K,2,0)</f>
        <v>1.7296221699999999E-2</v>
      </c>
      <c r="F45" s="22">
        <f ca="1">VLOOKUP(CurrentMtgRatesDataTable825[[#This Row],[asofdate]]+1,Bloomberg!B:C,2,0)</f>
        <v>1734.4</v>
      </c>
      <c r="I45" s="137"/>
      <c r="J45" s="15">
        <v>34663</v>
      </c>
      <c r="K45" s="137">
        <v>7.7488200000000001E-5</v>
      </c>
    </row>
    <row r="46" spans="3:11">
      <c r="C46" s="15">
        <v>42383</v>
      </c>
      <c r="D46" s="137">
        <v>0.46815197920000007</v>
      </c>
      <c r="E46" s="19">
        <f>VLOOKUP(CurrentMtgRatesDataTable825[[#This Row],[asofdate]],J:K,2,0)</f>
        <v>6.2010661000000003E-3</v>
      </c>
      <c r="F46" s="22">
        <f ca="1">VLOOKUP(CurrentMtgRatesDataTable825[[#This Row],[asofdate]]+1,Bloomberg!B:C,2,0)</f>
        <v>1544.6</v>
      </c>
      <c r="I46" s="137"/>
      <c r="J46" s="15">
        <v>34670</v>
      </c>
      <c r="K46" s="137">
        <v>1.8478139999999999E-4</v>
      </c>
    </row>
    <row r="47" spans="3:11">
      <c r="C47" s="15">
        <v>42376</v>
      </c>
      <c r="D47" s="137">
        <v>0.44756382090000002</v>
      </c>
      <c r="E47" s="19">
        <f>VLOOKUP(CurrentMtgRatesDataTable825[[#This Row],[asofdate]],J:K,2,0)</f>
        <v>3.0047211000000002E-3</v>
      </c>
      <c r="F47" s="22">
        <f ca="1">VLOOKUP(CurrentMtgRatesDataTable825[[#This Row],[asofdate]]+1,Bloomberg!B:C,2,0)</f>
        <v>1273.8</v>
      </c>
      <c r="I47" s="137"/>
      <c r="J47" s="15">
        <v>34677</v>
      </c>
      <c r="K47" s="137">
        <v>2.7048410000000001E-4</v>
      </c>
    </row>
    <row r="48" spans="3:11">
      <c r="C48" s="15">
        <v>42369</v>
      </c>
      <c r="D48" s="137">
        <v>0.43826473589999998</v>
      </c>
      <c r="E48" s="19">
        <f>VLOOKUP(CurrentMtgRatesDataTable825[[#This Row],[asofdate]],J:K,2,0)</f>
        <v>4.7134729999999999E-4</v>
      </c>
      <c r="F48" s="22">
        <f ca="1">VLOOKUP(CurrentMtgRatesDataTable825[[#This Row],[asofdate]]+1,Bloomberg!B:C,2,0)</f>
        <v>1020.5</v>
      </c>
      <c r="I48" s="137"/>
      <c r="J48" s="15">
        <v>34684</v>
      </c>
      <c r="K48" s="137">
        <v>1.028528E-4</v>
      </c>
    </row>
    <row r="49" spans="3:11">
      <c r="C49" s="15">
        <v>42362</v>
      </c>
      <c r="D49" s="137">
        <v>0.4601935942</v>
      </c>
      <c r="E49" s="19">
        <f>VLOOKUP(CurrentMtgRatesDataTable825[[#This Row],[asofdate]],J:K,2,0)</f>
        <v>3.7034997000000001E-3</v>
      </c>
      <c r="F49" s="22">
        <f ca="1">VLOOKUP(CurrentMtgRatesDataTable825[[#This Row],[asofdate]]+1,Bloomberg!B:C,2,0)</f>
        <v>1174.0999999999999</v>
      </c>
      <c r="I49" s="137"/>
      <c r="J49" s="15">
        <v>34691</v>
      </c>
      <c r="K49" s="137">
        <v>2.6556540000000002E-4</v>
      </c>
    </row>
    <row r="50" spans="3:11">
      <c r="C50" s="15">
        <v>42355</v>
      </c>
      <c r="D50" s="137">
        <v>0.45605562830000002</v>
      </c>
      <c r="E50" s="19">
        <f>VLOOKUP(CurrentMtgRatesDataTable825[[#This Row],[asofdate]],J:K,2,0)</f>
        <v>2.1328380000000002E-3</v>
      </c>
      <c r="F50" s="22">
        <f ca="1">VLOOKUP(CurrentMtgRatesDataTable825[[#This Row],[asofdate]]+1,Bloomberg!B:C,2,0)</f>
        <v>1667.4</v>
      </c>
      <c r="I50" s="137"/>
      <c r="J50" s="15">
        <v>34698</v>
      </c>
      <c r="K50" s="137">
        <v>2.6556540000000002E-4</v>
      </c>
    </row>
    <row r="51" spans="3:11">
      <c r="C51" s="15">
        <v>42348</v>
      </c>
      <c r="D51" s="137">
        <v>0.46652962419999999</v>
      </c>
      <c r="E51" s="19">
        <f>VLOOKUP(CurrentMtgRatesDataTable825[[#This Row],[asofdate]],J:K,2,0)</f>
        <v>3.7282702000000002E-3</v>
      </c>
      <c r="F51" s="22">
        <f ca="1">VLOOKUP(CurrentMtgRatesDataTable825[[#This Row],[asofdate]]+1,Bloomberg!B:C,2,0)</f>
        <v>1470.6</v>
      </c>
      <c r="I51" s="137"/>
      <c r="J51" s="15">
        <v>34705</v>
      </c>
      <c r="K51" s="137">
        <v>1.8582690000000003E-4</v>
      </c>
    </row>
    <row r="52" spans="3:11">
      <c r="C52" s="15">
        <v>42341</v>
      </c>
      <c r="D52" s="137">
        <v>0.47347711400000003</v>
      </c>
      <c r="E52" s="19">
        <f>VLOOKUP(CurrentMtgRatesDataTable825[[#This Row],[asofdate]],J:K,2,0)</f>
        <v>3.8999424000000001E-3</v>
      </c>
      <c r="F52" s="22">
        <f ca="1">VLOOKUP(CurrentMtgRatesDataTable825[[#This Row],[asofdate]]+1,Bloomberg!B:C,2,0)</f>
        <v>1451.5</v>
      </c>
      <c r="I52" s="137"/>
      <c r="J52" s="15">
        <v>34712</v>
      </c>
      <c r="K52" s="137">
        <v>2.186628E-4</v>
      </c>
    </row>
    <row r="53" spans="3:11">
      <c r="C53" s="15">
        <v>42333</v>
      </c>
      <c r="D53" s="137">
        <v>0.46308653259999999</v>
      </c>
      <c r="E53" s="19">
        <f>VLOOKUP(CurrentMtgRatesDataTable825[[#This Row],[asofdate]],J:K,2,0)</f>
        <v>2.5040428E-3</v>
      </c>
      <c r="F53" s="22">
        <f ca="1">VLOOKUP(CurrentMtgRatesDataTable825[[#This Row],[asofdate]]+1,Bloomberg!B:C,2,0)</f>
        <v>1410.2</v>
      </c>
      <c r="I53" s="137"/>
      <c r="J53" s="15">
        <v>34719</v>
      </c>
      <c r="K53" s="137">
        <v>4.278334E-4</v>
      </c>
    </row>
    <row r="54" spans="3:11">
      <c r="C54" s="15">
        <v>42327</v>
      </c>
      <c r="D54" s="137">
        <v>0.46443630479999998</v>
      </c>
      <c r="E54" s="19">
        <f>VLOOKUP(CurrentMtgRatesDataTable825[[#This Row],[asofdate]],J:K,2,0)</f>
        <v>2.5053662999999999E-3</v>
      </c>
      <c r="F54" s="22">
        <f ca="1">VLOOKUP(CurrentMtgRatesDataTable825[[#This Row],[asofdate]]+1,Bloomberg!B:C,2,0)</f>
        <v>1489</v>
      </c>
      <c r="I54" s="137"/>
      <c r="J54" s="15">
        <v>34726</v>
      </c>
      <c r="K54" s="137">
        <v>3.3046589999999993E-4</v>
      </c>
    </row>
    <row r="55" spans="3:11">
      <c r="C55" s="15">
        <v>42320</v>
      </c>
      <c r="D55" s="137">
        <v>0.45997040150000001</v>
      </c>
      <c r="E55" s="19">
        <f>VLOOKUP(CurrentMtgRatesDataTable825[[#This Row],[asofdate]],J:K,2,0)</f>
        <v>1.9502083E-3</v>
      </c>
      <c r="F55" s="22">
        <f ca="1">VLOOKUP(CurrentMtgRatesDataTable825[[#This Row],[asofdate]]+1,Bloomberg!B:C,2,0)</f>
        <v>1528.7</v>
      </c>
      <c r="I55" s="137"/>
      <c r="J55" s="15">
        <v>34733</v>
      </c>
      <c r="K55" s="137">
        <v>1.2755977999999999E-3</v>
      </c>
    </row>
    <row r="56" spans="3:11">
      <c r="C56" s="15">
        <v>42313</v>
      </c>
      <c r="D56" s="137">
        <v>0.49677707599999998</v>
      </c>
      <c r="E56" s="19">
        <f>VLOOKUP(CurrentMtgRatesDataTable825[[#This Row],[asofdate]],J:K,2,0)</f>
        <v>6.5558735999999996E-3</v>
      </c>
      <c r="F56" s="22">
        <f ca="1">VLOOKUP(CurrentMtgRatesDataTable825[[#This Row],[asofdate]]+1,Bloomberg!B:C,2,0)</f>
        <v>1514.1</v>
      </c>
      <c r="I56" s="137"/>
      <c r="J56" s="15">
        <v>34740</v>
      </c>
      <c r="K56" s="137">
        <v>2.5061058000000001E-3</v>
      </c>
    </row>
    <row r="57" spans="3:11">
      <c r="C57" s="15">
        <v>42306</v>
      </c>
      <c r="D57" s="137">
        <v>0.55261651649999999</v>
      </c>
      <c r="E57" s="19">
        <f>VLOOKUP(CurrentMtgRatesDataTable825[[#This Row],[asofdate]],J:K,2,0)</f>
        <v>1.6887394600000001E-2</v>
      </c>
      <c r="F57" s="22">
        <f ca="1">VLOOKUP(CurrentMtgRatesDataTable825[[#This Row],[asofdate]]+1,Bloomberg!B:C,2,0)</f>
        <v>1548.6</v>
      </c>
      <c r="I57" s="137"/>
      <c r="J57" s="15">
        <v>34747</v>
      </c>
      <c r="K57" s="137">
        <v>2.1375668999999999E-3</v>
      </c>
    </row>
    <row r="58" spans="3:11">
      <c r="C58" s="15">
        <v>42299</v>
      </c>
      <c r="D58" s="137">
        <v>0.52706745170000002</v>
      </c>
      <c r="E58" s="19">
        <f>VLOOKUP(CurrentMtgRatesDataTable825[[#This Row],[asofdate]],J:K,2,0)</f>
        <v>1.2722163599999999E-2</v>
      </c>
      <c r="F58" s="22">
        <f ca="1">VLOOKUP(CurrentMtgRatesDataTable825[[#This Row],[asofdate]]+1,Bloomberg!B:C,2,0)</f>
        <v>1544.8</v>
      </c>
      <c r="I58" s="137"/>
      <c r="J58" s="15">
        <v>34754</v>
      </c>
      <c r="K58" s="137">
        <v>3.4627301999999999E-3</v>
      </c>
    </row>
    <row r="59" spans="3:11">
      <c r="C59" s="15">
        <v>42292</v>
      </c>
      <c r="D59" s="137">
        <v>0.52130362860000001</v>
      </c>
      <c r="E59" s="19">
        <f>VLOOKUP(CurrentMtgRatesDataTable825[[#This Row],[asofdate]],J:K,2,0)</f>
        <v>8.9844881000000001E-3</v>
      </c>
      <c r="F59" s="22">
        <f ca="1">VLOOKUP(CurrentMtgRatesDataTable825[[#This Row],[asofdate]]+1,Bloomberg!B:C,2,0)</f>
        <v>1575.3</v>
      </c>
      <c r="I59" s="137"/>
      <c r="J59" s="15">
        <v>34761</v>
      </c>
      <c r="K59" s="137">
        <v>1.49593074E-2</v>
      </c>
    </row>
    <row r="60" spans="3:11">
      <c r="C60" s="15">
        <v>42285</v>
      </c>
      <c r="D60" s="137">
        <v>0.55261651649999999</v>
      </c>
      <c r="E60" s="19">
        <f>VLOOKUP(CurrentMtgRatesDataTable825[[#This Row],[asofdate]],J:K,2,0)</f>
        <v>1.6887394600000001E-2</v>
      </c>
      <c r="F60" s="22">
        <f ca="1">VLOOKUP(CurrentMtgRatesDataTable825[[#This Row],[asofdate]]+1,Bloomberg!B:C,2,0)</f>
        <v>1534.5</v>
      </c>
      <c r="I60" s="137"/>
      <c r="J60" s="15">
        <v>34768</v>
      </c>
      <c r="K60" s="137">
        <v>1.0312135199999999E-2</v>
      </c>
    </row>
    <row r="61" spans="3:11">
      <c r="C61" s="15">
        <v>42278</v>
      </c>
      <c r="D61" s="137">
        <v>0.51208600950000005</v>
      </c>
      <c r="E61" s="19">
        <f>VLOOKUP(CurrentMtgRatesDataTable825[[#This Row],[asofdate]],J:K,2,0)</f>
        <v>8.5607423000000002E-3</v>
      </c>
      <c r="F61" s="22">
        <f ca="1">VLOOKUP(CurrentMtgRatesDataTable825[[#This Row],[asofdate]]+1,Bloomberg!B:C,2,0)</f>
        <v>2071.6</v>
      </c>
      <c r="I61" s="137"/>
      <c r="J61" s="15">
        <v>34775</v>
      </c>
      <c r="K61" s="137">
        <v>2.2205261099999998E-2</v>
      </c>
    </row>
    <row r="62" spans="3:11">
      <c r="C62" s="15">
        <v>42271</v>
      </c>
      <c r="D62" s="137">
        <v>0.51399076759999995</v>
      </c>
      <c r="E62" s="19">
        <f>VLOOKUP(CurrentMtgRatesDataTable825[[#This Row],[asofdate]],J:K,2,0)</f>
        <v>2.6883557000000002E-3</v>
      </c>
      <c r="F62" s="22">
        <f ca="1">VLOOKUP(CurrentMtgRatesDataTable825[[#This Row],[asofdate]]+1,Bloomberg!B:C,2,0)</f>
        <v>1589.5</v>
      </c>
      <c r="I62" s="137"/>
      <c r="J62" s="15">
        <v>34782</v>
      </c>
      <c r="K62" s="137">
        <v>2.0381264199999999E-2</v>
      </c>
    </row>
    <row r="63" spans="3:11">
      <c r="C63" s="15">
        <v>42264</v>
      </c>
      <c r="D63" s="137">
        <v>0.5083323126</v>
      </c>
      <c r="E63" s="19">
        <f>VLOOKUP(CurrentMtgRatesDataTable825[[#This Row],[asofdate]],J:K,2,0)</f>
        <v>2.1280814000000001E-3</v>
      </c>
      <c r="F63" s="22">
        <f ca="1">VLOOKUP(CurrentMtgRatesDataTable825[[#This Row],[asofdate]]+1,Bloomberg!B:C,2,0)</f>
        <v>1759.9</v>
      </c>
      <c r="I63" s="137"/>
      <c r="J63" s="15">
        <v>34789</v>
      </c>
      <c r="K63" s="137">
        <v>2.2205261099999998E-2</v>
      </c>
    </row>
    <row r="64" spans="3:11">
      <c r="C64" s="15">
        <v>42257</v>
      </c>
      <c r="D64" s="137">
        <v>0.51043465129999999</v>
      </c>
      <c r="E64" s="19">
        <f>VLOOKUP(CurrentMtgRatesDataTable825[[#This Row],[asofdate]],J:K,2,0)</f>
        <v>2.6022055E-3</v>
      </c>
      <c r="F64" s="22">
        <f ca="1">VLOOKUP(CurrentMtgRatesDataTable825[[#This Row],[asofdate]]+1,Bloomberg!B:C,2,0)</f>
        <v>1473.7</v>
      </c>
      <c r="I64" s="137"/>
      <c r="J64" s="15">
        <v>34796</v>
      </c>
      <c r="K64" s="137">
        <v>2.6184524300000001E-2</v>
      </c>
    </row>
    <row r="65" spans="3:11">
      <c r="C65" s="15">
        <v>42250</v>
      </c>
      <c r="D65" s="137">
        <v>0.5127782193</v>
      </c>
      <c r="E65" s="19">
        <f>VLOOKUP(CurrentMtgRatesDataTable825[[#This Row],[asofdate]],J:K,2,0)</f>
        <v>2.5424555000000001E-3</v>
      </c>
      <c r="F65" s="22">
        <f ca="1">VLOOKUP(CurrentMtgRatesDataTable825[[#This Row],[asofdate]]+1,Bloomberg!B:C,2,0)</f>
        <v>1626.9</v>
      </c>
      <c r="I65" s="137"/>
      <c r="J65" s="15">
        <v>34803</v>
      </c>
      <c r="K65" s="137">
        <v>2.84926803E-2</v>
      </c>
    </row>
    <row r="66" spans="3:11">
      <c r="C66" s="15">
        <v>42243</v>
      </c>
      <c r="D66" s="137">
        <v>0.53856859050000006</v>
      </c>
      <c r="E66" s="19">
        <f>VLOOKUP(CurrentMtgRatesDataTable825[[#This Row],[asofdate]],J:K,2,0)</f>
        <v>3.8897602E-3</v>
      </c>
      <c r="F66" s="22">
        <f ca="1">VLOOKUP(CurrentMtgRatesDataTable825[[#This Row],[asofdate]]+1,Bloomberg!B:C,2,0)</f>
        <v>1857.7</v>
      </c>
      <c r="I66" s="137"/>
      <c r="J66" s="15">
        <v>34810</v>
      </c>
      <c r="K66" s="137">
        <v>4.12155243E-2</v>
      </c>
    </row>
    <row r="67" spans="3:11">
      <c r="C67" s="15">
        <v>42236</v>
      </c>
      <c r="D67" s="137">
        <v>0.51646033650000001</v>
      </c>
      <c r="E67" s="19">
        <f>VLOOKUP(CurrentMtgRatesDataTable825[[#This Row],[asofdate]],J:K,2,0)</f>
        <v>1.2478017E-3</v>
      </c>
      <c r="F67" s="22">
        <f ca="1">VLOOKUP(CurrentMtgRatesDataTable825[[#This Row],[asofdate]]+1,Bloomberg!B:C,2,0)</f>
        <v>1545.5</v>
      </c>
      <c r="I67" s="137"/>
      <c r="J67" s="15">
        <v>34817</v>
      </c>
      <c r="K67" s="137">
        <v>3.8315555699999997E-2</v>
      </c>
    </row>
    <row r="68" spans="3:11">
      <c r="C68" s="15">
        <v>42229</v>
      </c>
      <c r="D68" s="137">
        <v>0.51316667250000003</v>
      </c>
      <c r="E68" s="19">
        <f>VLOOKUP(CurrentMtgRatesDataTable825[[#This Row],[asofdate]],J:K,2,0)</f>
        <v>1.2033200999999999E-3</v>
      </c>
      <c r="F68" s="22">
        <f ca="1">VLOOKUP(CurrentMtgRatesDataTable825[[#This Row],[asofdate]]+1,Bloomberg!B:C,2,0)</f>
        <v>1561.2</v>
      </c>
      <c r="I68" s="137"/>
      <c r="J68" s="15">
        <v>34824</v>
      </c>
      <c r="K68" s="137">
        <v>4.7391495999999998E-2</v>
      </c>
    </row>
    <row r="69" spans="3:11">
      <c r="C69" s="15">
        <v>42222</v>
      </c>
      <c r="D69" s="137">
        <v>0.52075028860000006</v>
      </c>
      <c r="E69" s="19">
        <f>VLOOKUP(CurrentMtgRatesDataTable825[[#This Row],[asofdate]],J:K,2,0)</f>
        <v>1.7238742999999999E-3</v>
      </c>
      <c r="F69" s="22">
        <f ca="1">VLOOKUP(CurrentMtgRatesDataTable825[[#This Row],[asofdate]]+1,Bloomberg!B:C,2,0)</f>
        <v>1455.2</v>
      </c>
      <c r="I69" s="137"/>
      <c r="J69" s="15">
        <v>34831</v>
      </c>
      <c r="K69" s="137">
        <v>9.3780738799999999E-2</v>
      </c>
    </row>
    <row r="70" spans="3:11">
      <c r="C70" s="15">
        <v>42215</v>
      </c>
      <c r="D70" s="137">
        <v>0.50568140959999996</v>
      </c>
      <c r="E70" s="19">
        <f>VLOOKUP(CurrentMtgRatesDataTable825[[#This Row],[asofdate]],J:K,2,0)</f>
        <v>6.1178580000000005E-4</v>
      </c>
      <c r="F70" s="22">
        <f ca="1">VLOOKUP(CurrentMtgRatesDataTable825[[#This Row],[asofdate]]+1,Bloomberg!B:C,2,0)</f>
        <v>1418</v>
      </c>
      <c r="I70" s="137"/>
      <c r="J70" s="15">
        <v>34838</v>
      </c>
      <c r="K70" s="137">
        <v>9.6733864000000003E-2</v>
      </c>
    </row>
    <row r="71" spans="3:11">
      <c r="C71" s="15">
        <v>42208</v>
      </c>
      <c r="D71" s="137">
        <v>0.47440443860000003</v>
      </c>
      <c r="E71" s="19">
        <f>VLOOKUP(CurrentMtgRatesDataTable825[[#This Row],[asofdate]],J:K,2,0)</f>
        <v>2.7958969999999998E-4</v>
      </c>
      <c r="F71" s="22">
        <f ca="1">VLOOKUP(CurrentMtgRatesDataTable825[[#This Row],[asofdate]]+1,Bloomberg!B:C,2,0)</f>
        <v>1339.9</v>
      </c>
      <c r="I71" s="137"/>
      <c r="J71" s="15">
        <v>34845</v>
      </c>
      <c r="K71" s="137">
        <v>9.5319501500000001E-2</v>
      </c>
    </row>
    <row r="72" spans="3:11">
      <c r="C72" s="15">
        <v>42201</v>
      </c>
      <c r="D72" s="137">
        <v>0.43913389889999999</v>
      </c>
      <c r="E72" s="19">
        <f>VLOOKUP(CurrentMtgRatesDataTable825[[#This Row],[asofdate]],J:K,2,0)</f>
        <v>2.279929E-4</v>
      </c>
      <c r="F72" s="22">
        <f ca="1">VLOOKUP(CurrentMtgRatesDataTable825[[#This Row],[asofdate]]+1,Bloomberg!B:C,2,0)</f>
        <v>1305.5999999999999</v>
      </c>
      <c r="I72" s="137"/>
      <c r="J72" s="15">
        <v>34852</v>
      </c>
      <c r="K72" s="137">
        <v>0.1170456134</v>
      </c>
    </row>
    <row r="73" spans="3:11">
      <c r="C73" s="15">
        <v>42194</v>
      </c>
      <c r="D73" s="137">
        <v>0.47440443860000003</v>
      </c>
      <c r="E73" s="19">
        <f>VLOOKUP(CurrentMtgRatesDataTable825[[#This Row],[asofdate]],J:K,2,0)</f>
        <v>4.2772040000000001E-4</v>
      </c>
      <c r="F73" s="22">
        <f ca="1">VLOOKUP(CurrentMtgRatesDataTable825[[#This Row],[asofdate]]+1,Bloomberg!B:C,2,0)</f>
        <v>1332.4</v>
      </c>
      <c r="I73" s="137"/>
      <c r="J73" s="15">
        <v>34859</v>
      </c>
      <c r="K73" s="137">
        <v>0.13244104679999999</v>
      </c>
    </row>
    <row r="74" spans="3:11">
      <c r="C74" s="15">
        <v>42187</v>
      </c>
      <c r="D74" s="137">
        <v>0.44790079249999998</v>
      </c>
      <c r="E74" s="19">
        <f>VLOOKUP(CurrentMtgRatesDataTable825[[#This Row],[asofdate]],J:K,2,0)</f>
        <v>2.3109220000000003E-4</v>
      </c>
      <c r="F74" s="22">
        <f ca="1">VLOOKUP(CurrentMtgRatesDataTable825[[#This Row],[asofdate]]+1,Bloomberg!B:C,2,0)</f>
        <v>1299.9000000000001</v>
      </c>
      <c r="I74" s="137"/>
      <c r="J74" s="15">
        <v>34866</v>
      </c>
      <c r="K74" s="137">
        <v>0.12963910379999999</v>
      </c>
    </row>
    <row r="75" spans="3:11">
      <c r="C75" s="15">
        <v>42180</v>
      </c>
      <c r="D75" s="137">
        <v>0.48073830760000003</v>
      </c>
      <c r="E75" s="19">
        <f>VLOOKUP(CurrentMtgRatesDataTable825[[#This Row],[asofdate]],J:K,2,0)</f>
        <v>2.4672490000000001E-4</v>
      </c>
      <c r="F75" s="22">
        <f ca="1">VLOOKUP(CurrentMtgRatesDataTable825[[#This Row],[asofdate]]+1,Bloomberg!B:C,2,0)</f>
        <v>1246.0999999999999</v>
      </c>
      <c r="I75" s="137"/>
      <c r="J75" s="15">
        <v>34873</v>
      </c>
      <c r="K75" s="137">
        <v>0.1304275597</v>
      </c>
    </row>
    <row r="76" spans="3:11">
      <c r="C76" s="15">
        <v>42173</v>
      </c>
      <c r="D76" s="137">
        <v>0.49111985940000003</v>
      </c>
      <c r="E76" s="19">
        <f>VLOOKUP(CurrentMtgRatesDataTable825[[#This Row],[asofdate]],J:K,2,0)</f>
        <v>3.3476369999999999E-4</v>
      </c>
      <c r="F76" s="22">
        <f ca="1">VLOOKUP(CurrentMtgRatesDataTable825[[#This Row],[asofdate]]+1,Bloomberg!B:C,2,0)</f>
        <v>1318.3</v>
      </c>
      <c r="I76" s="137"/>
      <c r="J76" s="15">
        <v>34880</v>
      </c>
      <c r="K76" s="137">
        <v>0.1304275597</v>
      </c>
    </row>
    <row r="77" spans="3:11">
      <c r="C77" s="15">
        <v>42166</v>
      </c>
      <c r="D77" s="137">
        <v>0.48288613810000003</v>
      </c>
      <c r="E77" s="19">
        <f>VLOOKUP(CurrentMtgRatesDataTable825[[#This Row],[asofdate]],J:K,2,0)</f>
        <v>2.4672490000000001E-4</v>
      </c>
      <c r="F77" s="22">
        <f ca="1">VLOOKUP(CurrentMtgRatesDataTable825[[#This Row],[asofdate]]+1,Bloomberg!B:C,2,0)</f>
        <v>1273.4000000000001</v>
      </c>
      <c r="I77" s="137"/>
      <c r="J77" s="15">
        <v>34887</v>
      </c>
      <c r="K77" s="137">
        <v>0.13687100860000001</v>
      </c>
    </row>
    <row r="78" spans="3:11">
      <c r="C78" s="15">
        <v>42159</v>
      </c>
      <c r="D78" s="137">
        <v>0.55088825549999998</v>
      </c>
      <c r="E78" s="19">
        <f>VLOOKUP(CurrentMtgRatesDataTable825[[#This Row],[asofdate]],J:K,2,0)</f>
        <v>6.7233240000000001E-4</v>
      </c>
      <c r="F78" s="22">
        <f ca="1">VLOOKUP(CurrentMtgRatesDataTable825[[#This Row],[asofdate]]+1,Bloomberg!B:C,2,0)</f>
        <v>1342.4</v>
      </c>
      <c r="I78" s="137"/>
      <c r="J78" s="15">
        <v>34894</v>
      </c>
      <c r="K78" s="137">
        <v>0.14976139790000001</v>
      </c>
    </row>
    <row r="79" spans="3:11">
      <c r="C79" s="15">
        <v>42152</v>
      </c>
      <c r="D79" s="137">
        <v>0.55937409220000001</v>
      </c>
      <c r="E79" s="19">
        <f>VLOOKUP(CurrentMtgRatesDataTable825[[#This Row],[asofdate]],J:K,2,0)</f>
        <v>9.922666000000001E-4</v>
      </c>
      <c r="F79" s="22">
        <f ca="1">VLOOKUP(CurrentMtgRatesDataTable825[[#This Row],[asofdate]]+1,Bloomberg!B:C,2,0)</f>
        <v>1233.9000000000001</v>
      </c>
      <c r="I79" s="137"/>
      <c r="J79" s="15">
        <v>34901</v>
      </c>
      <c r="K79" s="137">
        <v>0.13934199750000001</v>
      </c>
    </row>
    <row r="80" spans="3:11">
      <c r="C80" s="15">
        <v>42145</v>
      </c>
      <c r="D80" s="137">
        <v>0.56072373549999999</v>
      </c>
      <c r="E80" s="19">
        <f>VLOOKUP(CurrentMtgRatesDataTable825[[#This Row],[asofdate]],J:K,2,0)</f>
        <v>9.9403300000000007E-4</v>
      </c>
      <c r="F80" s="22">
        <f ca="1">VLOOKUP(CurrentMtgRatesDataTable825[[#This Row],[asofdate]]+1,Bloomberg!B:C,2,0)</f>
        <v>1408.1</v>
      </c>
      <c r="I80" s="137"/>
      <c r="J80" s="15">
        <v>34908</v>
      </c>
      <c r="K80" s="137">
        <v>0.12445275960000002</v>
      </c>
    </row>
    <row r="81" spans="3:11">
      <c r="C81" s="15">
        <v>42138</v>
      </c>
      <c r="D81" s="137">
        <v>0.56853067779999999</v>
      </c>
      <c r="E81" s="19">
        <f>VLOOKUP(CurrentMtgRatesDataTable825[[#This Row],[asofdate]],J:K,2,0)</f>
        <v>1.3725467999999999E-3</v>
      </c>
      <c r="F81" s="22">
        <f ca="1">VLOOKUP(CurrentMtgRatesDataTable825[[#This Row],[asofdate]]+1,Bloomberg!B:C,2,0)</f>
        <v>1448.8</v>
      </c>
      <c r="I81" s="137"/>
      <c r="J81" s="15">
        <v>34915</v>
      </c>
      <c r="K81" s="137">
        <v>0.1297047429</v>
      </c>
    </row>
    <row r="82" spans="3:11">
      <c r="C82" s="15">
        <v>42131</v>
      </c>
      <c r="D82" s="137">
        <v>0.58376029039999999</v>
      </c>
      <c r="E82" s="19">
        <f>VLOOKUP(CurrentMtgRatesDataTable825[[#This Row],[asofdate]],J:K,2,0)</f>
        <v>3.6102309000000002E-3</v>
      </c>
      <c r="F82" s="22">
        <f ca="1">VLOOKUP(CurrentMtgRatesDataTable825[[#This Row],[asofdate]]+1,Bloomberg!B:C,2,0)</f>
        <v>1477.8</v>
      </c>
      <c r="I82" s="137"/>
      <c r="J82" s="15">
        <v>34922</v>
      </c>
      <c r="K82" s="137">
        <v>0.1346157855</v>
      </c>
    </row>
    <row r="83" spans="3:11">
      <c r="C83" s="15">
        <v>42124</v>
      </c>
      <c r="D83" s="137">
        <v>0.66572470230000003</v>
      </c>
      <c r="E83" s="19">
        <f>VLOOKUP(CurrentMtgRatesDataTable825[[#This Row],[asofdate]],J:K,2,0)</f>
        <v>0.1684494299</v>
      </c>
      <c r="F83" s="22">
        <f ca="1">VLOOKUP(CurrentMtgRatesDataTable825[[#This Row],[asofdate]]+1,Bloomberg!B:C,2,0)</f>
        <v>1559.4</v>
      </c>
      <c r="I83" s="137"/>
      <c r="J83" s="15">
        <v>34929</v>
      </c>
      <c r="K83" s="137">
        <v>8.5622909999999997E-3</v>
      </c>
    </row>
    <row r="84" spans="3:11">
      <c r="C84" s="15">
        <v>42117</v>
      </c>
      <c r="D84" s="137">
        <v>0.67757498279999995</v>
      </c>
      <c r="E84" s="19">
        <f>VLOOKUP(CurrentMtgRatesDataTable825[[#This Row],[asofdate]],J:K,2,0)</f>
        <v>0.18959361860000001</v>
      </c>
      <c r="F84" s="22">
        <f ca="1">VLOOKUP(CurrentMtgRatesDataTable825[[#This Row],[asofdate]]+1,Bloomberg!B:C,2,0)</f>
        <v>1723</v>
      </c>
      <c r="I84" s="137"/>
      <c r="J84" s="15">
        <v>34936</v>
      </c>
      <c r="K84" s="137">
        <v>9.1098744000000006E-3</v>
      </c>
    </row>
    <row r="85" spans="3:11">
      <c r="C85" s="15">
        <v>42110</v>
      </c>
      <c r="D85" s="137">
        <v>0.65561679309999998</v>
      </c>
      <c r="E85" s="19">
        <f>VLOOKUP(CurrentMtgRatesDataTable825[[#This Row],[asofdate]],J:K,2,0)</f>
        <v>0.16713277909999999</v>
      </c>
      <c r="F85" s="22">
        <f ca="1">VLOOKUP(CurrentMtgRatesDataTable825[[#This Row],[asofdate]]+1,Bloomberg!B:C,2,0)</f>
        <v>1817</v>
      </c>
      <c r="I85" s="137"/>
      <c r="J85" s="15">
        <v>34943</v>
      </c>
      <c r="K85" s="137">
        <v>0.13925894429999999</v>
      </c>
    </row>
    <row r="86" spans="3:11">
      <c r="C86" s="15">
        <v>42103</v>
      </c>
      <c r="D86" s="137">
        <v>0.6753411037</v>
      </c>
      <c r="E86" s="19">
        <f>VLOOKUP(CurrentMtgRatesDataTable825[[#This Row],[asofdate]],J:K,2,0)</f>
        <v>0.1873139328</v>
      </c>
      <c r="F86" s="22">
        <f ca="1">VLOOKUP(CurrentMtgRatesDataTable825[[#This Row],[asofdate]]+1,Bloomberg!B:C,2,0)</f>
        <v>1804.6</v>
      </c>
      <c r="I86" s="137"/>
      <c r="J86" s="15">
        <v>34950</v>
      </c>
      <c r="K86" s="137">
        <v>0.15206470329999999</v>
      </c>
    </row>
    <row r="87" spans="3:11">
      <c r="C87" s="15">
        <v>42096</v>
      </c>
      <c r="D87" s="137">
        <v>0.64494356100000005</v>
      </c>
      <c r="E87" s="19">
        <f>VLOOKUP(CurrentMtgRatesDataTable825[[#This Row],[asofdate]],J:K,2,0)</f>
        <v>0.16610413060000001</v>
      </c>
      <c r="F87" s="22">
        <f ca="1">VLOOKUP(CurrentMtgRatesDataTable825[[#This Row],[asofdate]]+1,Bloomberg!B:C,2,0)</f>
        <v>1854.7</v>
      </c>
      <c r="I87" s="137"/>
      <c r="J87" s="15">
        <v>34957</v>
      </c>
      <c r="K87" s="137">
        <v>0.1543024352</v>
      </c>
    </row>
    <row r="88" spans="3:11">
      <c r="C88" s="15">
        <v>42089</v>
      </c>
      <c r="D88" s="137">
        <v>0.66455052820000005</v>
      </c>
      <c r="E88" s="19">
        <f>VLOOKUP(CurrentMtgRatesDataTable825[[#This Row],[asofdate]],J:K,2,0)</f>
        <v>0.16740534970000001</v>
      </c>
      <c r="F88" s="22">
        <f ca="1">VLOOKUP(CurrentMtgRatesDataTable825[[#This Row],[asofdate]]+1,Bloomberg!B:C,2,0)</f>
        <v>1941.6</v>
      </c>
      <c r="I88" s="137"/>
      <c r="J88" s="15">
        <v>34964</v>
      </c>
      <c r="K88" s="137">
        <v>0.1562551059</v>
      </c>
    </row>
    <row r="89" spans="3:11">
      <c r="C89" s="15">
        <v>42082</v>
      </c>
      <c r="D89" s="137">
        <v>0.60650027699999998</v>
      </c>
      <c r="E89" s="19">
        <f>VLOOKUP(CurrentMtgRatesDataTable825[[#This Row],[asofdate]],J:K,2,0)</f>
        <v>0.1449887732</v>
      </c>
      <c r="F89" s="22">
        <f ca="1">VLOOKUP(CurrentMtgRatesDataTable825[[#This Row],[asofdate]]+1,Bloomberg!B:C,2,0)</f>
        <v>1860.8</v>
      </c>
      <c r="I89" s="137"/>
      <c r="J89" s="15">
        <v>34971</v>
      </c>
      <c r="K89" s="137">
        <v>0.15250461360000001</v>
      </c>
    </row>
    <row r="90" spans="3:11">
      <c r="C90" s="15">
        <v>42075</v>
      </c>
      <c r="D90" s="137">
        <v>0.57938694099999999</v>
      </c>
      <c r="E90" s="19">
        <f>VLOOKUP(CurrentMtgRatesDataTable825[[#This Row],[asofdate]],J:K,2,0)</f>
        <v>0.1083162191</v>
      </c>
      <c r="F90" s="22">
        <f ca="1">VLOOKUP(CurrentMtgRatesDataTable825[[#This Row],[asofdate]]+1,Bloomberg!B:C,2,0)</f>
        <v>1623.6</v>
      </c>
      <c r="I90" s="137"/>
      <c r="J90" s="15">
        <v>34978</v>
      </c>
      <c r="K90" s="137">
        <v>0.15775991489999999</v>
      </c>
    </row>
    <row r="91" spans="3:11">
      <c r="C91" s="15">
        <v>42068</v>
      </c>
      <c r="D91" s="137">
        <v>0.6189085366</v>
      </c>
      <c r="E91" s="19">
        <f>VLOOKUP(CurrentMtgRatesDataTable825[[#This Row],[asofdate]],J:K,2,0)</f>
        <v>0.14748581329999999</v>
      </c>
      <c r="F91" s="22">
        <f ca="1">VLOOKUP(CurrentMtgRatesDataTable825[[#This Row],[asofdate]]+1,Bloomberg!B:C,2,0)</f>
        <v>1685.7</v>
      </c>
      <c r="I91" s="137"/>
      <c r="J91" s="15">
        <v>34985</v>
      </c>
      <c r="K91" s="137">
        <v>0.16093159060000001</v>
      </c>
    </row>
    <row r="92" spans="3:11">
      <c r="C92" s="15">
        <v>42061</v>
      </c>
      <c r="D92" s="137">
        <v>0.60790429349999997</v>
      </c>
      <c r="E92" s="19">
        <f>VLOOKUP(CurrentMtgRatesDataTable825[[#This Row],[asofdate]],J:K,2,0)</f>
        <v>0.1283141562</v>
      </c>
      <c r="F92" s="22">
        <f ca="1">VLOOKUP(CurrentMtgRatesDataTable825[[#This Row],[asofdate]]+1,Bloomberg!B:C,2,0)</f>
        <v>1740.3</v>
      </c>
      <c r="I92" s="137"/>
      <c r="J92" s="15">
        <v>34992</v>
      </c>
      <c r="K92" s="137">
        <v>0.17117591160000001</v>
      </c>
    </row>
    <row r="93" spans="3:11">
      <c r="C93" s="15">
        <v>42054</v>
      </c>
      <c r="D93" s="137">
        <v>0.6216344452</v>
      </c>
      <c r="E93" s="19">
        <f>VLOOKUP(CurrentMtgRatesDataTable825[[#This Row],[asofdate]],J:K,2,0)</f>
        <v>0.1446313645</v>
      </c>
      <c r="F93" s="22">
        <f ca="1">VLOOKUP(CurrentMtgRatesDataTable825[[#This Row],[asofdate]]+1,Bloomberg!B:C,2,0)</f>
        <v>1703.1</v>
      </c>
      <c r="I93" s="137"/>
      <c r="J93" s="15">
        <v>34999</v>
      </c>
      <c r="K93" s="137">
        <v>0.16607947889999999</v>
      </c>
    </row>
    <row r="94" spans="3:11">
      <c r="C94" s="15">
        <v>42047</v>
      </c>
      <c r="D94" s="137">
        <v>0.66744400930000003</v>
      </c>
      <c r="E94" s="19">
        <f>VLOOKUP(CurrentMtgRatesDataTable825[[#This Row],[asofdate]],J:K,2,0)</f>
        <v>0.16619450729999999</v>
      </c>
      <c r="F94" s="22">
        <f ca="1">VLOOKUP(CurrentMtgRatesDataTable825[[#This Row],[asofdate]]+1,Bloomberg!B:C,2,0)</f>
        <v>1904.2</v>
      </c>
      <c r="I94" s="137"/>
      <c r="J94" s="15">
        <v>35006</v>
      </c>
      <c r="K94" s="137">
        <v>0.17618293280000002</v>
      </c>
    </row>
    <row r="95" spans="3:11">
      <c r="C95" s="15">
        <v>42040</v>
      </c>
      <c r="D95" s="137">
        <v>0.70511625659999999</v>
      </c>
      <c r="E95" s="19">
        <f>VLOOKUP(CurrentMtgRatesDataTable825[[#This Row],[asofdate]],J:K,2,0)</f>
        <v>0.18792449059999999</v>
      </c>
      <c r="F95" s="22">
        <f ca="1">VLOOKUP(CurrentMtgRatesDataTable825[[#This Row],[asofdate]]+1,Bloomberg!B:C,2,0)</f>
        <v>2291.3000000000002</v>
      </c>
      <c r="I95" s="137"/>
      <c r="J95" s="15">
        <v>35012</v>
      </c>
      <c r="K95" s="137">
        <v>0.18434304160000001</v>
      </c>
    </row>
    <row r="96" spans="3:11">
      <c r="C96" s="15">
        <v>42033</v>
      </c>
      <c r="D96" s="137">
        <v>0.65188653600000002</v>
      </c>
      <c r="E96" s="19">
        <f>VLOOKUP(CurrentMtgRatesDataTable825[[#This Row],[asofdate]],J:K,2,0)</f>
        <v>0.1572286852</v>
      </c>
      <c r="F96" s="22">
        <f ca="1">VLOOKUP(CurrentMtgRatesDataTable825[[#This Row],[asofdate]]+1,Bloomberg!B:C,2,0)</f>
        <v>2584.8000000000002</v>
      </c>
      <c r="I96" s="137"/>
      <c r="J96" s="15">
        <v>35020</v>
      </c>
      <c r="K96" s="137">
        <v>0.18679239319999999</v>
      </c>
    </row>
    <row r="97" spans="3:11">
      <c r="C97" s="15">
        <v>42026</v>
      </c>
      <c r="D97" s="137">
        <v>0.65294239229999995</v>
      </c>
      <c r="E97" s="19">
        <f>VLOOKUP(CurrentMtgRatesDataTable825[[#This Row],[asofdate]],J:K,2,0)</f>
        <v>0.15858242340000001</v>
      </c>
      <c r="F97" s="22">
        <f ca="1">VLOOKUP(CurrentMtgRatesDataTable825[[#This Row],[asofdate]]+1,Bloomberg!B:C,2,0)</f>
        <v>2572.3000000000002</v>
      </c>
      <c r="I97" s="137"/>
      <c r="J97" s="15">
        <v>35027</v>
      </c>
      <c r="K97" s="137">
        <v>0.18679239319999999</v>
      </c>
    </row>
    <row r="98" spans="3:11">
      <c r="C98" s="15">
        <v>42019</v>
      </c>
      <c r="D98" s="137">
        <v>0.65188653600000002</v>
      </c>
      <c r="E98" s="19">
        <f>VLOOKUP(CurrentMtgRatesDataTable825[[#This Row],[asofdate]],J:K,2,0)</f>
        <v>0.1584462643</v>
      </c>
      <c r="F98" s="22">
        <f ca="1">VLOOKUP(CurrentMtgRatesDataTable825[[#This Row],[asofdate]]+1,Bloomberg!B:C,2,0)</f>
        <v>2799.3</v>
      </c>
      <c r="I98" s="137"/>
      <c r="J98" s="15">
        <v>35034</v>
      </c>
      <c r="K98" s="137">
        <v>0.19286061839999999</v>
      </c>
    </row>
    <row r="99" spans="3:11">
      <c r="C99" s="15">
        <v>42012</v>
      </c>
      <c r="D99" s="137">
        <v>0.62245046879999999</v>
      </c>
      <c r="E99" s="19">
        <f>VLOOKUP(CurrentMtgRatesDataTable825[[#This Row],[asofdate]],J:K,2,0)</f>
        <v>0.1273646118</v>
      </c>
      <c r="F99" s="22">
        <f ca="1">VLOOKUP(CurrentMtgRatesDataTable825[[#This Row],[asofdate]]+1,Bloomberg!B:C,2,0)</f>
        <v>2271.5</v>
      </c>
      <c r="I99" s="137"/>
      <c r="J99" s="15">
        <v>35041</v>
      </c>
      <c r="K99" s="137">
        <v>0.2323716257</v>
      </c>
    </row>
    <row r="100" spans="3:11">
      <c r="C100" s="15">
        <v>42004</v>
      </c>
      <c r="D100" s="137">
        <v>0.57197514790000004</v>
      </c>
      <c r="E100" s="19">
        <f>VLOOKUP(CurrentMtgRatesDataTable825[[#This Row],[asofdate]],J:K,2,0)</f>
        <v>8.6651293800000001E-2</v>
      </c>
      <c r="F100" s="22">
        <f ca="1">VLOOKUP(CurrentMtgRatesDataTable825[[#This Row],[asofdate]]+1,Bloomberg!B:C,2,0)</f>
        <v>1347.6</v>
      </c>
      <c r="I100" s="137"/>
      <c r="J100" s="15">
        <v>35048</v>
      </c>
      <c r="K100" s="137">
        <v>0.23767491150000003</v>
      </c>
    </row>
    <row r="101" spans="3:11">
      <c r="C101" s="15">
        <v>41997</v>
      </c>
      <c r="D101" s="137">
        <v>0.58686510540000003</v>
      </c>
      <c r="E101" s="19">
        <f>VLOOKUP(CurrentMtgRatesDataTable825[[#This Row],[asofdate]],J:K,2,0)</f>
        <v>0.10126768060000001</v>
      </c>
      <c r="F101" s="22">
        <f ca="1">VLOOKUP(CurrentMtgRatesDataTable825[[#This Row],[asofdate]]+1,Bloomberg!B:C,2,0)</f>
        <v>1164.2</v>
      </c>
      <c r="I101" s="137"/>
      <c r="J101" s="15">
        <v>35055</v>
      </c>
      <c r="K101" s="137">
        <v>0.2210380008</v>
      </c>
    </row>
    <row r="102" spans="3:11">
      <c r="C102" s="15">
        <v>41991</v>
      </c>
      <c r="D102" s="137">
        <v>0.60122657710000005</v>
      </c>
      <c r="E102" s="19">
        <f>VLOOKUP(CurrentMtgRatesDataTable825[[#This Row],[asofdate]],J:K,2,0)</f>
        <v>0.10451944790000001</v>
      </c>
      <c r="F102" s="22">
        <f ca="1">VLOOKUP(CurrentMtgRatesDataTable825[[#This Row],[asofdate]]+1,Bloomberg!B:C,2,0)</f>
        <v>1538.7</v>
      </c>
      <c r="I102" s="137"/>
      <c r="J102" s="15">
        <v>35062</v>
      </c>
      <c r="K102" s="137">
        <v>0.2483476442</v>
      </c>
    </row>
    <row r="103" spans="3:11">
      <c r="C103" s="15">
        <v>41984</v>
      </c>
      <c r="D103" s="137">
        <v>0.55996065370000003</v>
      </c>
      <c r="E103" s="19">
        <f>VLOOKUP(CurrentMtgRatesDataTable825[[#This Row],[asofdate]],J:K,2,0)</f>
        <v>8.4487762800000005E-2</v>
      </c>
      <c r="F103" s="22">
        <f ca="1">VLOOKUP(CurrentMtgRatesDataTable825[[#This Row],[asofdate]]+1,Bloomberg!B:C,2,0)</f>
        <v>1518.8</v>
      </c>
      <c r="I103" s="137"/>
      <c r="J103" s="15">
        <v>35069</v>
      </c>
      <c r="K103" s="137">
        <v>0.27071790000000001</v>
      </c>
    </row>
    <row r="104" spans="3:11">
      <c r="C104" s="15">
        <v>41977</v>
      </c>
      <c r="D104" s="137">
        <v>0.57286099140000002</v>
      </c>
      <c r="E104" s="19">
        <f>VLOOKUP(CurrentMtgRatesDataTable825[[#This Row],[asofdate]],J:K,2,0)</f>
        <v>8.6751430899999996E-2</v>
      </c>
      <c r="F104" s="22">
        <f ca="1">VLOOKUP(CurrentMtgRatesDataTable825[[#This Row],[asofdate]]+1,Bloomberg!B:C,2,0)</f>
        <v>1548.6</v>
      </c>
      <c r="I104" s="137"/>
      <c r="J104" s="15">
        <v>35076</v>
      </c>
      <c r="K104" s="137">
        <v>0.26190992569999999</v>
      </c>
    </row>
    <row r="105" spans="3:11">
      <c r="C105" s="15">
        <v>41969</v>
      </c>
      <c r="D105" s="137">
        <v>0.55246831159999998</v>
      </c>
      <c r="E105" s="19">
        <f>VLOOKUP(CurrentMtgRatesDataTable825[[#This Row],[asofdate]],J:K,2,0)</f>
        <v>6.7707112400000005E-2</v>
      </c>
      <c r="F105" s="22" t="e">
        <f ca="1">VLOOKUP(CurrentMtgRatesDataTable825[[#This Row],[asofdate]]+1,Bloomberg!B:C,2,0)</f>
        <v>#N/A</v>
      </c>
      <c r="I105" s="137"/>
      <c r="J105" s="15">
        <v>35083</v>
      </c>
      <c r="K105" s="137">
        <v>0.28210768899999999</v>
      </c>
    </row>
    <row r="106" spans="3:11">
      <c r="C106" s="15">
        <v>41963</v>
      </c>
      <c r="D106" s="137">
        <v>0.53954613890000003</v>
      </c>
      <c r="E106" s="19">
        <f>VLOOKUP(CurrentMtgRatesDataTable825[[#This Row],[asofdate]],J:K,2,0)</f>
        <v>6.6589140500000005E-2</v>
      </c>
      <c r="F106" s="22">
        <f ca="1">VLOOKUP(CurrentMtgRatesDataTable825[[#This Row],[asofdate]]+1,Bloomberg!B:C,2,0)</f>
        <v>1547.9</v>
      </c>
      <c r="I106" s="137"/>
      <c r="J106" s="15">
        <v>35090</v>
      </c>
      <c r="K106" s="137">
        <v>0.27285171949999998</v>
      </c>
    </row>
    <row r="107" spans="3:11">
      <c r="C107" s="15">
        <v>41956</v>
      </c>
      <c r="D107" s="137">
        <v>0.5252620683</v>
      </c>
      <c r="E107" s="19">
        <f>VLOOKUP(CurrentMtgRatesDataTable825[[#This Row],[asofdate]],J:K,2,0)</f>
        <v>5.5975736900000003E-2</v>
      </c>
      <c r="F107" s="22">
        <f ca="1">VLOOKUP(CurrentMtgRatesDataTable825[[#This Row],[asofdate]]+1,Bloomberg!B:C,2,0)</f>
        <v>1563.2</v>
      </c>
      <c r="I107" s="137"/>
      <c r="J107" s="15">
        <v>35097</v>
      </c>
      <c r="K107" s="137">
        <v>0.27772736819999999</v>
      </c>
    </row>
    <row r="108" spans="3:11">
      <c r="C108" s="15">
        <v>41949</v>
      </c>
      <c r="D108" s="137">
        <v>0.52046110349999997</v>
      </c>
      <c r="E108" s="19">
        <f>VLOOKUP(CurrentMtgRatesDataTable825[[#This Row],[asofdate]],J:K,2,0)</f>
        <v>5.4808828800000001E-2</v>
      </c>
      <c r="F108" s="22">
        <f ca="1">VLOOKUP(CurrentMtgRatesDataTable825[[#This Row],[asofdate]]+1,Bloomberg!B:C,2,0)</f>
        <v>1565.3</v>
      </c>
      <c r="I108" s="137"/>
      <c r="J108" s="15">
        <v>35104</v>
      </c>
      <c r="K108" s="137">
        <v>0.28184252830000001</v>
      </c>
    </row>
    <row r="109" spans="3:11">
      <c r="C109" s="15">
        <v>41942</v>
      </c>
      <c r="D109" s="137">
        <v>0.55654596300000003</v>
      </c>
      <c r="E109" s="19">
        <f>VLOOKUP(CurrentMtgRatesDataTable825[[#This Row],[asofdate]],J:K,2,0)</f>
        <v>6.58072299E-2</v>
      </c>
      <c r="F109" s="22">
        <f ca="1">VLOOKUP(CurrentMtgRatesDataTable825[[#This Row],[asofdate]]+1,Bloomberg!B:C,2,0)</f>
        <v>1604.8</v>
      </c>
      <c r="I109" s="137"/>
      <c r="J109" s="15">
        <v>35111</v>
      </c>
      <c r="K109" s="137">
        <v>0.65220056520000003</v>
      </c>
    </row>
    <row r="110" spans="3:11">
      <c r="C110" s="15">
        <v>41935</v>
      </c>
      <c r="D110" s="137">
        <v>0.58478850640000002</v>
      </c>
      <c r="E110" s="19">
        <f>VLOOKUP(CurrentMtgRatesDataTable825[[#This Row],[asofdate]],J:K,2,0)</f>
        <v>8.0790795400000004E-2</v>
      </c>
      <c r="F110" s="22">
        <f ca="1">VLOOKUP(CurrentMtgRatesDataTable825[[#This Row],[asofdate]]+1,Bloomberg!B:C,2,0)</f>
        <v>1713.6</v>
      </c>
      <c r="I110" s="137"/>
      <c r="J110" s="15">
        <v>35118</v>
      </c>
      <c r="K110" s="137">
        <v>0.21002690030000001</v>
      </c>
    </row>
    <row r="111" spans="3:11">
      <c r="C111" s="15">
        <v>41928</v>
      </c>
      <c r="D111" s="137">
        <v>0.56305944959999998</v>
      </c>
      <c r="E111" s="19">
        <f>VLOOKUP(CurrentMtgRatesDataTable825[[#This Row],[asofdate]],J:K,2,0)</f>
        <v>6.6342163999999995E-2</v>
      </c>
      <c r="F111" s="22">
        <f ca="1">VLOOKUP(CurrentMtgRatesDataTable825[[#This Row],[asofdate]]+1,Bloomberg!B:C,2,0)</f>
        <v>1898.2</v>
      </c>
      <c r="I111" s="137"/>
      <c r="J111" s="15">
        <v>35125</v>
      </c>
      <c r="K111" s="137">
        <v>3.5668688999999998E-3</v>
      </c>
    </row>
    <row r="112" spans="3:11">
      <c r="C112" s="15">
        <v>41921</v>
      </c>
      <c r="D112" s="137">
        <v>0.45280738259999997</v>
      </c>
      <c r="E112" s="19">
        <f>VLOOKUP(CurrentMtgRatesDataTable825[[#This Row],[asofdate]],J:K,2,0)</f>
        <v>3.7750656600000002E-2</v>
      </c>
      <c r="F112" s="22">
        <f ca="1">VLOOKUP(CurrentMtgRatesDataTable825[[#This Row],[asofdate]]+1,Bloomberg!B:C,2,0)</f>
        <v>1560.6</v>
      </c>
      <c r="I112" s="137"/>
      <c r="J112" s="15">
        <v>35132</v>
      </c>
      <c r="K112" s="137">
        <v>3.6688023000000002E-3</v>
      </c>
    </row>
    <row r="113" spans="3:11">
      <c r="C113" s="15">
        <v>41914</v>
      </c>
      <c r="D113" s="137">
        <v>0.4272770092</v>
      </c>
      <c r="E113" s="19">
        <f>VLOOKUP(CurrentMtgRatesDataTable825[[#This Row],[asofdate]],J:K,2,0)</f>
        <v>4.4517187000000001E-3</v>
      </c>
      <c r="F113" s="22">
        <f ca="1">VLOOKUP(CurrentMtgRatesDataTable825[[#This Row],[asofdate]]+1,Bloomberg!B:C,2,0)</f>
        <v>1387.1</v>
      </c>
      <c r="I113" s="137"/>
      <c r="J113" s="15">
        <v>35139</v>
      </c>
      <c r="K113" s="137">
        <v>1.0988803999999999E-3</v>
      </c>
    </row>
    <row r="114" spans="3:11">
      <c r="C114" s="15">
        <v>41907</v>
      </c>
      <c r="D114" s="137">
        <v>0.42206701070000002</v>
      </c>
      <c r="E114" s="19">
        <f>VLOOKUP(CurrentMtgRatesDataTable825[[#This Row],[asofdate]],J:K,2,0)</f>
        <v>1.0817228000000001E-3</v>
      </c>
      <c r="F114" s="22">
        <f ca="1">VLOOKUP(CurrentMtgRatesDataTable825[[#This Row],[asofdate]]+1,Bloomberg!B:C,2,0)</f>
        <v>1326.2</v>
      </c>
      <c r="I114" s="137"/>
      <c r="J114" s="15">
        <v>35146</v>
      </c>
      <c r="K114" s="137">
        <v>1.1580556000000001E-3</v>
      </c>
    </row>
    <row r="115" spans="3:11">
      <c r="C115" s="15">
        <v>41900</v>
      </c>
      <c r="D115" s="137">
        <v>0.41612475189999998</v>
      </c>
      <c r="E115" s="19">
        <f>VLOOKUP(CurrentMtgRatesDataTable825[[#This Row],[asofdate]],J:K,2,0)</f>
        <v>1.0672454E-3</v>
      </c>
      <c r="F115" s="22">
        <f ca="1">VLOOKUP(CurrentMtgRatesDataTable825[[#This Row],[asofdate]]+1,Bloomberg!B:C,2,0)</f>
        <v>1335.1</v>
      </c>
      <c r="I115" s="137"/>
      <c r="J115" s="15">
        <v>35153</v>
      </c>
      <c r="K115" s="137">
        <v>1.5482906999999999E-3</v>
      </c>
    </row>
    <row r="116" spans="3:11">
      <c r="C116" s="15">
        <v>41893</v>
      </c>
      <c r="D116" s="137">
        <v>0.4603927558</v>
      </c>
      <c r="E116" s="19">
        <f>VLOOKUP(CurrentMtgRatesDataTable825[[#This Row],[asofdate]],J:K,2,0)</f>
        <v>3.5835296099999997E-2</v>
      </c>
      <c r="F116" s="22">
        <f ca="1">VLOOKUP(CurrentMtgRatesDataTable825[[#This Row],[asofdate]]+1,Bloomberg!B:C,2,0)</f>
        <v>1398.4</v>
      </c>
      <c r="I116" s="137"/>
      <c r="J116" s="15">
        <v>35160</v>
      </c>
      <c r="K116" s="137">
        <v>2.0202423999999999E-3</v>
      </c>
    </row>
    <row r="117" spans="3:11">
      <c r="C117" s="15">
        <v>41886</v>
      </c>
      <c r="D117" s="137">
        <v>0.47501733540000002</v>
      </c>
      <c r="E117" s="19">
        <f>VLOOKUP(CurrentMtgRatesDataTable825[[#This Row],[asofdate]],J:K,2,0)</f>
        <v>3.6285921499999998E-2</v>
      </c>
      <c r="F117" s="22">
        <f ca="1">VLOOKUP(CurrentMtgRatesDataTable825[[#This Row],[asofdate]]+1,Bloomberg!B:C,2,0)</f>
        <v>1275.8</v>
      </c>
      <c r="I117" s="137"/>
      <c r="J117" s="15">
        <v>35167</v>
      </c>
      <c r="K117" s="137">
        <v>3.0322619999999999E-4</v>
      </c>
    </row>
    <row r="118" spans="3:11">
      <c r="C118" s="15">
        <v>41879</v>
      </c>
      <c r="D118" s="137">
        <v>0.47917420760000007</v>
      </c>
      <c r="E118" s="19">
        <f>VLOOKUP(CurrentMtgRatesDataTable825[[#This Row],[asofdate]],J:K,2,0)</f>
        <v>3.3991505900000003E-2</v>
      </c>
      <c r="F118" s="22">
        <f ca="1">VLOOKUP(CurrentMtgRatesDataTable825[[#This Row],[asofdate]]+1,Bloomberg!B:C,2,0)</f>
        <v>1436</v>
      </c>
      <c r="I118" s="137"/>
      <c r="J118" s="15">
        <v>35174</v>
      </c>
      <c r="K118" s="137">
        <v>3.9295559999999994E-4</v>
      </c>
    </row>
    <row r="119" spans="3:11">
      <c r="C119" s="15">
        <v>41872</v>
      </c>
      <c r="D119" s="137">
        <v>0.47917420760000007</v>
      </c>
      <c r="E119" s="19">
        <f>VLOOKUP(CurrentMtgRatesDataTable825[[#This Row],[asofdate]],J:K,2,0)</f>
        <v>3.4152590300000001E-2</v>
      </c>
      <c r="F119" s="22">
        <f ca="1">VLOOKUP(CurrentMtgRatesDataTable825[[#This Row],[asofdate]]+1,Bloomberg!B:C,2,0)</f>
        <v>1439.4</v>
      </c>
      <c r="I119" s="137"/>
      <c r="J119" s="15">
        <v>35181</v>
      </c>
      <c r="K119" s="137">
        <v>4.2121710000000002E-4</v>
      </c>
    </row>
    <row r="120" spans="3:11">
      <c r="C120" s="15">
        <v>41865</v>
      </c>
      <c r="D120" s="137">
        <v>0.45188748220000008</v>
      </c>
      <c r="E120" s="19">
        <f>VLOOKUP(CurrentMtgRatesDataTable825[[#This Row],[asofdate]],J:K,2,0)</f>
        <v>2.55482595E-2</v>
      </c>
      <c r="F120" s="22">
        <f ca="1">VLOOKUP(CurrentMtgRatesDataTable825[[#This Row],[asofdate]]+1,Bloomberg!B:C,2,0)</f>
        <v>1404.9</v>
      </c>
      <c r="I120" s="137"/>
      <c r="J120" s="15">
        <v>35188</v>
      </c>
      <c r="K120" s="137">
        <v>5.3188059999999997E-4</v>
      </c>
    </row>
    <row r="121" spans="3:11">
      <c r="C121" s="15">
        <v>41858</v>
      </c>
      <c r="D121" s="137">
        <v>0.43261818860000001</v>
      </c>
      <c r="E121" s="19">
        <f>VLOOKUP(CurrentMtgRatesDataTable825[[#This Row],[asofdate]],J:K,2,0)</f>
        <v>1.7283762099999999E-2</v>
      </c>
      <c r="F121" s="22">
        <f ca="1">VLOOKUP(CurrentMtgRatesDataTable825[[#This Row],[asofdate]]+1,Bloomberg!B:C,2,0)</f>
        <v>1342.6</v>
      </c>
      <c r="I121" s="137"/>
      <c r="J121" s="15">
        <v>35195</v>
      </c>
      <c r="K121" s="137">
        <v>7.8756800000000005E-5</v>
      </c>
    </row>
    <row r="122" spans="3:11">
      <c r="C122" s="15">
        <v>41851</v>
      </c>
      <c r="D122" s="137">
        <v>0.45832464029999997</v>
      </c>
      <c r="E122" s="19">
        <f>VLOOKUP(CurrentMtgRatesDataTable825[[#This Row],[asofdate]],J:K,2,0)</f>
        <v>2.30179571E-2</v>
      </c>
      <c r="F122" s="22">
        <f ca="1">VLOOKUP(CurrentMtgRatesDataTable825[[#This Row],[asofdate]]+1,Bloomberg!B:C,2,0)</f>
        <v>1373.9</v>
      </c>
      <c r="I122" s="137"/>
      <c r="J122" s="15">
        <v>35202</v>
      </c>
      <c r="K122" s="137">
        <v>9.1559399999999996E-5</v>
      </c>
    </row>
    <row r="123" spans="3:11">
      <c r="C123" s="15">
        <v>41844</v>
      </c>
      <c r="D123" s="137">
        <v>0.45300038799999998</v>
      </c>
      <c r="E123" s="19">
        <f>VLOOKUP(CurrentMtgRatesDataTable825[[#This Row],[asofdate]],J:K,2,0)</f>
        <v>2.2488169999999998E-2</v>
      </c>
      <c r="F123" s="22">
        <f ca="1">VLOOKUP(CurrentMtgRatesDataTable825[[#This Row],[asofdate]]+1,Bloomberg!B:C,2,0)</f>
        <v>1327.5</v>
      </c>
      <c r="I123" s="137"/>
      <c r="J123" s="15">
        <v>35209</v>
      </c>
      <c r="K123" s="137">
        <v>5.3188059999999997E-4</v>
      </c>
    </row>
    <row r="124" spans="3:11">
      <c r="C124" s="15">
        <v>41837</v>
      </c>
      <c r="D124" s="137">
        <v>0.45300038799999998</v>
      </c>
      <c r="E124" s="19">
        <f>VLOOKUP(CurrentMtgRatesDataTable825[[#This Row],[asofdate]],J:K,2,0)</f>
        <v>2.2488169999999998E-2</v>
      </c>
      <c r="F124" s="22">
        <f ca="1">VLOOKUP(CurrentMtgRatesDataTable825[[#This Row],[asofdate]]+1,Bloomberg!B:C,2,0)</f>
        <v>1400.7</v>
      </c>
      <c r="I124" s="137"/>
      <c r="J124" s="15">
        <v>35216</v>
      </c>
      <c r="K124" s="137">
        <v>1.517527E-4</v>
      </c>
    </row>
    <row r="125" spans="3:11">
      <c r="C125" s="15">
        <v>41830</v>
      </c>
      <c r="D125" s="137">
        <v>0.43581013750000003</v>
      </c>
      <c r="E125" s="19">
        <f>VLOOKUP(CurrentMtgRatesDataTable825[[#This Row],[asofdate]],J:K,2,0)</f>
        <v>1.53662698E-2</v>
      </c>
      <c r="F125" s="22">
        <f ca="1">VLOOKUP(CurrentMtgRatesDataTable825[[#This Row],[asofdate]]+1,Bloomberg!B:C,2,0)</f>
        <v>1329.7</v>
      </c>
      <c r="I125" s="137"/>
      <c r="J125" s="15">
        <v>35223</v>
      </c>
      <c r="K125" s="137">
        <v>1.3237820000000001E-4</v>
      </c>
    </row>
    <row r="126" spans="3:11">
      <c r="C126" s="15">
        <v>41823</v>
      </c>
      <c r="D126" s="137">
        <v>0.47300173340000007</v>
      </c>
      <c r="E126" s="19">
        <f>VLOOKUP(CurrentMtgRatesDataTable825[[#This Row],[asofdate]],J:K,2,0)</f>
        <v>3.0136103599999998E-2</v>
      </c>
      <c r="F126" s="22">
        <f ca="1">VLOOKUP(CurrentMtgRatesDataTable825[[#This Row],[asofdate]]+1,Bloomberg!B:C,2,0)</f>
        <v>1346.8</v>
      </c>
      <c r="I126" s="137"/>
      <c r="J126" s="15">
        <v>35230</v>
      </c>
      <c r="K126" s="137">
        <v>1.1623760000000001E-4</v>
      </c>
    </row>
    <row r="127" spans="3:11">
      <c r="C127" s="15">
        <v>41816</v>
      </c>
      <c r="D127" s="137">
        <v>0.46249723409999999</v>
      </c>
      <c r="E127" s="19">
        <f>VLOOKUP(CurrentMtgRatesDataTable825[[#This Row],[asofdate]],J:K,2,0)</f>
        <v>1.9671418699999998E-2</v>
      </c>
      <c r="F127" s="22">
        <f ca="1">VLOOKUP(CurrentMtgRatesDataTable825[[#This Row],[asofdate]]+1,Bloomberg!B:C,2,0)</f>
        <v>1341.8</v>
      </c>
      <c r="I127" s="137"/>
      <c r="J127" s="15">
        <v>35237</v>
      </c>
      <c r="K127" s="137">
        <v>1.3237820000000001E-4</v>
      </c>
    </row>
    <row r="128" spans="3:11">
      <c r="C128" s="15">
        <v>41809</v>
      </c>
      <c r="D128" s="137">
        <v>0.43961901780000001</v>
      </c>
      <c r="E128" s="19">
        <f>VLOOKUP(CurrentMtgRatesDataTable825[[#This Row],[asofdate]],J:K,2,0)</f>
        <v>1.32202901E-2</v>
      </c>
      <c r="F128" s="22">
        <f ca="1">VLOOKUP(CurrentMtgRatesDataTable825[[#This Row],[asofdate]]+1,Bloomberg!B:C,2,0)</f>
        <v>1333.5</v>
      </c>
      <c r="I128" s="137"/>
      <c r="J128" s="15">
        <v>35244</v>
      </c>
      <c r="K128" s="137">
        <v>1.4381349999999999E-4</v>
      </c>
    </row>
    <row r="129" spans="3:11">
      <c r="C129" s="15">
        <v>41802</v>
      </c>
      <c r="D129" s="137">
        <v>0.4340808639</v>
      </c>
      <c r="E129" s="19">
        <f>VLOOKUP(CurrentMtgRatesDataTable825[[#This Row],[asofdate]],J:K,2,0)</f>
        <v>1.2623503499999999E-2</v>
      </c>
      <c r="F129" s="22">
        <f ca="1">VLOOKUP(CurrentMtgRatesDataTable825[[#This Row],[asofdate]]+1,Bloomberg!B:C,2,0)</f>
        <v>1321.3</v>
      </c>
      <c r="I129" s="137"/>
      <c r="J129" s="15">
        <v>35251</v>
      </c>
      <c r="K129" s="137">
        <v>9.3180930000000002E-4</v>
      </c>
    </row>
    <row r="130" spans="3:11">
      <c r="C130" s="15">
        <v>41795</v>
      </c>
      <c r="D130" s="137">
        <v>0.46249723409999999</v>
      </c>
      <c r="E130" s="19">
        <f>VLOOKUP(CurrentMtgRatesDataTable825[[#This Row],[asofdate]],J:K,2,0)</f>
        <v>1.96890295E-2</v>
      </c>
      <c r="F130" s="22">
        <f ca="1">VLOOKUP(CurrentMtgRatesDataTable825[[#This Row],[asofdate]]+1,Bloomberg!B:C,2,0)</f>
        <v>1516.9</v>
      </c>
      <c r="I130" s="137"/>
      <c r="J130" s="15">
        <v>35258</v>
      </c>
      <c r="K130" s="137">
        <v>2.581816E-4</v>
      </c>
    </row>
    <row r="131" spans="3:11">
      <c r="C131" s="15">
        <v>41788</v>
      </c>
      <c r="D131" s="137">
        <v>0.4603570615</v>
      </c>
      <c r="E131" s="19">
        <f>VLOOKUP(CurrentMtgRatesDataTable825[[#This Row],[asofdate]],J:K,2,0)</f>
        <v>1.60394271E-2</v>
      </c>
      <c r="F131" s="22">
        <f ca="1">VLOOKUP(CurrentMtgRatesDataTable825[[#This Row],[asofdate]]+1,Bloomberg!B:C,2,0)</f>
        <v>1382.6</v>
      </c>
      <c r="I131" s="137"/>
      <c r="J131" s="15">
        <v>35265</v>
      </c>
      <c r="K131" s="137">
        <v>6.4740000000000002E-4</v>
      </c>
    </row>
    <row r="132" spans="3:11">
      <c r="C132" s="15">
        <v>41781</v>
      </c>
      <c r="D132" s="137">
        <v>0.45250652359999999</v>
      </c>
      <c r="E132" s="19">
        <f>VLOOKUP(CurrentMtgRatesDataTable825[[#This Row],[asofdate]],J:K,2,0)</f>
        <v>1.5686025700000002E-2</v>
      </c>
      <c r="F132" s="22">
        <f ca="1">VLOOKUP(CurrentMtgRatesDataTable825[[#This Row],[asofdate]]+1,Bloomberg!B:C,2,0)</f>
        <v>1453.4</v>
      </c>
      <c r="I132" s="137"/>
      <c r="J132" s="15">
        <v>35272</v>
      </c>
      <c r="K132" s="137">
        <v>8.9317870000000003E-4</v>
      </c>
    </row>
    <row r="133" spans="3:11">
      <c r="C133" s="15">
        <v>41774</v>
      </c>
      <c r="D133" s="137">
        <v>0.4365815019</v>
      </c>
      <c r="E133" s="19">
        <f>VLOOKUP(CurrentMtgRatesDataTable825[[#This Row],[asofdate]],J:K,2,0)</f>
        <v>1.05214531E-2</v>
      </c>
      <c r="F133" s="22">
        <f ca="1">VLOOKUP(CurrentMtgRatesDataTable825[[#This Row],[asofdate]]+1,Bloomberg!B:C,2,0)</f>
        <v>1460.6</v>
      </c>
      <c r="I133" s="137"/>
      <c r="J133" s="15">
        <v>35279</v>
      </c>
      <c r="K133" s="137">
        <v>1.7819601E-3</v>
      </c>
    </row>
    <row r="134" spans="3:11">
      <c r="C134" s="15">
        <v>41767</v>
      </c>
      <c r="D134" s="137">
        <v>0.4351546436</v>
      </c>
      <c r="E134" s="19">
        <f>VLOOKUP(CurrentMtgRatesDataTable825[[#This Row],[asofdate]],J:K,2,0)</f>
        <v>1.0483459699999999E-2</v>
      </c>
      <c r="F134" s="22">
        <f ca="1">VLOOKUP(CurrentMtgRatesDataTable825[[#This Row],[asofdate]]+1,Bloomberg!B:C,2,0)</f>
        <v>1400.9</v>
      </c>
      <c r="I134" s="137"/>
      <c r="J134" s="15">
        <v>35286</v>
      </c>
      <c r="K134" s="137">
        <v>7.6541053999999997E-3</v>
      </c>
    </row>
    <row r="135" spans="3:11">
      <c r="C135" s="15">
        <v>41760</v>
      </c>
      <c r="D135" s="137">
        <v>0.41818183310000001</v>
      </c>
      <c r="E135" s="19">
        <f>VLOOKUP(CurrentMtgRatesDataTable825[[#This Row],[asofdate]],J:K,2,0)</f>
        <v>4.4909529000000002E-3</v>
      </c>
      <c r="F135" s="22">
        <f ca="1">VLOOKUP(CurrentMtgRatesDataTable825[[#This Row],[asofdate]]+1,Bloomberg!B:C,2,0)</f>
        <v>1323.9</v>
      </c>
      <c r="I135" s="137"/>
      <c r="J135" s="15">
        <v>35293</v>
      </c>
      <c r="K135" s="137">
        <v>7.6541053999999997E-3</v>
      </c>
    </row>
    <row r="136" spans="3:11">
      <c r="C136" s="15">
        <v>41753</v>
      </c>
      <c r="D136" s="137">
        <v>0.41633136129999998</v>
      </c>
      <c r="E136" s="19">
        <f>VLOOKUP(CurrentMtgRatesDataTable825[[#This Row],[asofdate]],J:K,2,0)</f>
        <v>2.7504809999999999E-3</v>
      </c>
      <c r="F136" s="22">
        <f ca="1">VLOOKUP(CurrentMtgRatesDataTable825[[#This Row],[asofdate]]+1,Bloomberg!B:C,2,0)</f>
        <v>1298.0999999999999</v>
      </c>
      <c r="I136" s="137"/>
      <c r="J136" s="15">
        <v>35300</v>
      </c>
      <c r="K136" s="137">
        <v>6.7055237000000004E-3</v>
      </c>
    </row>
    <row r="137" spans="3:11">
      <c r="C137" s="15">
        <v>41746</v>
      </c>
      <c r="D137" s="137">
        <v>0.42192053759999998</v>
      </c>
      <c r="E137" s="19">
        <f>VLOOKUP(CurrentMtgRatesDataTable825[[#This Row],[asofdate]],J:K,2,0)</f>
        <v>4.0369202999999999E-3</v>
      </c>
      <c r="F137" s="22">
        <f ca="1">VLOOKUP(CurrentMtgRatesDataTable825[[#This Row],[asofdate]]+1,Bloomberg!B:C,2,0)</f>
        <v>1370.9</v>
      </c>
      <c r="I137" s="137"/>
      <c r="J137" s="15">
        <v>35307</v>
      </c>
      <c r="K137" s="137">
        <v>2.6583471000000002E-3</v>
      </c>
    </row>
    <row r="138" spans="3:11">
      <c r="C138" s="15">
        <v>41739</v>
      </c>
      <c r="D138" s="137">
        <v>0.405089643</v>
      </c>
      <c r="E138" s="19">
        <f>VLOOKUP(CurrentMtgRatesDataTable825[[#This Row],[asofdate]],J:K,2,0)</f>
        <v>1.9011290000000001E-3</v>
      </c>
      <c r="F138" s="22">
        <f ca="1">VLOOKUP(CurrentMtgRatesDataTable825[[#This Row],[asofdate]]+1,Bloomberg!B:C,2,0)</f>
        <v>1429.9</v>
      </c>
      <c r="I138" s="137"/>
      <c r="J138" s="15">
        <v>35314</v>
      </c>
      <c r="K138" s="137">
        <v>1.4143822999999999E-3</v>
      </c>
    </row>
    <row r="139" spans="3:11">
      <c r="C139" s="15">
        <v>41732</v>
      </c>
      <c r="D139" s="137">
        <v>0.36524447539999999</v>
      </c>
      <c r="E139" s="19">
        <f>VLOOKUP(CurrentMtgRatesDataTable825[[#This Row],[asofdate]],J:K,2,0)</f>
        <v>8.6125899999999996E-4</v>
      </c>
      <c r="F139" s="22">
        <f ca="1">VLOOKUP(CurrentMtgRatesDataTable825[[#This Row],[asofdate]]+1,Bloomberg!B:C,2,0)</f>
        <v>1324.7</v>
      </c>
      <c r="I139" s="137"/>
      <c r="J139" s="15">
        <v>35321</v>
      </c>
      <c r="K139" s="137">
        <v>1.8073128E-3</v>
      </c>
    </row>
    <row r="140" spans="3:11">
      <c r="C140" s="15">
        <v>41725</v>
      </c>
      <c r="D140" s="137">
        <v>0.39560129970000002</v>
      </c>
      <c r="E140" s="19">
        <f>VLOOKUP(CurrentMtgRatesDataTable825[[#This Row],[asofdate]],J:K,2,0)</f>
        <v>1.5209316000000001E-3</v>
      </c>
      <c r="F140" s="22">
        <f ca="1">VLOOKUP(CurrentMtgRatesDataTable825[[#This Row],[asofdate]]+1,Bloomberg!B:C,2,0)</f>
        <v>1383.5</v>
      </c>
      <c r="I140" s="137"/>
      <c r="J140" s="15">
        <v>35328</v>
      </c>
      <c r="K140" s="137">
        <v>4.2294584999999999E-3</v>
      </c>
    </row>
    <row r="141" spans="3:11">
      <c r="C141" s="15">
        <v>41718</v>
      </c>
      <c r="D141" s="137">
        <v>0.42429527379999998</v>
      </c>
      <c r="E141" s="19">
        <f>VLOOKUP(CurrentMtgRatesDataTable825[[#This Row],[asofdate]],J:K,2,0)</f>
        <v>3.1422589000000001E-3</v>
      </c>
      <c r="F141" s="22">
        <f ca="1">VLOOKUP(CurrentMtgRatesDataTable825[[#This Row],[asofdate]]+1,Bloomberg!B:C,2,0)</f>
        <v>1426.3</v>
      </c>
      <c r="I141" s="137"/>
      <c r="J141" s="15">
        <v>35335</v>
      </c>
      <c r="K141" s="137">
        <v>3.7687962000000001E-3</v>
      </c>
    </row>
    <row r="142" spans="3:11">
      <c r="C142" s="15">
        <v>41711</v>
      </c>
      <c r="D142" s="137">
        <v>0.4093796113</v>
      </c>
      <c r="E142" s="19">
        <f>VLOOKUP(CurrentMtgRatesDataTable825[[#This Row],[asofdate]],J:K,2,0)</f>
        <v>1.5497656E-3</v>
      </c>
      <c r="F142" s="22">
        <f ca="1">VLOOKUP(CurrentMtgRatesDataTable825[[#This Row],[asofdate]]+1,Bloomberg!B:C,2,0)</f>
        <v>1552.1</v>
      </c>
      <c r="I142" s="137"/>
      <c r="J142" s="15">
        <v>35342</v>
      </c>
      <c r="K142" s="137">
        <v>1.03667394E-2</v>
      </c>
    </row>
    <row r="143" spans="3:11">
      <c r="C143" s="15">
        <v>41704</v>
      </c>
      <c r="D143" s="137">
        <v>0.42657243919999999</v>
      </c>
      <c r="E143" s="19">
        <f>VLOOKUP(CurrentMtgRatesDataTable825[[#This Row],[asofdate]],J:K,2,0)</f>
        <v>3.1871104000000001E-3</v>
      </c>
      <c r="F143" s="22">
        <f ca="1">VLOOKUP(CurrentMtgRatesDataTable825[[#This Row],[asofdate]]+1,Bloomberg!B:C,2,0)</f>
        <v>1528</v>
      </c>
      <c r="I143" s="137"/>
      <c r="J143" s="15">
        <v>35349</v>
      </c>
      <c r="K143" s="137">
        <v>2.4021838E-2</v>
      </c>
    </row>
    <row r="144" spans="3:11">
      <c r="C144" s="15">
        <v>41697</v>
      </c>
      <c r="D144" s="137">
        <v>0.40589301350000001</v>
      </c>
      <c r="E144" s="19">
        <f>VLOOKUP(CurrentMtgRatesDataTable825[[#This Row],[asofdate]],J:K,2,0)</f>
        <v>1.2179790999999999E-3</v>
      </c>
      <c r="F144" s="22">
        <f ca="1">VLOOKUP(CurrentMtgRatesDataTable825[[#This Row],[asofdate]]+1,Bloomberg!B:C,2,0)</f>
        <v>1600.6</v>
      </c>
      <c r="I144" s="137"/>
      <c r="J144" s="15">
        <v>35356</v>
      </c>
      <c r="K144" s="137">
        <v>2.27451119E-2</v>
      </c>
    </row>
    <row r="145" spans="3:11">
      <c r="C145" s="15">
        <v>41690</v>
      </c>
      <c r="D145" s="137">
        <v>0.42341179159999998</v>
      </c>
      <c r="E145" s="19">
        <f>VLOOKUP(CurrentMtgRatesDataTable825[[#This Row],[asofdate]],J:K,2,0)</f>
        <v>1.7492553E-3</v>
      </c>
      <c r="F145" s="22">
        <f ca="1">VLOOKUP(CurrentMtgRatesDataTable825[[#This Row],[asofdate]]+1,Bloomberg!B:C,2,0)</f>
        <v>1442.3</v>
      </c>
      <c r="I145" s="137"/>
      <c r="J145" s="15">
        <v>35363</v>
      </c>
      <c r="K145" s="137">
        <v>2.26910032E-2</v>
      </c>
    </row>
    <row r="146" spans="3:11">
      <c r="C146" s="15">
        <v>41683</v>
      </c>
      <c r="D146" s="137">
        <v>0.43449214590000002</v>
      </c>
      <c r="E146" s="19">
        <f>VLOOKUP(CurrentMtgRatesDataTable825[[#This Row],[asofdate]],J:K,2,0)</f>
        <v>2.7459873999999998E-3</v>
      </c>
      <c r="F146" s="22">
        <f ca="1">VLOOKUP(CurrentMtgRatesDataTable825[[#This Row],[asofdate]]+1,Bloomberg!B:C,2,0)</f>
        <v>1650.6</v>
      </c>
      <c r="I146" s="137"/>
      <c r="J146" s="15">
        <v>35370</v>
      </c>
      <c r="K146" s="137">
        <v>3.6016332499999998E-2</v>
      </c>
    </row>
    <row r="147" spans="3:11">
      <c r="C147" s="15">
        <v>41676</v>
      </c>
      <c r="D147" s="137">
        <v>0.44358880369999998</v>
      </c>
      <c r="E147" s="19">
        <f>VLOOKUP(CurrentMtgRatesDataTable825[[#This Row],[asofdate]],J:K,2,0)</f>
        <v>4.1986916999999999E-3</v>
      </c>
      <c r="F147" s="22">
        <f ca="1">VLOOKUP(CurrentMtgRatesDataTable825[[#This Row],[asofdate]]+1,Bloomberg!B:C,2,0)</f>
        <v>1674.2</v>
      </c>
      <c r="I147" s="137"/>
      <c r="J147" s="15">
        <v>35377</v>
      </c>
      <c r="K147" s="137">
        <v>4.9878221E-2</v>
      </c>
    </row>
    <row r="148" spans="3:11">
      <c r="C148" s="15">
        <v>41669</v>
      </c>
      <c r="D148" s="137">
        <v>0.43663152700000002</v>
      </c>
      <c r="E148" s="19">
        <f>VLOOKUP(CurrentMtgRatesDataTable825[[#This Row],[asofdate]],J:K,2,0)</f>
        <v>2.1653044E-3</v>
      </c>
      <c r="F148" s="22">
        <f ca="1">VLOOKUP(CurrentMtgRatesDataTable825[[#This Row],[asofdate]]+1,Bloomberg!B:C,2,0)</f>
        <v>1667.5</v>
      </c>
      <c r="I148" s="137"/>
      <c r="J148" s="15">
        <v>35384</v>
      </c>
      <c r="K148" s="137">
        <v>5.5780989500000003E-2</v>
      </c>
    </row>
    <row r="149" spans="3:11">
      <c r="C149" s="15">
        <v>41662</v>
      </c>
      <c r="D149" s="137">
        <v>0.40374447559999999</v>
      </c>
      <c r="E149" s="19">
        <f>VLOOKUP(CurrentMtgRatesDataTable825[[#This Row],[asofdate]],J:K,2,0)</f>
        <v>1.0005254999999999E-3</v>
      </c>
      <c r="F149" s="22">
        <f ca="1">VLOOKUP(CurrentMtgRatesDataTable825[[#This Row],[asofdate]]+1,Bloomberg!B:C,2,0)</f>
        <v>1601.2</v>
      </c>
      <c r="I149" s="137"/>
      <c r="J149" s="15">
        <v>35391</v>
      </c>
      <c r="K149" s="137">
        <v>6.0089181300000002E-2</v>
      </c>
    </row>
    <row r="150" spans="3:11">
      <c r="C150" s="15">
        <v>41655</v>
      </c>
      <c r="D150" s="137">
        <v>0.38746977710000002</v>
      </c>
      <c r="E150" s="19">
        <f>VLOOKUP(CurrentMtgRatesDataTable825[[#This Row],[asofdate]],J:K,2,0)</f>
        <v>9.4387099999999999E-4</v>
      </c>
      <c r="F150" s="22">
        <f ca="1">VLOOKUP(CurrentMtgRatesDataTable825[[#This Row],[asofdate]]+1,Bloomberg!B:C,2,0)</f>
        <v>1675.8</v>
      </c>
      <c r="I150" s="137"/>
      <c r="J150" s="15">
        <v>35398</v>
      </c>
      <c r="K150" s="137">
        <v>6.0654255999999997E-2</v>
      </c>
    </row>
    <row r="151" spans="3:11">
      <c r="C151" s="15">
        <v>41648</v>
      </c>
      <c r="D151" s="137">
        <v>0.3220703956</v>
      </c>
      <c r="E151" s="19">
        <f>VLOOKUP(CurrentMtgRatesDataTable825[[#This Row],[asofdate]],J:K,2,0)</f>
        <v>4.2450890000000002E-4</v>
      </c>
      <c r="F151" s="22">
        <f ca="1">VLOOKUP(CurrentMtgRatesDataTable825[[#This Row],[asofdate]]+1,Bloomberg!B:C,2,0)</f>
        <v>1507</v>
      </c>
      <c r="I151" s="137"/>
      <c r="J151" s="15">
        <v>35405</v>
      </c>
      <c r="K151" s="137">
        <v>8.8395388000000005E-2</v>
      </c>
    </row>
    <row r="152" spans="3:11">
      <c r="C152" s="15">
        <v>41641</v>
      </c>
      <c r="D152" s="137">
        <v>0.30843777030000002</v>
      </c>
      <c r="E152" s="19">
        <f>VLOOKUP(CurrentMtgRatesDataTable825[[#This Row],[asofdate]],J:K,2,0)</f>
        <v>2.8858790000000002E-4</v>
      </c>
      <c r="F152" s="22">
        <f ca="1">VLOOKUP(CurrentMtgRatesDataTable825[[#This Row],[asofdate]]+1,Bloomberg!B:C,2,0)</f>
        <v>1352.7</v>
      </c>
      <c r="I152" s="137"/>
      <c r="J152" s="15">
        <v>35412</v>
      </c>
      <c r="K152" s="137">
        <v>7.0594820399999994E-2</v>
      </c>
    </row>
    <row r="153" spans="3:11">
      <c r="C153" s="15">
        <v>41634</v>
      </c>
      <c r="D153" s="137">
        <v>0.34940203609999998</v>
      </c>
      <c r="E153" s="19">
        <f>VLOOKUP(CurrentMtgRatesDataTable825[[#This Row],[asofdate]],J:K,2,0)</f>
        <v>3.251269E-4</v>
      </c>
      <c r="F153" s="22">
        <f ca="1">VLOOKUP(CurrentMtgRatesDataTable825[[#This Row],[asofdate]]+1,Bloomberg!B:C,2,0)</f>
        <v>1277.8</v>
      </c>
      <c r="I153" s="137"/>
      <c r="J153" s="15">
        <v>35419</v>
      </c>
      <c r="K153" s="137">
        <v>4.63817334E-2</v>
      </c>
    </row>
    <row r="154" spans="3:11">
      <c r="C154" s="15">
        <v>41627</v>
      </c>
      <c r="D154" s="137">
        <v>0.35812637130000002</v>
      </c>
      <c r="E154" s="19">
        <f>VLOOKUP(CurrentMtgRatesDataTable825[[#This Row],[asofdate]],J:K,2,0)</f>
        <v>4.0954339999999998E-4</v>
      </c>
      <c r="F154" s="22">
        <f ca="1">VLOOKUP(CurrentMtgRatesDataTable825[[#This Row],[asofdate]]+1,Bloomberg!B:C,2,0)</f>
        <v>1426.7</v>
      </c>
      <c r="I154" s="137"/>
      <c r="J154" s="15">
        <v>35426</v>
      </c>
      <c r="K154" s="137">
        <v>6.2176242800000003E-2</v>
      </c>
    </row>
    <row r="155" spans="3:11">
      <c r="C155" s="15">
        <v>41620</v>
      </c>
      <c r="D155" s="137">
        <v>0.39281664100000002</v>
      </c>
      <c r="E155" s="19">
        <f>VLOOKUP(CurrentMtgRatesDataTable825[[#This Row],[asofdate]],J:K,2,0)</f>
        <v>5.8953909999999996E-4</v>
      </c>
      <c r="F155" s="22">
        <f ca="1">VLOOKUP(CurrentMtgRatesDataTable825[[#This Row],[asofdate]]+1,Bloomberg!B:C,2,0)</f>
        <v>1529.8</v>
      </c>
      <c r="I155" s="137"/>
      <c r="J155" s="15">
        <v>35433</v>
      </c>
      <c r="K155" s="137">
        <v>6.5913276300000004E-2</v>
      </c>
    </row>
    <row r="156" spans="3:11">
      <c r="C156" s="15">
        <v>41613</v>
      </c>
      <c r="D156" s="137">
        <v>0.4009432476</v>
      </c>
      <c r="E156" s="19">
        <f>VLOOKUP(CurrentMtgRatesDataTable825[[#This Row],[asofdate]],J:K,2,0)</f>
        <v>5.6739439999999996E-4</v>
      </c>
      <c r="F156" s="22">
        <f ca="1">VLOOKUP(CurrentMtgRatesDataTable825[[#This Row],[asofdate]]+1,Bloomberg!B:C,2,0)</f>
        <v>1599.4</v>
      </c>
      <c r="I156" s="137"/>
      <c r="J156" s="15">
        <v>35440</v>
      </c>
      <c r="K156" s="137">
        <v>4.1444020599999999E-2</v>
      </c>
    </row>
    <row r="157" spans="3:11">
      <c r="C157" s="15">
        <v>41605</v>
      </c>
      <c r="D157" s="137">
        <v>0.4676333728</v>
      </c>
      <c r="E157" s="19">
        <f>VLOOKUP(CurrentMtgRatesDataTable825[[#This Row],[asofdate]],J:K,2,0)</f>
        <v>7.5008080000000003E-4</v>
      </c>
      <c r="F157" s="22" t="e">
        <f ca="1">VLOOKUP(CurrentMtgRatesDataTable825[[#This Row],[asofdate]]+1,Bloomberg!B:C,2,0)</f>
        <v>#N/A</v>
      </c>
      <c r="I157" s="137"/>
      <c r="J157" s="15">
        <v>35447</v>
      </c>
      <c r="K157" s="137">
        <v>4.5952605999999997E-3</v>
      </c>
    </row>
    <row r="158" spans="3:11">
      <c r="C158" s="15">
        <v>41599</v>
      </c>
      <c r="D158" s="137">
        <v>0.48126520820000007</v>
      </c>
      <c r="E158" s="19">
        <f>VLOOKUP(CurrentMtgRatesDataTable825[[#This Row],[asofdate]],J:K,2,0)</f>
        <v>1.2986059999999999E-3</v>
      </c>
      <c r="F158" s="22">
        <f ca="1">VLOOKUP(CurrentMtgRatesDataTable825[[#This Row],[asofdate]]+1,Bloomberg!B:C,2,0)</f>
        <v>1917.2</v>
      </c>
      <c r="I158" s="137"/>
      <c r="J158" s="15">
        <v>35454</v>
      </c>
      <c r="K158" s="137">
        <v>4.06913187E-2</v>
      </c>
    </row>
    <row r="159" spans="3:11">
      <c r="C159" s="15">
        <v>41592</v>
      </c>
      <c r="D159" s="137">
        <v>0.44823077639999998</v>
      </c>
      <c r="E159" s="19">
        <f>VLOOKUP(CurrentMtgRatesDataTable825[[#This Row],[asofdate]],J:K,2,0)</f>
        <v>4.2373589999999999E-4</v>
      </c>
      <c r="F159" s="22">
        <f ca="1">VLOOKUP(CurrentMtgRatesDataTable825[[#This Row],[asofdate]]+1,Bloomberg!B:C,2,0)</f>
        <v>1903.5</v>
      </c>
      <c r="I159" s="137"/>
      <c r="J159" s="15">
        <v>35461</v>
      </c>
      <c r="K159" s="137">
        <v>0</v>
      </c>
    </row>
    <row r="160" spans="3:11">
      <c r="C160" s="15">
        <v>41585</v>
      </c>
      <c r="D160" s="137">
        <v>0.48554576319999998</v>
      </c>
      <c r="E160" s="19">
        <f>VLOOKUP(CurrentMtgRatesDataTable825[[#This Row],[asofdate]],J:K,2,0)</f>
        <v>1.9713356E-3</v>
      </c>
      <c r="F160" s="22">
        <f ca="1">VLOOKUP(CurrentMtgRatesDataTable825[[#This Row],[asofdate]]+1,Bloomberg!B:C,2,0)</f>
        <v>2056.9</v>
      </c>
      <c r="I160" s="137"/>
      <c r="J160" s="15">
        <v>35468</v>
      </c>
      <c r="K160" s="137">
        <v>0</v>
      </c>
    </row>
    <row r="161" spans="3:11">
      <c r="C161" s="15">
        <v>41578</v>
      </c>
      <c r="D161" s="137">
        <v>0.51712393739999996</v>
      </c>
      <c r="E161" s="19">
        <f>VLOOKUP(CurrentMtgRatesDataTable825[[#This Row],[asofdate]],J:K,2,0)</f>
        <v>1.2472223E-3</v>
      </c>
      <c r="F161" s="22">
        <f ca="1">VLOOKUP(CurrentMtgRatesDataTable825[[#This Row],[asofdate]]+1,Bloomberg!B:C,2,0)</f>
        <v>2105.6</v>
      </c>
      <c r="I161" s="137"/>
      <c r="J161" s="15">
        <v>35475</v>
      </c>
      <c r="K161" s="137">
        <v>0</v>
      </c>
    </row>
    <row r="162" spans="3:11">
      <c r="C162" s="15">
        <v>41571</v>
      </c>
      <c r="D162" s="137">
        <v>0.50130776170000002</v>
      </c>
      <c r="E162" s="19">
        <f>VLOOKUP(CurrentMtgRatesDataTable825[[#This Row],[asofdate]],J:K,2,0)</f>
        <v>7.9651050000000001E-4</v>
      </c>
      <c r="F162" s="22">
        <f ca="1">VLOOKUP(CurrentMtgRatesDataTable825[[#This Row],[asofdate]]+1,Bloomberg!B:C,2,0)</f>
        <v>2211.8000000000002</v>
      </c>
      <c r="I162" s="137"/>
      <c r="J162" s="15">
        <v>35482</v>
      </c>
      <c r="K162" s="137">
        <v>0</v>
      </c>
    </row>
    <row r="163" spans="3:11">
      <c r="C163" s="15">
        <v>41564</v>
      </c>
      <c r="D163" s="137">
        <v>0.48108700180000008</v>
      </c>
      <c r="E163" s="19">
        <f>VLOOKUP(CurrentMtgRatesDataTable825[[#This Row],[asofdate]],J:K,2,0)</f>
        <v>2.6763429999999999E-4</v>
      </c>
      <c r="F163" s="22">
        <f ca="1">VLOOKUP(CurrentMtgRatesDataTable825[[#This Row],[asofdate]]+1,Bloomberg!B:C,2,0)</f>
        <v>2033.7</v>
      </c>
      <c r="I163" s="137"/>
      <c r="J163" s="15">
        <v>35489</v>
      </c>
      <c r="K163" s="137">
        <v>0</v>
      </c>
    </row>
    <row r="164" spans="3:11">
      <c r="C164" s="15">
        <v>41557</v>
      </c>
      <c r="D164" s="137">
        <v>0.49111867190000003</v>
      </c>
      <c r="E164" s="19">
        <f>VLOOKUP(CurrentMtgRatesDataTable825[[#This Row],[asofdate]],J:K,2,0)</f>
        <v>4.333532E-4</v>
      </c>
      <c r="F164" s="22">
        <f ca="1">VLOOKUP(CurrentMtgRatesDataTable825[[#This Row],[asofdate]]+1,Bloomberg!B:C,2,0)</f>
        <v>2102.6999999999998</v>
      </c>
      <c r="I164" s="137"/>
      <c r="J164" s="15">
        <v>35496</v>
      </c>
      <c r="K164" s="137">
        <v>6.0562786600000001E-2</v>
      </c>
    </row>
    <row r="165" spans="3:11">
      <c r="C165" s="15">
        <v>41550</v>
      </c>
      <c r="D165" s="137">
        <v>0.49244499819999998</v>
      </c>
      <c r="E165" s="19">
        <f>VLOOKUP(CurrentMtgRatesDataTable825[[#This Row],[asofdate]],J:K,2,0)</f>
        <v>4.1454790000000001E-4</v>
      </c>
      <c r="F165" s="22">
        <f ca="1">VLOOKUP(CurrentMtgRatesDataTable825[[#This Row],[asofdate]]+1,Bloomberg!B:C,2,0)</f>
        <v>2025.3</v>
      </c>
      <c r="I165" s="137"/>
      <c r="J165" s="15">
        <v>35503</v>
      </c>
      <c r="K165" s="137">
        <v>6.0562786600000001E-2</v>
      </c>
    </row>
    <row r="166" spans="3:11">
      <c r="C166" s="15">
        <v>41543</v>
      </c>
      <c r="D166" s="137">
        <v>0.48977048720000005</v>
      </c>
      <c r="E166" s="19">
        <f>VLOOKUP(CurrentMtgRatesDataTable825[[#This Row],[asofdate]],J:K,2,0)</f>
        <v>4.4069100000000008E-5</v>
      </c>
      <c r="F166" s="22">
        <f ca="1">VLOOKUP(CurrentMtgRatesDataTable825[[#This Row],[asofdate]]+1,Bloomberg!B:C,2,0)</f>
        <v>1956.6</v>
      </c>
      <c r="I166" s="137"/>
      <c r="J166" s="15">
        <v>35510</v>
      </c>
      <c r="K166" s="137">
        <v>3.8384926999999999E-2</v>
      </c>
    </row>
    <row r="167" spans="3:11">
      <c r="C167" s="15">
        <v>41536</v>
      </c>
      <c r="D167" s="137">
        <v>0.37065214549999997</v>
      </c>
      <c r="E167" s="19">
        <f>VLOOKUP(CurrentMtgRatesDataTable825[[#This Row],[asofdate]],J:K,2,0)</f>
        <v>7.8880999999999999E-6</v>
      </c>
      <c r="F167" s="22">
        <f ca="1">VLOOKUP(CurrentMtgRatesDataTable825[[#This Row],[asofdate]]+1,Bloomberg!B:C,2,0)</f>
        <v>1922.9</v>
      </c>
      <c r="I167" s="137"/>
      <c r="J167" s="15">
        <v>35517</v>
      </c>
      <c r="K167" s="137">
        <v>3.4112366099999999E-2</v>
      </c>
    </row>
    <row r="168" spans="3:11">
      <c r="C168" s="15">
        <v>41529</v>
      </c>
      <c r="D168" s="137">
        <v>0.3430871942</v>
      </c>
      <c r="E168" s="19">
        <f>VLOOKUP(CurrentMtgRatesDataTable825[[#This Row],[asofdate]],J:K,2,0)</f>
        <v>1.6727999999999999E-6</v>
      </c>
      <c r="F168" s="22">
        <f ca="1">VLOOKUP(CurrentMtgRatesDataTable825[[#This Row],[asofdate]]+1,Bloomberg!B:C,2,0)</f>
        <v>1814</v>
      </c>
      <c r="I168" s="137"/>
      <c r="J168" s="15">
        <v>35524</v>
      </c>
      <c r="K168" s="137">
        <v>4.8874080000000004E-4</v>
      </c>
    </row>
    <row r="169" spans="3:11">
      <c r="C169" s="15">
        <v>41522</v>
      </c>
      <c r="D169" s="137">
        <v>0.34744397290000001</v>
      </c>
      <c r="E169" s="19">
        <f>VLOOKUP(CurrentMtgRatesDataTable825[[#This Row],[asofdate]],J:K,2,0)</f>
        <v>6.0324E-6</v>
      </c>
      <c r="F169" s="22">
        <f ca="1">VLOOKUP(CurrentMtgRatesDataTable825[[#This Row],[asofdate]]+1,Bloomberg!B:C,2,0)</f>
        <v>1512.9</v>
      </c>
      <c r="I169" s="137"/>
      <c r="J169" s="15">
        <v>35531</v>
      </c>
      <c r="K169" s="137">
        <v>5.0517450000000001E-4</v>
      </c>
    </row>
    <row r="170" spans="3:11">
      <c r="C170" s="15">
        <v>41515</v>
      </c>
      <c r="D170" s="137">
        <v>0.3789545641</v>
      </c>
      <c r="E170" s="19">
        <f>VLOOKUP(CurrentMtgRatesDataTable825[[#This Row],[asofdate]],J:K,2,0)</f>
        <v>5.6934000000000004E-6</v>
      </c>
      <c r="F170" s="22">
        <f ca="1">VLOOKUP(CurrentMtgRatesDataTable825[[#This Row],[asofdate]]+1,Bloomberg!B:C,2,0)</f>
        <v>1909</v>
      </c>
      <c r="I170" s="137"/>
      <c r="J170" s="15">
        <v>35538</v>
      </c>
      <c r="K170" s="137">
        <v>5.126086E-4</v>
      </c>
    </row>
    <row r="171" spans="3:11">
      <c r="C171" s="15">
        <v>41508</v>
      </c>
      <c r="D171" s="137">
        <v>0.35381697849999999</v>
      </c>
      <c r="E171" s="19">
        <f>VLOOKUP(CurrentMtgRatesDataTable825[[#This Row],[asofdate]],J:K,2,0)</f>
        <v>2.9668000000000001E-6</v>
      </c>
      <c r="F171" s="22">
        <f ca="1">VLOOKUP(CurrentMtgRatesDataTable825[[#This Row],[asofdate]]+1,Bloomberg!B:C,2,0)</f>
        <v>1842.6</v>
      </c>
      <c r="I171" s="137"/>
      <c r="J171" s="15">
        <v>35545</v>
      </c>
      <c r="K171" s="137">
        <v>6.3119339999999986E-4</v>
      </c>
    </row>
    <row r="172" spans="3:11">
      <c r="C172" s="15">
        <v>41501</v>
      </c>
      <c r="D172" s="137">
        <v>0.46056392039999999</v>
      </c>
      <c r="E172" s="19">
        <f>VLOOKUP(CurrentMtgRatesDataTable825[[#This Row],[asofdate]],J:K,2,0)</f>
        <v>9.7079999999999992E-6</v>
      </c>
      <c r="F172" s="22">
        <f ca="1">VLOOKUP(CurrentMtgRatesDataTable825[[#This Row],[asofdate]]+1,Bloomberg!B:C,2,0)</f>
        <v>1935.1</v>
      </c>
      <c r="I172" s="137"/>
      <c r="J172" s="15">
        <v>35552</v>
      </c>
      <c r="K172" s="137">
        <v>1.5755312000000001E-3</v>
      </c>
    </row>
    <row r="173" spans="3:11">
      <c r="C173" s="15">
        <v>41494</v>
      </c>
      <c r="D173" s="137">
        <v>0.46056392039999999</v>
      </c>
      <c r="E173" s="19">
        <f>VLOOKUP(CurrentMtgRatesDataTable825[[#This Row],[asofdate]],J:K,2,0)</f>
        <v>1.6226999999999999E-5</v>
      </c>
      <c r="F173" s="22">
        <f ca="1">VLOOKUP(CurrentMtgRatesDataTable825[[#This Row],[asofdate]]+1,Bloomberg!B:C,2,0)</f>
        <v>2110.6</v>
      </c>
      <c r="I173" s="137"/>
      <c r="J173" s="15">
        <v>35559</v>
      </c>
      <c r="K173" s="137">
        <v>3.0365824E-3</v>
      </c>
    </row>
    <row r="174" spans="3:11">
      <c r="C174" s="15">
        <v>41487</v>
      </c>
      <c r="D174" s="137">
        <v>0.47029827790000001</v>
      </c>
      <c r="E174" s="19">
        <f>VLOOKUP(CurrentMtgRatesDataTable825[[#This Row],[asofdate]],J:K,2,0)</f>
        <v>1.6114199999999999E-5</v>
      </c>
      <c r="F174" s="22">
        <f ca="1">VLOOKUP(CurrentMtgRatesDataTable825[[#This Row],[asofdate]]+1,Bloomberg!B:C,2,0)</f>
        <v>2228.9</v>
      </c>
      <c r="I174" s="137"/>
      <c r="J174" s="15">
        <v>35566</v>
      </c>
      <c r="K174" s="137">
        <v>3.5884977999999998E-3</v>
      </c>
    </row>
    <row r="175" spans="3:11">
      <c r="C175" s="15">
        <v>41480</v>
      </c>
      <c r="D175" s="137">
        <v>0.5197386289</v>
      </c>
      <c r="E175" s="19">
        <f>VLOOKUP(CurrentMtgRatesDataTable825[[#This Row],[asofdate]],J:K,2,0)</f>
        <v>1.3372400000000001E-5</v>
      </c>
      <c r="F175" s="22">
        <f ca="1">VLOOKUP(CurrentMtgRatesDataTable825[[#This Row],[asofdate]]+1,Bloomberg!B:C,2,0)</f>
        <v>2218.3000000000002</v>
      </c>
      <c r="I175" s="137"/>
      <c r="J175" s="15">
        <v>35573</v>
      </c>
      <c r="K175" s="137">
        <v>1.9495356000000001E-3</v>
      </c>
    </row>
    <row r="176" spans="3:11">
      <c r="C176" s="15">
        <v>41473</v>
      </c>
      <c r="D176" s="137">
        <v>0.50054843439999996</v>
      </c>
      <c r="E176" s="19">
        <f>VLOOKUP(CurrentMtgRatesDataTable825[[#This Row],[asofdate]],J:K,2,0)</f>
        <v>1.1374700000000001E-5</v>
      </c>
      <c r="F176" s="22">
        <f ca="1">VLOOKUP(CurrentMtgRatesDataTable825[[#This Row],[asofdate]]+1,Bloomberg!B:C,2,0)</f>
        <v>2288</v>
      </c>
      <c r="I176" s="137"/>
      <c r="J176" s="15">
        <v>35580</v>
      </c>
      <c r="K176" s="137">
        <v>1.8740690999999999E-3</v>
      </c>
    </row>
    <row r="177" spans="3:11">
      <c r="C177" s="15">
        <v>41466</v>
      </c>
      <c r="D177" s="137">
        <v>0.38419434810000003</v>
      </c>
      <c r="E177" s="19">
        <f>VLOOKUP(CurrentMtgRatesDataTable825[[#This Row],[asofdate]],J:K,2,0)</f>
        <v>2.6485999999999999E-6</v>
      </c>
      <c r="F177" s="22">
        <f ca="1">VLOOKUP(CurrentMtgRatesDataTable825[[#This Row],[asofdate]]+1,Bloomberg!B:C,2,0)</f>
        <v>2242.1999999999998</v>
      </c>
      <c r="I177" s="137"/>
      <c r="J177" s="15">
        <v>35587</v>
      </c>
      <c r="K177" s="137">
        <v>9.5829534999999997E-3</v>
      </c>
    </row>
    <row r="178" spans="3:11">
      <c r="C178" s="15">
        <v>41458</v>
      </c>
      <c r="D178" s="137">
        <v>0.53319254169999997</v>
      </c>
      <c r="E178" s="19">
        <f>VLOOKUP(CurrentMtgRatesDataTable825[[#This Row],[asofdate]],J:K,2,0)</f>
        <v>2.4788900000000002E-5</v>
      </c>
      <c r="F178" s="22" t="e">
        <f ca="1">VLOOKUP(CurrentMtgRatesDataTable825[[#This Row],[asofdate]]+1,Bloomberg!B:C,2,0)</f>
        <v>#N/A</v>
      </c>
      <c r="I178" s="137"/>
      <c r="J178" s="15">
        <v>35594</v>
      </c>
      <c r="K178" s="137">
        <v>7.1936929699999999E-2</v>
      </c>
    </row>
    <row r="179" spans="3:11">
      <c r="C179" s="15">
        <v>41452</v>
      </c>
      <c r="D179" s="137">
        <v>0.41905135049999997</v>
      </c>
      <c r="E179" s="19">
        <f>VLOOKUP(CurrentMtgRatesDataTable825[[#This Row],[asofdate]],J:K,2,0)</f>
        <v>1.731E-6</v>
      </c>
      <c r="F179" s="22">
        <f ca="1">VLOOKUP(CurrentMtgRatesDataTable825[[#This Row],[asofdate]]+1,Bloomberg!B:C,2,0)</f>
        <v>2573.4</v>
      </c>
      <c r="I179" s="137"/>
      <c r="J179" s="15">
        <v>35601</v>
      </c>
      <c r="K179" s="137">
        <v>9.4917153399999996E-2</v>
      </c>
    </row>
    <row r="180" spans="3:11">
      <c r="C180" s="15">
        <v>41445</v>
      </c>
      <c r="D180" s="137">
        <v>0.64225059019999997</v>
      </c>
      <c r="E180" s="19">
        <f>VLOOKUP(CurrentMtgRatesDataTable825[[#This Row],[asofdate]],J:K,2,0)</f>
        <v>1.097799E-4</v>
      </c>
      <c r="F180" s="22">
        <f ca="1">VLOOKUP(CurrentMtgRatesDataTable825[[#This Row],[asofdate]]+1,Bloomberg!B:C,2,0)</f>
        <v>3040.1</v>
      </c>
      <c r="I180" s="137"/>
      <c r="J180" s="15">
        <v>35608</v>
      </c>
      <c r="K180" s="137">
        <v>9.9101242500000006E-2</v>
      </c>
    </row>
    <row r="181" spans="3:11">
      <c r="C181" s="15">
        <v>41438</v>
      </c>
      <c r="D181" s="137">
        <v>0.63399052840000003</v>
      </c>
      <c r="E181" s="19">
        <f>VLOOKUP(CurrentMtgRatesDataTable825[[#This Row],[asofdate]],J:K,2,0)</f>
        <v>1.0584839999999999E-4</v>
      </c>
      <c r="F181" s="22">
        <f ca="1">VLOOKUP(CurrentMtgRatesDataTable825[[#This Row],[asofdate]]+1,Bloomberg!B:C,2,0)</f>
        <v>3214.4</v>
      </c>
      <c r="I181" s="137"/>
      <c r="J181" s="15">
        <v>35615</v>
      </c>
      <c r="K181" s="137">
        <v>8.7605453999999999E-2</v>
      </c>
    </row>
    <row r="182" spans="3:11">
      <c r="C182" s="15">
        <v>41431</v>
      </c>
      <c r="D182" s="137">
        <v>0.65588630510000001</v>
      </c>
      <c r="E182" s="19">
        <f>VLOOKUP(CurrentMtgRatesDataTable825[[#This Row],[asofdate]],J:K,2,0)</f>
        <v>1.4563609999999999E-4</v>
      </c>
      <c r="F182" s="22">
        <f ca="1">VLOOKUP(CurrentMtgRatesDataTable825[[#This Row],[asofdate]]+1,Bloomberg!B:C,2,0)</f>
        <v>3339.8</v>
      </c>
      <c r="I182" s="137"/>
      <c r="J182" s="15">
        <v>35622</v>
      </c>
      <c r="K182" s="137">
        <v>0.1223096719</v>
      </c>
    </row>
    <row r="183" spans="3:11">
      <c r="C183" s="15">
        <v>41424</v>
      </c>
      <c r="D183" s="137">
        <v>0.70560329119999998</v>
      </c>
      <c r="E183" s="19">
        <f>VLOOKUP(CurrentMtgRatesDataTable825[[#This Row],[asofdate]],J:K,2,0)</f>
        <v>1.8729679999999999E-4</v>
      </c>
      <c r="F183" s="22">
        <f ca="1">VLOOKUP(CurrentMtgRatesDataTable825[[#This Row],[asofdate]]+1,Bloomberg!B:C,2,0)</f>
        <v>3163.6</v>
      </c>
      <c r="I183" s="137"/>
      <c r="J183" s="15">
        <v>35629</v>
      </c>
      <c r="K183" s="137">
        <v>0.1223096719</v>
      </c>
    </row>
    <row r="184" spans="3:11">
      <c r="C184" s="15">
        <v>41417</v>
      </c>
      <c r="D184" s="137">
        <v>0.74422638649999995</v>
      </c>
      <c r="E184" s="19">
        <f>VLOOKUP(CurrentMtgRatesDataTable825[[#This Row],[asofdate]],J:K,2,0)</f>
        <v>8.693657E-4</v>
      </c>
      <c r="F184" s="22">
        <f ca="1">VLOOKUP(CurrentMtgRatesDataTable825[[#This Row],[asofdate]]+1,Bloomberg!B:C,2,0)</f>
        <v>3709.4</v>
      </c>
      <c r="I184" s="137"/>
      <c r="J184" s="15">
        <v>35636</v>
      </c>
      <c r="K184" s="137">
        <v>0.1341082364</v>
      </c>
    </row>
    <row r="185" spans="3:11">
      <c r="C185" s="15">
        <v>41410</v>
      </c>
      <c r="D185" s="137">
        <v>0.77052889550000003</v>
      </c>
      <c r="E185" s="19">
        <f>VLOOKUP(CurrentMtgRatesDataTable825[[#This Row],[asofdate]],J:K,2,0)</f>
        <v>3.7372027E-3</v>
      </c>
      <c r="F185" s="22">
        <f ca="1">VLOOKUP(CurrentMtgRatesDataTable825[[#This Row],[asofdate]]+1,Bloomberg!B:C,2,0)</f>
        <v>4241.5</v>
      </c>
      <c r="I185" s="137"/>
      <c r="J185" s="15">
        <v>35643</v>
      </c>
      <c r="K185" s="137">
        <v>0.28810625960000003</v>
      </c>
    </row>
    <row r="186" spans="3:11">
      <c r="C186" s="15">
        <v>41403</v>
      </c>
      <c r="D186" s="137">
        <v>0.83206605730000005</v>
      </c>
      <c r="E186" s="19">
        <f>VLOOKUP(CurrentMtgRatesDataTable825[[#This Row],[asofdate]],J:K,2,0)</f>
        <v>9.1322767000000006E-3</v>
      </c>
      <c r="F186" s="22">
        <f ca="1">VLOOKUP(CurrentMtgRatesDataTable825[[#This Row],[asofdate]]+1,Bloomberg!B:C,2,0)</f>
        <v>4797.2</v>
      </c>
      <c r="I186" s="137"/>
      <c r="J186" s="15">
        <v>35650</v>
      </c>
      <c r="K186" s="137">
        <v>0.13557377200000001</v>
      </c>
    </row>
    <row r="187" spans="3:11">
      <c r="C187" s="15">
        <v>41396</v>
      </c>
      <c r="D187" s="137">
        <v>0.84815010540000002</v>
      </c>
      <c r="E187" s="19">
        <f>VLOOKUP(CurrentMtgRatesDataTable825[[#This Row],[asofdate]],J:K,2,0)</f>
        <v>0.79671017649999998</v>
      </c>
      <c r="F187" s="22">
        <f ca="1">VLOOKUP(CurrentMtgRatesDataTable825[[#This Row],[asofdate]]+1,Bloomberg!B:C,2,0)</f>
        <v>5279.9</v>
      </c>
      <c r="I187" s="137"/>
      <c r="J187" s="15">
        <v>35657</v>
      </c>
      <c r="K187" s="137">
        <v>0.11379585180000001</v>
      </c>
    </row>
    <row r="188" spans="3:11">
      <c r="C188" s="15">
        <v>41389</v>
      </c>
      <c r="D188" s="137">
        <v>0.85248188820000004</v>
      </c>
      <c r="E188" s="19">
        <f>VLOOKUP(CurrentMtgRatesDataTable825[[#This Row],[asofdate]],J:K,2,0)</f>
        <v>6.9385708000000001E-3</v>
      </c>
      <c r="F188" s="22">
        <f ca="1">VLOOKUP(CurrentMtgRatesDataTable825[[#This Row],[asofdate]]+1,Bloomberg!B:C,2,0)</f>
        <v>4854.1000000000004</v>
      </c>
      <c r="I188" s="137"/>
      <c r="J188" s="15">
        <v>35664</v>
      </c>
      <c r="K188" s="137">
        <v>0.13557377200000001</v>
      </c>
    </row>
    <row r="189" spans="3:11">
      <c r="C189" s="15">
        <v>41382</v>
      </c>
      <c r="D189" s="137">
        <v>0.85701176970000004</v>
      </c>
      <c r="E189" s="19">
        <f>VLOOKUP(CurrentMtgRatesDataTable825[[#This Row],[asofdate]],J:K,2,0)</f>
        <v>1.0720968000000001E-2</v>
      </c>
      <c r="F189" s="22">
        <f ca="1">VLOOKUP(CurrentMtgRatesDataTable825[[#This Row],[asofdate]]+1,Bloomberg!B:C,2,0)</f>
        <v>4672.1000000000004</v>
      </c>
      <c r="I189" s="137"/>
      <c r="J189" s="15">
        <v>35671</v>
      </c>
      <c r="K189" s="137">
        <v>3.7037068999999999E-2</v>
      </c>
    </row>
    <row r="190" spans="3:11">
      <c r="C190" s="15">
        <v>41375</v>
      </c>
      <c r="D190" s="137">
        <v>0.8378961063</v>
      </c>
      <c r="E190" s="19">
        <f>VLOOKUP(CurrentMtgRatesDataTable825[[#This Row],[asofdate]],J:K,2,0)</f>
        <v>4.8411004999999998E-3</v>
      </c>
      <c r="F190" s="22">
        <f ca="1">VLOOKUP(CurrentMtgRatesDataTable825[[#This Row],[asofdate]]+1,Bloomberg!B:C,2,0)</f>
        <v>4726.8999999999996</v>
      </c>
      <c r="I190" s="137"/>
      <c r="J190" s="15">
        <v>35678</v>
      </c>
      <c r="K190" s="137">
        <v>0.125404666</v>
      </c>
    </row>
    <row r="191" spans="3:11">
      <c r="C191" s="15">
        <v>41368</v>
      </c>
      <c r="D191" s="137">
        <v>0.77384529670000002</v>
      </c>
      <c r="E191" s="19">
        <f>VLOOKUP(CurrentMtgRatesDataTable825[[#This Row],[asofdate]],J:K,2,0)</f>
        <v>1.8700698000000001E-3</v>
      </c>
      <c r="F191" s="22">
        <f ca="1">VLOOKUP(CurrentMtgRatesDataTable825[[#This Row],[asofdate]]+1,Bloomberg!B:C,2,0)</f>
        <v>4528.8999999999996</v>
      </c>
      <c r="I191" s="137"/>
      <c r="J191" s="15">
        <v>35685</v>
      </c>
      <c r="K191" s="137">
        <v>0.125404666</v>
      </c>
    </row>
    <row r="192" spans="3:11">
      <c r="C192" s="15">
        <v>41361</v>
      </c>
      <c r="D192" s="137">
        <v>0.79003622439999999</v>
      </c>
      <c r="E192" s="19">
        <f>VLOOKUP(CurrentMtgRatesDataTable825[[#This Row],[asofdate]],J:K,2,0)</f>
        <v>8.0177180000000001E-4</v>
      </c>
      <c r="F192" s="22">
        <f ca="1">VLOOKUP(CurrentMtgRatesDataTable825[[#This Row],[asofdate]]+1,Bloomberg!B:C,2,0)</f>
        <v>4119.2</v>
      </c>
      <c r="I192" s="137"/>
      <c r="J192" s="15">
        <v>35692</v>
      </c>
      <c r="K192" s="137">
        <v>0.1635102923</v>
      </c>
    </row>
    <row r="193" spans="3:11">
      <c r="C193" s="15">
        <v>41354</v>
      </c>
      <c r="D193" s="137">
        <v>0.7957816351</v>
      </c>
      <c r="E193" s="19">
        <f>VLOOKUP(CurrentMtgRatesDataTable825[[#This Row],[asofdate]],J:K,2,0)</f>
        <v>1.1878606E-3</v>
      </c>
      <c r="F193" s="22">
        <f ca="1">VLOOKUP(CurrentMtgRatesDataTable825[[#This Row],[asofdate]]+1,Bloomberg!B:C,2,0)</f>
        <v>4412.8999999999996</v>
      </c>
      <c r="I193" s="137"/>
      <c r="J193" s="15">
        <v>35699</v>
      </c>
      <c r="K193" s="137">
        <v>0.33582060009999998</v>
      </c>
    </row>
    <row r="194" spans="3:11">
      <c r="C194" s="15">
        <v>41347</v>
      </c>
      <c r="D194" s="137">
        <v>0.77394611589999995</v>
      </c>
      <c r="E194" s="19">
        <f>VLOOKUP(CurrentMtgRatesDataTable825[[#This Row],[asofdate]],J:K,2,0)</f>
        <v>5.728234E-4</v>
      </c>
      <c r="F194" s="22">
        <f ca="1">VLOOKUP(CurrentMtgRatesDataTable825[[#This Row],[asofdate]]+1,Bloomberg!B:C,2,0)</f>
        <v>4111.3</v>
      </c>
      <c r="I194" s="137"/>
      <c r="J194" s="15">
        <v>35706</v>
      </c>
      <c r="K194" s="137">
        <v>0.32391565760000002</v>
      </c>
    </row>
    <row r="195" spans="3:11">
      <c r="C195" s="15">
        <v>41340</v>
      </c>
      <c r="D195" s="137">
        <v>0.81171450180000004</v>
      </c>
      <c r="E195" s="19">
        <f>VLOOKUP(CurrentMtgRatesDataTable825[[#This Row],[asofdate]],J:K,2,0)</f>
        <v>2.7074109999999998E-3</v>
      </c>
      <c r="F195" s="22">
        <f ca="1">VLOOKUP(CurrentMtgRatesDataTable825[[#This Row],[asofdate]]+1,Bloomberg!B:C,2,0)</f>
        <v>4485.2</v>
      </c>
      <c r="I195" s="137"/>
      <c r="J195" s="15">
        <v>35713</v>
      </c>
      <c r="K195" s="137">
        <v>0.35378106399999998</v>
      </c>
    </row>
    <row r="196" spans="3:11">
      <c r="C196" s="15">
        <v>41333</v>
      </c>
      <c r="D196" s="137">
        <v>0.8270727792</v>
      </c>
      <c r="E196" s="19">
        <f>VLOOKUP(CurrentMtgRatesDataTable825[[#This Row],[asofdate]],J:K,2,0)</f>
        <v>1.8279983000000001E-3</v>
      </c>
      <c r="F196" s="22">
        <f ca="1">VLOOKUP(CurrentMtgRatesDataTable825[[#This Row],[asofdate]]+1,Bloomberg!B:C,2,0)</f>
        <v>4724.8999999999996</v>
      </c>
      <c r="I196" s="137"/>
      <c r="J196" s="15">
        <v>35720</v>
      </c>
      <c r="K196" s="137">
        <v>0.18150642280000001</v>
      </c>
    </row>
    <row r="197" spans="3:11">
      <c r="C197" s="15">
        <v>41326</v>
      </c>
      <c r="D197" s="137">
        <v>0.81160085719999997</v>
      </c>
      <c r="E197" s="19">
        <f>VLOOKUP(CurrentMtgRatesDataTable825[[#This Row],[asofdate]],J:K,2,0)</f>
        <v>1.1744309000000001E-3</v>
      </c>
      <c r="F197" s="22">
        <f ca="1">VLOOKUP(CurrentMtgRatesDataTable825[[#This Row],[asofdate]]+1,Bloomberg!B:C,2,0)</f>
        <v>4136.3</v>
      </c>
      <c r="I197" s="137"/>
      <c r="J197" s="15">
        <v>35727</v>
      </c>
      <c r="K197" s="137">
        <v>0.1718154107</v>
      </c>
    </row>
    <row r="198" spans="3:11">
      <c r="C198" s="15">
        <v>41319</v>
      </c>
      <c r="D198" s="137">
        <v>0.81835686620000003</v>
      </c>
      <c r="E198" s="19">
        <f>VLOOKUP(CurrentMtgRatesDataTable825[[#This Row],[asofdate]],J:K,2,0)</f>
        <v>1.8188139000000002E-3</v>
      </c>
      <c r="F198" s="22">
        <f ca="1">VLOOKUP(CurrentMtgRatesDataTable825[[#This Row],[asofdate]]+1,Bloomberg!B:C,2,0)</f>
        <v>4261.8</v>
      </c>
      <c r="I198" s="137"/>
      <c r="J198" s="15">
        <v>35734</v>
      </c>
      <c r="K198" s="137">
        <v>0.37578056700000001</v>
      </c>
    </row>
    <row r="199" spans="3:11">
      <c r="C199" s="15">
        <v>41312</v>
      </c>
      <c r="D199" s="137">
        <v>0.81835686620000003</v>
      </c>
      <c r="E199" s="19">
        <f>VLOOKUP(CurrentMtgRatesDataTable825[[#This Row],[asofdate]],J:K,2,0)</f>
        <v>1.8016234000000002E-3</v>
      </c>
      <c r="F199" s="22">
        <f ca="1">VLOOKUP(CurrentMtgRatesDataTable825[[#This Row],[asofdate]]+1,Bloomberg!B:C,2,0)</f>
        <v>4284.3</v>
      </c>
      <c r="I199" s="137"/>
      <c r="J199" s="15">
        <v>35741</v>
      </c>
      <c r="K199" s="137">
        <v>0.36336463479999997</v>
      </c>
    </row>
    <row r="200" spans="3:11">
      <c r="C200" s="15">
        <v>41305</v>
      </c>
      <c r="D200" s="137">
        <v>0.84241989009999996</v>
      </c>
      <c r="E200" s="19">
        <f>VLOOKUP(CurrentMtgRatesDataTable825[[#This Row],[asofdate]],J:K,2,0)</f>
        <v>1.2356666000000001E-3</v>
      </c>
      <c r="F200" s="22">
        <f ca="1">VLOOKUP(CurrentMtgRatesDataTable825[[#This Row],[asofdate]]+1,Bloomberg!B:C,2,0)</f>
        <v>4579</v>
      </c>
      <c r="I200" s="137"/>
      <c r="J200" s="15">
        <v>35748</v>
      </c>
      <c r="K200" s="137">
        <v>0.36501774580000002</v>
      </c>
    </row>
    <row r="201" spans="3:11">
      <c r="C201" s="15">
        <v>41298</v>
      </c>
      <c r="D201" s="137">
        <v>0.90997267329999998</v>
      </c>
      <c r="E201" s="19">
        <f>VLOOKUP(CurrentMtgRatesDataTable825[[#This Row],[asofdate]],J:K,2,0)</f>
        <v>5.6133948999999997E-3</v>
      </c>
      <c r="F201" s="22">
        <f ca="1">VLOOKUP(CurrentMtgRatesDataTable825[[#This Row],[asofdate]]+1,Bloomberg!B:C,2,0)</f>
        <v>4433.6000000000004</v>
      </c>
      <c r="I201" s="137"/>
      <c r="J201" s="15">
        <v>35755</v>
      </c>
      <c r="K201" s="137">
        <v>0.39068724490000001</v>
      </c>
    </row>
    <row r="202" spans="3:11">
      <c r="C202" s="15">
        <v>41291</v>
      </c>
      <c r="D202" s="137">
        <v>0.923612459</v>
      </c>
      <c r="E202" s="19">
        <f>VLOOKUP(CurrentMtgRatesDataTable825[[#This Row],[asofdate]],J:K,2,0)</f>
        <v>0.86332672129999999</v>
      </c>
      <c r="F202" s="22">
        <f ca="1">VLOOKUP(CurrentMtgRatesDataTable825[[#This Row],[asofdate]]+1,Bloomberg!B:C,2,0)</f>
        <v>4937.3999999999996</v>
      </c>
      <c r="I202" s="137"/>
      <c r="J202" s="15">
        <v>35762</v>
      </c>
      <c r="K202" s="137">
        <v>0.38676710110000001</v>
      </c>
    </row>
    <row r="203" spans="3:11">
      <c r="C203" s="15">
        <v>41284</v>
      </c>
      <c r="D203" s="137">
        <v>0.91705235539999996</v>
      </c>
      <c r="E203" s="19">
        <f>VLOOKUP(CurrentMtgRatesDataTable825[[#This Row],[asofdate]],J:K,2,0)</f>
        <v>5.7415477999999999E-3</v>
      </c>
      <c r="F203" s="22">
        <f ca="1">VLOOKUP(CurrentMtgRatesDataTable825[[#This Row],[asofdate]]+1,Bloomberg!B:C,2,0)</f>
        <v>4554.3999999999996</v>
      </c>
      <c r="I203" s="137"/>
      <c r="J203" s="15">
        <v>35769</v>
      </c>
      <c r="K203" s="137">
        <v>0.38905737400000001</v>
      </c>
    </row>
    <row r="204" spans="3:11">
      <c r="C204" s="15">
        <v>41277</v>
      </c>
      <c r="D204" s="137">
        <v>0.92991876559999997</v>
      </c>
      <c r="E204" s="19">
        <f>VLOOKUP(CurrentMtgRatesDataTable825[[#This Row],[asofdate]],J:K,2,0)</f>
        <v>0.86713239769999995</v>
      </c>
      <c r="F204" s="22">
        <f ca="1">VLOOKUP(CurrentMtgRatesDataTable825[[#This Row],[asofdate]]+1,Bloomberg!B:C,2,0)</f>
        <v>3896.4</v>
      </c>
      <c r="I204" s="137"/>
      <c r="J204" s="15">
        <v>35776</v>
      </c>
      <c r="K204" s="137">
        <v>0.38250612070000001</v>
      </c>
    </row>
    <row r="205" spans="3:11">
      <c r="C205" s="15">
        <v>41270</v>
      </c>
      <c r="D205" s="137">
        <v>0.9551047989</v>
      </c>
      <c r="E205" s="19">
        <f>VLOOKUP(CurrentMtgRatesDataTable825[[#This Row],[asofdate]],J:K,2,0)</f>
        <v>0.89223126149999998</v>
      </c>
      <c r="F205" s="22">
        <f ca="1">VLOOKUP(CurrentMtgRatesDataTable825[[#This Row],[asofdate]]+1,Bloomberg!B:C,2,0)</f>
        <v>3488.9</v>
      </c>
      <c r="I205" s="137"/>
      <c r="J205" s="15">
        <v>35783</v>
      </c>
      <c r="K205" s="137">
        <v>0.42083533699999998</v>
      </c>
    </row>
    <row r="206" spans="3:11">
      <c r="C206" s="15">
        <v>41263</v>
      </c>
      <c r="D206" s="137">
        <v>0.95216101900000005</v>
      </c>
      <c r="E206" s="19">
        <f>VLOOKUP(CurrentMtgRatesDataTable825[[#This Row],[asofdate]],J:K,2,0)</f>
        <v>0.89028689569999997</v>
      </c>
      <c r="F206" s="22">
        <f ca="1">VLOOKUP(CurrentMtgRatesDataTable825[[#This Row],[asofdate]]+1,Bloomberg!B:C,2,0)</f>
        <v>3983.2</v>
      </c>
      <c r="I206" s="137"/>
      <c r="J206" s="15">
        <v>35790</v>
      </c>
      <c r="K206" s="137">
        <v>0.45805487980000004</v>
      </c>
    </row>
    <row r="207" spans="3:11">
      <c r="C207" s="15">
        <v>41256</v>
      </c>
      <c r="D207" s="137">
        <v>0.9571673316</v>
      </c>
      <c r="E207" s="19">
        <f>VLOOKUP(CurrentMtgRatesDataTable825[[#This Row],[asofdate]],J:K,2,0)</f>
        <v>0.90754307509999999</v>
      </c>
      <c r="F207" s="22">
        <f ca="1">VLOOKUP(CurrentMtgRatesDataTable825[[#This Row],[asofdate]]+1,Bloomberg!B:C,2,0)</f>
        <v>4564.3999999999996</v>
      </c>
      <c r="I207" s="137"/>
      <c r="J207" s="15">
        <v>35797</v>
      </c>
      <c r="K207" s="137">
        <v>0.43326132169999998</v>
      </c>
    </row>
    <row r="208" spans="3:11">
      <c r="C208" s="15">
        <v>41249</v>
      </c>
      <c r="D208" s="137">
        <v>0.95613736699999996</v>
      </c>
      <c r="E208" s="19">
        <f>VLOOKUP(CurrentMtgRatesDataTable825[[#This Row],[asofdate]],J:K,2,0)</f>
        <v>0.89290404879999996</v>
      </c>
      <c r="F208" s="22">
        <f ca="1">VLOOKUP(CurrentMtgRatesDataTable825[[#This Row],[asofdate]]+1,Bloomberg!B:C,2,0)</f>
        <v>5368.1</v>
      </c>
      <c r="I208" s="137"/>
      <c r="J208" s="15">
        <v>35804</v>
      </c>
      <c r="K208" s="137">
        <v>0.73567537220000001</v>
      </c>
    </row>
    <row r="209" spans="3:11">
      <c r="C209" s="15">
        <v>41242</v>
      </c>
      <c r="D209" s="137">
        <v>0.97473352089999998</v>
      </c>
      <c r="E209" s="19">
        <f>VLOOKUP(CurrentMtgRatesDataTable825[[#This Row],[asofdate]],J:K,2,0)</f>
        <v>0.91339134359999996</v>
      </c>
      <c r="F209" s="22">
        <f ca="1">VLOOKUP(CurrentMtgRatesDataTable825[[#This Row],[asofdate]]+1,Bloomberg!B:C,2,0)</f>
        <v>4943</v>
      </c>
      <c r="I209" s="137"/>
      <c r="J209" s="15">
        <v>35811</v>
      </c>
      <c r="K209" s="137">
        <v>0.80011436960000004</v>
      </c>
    </row>
    <row r="210" spans="3:11">
      <c r="C210" s="15">
        <v>41234</v>
      </c>
      <c r="D210" s="137">
        <v>0.9764940312</v>
      </c>
      <c r="E210" s="19">
        <f>VLOOKUP(CurrentMtgRatesDataTable825[[#This Row],[asofdate]],J:K,2,0)</f>
        <v>0.9281076654</v>
      </c>
      <c r="F210" s="22" t="e">
        <f ca="1">VLOOKUP(CurrentMtgRatesDataTable825[[#This Row],[asofdate]]+1,Bloomberg!B:C,2,0)</f>
        <v>#N/A</v>
      </c>
      <c r="I210" s="137"/>
      <c r="J210" s="15">
        <v>35818</v>
      </c>
      <c r="K210" s="137">
        <v>0.73567537220000001</v>
      </c>
    </row>
    <row r="211" spans="3:11">
      <c r="C211" s="15">
        <v>41228</v>
      </c>
      <c r="D211" s="137">
        <v>0.97531301500000001</v>
      </c>
      <c r="E211" s="19">
        <f>VLOOKUP(CurrentMtgRatesDataTable825[[#This Row],[asofdate]],J:K,2,0)</f>
        <v>0.9140931699</v>
      </c>
      <c r="F211" s="22">
        <f ca="1">VLOOKUP(CurrentMtgRatesDataTable825[[#This Row],[asofdate]]+1,Bloomberg!B:C,2,0)</f>
        <v>4702.3999999999996</v>
      </c>
      <c r="I211" s="137"/>
      <c r="J211" s="15">
        <v>35825</v>
      </c>
      <c r="K211" s="137">
        <v>0.4650245918</v>
      </c>
    </row>
    <row r="212" spans="3:11">
      <c r="C212" s="15">
        <v>41221</v>
      </c>
      <c r="D212" s="137">
        <v>0.96601170540000003</v>
      </c>
      <c r="E212" s="19">
        <f>VLOOKUP(CurrentMtgRatesDataTable825[[#This Row],[asofdate]],J:K,2,0)</f>
        <v>0.89563676619999999</v>
      </c>
      <c r="F212" s="22">
        <f ca="1">VLOOKUP(CurrentMtgRatesDataTable825[[#This Row],[asofdate]]+1,Bloomberg!B:C,2,0)</f>
        <v>4856.1000000000004</v>
      </c>
      <c r="I212" s="137"/>
      <c r="J212" s="15">
        <v>35832</v>
      </c>
      <c r="K212" s="137">
        <v>0.69735484749999999</v>
      </c>
    </row>
    <row r="213" spans="3:11">
      <c r="C213" s="15">
        <v>41214</v>
      </c>
      <c r="D213" s="137">
        <v>0.96726730959999996</v>
      </c>
      <c r="E213" s="19">
        <f>VLOOKUP(CurrentMtgRatesDataTable825[[#This Row],[asofdate]],J:K,2,0)</f>
        <v>0.89593566410000003</v>
      </c>
      <c r="F213" s="22">
        <f ca="1">VLOOKUP(CurrentMtgRatesDataTable825[[#This Row],[asofdate]]+1,Bloomberg!B:C,2,0)</f>
        <v>4297.7</v>
      </c>
      <c r="I213" s="137"/>
      <c r="J213" s="15">
        <v>35839</v>
      </c>
      <c r="K213" s="137">
        <v>0.47636994580000003</v>
      </c>
    </row>
    <row r="214" spans="3:11">
      <c r="C214" s="15">
        <v>41207</v>
      </c>
      <c r="D214" s="137">
        <v>0.97626253559999998</v>
      </c>
      <c r="E214" s="19">
        <f>VLOOKUP(CurrentMtgRatesDataTable825[[#This Row],[asofdate]],J:K,2,0)</f>
        <v>0.90785050069999995</v>
      </c>
      <c r="F214" s="22">
        <f ca="1">VLOOKUP(CurrentMtgRatesDataTable825[[#This Row],[asofdate]]+1,Bloomberg!B:C,2,0)</f>
        <v>4550.7</v>
      </c>
      <c r="I214" s="137"/>
      <c r="J214" s="15">
        <v>35846</v>
      </c>
      <c r="K214" s="137">
        <v>0.72568535879999996</v>
      </c>
    </row>
    <row r="215" spans="3:11">
      <c r="C215" s="15">
        <v>41200</v>
      </c>
      <c r="D215" s="137">
        <v>0.98348944029999996</v>
      </c>
      <c r="E215" s="19">
        <f>VLOOKUP(CurrentMtgRatesDataTable825[[#This Row],[asofdate]],J:K,2,0)</f>
        <v>0.92467963080000004</v>
      </c>
      <c r="F215" s="22">
        <f ca="1">VLOOKUP(CurrentMtgRatesDataTable825[[#This Row],[asofdate]]+1,Bloomberg!B:C,2,0)</f>
        <v>4847.2</v>
      </c>
      <c r="I215" s="137"/>
      <c r="J215" s="15">
        <v>35854</v>
      </c>
      <c r="K215" s="137">
        <v>0.4739008173</v>
      </c>
    </row>
    <row r="216" spans="3:11">
      <c r="C216" s="15">
        <v>41193</v>
      </c>
      <c r="D216" s="137">
        <v>0.97996203599999998</v>
      </c>
      <c r="E216" s="19">
        <f>VLOOKUP(CurrentMtgRatesDataTable825[[#This Row],[asofdate]],J:K,2,0)</f>
        <v>0.91033834270000002</v>
      </c>
      <c r="F216" s="22">
        <f ca="1">VLOOKUP(CurrentMtgRatesDataTable825[[#This Row],[asofdate]]+1,Bloomberg!B:C,2,0)</f>
        <v>5572.2</v>
      </c>
      <c r="I216" s="137"/>
      <c r="J216" s="15">
        <v>35860</v>
      </c>
      <c r="K216" s="137">
        <v>0.26118728359999999</v>
      </c>
    </row>
    <row r="217" spans="3:11">
      <c r="C217" s="15">
        <v>41186</v>
      </c>
      <c r="D217" s="137">
        <v>0.98524810240000005</v>
      </c>
      <c r="E217" s="19">
        <f>VLOOKUP(CurrentMtgRatesDataTable825[[#This Row],[asofdate]],J:K,2,0)</f>
        <v>0.92807978840000005</v>
      </c>
      <c r="F217" s="22">
        <f ca="1">VLOOKUP(CurrentMtgRatesDataTable825[[#This Row],[asofdate]]+1,Bloomberg!B:C,2,0)</f>
        <v>5892.5</v>
      </c>
      <c r="I217" s="137"/>
      <c r="J217" s="15">
        <v>35867</v>
      </c>
      <c r="K217" s="137">
        <v>0.27083715069999997</v>
      </c>
    </row>
    <row r="218" spans="3:11">
      <c r="C218" s="15">
        <v>41179</v>
      </c>
      <c r="D218" s="137">
        <v>0.99079643949999996</v>
      </c>
      <c r="E218" s="19">
        <f>VLOOKUP(CurrentMtgRatesDataTable825[[#This Row],[asofdate]],J:K,2,0)</f>
        <v>0.935348391</v>
      </c>
      <c r="F218" s="22">
        <f ca="1">VLOOKUP(CurrentMtgRatesDataTable825[[#This Row],[asofdate]]+1,Bloomberg!B:C,2,0)</f>
        <v>5965.5</v>
      </c>
      <c r="I218" s="137"/>
      <c r="J218" s="15">
        <v>35874</v>
      </c>
      <c r="K218" s="137">
        <v>0.4858172731</v>
      </c>
    </row>
    <row r="219" spans="3:11">
      <c r="C219" s="15">
        <v>41172</v>
      </c>
      <c r="D219" s="137">
        <v>0.96606144380000003</v>
      </c>
      <c r="E219" s="19">
        <f>VLOOKUP(CurrentMtgRatesDataTable825[[#This Row],[asofdate]],J:K,2,0)</f>
        <v>0.90078150499999998</v>
      </c>
      <c r="F219" s="22">
        <f ca="1">VLOOKUP(CurrentMtgRatesDataTable825[[#This Row],[asofdate]]+1,Bloomberg!B:C,2,0)</f>
        <v>4979</v>
      </c>
      <c r="I219" s="137"/>
      <c r="J219" s="15">
        <v>35881</v>
      </c>
      <c r="K219" s="137">
        <v>0.4858172731</v>
      </c>
    </row>
    <row r="220" spans="3:11">
      <c r="C220" s="15">
        <v>41165</v>
      </c>
      <c r="D220" s="137">
        <v>0.92682323200000005</v>
      </c>
      <c r="E220" s="19">
        <f>VLOOKUP(CurrentMtgRatesDataTable825[[#This Row],[asofdate]],J:K,2,0)</f>
        <v>0.88552599899999995</v>
      </c>
      <c r="F220" s="22">
        <f ca="1">VLOOKUP(CurrentMtgRatesDataTable825[[#This Row],[asofdate]]+1,Bloomberg!B:C,2,0)</f>
        <v>4823.3</v>
      </c>
      <c r="I220" s="137"/>
      <c r="J220" s="15">
        <v>35888</v>
      </c>
      <c r="K220" s="137">
        <v>0.43544284630000002</v>
      </c>
    </row>
    <row r="221" spans="3:11">
      <c r="C221" s="15">
        <v>41158</v>
      </c>
      <c r="D221" s="137">
        <v>0.9200088891</v>
      </c>
      <c r="E221" s="19">
        <f>VLOOKUP(CurrentMtgRatesDataTable825[[#This Row],[asofdate]],J:K,2,0)</f>
        <v>0.88326700709999995</v>
      </c>
      <c r="F221" s="22">
        <f ca="1">VLOOKUP(CurrentMtgRatesDataTable825[[#This Row],[asofdate]]+1,Bloomberg!B:C,2,0)</f>
        <v>4779.1000000000004</v>
      </c>
      <c r="I221" s="137"/>
      <c r="J221" s="15">
        <v>35895</v>
      </c>
      <c r="K221" s="137">
        <v>0.48594479600000007</v>
      </c>
    </row>
    <row r="222" spans="3:11">
      <c r="C222" s="15">
        <v>41151</v>
      </c>
      <c r="D222" s="137">
        <v>0.92614215509999998</v>
      </c>
      <c r="E222" s="19">
        <f>VLOOKUP(CurrentMtgRatesDataTable825[[#This Row],[asofdate]],J:K,2,0)</f>
        <v>0.89042659729999996</v>
      </c>
      <c r="F222" s="22">
        <f ca="1">VLOOKUP(CurrentMtgRatesDataTable825[[#This Row],[asofdate]]+1,Bloomberg!B:C,2,0)</f>
        <v>4274.8</v>
      </c>
      <c r="I222" s="137"/>
      <c r="J222" s="15">
        <v>35902</v>
      </c>
      <c r="K222" s="137">
        <v>0.4338750837</v>
      </c>
    </row>
    <row r="223" spans="3:11">
      <c r="C223" s="15">
        <v>41144</v>
      </c>
      <c r="D223" s="137">
        <v>0.90777467359999997</v>
      </c>
      <c r="E223" s="19">
        <f>VLOOKUP(CurrentMtgRatesDataTable825[[#This Row],[asofdate]],J:K,2,0)</f>
        <v>0.86383307760000005</v>
      </c>
      <c r="F223" s="22">
        <f ca="1">VLOOKUP(CurrentMtgRatesDataTable825[[#This Row],[asofdate]]+1,Bloomberg!B:C,2,0)</f>
        <v>4414.6000000000004</v>
      </c>
      <c r="I223" s="137"/>
      <c r="J223" s="15">
        <v>35909</v>
      </c>
      <c r="K223" s="137">
        <v>0.44753541050000001</v>
      </c>
    </row>
    <row r="224" spans="3:11">
      <c r="C224" s="15">
        <v>41137</v>
      </c>
      <c r="D224" s="137">
        <v>0.92191374270000004</v>
      </c>
      <c r="E224" s="19">
        <f>VLOOKUP(CurrentMtgRatesDataTable825[[#This Row],[asofdate]],J:K,2,0)</f>
        <v>0.87699596440000005</v>
      </c>
      <c r="F224" s="22">
        <f ca="1">VLOOKUP(CurrentMtgRatesDataTable825[[#This Row],[asofdate]]+1,Bloomberg!B:C,2,0)</f>
        <v>4671.1000000000004</v>
      </c>
      <c r="I224" s="137"/>
      <c r="J224" s="15">
        <v>35916</v>
      </c>
      <c r="K224" s="137">
        <v>4.0452787E-3</v>
      </c>
    </row>
    <row r="225" spans="3:11">
      <c r="C225" s="15">
        <v>41130</v>
      </c>
      <c r="D225" s="137">
        <v>0.92614215509999998</v>
      </c>
      <c r="E225" s="19">
        <f>VLOOKUP(CurrentMtgRatesDataTable825[[#This Row],[asofdate]],J:K,2,0)</f>
        <v>0.89042659729999996</v>
      </c>
      <c r="F225" s="22">
        <f ca="1">VLOOKUP(CurrentMtgRatesDataTable825[[#This Row],[asofdate]]+1,Bloomberg!B:C,2,0)</f>
        <v>5172.2</v>
      </c>
      <c r="I225" s="137"/>
      <c r="J225" s="15">
        <v>35923</v>
      </c>
      <c r="K225" s="137">
        <v>0.41265993140000001</v>
      </c>
    </row>
    <row r="226" spans="3:11">
      <c r="C226" s="15">
        <v>41123</v>
      </c>
      <c r="D226" s="137">
        <v>0.92974026580000002</v>
      </c>
      <c r="E226" s="19">
        <f>VLOOKUP(CurrentMtgRatesDataTable825[[#This Row],[asofdate]],J:K,2,0)</f>
        <v>0.89163810899999996</v>
      </c>
      <c r="F226" s="22">
        <f ca="1">VLOOKUP(CurrentMtgRatesDataTable825[[#This Row],[asofdate]]+1,Bloomberg!B:C,2,0)</f>
        <v>5444.3</v>
      </c>
      <c r="I226" s="137"/>
      <c r="J226" s="15">
        <v>35930</v>
      </c>
      <c r="K226" s="137">
        <v>4.3310939999999997E-3</v>
      </c>
    </row>
    <row r="227" spans="3:11">
      <c r="C227" s="15">
        <v>41116</v>
      </c>
      <c r="D227" s="137">
        <v>0.96472332770000002</v>
      </c>
      <c r="E227" s="19">
        <f>VLOOKUP(CurrentMtgRatesDataTable825[[#This Row],[asofdate]],J:K,2,0)</f>
        <v>0.91595412320000003</v>
      </c>
      <c r="F227" s="22">
        <f ca="1">VLOOKUP(CurrentMtgRatesDataTable825[[#This Row],[asofdate]]+1,Bloomberg!B:C,2,0)</f>
        <v>5492.1</v>
      </c>
      <c r="I227" s="137"/>
      <c r="J227" s="15">
        <v>35937</v>
      </c>
      <c r="K227" s="137">
        <v>0.4612072317</v>
      </c>
    </row>
    <row r="228" spans="3:11">
      <c r="C228" s="15">
        <v>41109</v>
      </c>
      <c r="D228" s="137">
        <v>0.94931230209999995</v>
      </c>
      <c r="E228" s="20">
        <f>VLOOKUP(CurrentMtgRatesDataTable825[[#This Row],[asofdate]],J:K,2,0)</f>
        <v>0.90462039660000004</v>
      </c>
      <c r="F228" s="23">
        <f ca="1">VLOOKUP(CurrentMtgRatesDataTable825[[#This Row],[asofdate]]+1,Bloomberg!B:C,2,0)</f>
        <v>5383.1</v>
      </c>
      <c r="I228" s="137"/>
      <c r="J228" s="15">
        <v>35944</v>
      </c>
      <c r="K228" s="137">
        <v>0.65693571129999995</v>
      </c>
    </row>
    <row r="229" spans="3:11">
      <c r="C229" s="15">
        <v>41102</v>
      </c>
      <c r="D229" s="137">
        <v>0.94357465549999997</v>
      </c>
      <c r="E229" s="20">
        <f>VLOOKUP(CurrentMtgRatesDataTable825[[#This Row],[asofdate]],J:K,2,0)</f>
        <v>0.90261395929999999</v>
      </c>
      <c r="F229" s="23">
        <f ca="1">VLOOKUP(CurrentMtgRatesDataTable825[[#This Row],[asofdate]]+1,Bloomberg!B:C,2,0)</f>
        <v>5246.8</v>
      </c>
      <c r="I229" s="137"/>
      <c r="J229" s="15">
        <v>35951</v>
      </c>
      <c r="K229" s="137">
        <v>0.6548694987</v>
      </c>
    </row>
    <row r="230" spans="3:11">
      <c r="C230" s="15">
        <v>41095</v>
      </c>
      <c r="D230" s="137">
        <v>0.92555007190000005</v>
      </c>
      <c r="E230" s="20">
        <f>VLOOKUP(CurrentMtgRatesDataTable825[[#This Row],[asofdate]],J:K,2,0)</f>
        <v>0.87826553819999997</v>
      </c>
      <c r="F230" s="23">
        <f ca="1">VLOOKUP(CurrentMtgRatesDataTable825[[#This Row],[asofdate]]+1,Bloomberg!B:C,2,0)</f>
        <v>4267.8999999999996</v>
      </c>
      <c r="I230" s="137"/>
      <c r="J230" s="15">
        <v>35958</v>
      </c>
      <c r="K230" s="137">
        <v>0.66372847609999996</v>
      </c>
    </row>
    <row r="231" spans="3:11">
      <c r="C231" s="15">
        <v>41088</v>
      </c>
      <c r="D231" s="137">
        <v>0.9311727138</v>
      </c>
      <c r="E231" s="20">
        <f>VLOOKUP(CurrentMtgRatesDataTable825[[#This Row],[asofdate]],J:K,2,0)</f>
        <v>0.87680139130000012</v>
      </c>
      <c r="F231" s="23">
        <f ca="1">VLOOKUP(CurrentMtgRatesDataTable825[[#This Row],[asofdate]]+1,Bloomberg!B:C,2,0)</f>
        <v>4372.2</v>
      </c>
      <c r="I231" s="137"/>
      <c r="J231" s="15">
        <v>35965</v>
      </c>
      <c r="K231" s="137">
        <v>0.73728387829999997</v>
      </c>
    </row>
    <row r="232" spans="3:11">
      <c r="C232" s="15">
        <v>41081</v>
      </c>
      <c r="D232" s="137">
        <v>0.9311727138</v>
      </c>
      <c r="E232" s="20">
        <f>VLOOKUP(CurrentMtgRatesDataTable825[[#This Row],[asofdate]],J:K,2,0)</f>
        <v>0.87680139130000012</v>
      </c>
      <c r="F232" s="23">
        <f ca="1">VLOOKUP(CurrentMtgRatesDataTable825[[#This Row],[asofdate]]+1,Bloomberg!B:C,2,0)</f>
        <v>4585.8</v>
      </c>
      <c r="I232" s="137"/>
      <c r="J232" s="15">
        <v>35972</v>
      </c>
      <c r="K232" s="137">
        <v>0.72507549059999998</v>
      </c>
    </row>
    <row r="233" spans="3:11">
      <c r="C233" s="15">
        <v>41074</v>
      </c>
      <c r="D233" s="137">
        <v>0.9257422542</v>
      </c>
      <c r="E233" s="20">
        <f>VLOOKUP(CurrentMtgRatesDataTable825[[#This Row],[asofdate]],J:K,2,0)</f>
        <v>0.86089525339999995</v>
      </c>
      <c r="F233" s="23">
        <f ca="1">VLOOKUP(CurrentMtgRatesDataTable825[[#This Row],[asofdate]]+1,Bloomberg!B:C,2,0)</f>
        <v>4719.6000000000004</v>
      </c>
      <c r="I233" s="137"/>
      <c r="J233" s="15">
        <v>35979</v>
      </c>
      <c r="K233" s="137">
        <v>0.69656378029999999</v>
      </c>
    </row>
    <row r="234" spans="3:11">
      <c r="C234" s="45">
        <v>41067</v>
      </c>
      <c r="D234" s="138">
        <v>0.93002670949999999</v>
      </c>
      <c r="E234" s="46">
        <f>VLOOKUP(CurrentMtgRatesDataTable825[[#This Row],[asofdate]],J:K,2,0)</f>
        <v>0.87641126130000013</v>
      </c>
      <c r="F234" s="47">
        <f ca="1">VLOOKUP(CurrentMtgRatesDataTable825[[#This Row],[asofdate]]+1,Bloomberg!B:C,2,0)</f>
        <v>5590</v>
      </c>
      <c r="I234" s="137"/>
      <c r="J234" s="15">
        <v>35986</v>
      </c>
      <c r="K234" s="137">
        <v>0.72224721219999999</v>
      </c>
    </row>
    <row r="235" spans="3:11">
      <c r="C235" s="15">
        <v>41060</v>
      </c>
      <c r="D235" s="137">
        <v>0.93017900080000004</v>
      </c>
      <c r="E235" s="20">
        <f>VLOOKUP(CurrentMtgRatesDataTable825[[#This Row],[asofdate]],J:K,2,0)</f>
        <v>0.83983334480000005</v>
      </c>
      <c r="F235" s="23">
        <f ca="1">VLOOKUP(CurrentMtgRatesDataTable825[[#This Row],[asofdate]]+1,Bloomberg!B:C,2,0)</f>
        <v>4736</v>
      </c>
      <c r="I235" s="137"/>
      <c r="J235" s="15">
        <v>35993</v>
      </c>
      <c r="K235" s="137">
        <v>0.7029390378</v>
      </c>
    </row>
    <row r="236" spans="3:11">
      <c r="C236" s="58">
        <v>41053</v>
      </c>
      <c r="D236" s="139">
        <v>0.92576029410000005</v>
      </c>
      <c r="E236" s="59">
        <f>VLOOKUP(CurrentMtgRatesDataTable825[[#This Row],[asofdate]],J:K,2,0)</f>
        <v>0.8368782226</v>
      </c>
      <c r="F236" s="60">
        <f ca="1">VLOOKUP(CurrentMtgRatesDataTable825[[#This Row],[asofdate]]+1,Bloomberg!B:C,2,0)</f>
        <v>4675.8999999999996</v>
      </c>
      <c r="I236" s="137"/>
      <c r="J236" s="15">
        <v>36000</v>
      </c>
      <c r="K236" s="137">
        <v>0.69243114159999997</v>
      </c>
    </row>
    <row r="237" spans="3:11">
      <c r="C237" s="61">
        <v>41046</v>
      </c>
      <c r="D237" s="140">
        <v>0.9281576024</v>
      </c>
      <c r="E237" s="62">
        <f>VLOOKUP(CurrentMtgRatesDataTable825[[#This Row],[asofdate]],J:K,2,0)</f>
        <v>0.83830150820000005</v>
      </c>
      <c r="F237" s="63">
        <f ca="1">VLOOKUP(CurrentMtgRatesDataTable825[[#This Row],[asofdate]]+1,Bloomberg!B:C,2,0)</f>
        <v>4732</v>
      </c>
      <c r="I237" s="137"/>
      <c r="J237" s="15">
        <v>36007</v>
      </c>
      <c r="K237" s="137">
        <v>0.68514554360000002</v>
      </c>
    </row>
    <row r="238" spans="3:11">
      <c r="C238" s="15">
        <v>41039</v>
      </c>
      <c r="D238" s="137">
        <v>0.9223358317</v>
      </c>
      <c r="E238" s="20">
        <f>VLOOKUP(CurrentMtgRatesDataTable825[[#This Row],[asofdate]],J:K,2,0)</f>
        <v>0.81730839639999997</v>
      </c>
      <c r="F238" s="23">
        <f ca="1">VLOOKUP(CurrentMtgRatesDataTable825[[#This Row],[asofdate]]+1,Bloomberg!B:C,2,0)</f>
        <v>4482</v>
      </c>
      <c r="I238" s="137"/>
      <c r="J238" s="15">
        <v>36014</v>
      </c>
      <c r="K238" s="137">
        <v>0.6772285441</v>
      </c>
    </row>
    <row r="239" spans="3:11">
      <c r="C239" s="15">
        <v>41032</v>
      </c>
      <c r="D239" s="137">
        <v>0.91391156110000005</v>
      </c>
      <c r="E239" s="20">
        <f>VLOOKUP(CurrentMtgRatesDataTable825[[#This Row],[asofdate]],J:K,2,0)</f>
        <v>0.81120579599999998</v>
      </c>
      <c r="F239" s="23">
        <f ca="1">VLOOKUP(CurrentMtgRatesDataTable825[[#This Row],[asofdate]]+1,Bloomberg!B:C,2,0)</f>
        <v>3924.4</v>
      </c>
      <c r="I239" s="137"/>
      <c r="J239" s="15">
        <v>36021</v>
      </c>
      <c r="K239" s="137">
        <v>0.69684044150000002</v>
      </c>
    </row>
    <row r="240" spans="3:11">
      <c r="C240" s="15">
        <v>41025</v>
      </c>
      <c r="D240" s="137">
        <v>0.91450049570000003</v>
      </c>
      <c r="E240" s="20">
        <f>VLOOKUP(CurrentMtgRatesDataTable825[[#This Row],[asofdate]],J:K,2,0)</f>
        <v>0.80339735970000004</v>
      </c>
      <c r="F240" s="23">
        <f ca="1">VLOOKUP(CurrentMtgRatesDataTable825[[#This Row],[asofdate]]+1,Bloomberg!B:C,2,0)</f>
        <v>3856</v>
      </c>
      <c r="I240" s="137"/>
      <c r="J240" s="15">
        <v>36028</v>
      </c>
      <c r="K240" s="137">
        <v>0.68688167339999995</v>
      </c>
    </row>
    <row r="241" spans="3:11">
      <c r="C241" s="76">
        <v>41018</v>
      </c>
      <c r="D241" s="141">
        <v>0.88678583040000003</v>
      </c>
      <c r="E241" s="77">
        <f>VLOOKUP(CurrentMtgRatesDataTable825[[#This Row],[asofdate]],J:K,2,0)</f>
        <v>0.7867426193</v>
      </c>
      <c r="F241" s="78">
        <f ca="1">VLOOKUP(CurrentMtgRatesDataTable825[[#This Row],[asofdate]]+1,Bloomberg!B:C,2,0)</f>
        <v>3892.2</v>
      </c>
      <c r="I241" s="137"/>
      <c r="J241" s="15">
        <v>36035</v>
      </c>
      <c r="K241" s="137">
        <v>0.68688167339999995</v>
      </c>
    </row>
    <row r="242" spans="3:11">
      <c r="C242" s="15">
        <v>41011</v>
      </c>
      <c r="D242" s="137">
        <v>0.91450049570000003</v>
      </c>
      <c r="E242" s="20">
        <f>VLOOKUP(CurrentMtgRatesDataTable825[[#This Row],[asofdate]],J:K,2,0)</f>
        <v>0.80339735970000004</v>
      </c>
      <c r="F242" s="23">
        <f ca="1">VLOOKUP(CurrentMtgRatesDataTable825[[#This Row],[asofdate]]+1,Bloomberg!B:C,2,0)</f>
        <v>4144.3</v>
      </c>
      <c r="I242" s="137"/>
      <c r="J242" s="15">
        <v>36042</v>
      </c>
      <c r="K242" s="137">
        <v>0.71683777140000005</v>
      </c>
    </row>
    <row r="243" spans="3:11">
      <c r="C243" s="79">
        <v>41004</v>
      </c>
      <c r="D243" s="142">
        <v>0.86090378059999995</v>
      </c>
      <c r="E243" s="80">
        <f>VLOOKUP(CurrentMtgRatesDataTable825[[#This Row],[asofdate]],J:K,2,0)</f>
        <v>1.7660772999999999E-3</v>
      </c>
      <c r="F243" s="81">
        <f ca="1">VLOOKUP(CurrentMtgRatesDataTable825[[#This Row],[asofdate]]+1,Bloomberg!B:C,2,0)</f>
        <v>3549.3</v>
      </c>
      <c r="I243" s="137"/>
      <c r="J243" s="15">
        <v>36049</v>
      </c>
      <c r="K243" s="137">
        <v>0.74989946600000001</v>
      </c>
    </row>
    <row r="244" spans="3:11">
      <c r="C244" s="79">
        <v>40997</v>
      </c>
      <c r="D244" s="142">
        <v>0.87346071420000015</v>
      </c>
      <c r="E244" s="80">
        <f>VLOOKUP(CurrentMtgRatesDataTable825[[#This Row],[asofdate]],J:K,2,0)</f>
        <v>1.0400513000000001E-3</v>
      </c>
      <c r="F244" s="81">
        <f ca="1">VLOOKUP(CurrentMtgRatesDataTable825[[#This Row],[asofdate]]+1,Bloomberg!B:C,2,0)</f>
        <v>3699.5</v>
      </c>
      <c r="I244" s="137"/>
      <c r="J244" s="15">
        <v>36056</v>
      </c>
      <c r="K244" s="137">
        <v>0.85205619980000002</v>
      </c>
    </row>
    <row r="245" spans="3:11">
      <c r="C245" s="79">
        <v>40990</v>
      </c>
      <c r="D245" s="142">
        <v>0.82287769379999998</v>
      </c>
      <c r="E245" s="80">
        <f>VLOOKUP(CurrentMtgRatesDataTable825[[#This Row],[asofdate]],J:K,2,0)</f>
        <v>4.8803479999999998E-4</v>
      </c>
      <c r="F245" s="81">
        <f ca="1">VLOOKUP(CurrentMtgRatesDataTable825[[#This Row],[asofdate]]+1,Bloomberg!B:C,2,0)</f>
        <v>3588.4</v>
      </c>
      <c r="I245" s="137"/>
      <c r="J245" s="15">
        <v>36063</v>
      </c>
      <c r="K245" s="137">
        <v>0.84859040060000002</v>
      </c>
    </row>
    <row r="246" spans="3:11">
      <c r="C246" s="79">
        <v>40983</v>
      </c>
      <c r="D246" s="142">
        <v>0.89619507860000003</v>
      </c>
      <c r="E246" s="80">
        <f>VLOOKUP(CurrentMtgRatesDataTable825[[#This Row],[asofdate]],J:K,2,0)</f>
        <v>0.79234198489999996</v>
      </c>
      <c r="F246" s="81">
        <f ca="1">VLOOKUP(CurrentMtgRatesDataTable825[[#This Row],[asofdate]]+1,Bloomberg!B:C,2,0)</f>
        <v>3715.2</v>
      </c>
      <c r="I246" s="137"/>
      <c r="J246" s="15">
        <v>36070</v>
      </c>
      <c r="K246" s="137">
        <v>0.86718927030000004</v>
      </c>
    </row>
    <row r="247" spans="3:11">
      <c r="C247" s="79">
        <v>40976</v>
      </c>
      <c r="D247" s="142">
        <v>0.91423594050000001</v>
      </c>
      <c r="E247" s="80">
        <f>VLOOKUP(CurrentMtgRatesDataTable825[[#This Row],[asofdate]],J:K,2,0)</f>
        <v>0.79522232680000005</v>
      </c>
      <c r="F247" s="81">
        <f ca="1">VLOOKUP(CurrentMtgRatesDataTable825[[#This Row],[asofdate]]+1,Bloomberg!B:C,2,0)</f>
        <v>4063.4</v>
      </c>
      <c r="I247" s="137"/>
      <c r="J247" s="15">
        <v>36077</v>
      </c>
      <c r="K247" s="137">
        <v>0.93206735070000002</v>
      </c>
    </row>
    <row r="248" spans="3:11">
      <c r="C248" s="82">
        <v>40969</v>
      </c>
      <c r="D248" s="143">
        <v>0.90460748329999996</v>
      </c>
      <c r="E248" s="83">
        <f>VLOOKUP(CurrentMtgRatesDataTable825[[#This Row],[asofdate]],J:K,2,0)</f>
        <v>0.79401839910000005</v>
      </c>
      <c r="F248" s="84">
        <f ca="1">VLOOKUP(CurrentMtgRatesDataTable825[[#This Row],[asofdate]]+1,Bloomberg!B:C,2,0)</f>
        <v>4277.6000000000004</v>
      </c>
      <c r="I248" s="137"/>
      <c r="J248" s="15">
        <v>36084</v>
      </c>
      <c r="K248" s="137">
        <v>0.68295335140000002</v>
      </c>
    </row>
    <row r="249" spans="3:11">
      <c r="C249" s="85">
        <v>40962</v>
      </c>
      <c r="D249" s="144">
        <v>0.89783619709999996</v>
      </c>
      <c r="E249" s="86">
        <f>VLOOKUP(CurrentMtgRatesDataTable825[[#This Row],[asofdate]],J:K,2,0)</f>
        <v>0.78675289839999996</v>
      </c>
      <c r="F249" s="87">
        <f ca="1">VLOOKUP(CurrentMtgRatesDataTable825[[#This Row],[asofdate]]+1,Bloomberg!B:C,2,0)</f>
        <v>4379.1000000000004</v>
      </c>
      <c r="I249" s="137"/>
      <c r="J249" s="15">
        <v>36091</v>
      </c>
      <c r="K249" s="137">
        <v>0.76760995840000001</v>
      </c>
    </row>
    <row r="250" spans="3:11">
      <c r="C250" s="88">
        <v>40955</v>
      </c>
      <c r="D250" s="145">
        <v>0.93603696439999995</v>
      </c>
      <c r="E250" s="89">
        <f>VLOOKUP(CurrentMtgRatesDataTable825[[#This Row],[asofdate]],J:K,2,0)</f>
        <v>0.81679852819999998</v>
      </c>
      <c r="F250" s="90">
        <f ca="1">VLOOKUP(CurrentMtgRatesDataTable825[[#This Row],[asofdate]]+1,Bloomberg!B:C,2,0)</f>
        <v>4466.8999999999996</v>
      </c>
      <c r="I250" s="137"/>
      <c r="J250" s="15">
        <v>36098</v>
      </c>
      <c r="K250" s="137">
        <v>0.72574380999999999</v>
      </c>
    </row>
    <row r="251" spans="3:11">
      <c r="C251" s="91">
        <v>40948</v>
      </c>
      <c r="D251" s="146">
        <v>0.93603696439999995</v>
      </c>
      <c r="E251" s="92">
        <f>VLOOKUP(CurrentMtgRatesDataTable825[[#This Row],[asofdate]],J:K,2,0)</f>
        <v>0.81679852819999998</v>
      </c>
      <c r="F251" s="93">
        <f ca="1">VLOOKUP(CurrentMtgRatesDataTable825[[#This Row],[asofdate]]+1,Bloomberg!B:C,2,0)</f>
        <v>4716.1000000000004</v>
      </c>
      <c r="I251" s="137"/>
      <c r="J251" s="15">
        <v>36105</v>
      </c>
      <c r="K251" s="137">
        <v>0.66961530170000005</v>
      </c>
    </row>
    <row r="252" spans="3:11">
      <c r="C252" s="91">
        <v>40941</v>
      </c>
      <c r="D252" s="146">
        <v>0.93603696439999995</v>
      </c>
      <c r="E252" s="92">
        <f>VLOOKUP(CurrentMtgRatesDataTable825[[#This Row],[asofdate]],J:K,2,0)</f>
        <v>0.81672062599999995</v>
      </c>
      <c r="F252" s="93">
        <f ca="1">VLOOKUP(CurrentMtgRatesDataTable825[[#This Row],[asofdate]]+1,Bloomberg!B:C,2,0)</f>
        <v>4617.1000000000004</v>
      </c>
      <c r="I252" s="137"/>
      <c r="J252" s="15">
        <v>36112</v>
      </c>
      <c r="K252" s="137">
        <v>0.64741449009999996</v>
      </c>
    </row>
    <row r="253" spans="3:11">
      <c r="C253" s="94">
        <v>40934</v>
      </c>
      <c r="D253" s="147">
        <v>0.90360872039999995</v>
      </c>
      <c r="E253" s="95">
        <f>VLOOKUP(CurrentMtgRatesDataTable825[[#This Row],[asofdate]],J:K,2,0)</f>
        <v>0.79480169020000002</v>
      </c>
      <c r="F253" s="96">
        <f ca="1">VLOOKUP(CurrentMtgRatesDataTable825[[#This Row],[asofdate]]+1,Bloomberg!B:C,2,0)</f>
        <v>4184.3</v>
      </c>
      <c r="I253" s="137"/>
      <c r="J253" s="15">
        <v>36119</v>
      </c>
      <c r="K253" s="137">
        <v>0.68046291270000003</v>
      </c>
    </row>
    <row r="254" spans="3:11">
      <c r="C254" s="94">
        <v>40927</v>
      </c>
      <c r="D254" s="147">
        <v>0.93403008239999996</v>
      </c>
      <c r="E254" s="95">
        <f>VLOOKUP(CurrentMtgRatesDataTable825[[#This Row],[asofdate]],J:K,2,0)</f>
        <v>0.81587214029999999</v>
      </c>
      <c r="F254" s="96">
        <f ca="1">VLOOKUP(CurrentMtgRatesDataTable825[[#This Row],[asofdate]]+1,Bloomberg!B:C,2,0)</f>
        <v>4326.3999999999996</v>
      </c>
      <c r="I254" s="137"/>
      <c r="J254" s="15">
        <v>36126</v>
      </c>
      <c r="K254" s="137">
        <v>0.72913960580000003</v>
      </c>
    </row>
    <row r="255" spans="3:11">
      <c r="C255" s="94">
        <v>40920</v>
      </c>
      <c r="D255" s="147">
        <v>0.94694427430000006</v>
      </c>
      <c r="E255" s="95">
        <f>VLOOKUP(CurrentMtgRatesDataTable825[[#This Row],[asofdate]],J:K,2,0)</f>
        <v>0.82555159239999998</v>
      </c>
      <c r="F255" s="96">
        <f ca="1">VLOOKUP(CurrentMtgRatesDataTable825[[#This Row],[asofdate]]+1,Bloomberg!B:C,2,0)</f>
        <v>4626.5</v>
      </c>
      <c r="I255" s="137"/>
      <c r="J255" s="15">
        <v>36133</v>
      </c>
      <c r="K255" s="137">
        <v>0.75428752769999996</v>
      </c>
    </row>
    <row r="256" spans="3:11">
      <c r="C256" s="94">
        <v>40913</v>
      </c>
      <c r="D256" s="147">
        <v>0.92199370189999996</v>
      </c>
      <c r="E256" s="95">
        <f>VLOOKUP(CurrentMtgRatesDataTable825[[#This Row],[asofdate]],J:K,2,0)</f>
        <v>0.81306843449999999</v>
      </c>
      <c r="F256" s="96">
        <f ca="1">VLOOKUP(CurrentMtgRatesDataTable825[[#This Row],[asofdate]]+1,Bloomberg!B:C,2,0)</f>
        <v>3668.3</v>
      </c>
      <c r="I256" s="137"/>
      <c r="J256" s="15">
        <v>36140</v>
      </c>
      <c r="K256" s="137">
        <v>0.77641110000000002</v>
      </c>
    </row>
    <row r="257" spans="3:11">
      <c r="C257" s="94">
        <v>40906</v>
      </c>
      <c r="D257" s="147">
        <v>0.92714012680000002</v>
      </c>
      <c r="E257" s="95">
        <f>VLOOKUP(CurrentMtgRatesDataTable825[[#This Row],[asofdate]],J:K,2,0)</f>
        <v>0.82759405100000005</v>
      </c>
      <c r="F257" s="96">
        <f ca="1">VLOOKUP(CurrentMtgRatesDataTable825[[#This Row],[asofdate]]+1,Bloomberg!B:C,2,0)</f>
        <v>3608.1</v>
      </c>
      <c r="I257" s="137"/>
      <c r="J257" s="15">
        <v>36147</v>
      </c>
      <c r="K257" s="137">
        <v>0.74398042890000005</v>
      </c>
    </row>
    <row r="258" spans="3:11">
      <c r="C258" s="97">
        <v>40899</v>
      </c>
      <c r="D258" s="148">
        <v>0.94080842779999996</v>
      </c>
      <c r="E258" s="98">
        <f>VLOOKUP(CurrentMtgRatesDataTable825[[#This Row],[asofdate]],J:K,2,0)</f>
        <v>0.830488738</v>
      </c>
      <c r="F258" s="99">
        <f ca="1">VLOOKUP(CurrentMtgRatesDataTable825[[#This Row],[asofdate]]+1,Bloomberg!B:C,2,0)</f>
        <v>3684.5</v>
      </c>
      <c r="I258" s="137"/>
      <c r="J258" s="15">
        <v>36154</v>
      </c>
      <c r="K258" s="137">
        <v>0.69340555169999996</v>
      </c>
    </row>
    <row r="259" spans="3:11">
      <c r="C259" s="100">
        <v>40892</v>
      </c>
      <c r="D259" s="149">
        <v>0.92183011619999999</v>
      </c>
      <c r="E259" s="101">
        <f>VLOOKUP(CurrentMtgRatesDataTable825[[#This Row],[asofdate]],J:K,2,0)</f>
        <v>0.81138436970000005</v>
      </c>
      <c r="F259" s="102">
        <f ca="1">VLOOKUP(CurrentMtgRatesDataTable825[[#This Row],[asofdate]]+1,Bloomberg!B:C,2,0)</f>
        <v>3676.1</v>
      </c>
      <c r="I259" s="137"/>
      <c r="J259" s="15">
        <v>36160</v>
      </c>
      <c r="K259" s="137">
        <v>5.0838903999999999E-3</v>
      </c>
    </row>
    <row r="260" spans="3:11">
      <c r="C260" s="100">
        <v>40885</v>
      </c>
      <c r="D260" s="149">
        <v>0.90637092699999999</v>
      </c>
      <c r="E260" s="101">
        <f>VLOOKUP(CurrentMtgRatesDataTable825[[#This Row],[asofdate]],J:K,2,0)</f>
        <v>0.80660984030000005</v>
      </c>
      <c r="F260" s="102">
        <f ca="1">VLOOKUP(CurrentMtgRatesDataTable825[[#This Row],[asofdate]]+1,Bloomberg!B:C,2,0)</f>
        <v>3708.6</v>
      </c>
      <c r="I260" s="137"/>
      <c r="J260" s="15">
        <v>36168</v>
      </c>
      <c r="K260" s="137">
        <v>0.66269314889999997</v>
      </c>
    </row>
    <row r="261" spans="3:11">
      <c r="C261" s="103">
        <v>40878</v>
      </c>
      <c r="D261" s="150">
        <v>0.90190909860000001</v>
      </c>
      <c r="E261" s="104">
        <f>VLOOKUP(CurrentMtgRatesDataTable825[[#This Row],[asofdate]],J:K,2,0)</f>
        <v>0.80600962949999999</v>
      </c>
      <c r="F261" s="105">
        <f ca="1">VLOOKUP(CurrentMtgRatesDataTable825[[#This Row],[asofdate]]+1,Bloomberg!B:C,2,0)</f>
        <v>3394.7</v>
      </c>
      <c r="I261" s="137"/>
      <c r="J261" s="15">
        <v>36175</v>
      </c>
      <c r="K261" s="137">
        <v>8.8816098000000007E-3</v>
      </c>
    </row>
    <row r="262" spans="3:11">
      <c r="C262" s="15">
        <v>40870</v>
      </c>
      <c r="D262" s="137">
        <v>0.92150528340000004</v>
      </c>
      <c r="E262" s="20">
        <f>VLOOKUP(CurrentMtgRatesDataTable825[[#This Row],[asofdate]],J:K,2,0)</f>
        <v>0.82428877489999997</v>
      </c>
      <c r="F262" s="23" t="e">
        <f ca="1">VLOOKUP(CurrentMtgRatesDataTable825[[#This Row],[asofdate]]+1,Bloomberg!B:C,2,0)</f>
        <v>#N/A</v>
      </c>
      <c r="I262" s="137"/>
      <c r="J262" s="15">
        <v>36182</v>
      </c>
      <c r="K262" s="137">
        <v>0.66626501039999997</v>
      </c>
    </row>
    <row r="263" spans="3:11">
      <c r="C263" s="15">
        <v>40864</v>
      </c>
      <c r="D263" s="137">
        <v>0.9118126714</v>
      </c>
      <c r="E263" s="20">
        <f>VLOOKUP(CurrentMtgRatesDataTable825[[#This Row],[asofdate]],J:K,2,0)</f>
        <v>0.82076592839999996</v>
      </c>
      <c r="F263" s="23">
        <f ca="1">VLOOKUP(CurrentMtgRatesDataTable825[[#This Row],[asofdate]]+1,Bloomberg!B:C,2,0)</f>
        <v>3466.8</v>
      </c>
      <c r="I263" s="137"/>
      <c r="J263" s="15">
        <v>36189</v>
      </c>
      <c r="K263" s="137">
        <v>0.68698741129999996</v>
      </c>
    </row>
    <row r="264" spans="3:11">
      <c r="C264" s="106">
        <v>40857</v>
      </c>
      <c r="D264" s="151">
        <v>0.91600406219999997</v>
      </c>
      <c r="E264" s="107">
        <f>VLOOKUP(CurrentMtgRatesDataTable825[[#This Row],[asofdate]],J:K,2,0)</f>
        <v>0.82124413969999999</v>
      </c>
      <c r="F264" s="108">
        <f ca="1">VLOOKUP(CurrentMtgRatesDataTable825[[#This Row],[asofdate]]+1,Bloomberg!B:C,2,0)</f>
        <v>3664.5</v>
      </c>
      <c r="I264" s="137"/>
      <c r="J264" s="15">
        <v>36196</v>
      </c>
      <c r="K264" s="137">
        <v>0.6375088095</v>
      </c>
    </row>
    <row r="265" spans="3:11">
      <c r="C265" s="106">
        <v>40850</v>
      </c>
      <c r="D265" s="151">
        <v>0.9118126714</v>
      </c>
      <c r="E265" s="107">
        <f>VLOOKUP(CurrentMtgRatesDataTable825[[#This Row],[asofdate]],J:K,2,0)</f>
        <v>0.82057806970000002</v>
      </c>
      <c r="F265" s="108">
        <f ca="1">VLOOKUP(CurrentMtgRatesDataTable825[[#This Row],[asofdate]]+1,Bloomberg!B:C,2,0)</f>
        <v>4137.6000000000004</v>
      </c>
      <c r="I265" s="137"/>
      <c r="J265" s="15">
        <v>36203</v>
      </c>
      <c r="K265" s="137">
        <v>1.5074087200000001E-2</v>
      </c>
    </row>
    <row r="266" spans="3:11">
      <c r="C266" s="109">
        <v>40843</v>
      </c>
      <c r="D266" s="115">
        <v>0.87336853640000012</v>
      </c>
      <c r="E266" s="110">
        <f>VLOOKUP(CurrentMtgRatesDataTable825[[#This Row],[asofdate]],J:K,2,0)</f>
        <v>0.79036593970000002</v>
      </c>
      <c r="F266" s="111">
        <f ca="1">VLOOKUP(CurrentMtgRatesDataTable825[[#This Row],[asofdate]]+1,Bloomberg!B:C,2,0)</f>
        <v>3695</v>
      </c>
      <c r="I266" s="137"/>
      <c r="J266" s="15">
        <v>36210</v>
      </c>
      <c r="K266" s="137">
        <v>6.9875223999999996E-3</v>
      </c>
    </row>
    <row r="267" spans="3:11">
      <c r="C267" s="15">
        <v>40836</v>
      </c>
      <c r="D267" s="137">
        <v>0.87116842570000008</v>
      </c>
      <c r="E267" s="20">
        <f>VLOOKUP(CurrentMtgRatesDataTable825[[#This Row],[asofdate]],J:K,2,0)</f>
        <v>0.79023149569999995</v>
      </c>
      <c r="F267" s="23">
        <f ca="1">VLOOKUP(CurrentMtgRatesDataTable825[[#This Row],[asofdate]]+1,Bloomberg!B:C,2,0)</f>
        <v>3719.3</v>
      </c>
      <c r="I267" s="137"/>
      <c r="J267" s="15">
        <v>36217</v>
      </c>
      <c r="K267" s="137">
        <v>2.5667490000000001E-3</v>
      </c>
    </row>
    <row r="268" spans="3:11">
      <c r="C268" s="112">
        <v>40829</v>
      </c>
      <c r="D268" s="152">
        <v>0.86920384979999998</v>
      </c>
      <c r="E268" s="113">
        <f>VLOOKUP(CurrentMtgRatesDataTable825[[#This Row],[asofdate]],J:K,2,0)</f>
        <v>0.77494347910000005</v>
      </c>
      <c r="F268" s="114">
        <f ca="1">VLOOKUP(CurrentMtgRatesDataTable825[[#This Row],[asofdate]]+1,Bloomberg!B:C,2,0)</f>
        <v>3553.2</v>
      </c>
      <c r="I268" s="137"/>
      <c r="J268" s="15">
        <v>36224</v>
      </c>
      <c r="K268" s="137">
        <v>1.9715786000000001E-3</v>
      </c>
    </row>
    <row r="269" spans="3:11">
      <c r="C269" s="116">
        <v>40822</v>
      </c>
      <c r="D269" s="153">
        <v>0.93408887910000005</v>
      </c>
      <c r="E269" s="117">
        <f>VLOOKUP(CurrentMtgRatesDataTable825[[#This Row],[asofdate]],J:K,2,0)</f>
        <v>0.83641698470000003</v>
      </c>
      <c r="F269" s="118">
        <f ca="1">VLOOKUP(CurrentMtgRatesDataTable825[[#This Row],[asofdate]]+1,Bloomberg!B:C,2,0)</f>
        <v>4251.1000000000004</v>
      </c>
      <c r="I269" s="137"/>
      <c r="J269" s="15">
        <v>36231</v>
      </c>
      <c r="K269" s="137">
        <v>1.9715786000000001E-3</v>
      </c>
    </row>
    <row r="270" spans="3:11">
      <c r="C270" s="119">
        <v>40815</v>
      </c>
      <c r="D270" s="154">
        <v>0.91462717179999997</v>
      </c>
      <c r="E270" s="120">
        <f>VLOOKUP(CurrentMtgRatesDataTable825[[#This Row],[asofdate]],J:K,2,0)</f>
        <v>0.83290245399999996</v>
      </c>
      <c r="F270" s="121">
        <f ca="1">VLOOKUP(CurrentMtgRatesDataTable825[[#This Row],[asofdate]]+1,Bloomberg!B:C,2,0)</f>
        <v>4241.8</v>
      </c>
      <c r="I270" s="137"/>
      <c r="J270" s="15">
        <v>36238</v>
      </c>
      <c r="K270" s="137">
        <v>3.0958474999999998E-3</v>
      </c>
    </row>
    <row r="271" spans="3:11">
      <c r="C271" s="122">
        <v>40808</v>
      </c>
      <c r="D271" s="155">
        <v>0.88675076370000006</v>
      </c>
      <c r="E271" s="123">
        <f>VLOOKUP(CurrentMtgRatesDataTable825[[#This Row],[asofdate]],J:K,2,0)</f>
        <v>0.79840746299999998</v>
      </c>
      <c r="F271" s="124">
        <f ca="1">VLOOKUP(CurrentMtgRatesDataTable825[[#This Row],[asofdate]]+1,Bloomberg!B:C,2,0)</f>
        <v>4512.1000000000004</v>
      </c>
      <c r="I271" s="137"/>
      <c r="J271" s="15">
        <v>36245</v>
      </c>
      <c r="K271" s="137">
        <v>3.7201345000000001E-3</v>
      </c>
    </row>
    <row r="272" spans="3:11">
      <c r="C272" s="122">
        <v>40801</v>
      </c>
      <c r="D272" s="155">
        <v>0.88675076370000006</v>
      </c>
      <c r="E272" s="123">
        <f>VLOOKUP(CurrentMtgRatesDataTable825[[#This Row],[asofdate]],J:K,2,0)</f>
        <v>0.79840746299999998</v>
      </c>
      <c r="F272" s="124">
        <f ca="1">VLOOKUP(CurrentMtgRatesDataTable825[[#This Row],[asofdate]]+1,Bloomberg!B:C,2,0)</f>
        <v>4033.8</v>
      </c>
      <c r="I272" s="137"/>
      <c r="J272" s="15">
        <v>36252</v>
      </c>
      <c r="K272" s="137">
        <v>5.4882116E-3</v>
      </c>
    </row>
    <row r="273" spans="3:11">
      <c r="C273" s="122">
        <v>40794</v>
      </c>
      <c r="D273" s="155">
        <v>0.87807825780000015</v>
      </c>
      <c r="E273" s="123">
        <f>VLOOKUP(CurrentMtgRatesDataTable825[[#This Row],[asofdate]],J:K,2,0)</f>
        <v>0.79336326020000003</v>
      </c>
      <c r="F273" s="124">
        <f ca="1">VLOOKUP(CurrentMtgRatesDataTable825[[#This Row],[asofdate]]+1,Bloomberg!B:C,2,0)</f>
        <v>3571.7</v>
      </c>
      <c r="I273" s="137"/>
      <c r="J273" s="15">
        <v>36259</v>
      </c>
      <c r="K273" s="137">
        <v>5.7535201000000003E-3</v>
      </c>
    </row>
    <row r="274" spans="3:11">
      <c r="C274" s="122">
        <v>40787</v>
      </c>
      <c r="D274" s="155">
        <v>0.85485404639999996</v>
      </c>
      <c r="E274" s="123">
        <f>VLOOKUP(CurrentMtgRatesDataTable825[[#This Row],[asofdate]],J:K,2,0)</f>
        <v>0.74648771319999996</v>
      </c>
      <c r="F274" s="124">
        <f ca="1">VLOOKUP(CurrentMtgRatesDataTable825[[#This Row],[asofdate]]+1,Bloomberg!B:C,2,0)</f>
        <v>3372</v>
      </c>
      <c r="I274" s="137"/>
      <c r="J274" s="15">
        <v>36266</v>
      </c>
      <c r="K274" s="137">
        <v>8.9559036000000005E-3</v>
      </c>
    </row>
    <row r="275" spans="3:11">
      <c r="C275" s="122">
        <v>40780</v>
      </c>
      <c r="D275" s="155">
        <v>0.8550708561</v>
      </c>
      <c r="E275" s="123">
        <f>VLOOKUP(CurrentMtgRatesDataTable825[[#This Row],[asofdate]],J:K,2,0)</f>
        <v>0.74829940930000005</v>
      </c>
      <c r="F275" s="124">
        <f ca="1">VLOOKUP(CurrentMtgRatesDataTable825[[#This Row],[asofdate]]+1,Bloomberg!B:C,2,0)</f>
        <v>3601.3</v>
      </c>
      <c r="I275" s="137"/>
      <c r="J275" s="15">
        <v>36273</v>
      </c>
      <c r="K275" s="137">
        <v>6.1280750000000002E-3</v>
      </c>
    </row>
    <row r="276" spans="3:11">
      <c r="C276" s="122">
        <v>40773</v>
      </c>
      <c r="D276" s="155">
        <v>0.87116807839999999</v>
      </c>
      <c r="E276" s="123">
        <f>VLOOKUP(CurrentMtgRatesDataTable825[[#This Row],[asofdate]],J:K,2,0)</f>
        <v>0.77916685399999996</v>
      </c>
      <c r="F276" s="124">
        <f ca="1">VLOOKUP(CurrentMtgRatesDataTable825[[#This Row],[asofdate]]+1,Bloomberg!B:C,2,0)</f>
        <v>4110.8</v>
      </c>
      <c r="I276" s="137"/>
      <c r="J276" s="15">
        <v>36280</v>
      </c>
      <c r="K276" s="137">
        <v>5.6716079999999999E-3</v>
      </c>
    </row>
    <row r="277" spans="3:11">
      <c r="C277" s="125">
        <v>40766</v>
      </c>
      <c r="D277" s="156">
        <v>0.81358477029999998</v>
      </c>
      <c r="E277" s="126">
        <f>VLOOKUP(CurrentMtgRatesDataTable825[[#This Row],[asofdate]],J:K,2,0)</f>
        <v>0.71224306630000001</v>
      </c>
      <c r="F277" s="127">
        <f ca="1">VLOOKUP(CurrentMtgRatesDataTable825[[#This Row],[asofdate]]+1,Bloomberg!B:C,2,0)</f>
        <v>4184.3999999999996</v>
      </c>
      <c r="I277" s="137"/>
      <c r="J277" s="15">
        <v>36287</v>
      </c>
      <c r="K277" s="137">
        <v>5.0985735000000001E-3</v>
      </c>
    </row>
    <row r="278" spans="3:11">
      <c r="C278" s="125">
        <v>40759</v>
      </c>
      <c r="D278" s="156">
        <v>0.70925319720000002</v>
      </c>
      <c r="E278" s="126">
        <f>VLOOKUP(CurrentMtgRatesDataTable825[[#This Row],[asofdate]],J:K,2,0)</f>
        <v>0.6369486822</v>
      </c>
      <c r="F278" s="127">
        <f ca="1">VLOOKUP(CurrentMtgRatesDataTable825[[#This Row],[asofdate]]+1,Bloomberg!B:C,2,0)</f>
        <v>3880.9</v>
      </c>
      <c r="I278" s="137"/>
      <c r="J278" s="15">
        <v>36294</v>
      </c>
      <c r="K278" s="137">
        <v>3.0686356999999999E-3</v>
      </c>
    </row>
    <row r="279" spans="3:11">
      <c r="C279" s="125">
        <v>40752</v>
      </c>
      <c r="D279" s="156">
        <v>0.57395904259999997</v>
      </c>
      <c r="E279" s="126">
        <f>VLOOKUP(CurrentMtgRatesDataTable825[[#This Row],[asofdate]],J:K,2,0)</f>
        <v>5.0448213999999998E-3</v>
      </c>
      <c r="F279" s="127">
        <f ca="1">VLOOKUP(CurrentMtgRatesDataTable825[[#This Row],[asofdate]]+1,Bloomberg!B:C,2,0)</f>
        <v>2974.1</v>
      </c>
      <c r="I279" s="137"/>
      <c r="J279" s="15">
        <v>36301</v>
      </c>
      <c r="K279" s="137">
        <v>2.6287073000000002E-3</v>
      </c>
    </row>
    <row r="280" spans="3:11">
      <c r="C280" s="125">
        <v>40745</v>
      </c>
      <c r="D280" s="156">
        <v>0.59331865890000002</v>
      </c>
      <c r="E280" s="126">
        <f>VLOOKUP(CurrentMtgRatesDataTable825[[#This Row],[asofdate]],J:K,2,0)</f>
        <v>5.2483534999999996E-3</v>
      </c>
      <c r="F280" s="127">
        <f ca="1">VLOOKUP(CurrentMtgRatesDataTable825[[#This Row],[asofdate]]+1,Bloomberg!B:C,2,0)</f>
        <v>2769.6</v>
      </c>
      <c r="I280" s="137"/>
      <c r="J280" s="15">
        <v>36308</v>
      </c>
      <c r="K280" s="137">
        <v>2.6287073000000002E-3</v>
      </c>
    </row>
    <row r="281" spans="3:11">
      <c r="C281" s="128">
        <v>40738</v>
      </c>
      <c r="D281" s="157">
        <v>0.5990050468</v>
      </c>
      <c r="E281" s="129">
        <f>VLOOKUP(CurrentMtgRatesDataTable825[[#This Row],[asofdate]],J:K,2,0)</f>
        <v>7.4002171000000002E-3</v>
      </c>
      <c r="F281" s="130">
        <f ca="1">VLOOKUP(CurrentMtgRatesDataTable825[[#This Row],[asofdate]]+1,Bloomberg!B:C,2,0)</f>
        <v>2923.8</v>
      </c>
      <c r="I281" s="137"/>
      <c r="J281" s="15">
        <v>36315</v>
      </c>
      <c r="K281" s="137">
        <v>9.869694E-4</v>
      </c>
    </row>
    <row r="282" spans="3:11">
      <c r="C282" s="128">
        <v>40731</v>
      </c>
      <c r="D282" s="157">
        <v>0.56769820100000001</v>
      </c>
      <c r="E282" s="129">
        <f>VLOOKUP(CurrentMtgRatesDataTable825[[#This Row],[asofdate]],J:K,2,0)</f>
        <v>3.8639739E-3</v>
      </c>
      <c r="F282" s="130">
        <f ca="1">VLOOKUP(CurrentMtgRatesDataTable825[[#This Row],[asofdate]]+1,Bloomberg!B:C,2,0)</f>
        <v>2362.6999999999998</v>
      </c>
      <c r="I282" s="137"/>
      <c r="J282" s="15">
        <v>36322</v>
      </c>
      <c r="K282" s="137">
        <v>7.8638359999999997E-4</v>
      </c>
    </row>
    <row r="283" spans="3:11">
      <c r="C283" s="128">
        <v>40724</v>
      </c>
      <c r="D283" s="157">
        <v>0.60115341759999996</v>
      </c>
      <c r="E283" s="129">
        <f>VLOOKUP(CurrentMtgRatesDataTable825[[#This Row],[asofdate]],J:K,2,0)</f>
        <v>5.4026478000000003E-3</v>
      </c>
      <c r="F283" s="130">
        <f ca="1">VLOOKUP(CurrentMtgRatesDataTable825[[#This Row],[asofdate]]+1,Bloomberg!B:C,2,0)</f>
        <v>2527.5</v>
      </c>
      <c r="I283" s="137"/>
      <c r="J283" s="15">
        <v>36329</v>
      </c>
      <c r="K283" s="137">
        <v>5.5478750000000001E-4</v>
      </c>
    </row>
    <row r="284" spans="3:11">
      <c r="C284" s="128">
        <v>40717</v>
      </c>
      <c r="D284" s="157">
        <v>0.59310645480000002</v>
      </c>
      <c r="E284" s="129">
        <f>VLOOKUP(CurrentMtgRatesDataTable825[[#This Row],[asofdate]],J:K,2,0)</f>
        <v>4.2508548000000004E-3</v>
      </c>
      <c r="F284" s="130">
        <f ca="1">VLOOKUP(CurrentMtgRatesDataTable825[[#This Row],[asofdate]]+1,Bloomberg!B:C,2,0)</f>
        <v>2809.5</v>
      </c>
      <c r="I284" s="137"/>
      <c r="J284" s="15">
        <v>36336</v>
      </c>
      <c r="K284" s="137">
        <v>5.6192380000000004E-4</v>
      </c>
    </row>
    <row r="285" spans="3:11">
      <c r="C285" s="131">
        <v>40710</v>
      </c>
      <c r="D285" s="158">
        <v>0.60999447849999999</v>
      </c>
      <c r="E285" s="132">
        <f>VLOOKUP(CurrentMtgRatesDataTable825[[#This Row],[asofdate]],J:K,2,0)</f>
        <v>5.4689739000000001E-3</v>
      </c>
      <c r="F285" s="133">
        <f ca="1">VLOOKUP(CurrentMtgRatesDataTable825[[#This Row],[asofdate]]+1,Bloomberg!B:C,2,0)</f>
        <v>2857.9</v>
      </c>
      <c r="I285" s="137"/>
      <c r="J285" s="15">
        <v>36343</v>
      </c>
      <c r="K285" s="137">
        <v>2.900782E-4</v>
      </c>
    </row>
    <row r="286" spans="3:11">
      <c r="C286" s="131">
        <v>40703</v>
      </c>
      <c r="D286" s="158">
        <v>0.62022243639999997</v>
      </c>
      <c r="E286" s="132">
        <f>VLOOKUP(CurrentMtgRatesDataTable825[[#This Row],[asofdate]],J:K,2,0)</f>
        <v>5.4808193000000002E-3</v>
      </c>
      <c r="F286" s="133">
        <f ca="1">VLOOKUP(CurrentMtgRatesDataTable825[[#This Row],[asofdate]]+1,Bloomberg!B:C,2,0)</f>
        <v>3101.7</v>
      </c>
      <c r="I286" s="137"/>
      <c r="J286" s="15">
        <v>36350</v>
      </c>
      <c r="K286" s="137">
        <v>3.5545719999999995E-4</v>
      </c>
    </row>
    <row r="287" spans="3:11">
      <c r="C287" s="134">
        <v>40696</v>
      </c>
      <c r="D287" s="159">
        <v>0.59310645480000002</v>
      </c>
      <c r="E287" s="135">
        <f>VLOOKUP(CurrentMtgRatesDataTable825[[#This Row],[asofdate]],J:K,2,0)</f>
        <v>4.2099418999999999E-3</v>
      </c>
      <c r="F287" s="136">
        <f ca="1">VLOOKUP(CurrentMtgRatesDataTable825[[#This Row],[asofdate]]+1,Bloomberg!B:C,2,0)</f>
        <v>2648</v>
      </c>
      <c r="I287" s="137"/>
      <c r="J287" s="15">
        <v>36357</v>
      </c>
      <c r="K287" s="137">
        <v>1.0997392E-3</v>
      </c>
    </row>
    <row r="288" spans="3:11">
      <c r="C288" s="134">
        <v>40689</v>
      </c>
      <c r="D288" s="159">
        <v>0.57348259489999998</v>
      </c>
      <c r="E288" s="135">
        <f>VLOOKUP(CurrentMtgRatesDataTable825[[#This Row],[asofdate]],J:K,2,0)</f>
        <v>1.7436814999999999E-3</v>
      </c>
      <c r="F288" s="136">
        <f ca="1">VLOOKUP(CurrentMtgRatesDataTable825[[#This Row],[asofdate]]+1,Bloomberg!B:C,2,0)</f>
        <v>2619.6999999999998</v>
      </c>
      <c r="I288" s="137"/>
      <c r="J288" s="15">
        <v>36364</v>
      </c>
      <c r="K288" s="137">
        <v>1.2135010000000001E-3</v>
      </c>
    </row>
    <row r="289" spans="3:11">
      <c r="C289" s="15">
        <v>40682</v>
      </c>
      <c r="D289" s="137">
        <v>0.5705515565</v>
      </c>
      <c r="E289" s="20">
        <f>VLOOKUP(CurrentMtgRatesDataTable825[[#This Row],[asofdate]],J:K,2,0)</f>
        <v>1.7274497000000001E-3</v>
      </c>
      <c r="F289" s="23">
        <f ca="1">VLOOKUP(CurrentMtgRatesDataTable825[[#This Row],[asofdate]]+1,Bloomberg!B:C,2,0)</f>
        <v>2764.6</v>
      </c>
      <c r="I289" s="137"/>
      <c r="J289" s="15">
        <v>36371</v>
      </c>
      <c r="K289" s="137">
        <v>2.9887289999999998E-4</v>
      </c>
    </row>
    <row r="290" spans="3:11">
      <c r="C290" s="15">
        <v>40675</v>
      </c>
      <c r="D290" s="137">
        <v>0.56672128300000002</v>
      </c>
      <c r="E290" s="20">
        <f>VLOOKUP(CurrentMtgRatesDataTable825[[#This Row],[asofdate]],J:K,2,0)</f>
        <v>1.7191680999999999E-3</v>
      </c>
      <c r="F290" s="23">
        <f ca="1">VLOOKUP(CurrentMtgRatesDataTable825[[#This Row],[asofdate]]+1,Bloomberg!B:C,2,0)</f>
        <v>2742.2</v>
      </c>
      <c r="I290" s="137"/>
      <c r="J290" s="15">
        <v>36378</v>
      </c>
      <c r="K290" s="137">
        <v>9.2482E-5</v>
      </c>
    </row>
    <row r="291" spans="3:11">
      <c r="C291" s="15">
        <v>40668</v>
      </c>
      <c r="D291" s="137">
        <v>0.55010519989999995</v>
      </c>
      <c r="E291" s="20">
        <f>VLOOKUP(CurrentMtgRatesDataTable825[[#This Row],[asofdate]],J:K,2,0)</f>
        <v>8.1981839999999996E-4</v>
      </c>
      <c r="F291" s="23">
        <f ca="1">VLOOKUP(CurrentMtgRatesDataTable825[[#This Row],[asofdate]]+1,Bloomberg!B:C,2,0)</f>
        <v>2414.9</v>
      </c>
      <c r="I291" s="137"/>
      <c r="J291" s="15">
        <v>36385</v>
      </c>
      <c r="K291" s="137">
        <v>7.1527300000000002E-5</v>
      </c>
    </row>
    <row r="292" spans="3:11">
      <c r="C292" s="15">
        <v>40661</v>
      </c>
      <c r="D292" s="137">
        <v>0.53473553439999999</v>
      </c>
      <c r="E292" s="20">
        <f>VLOOKUP(CurrentMtgRatesDataTable825[[#This Row],[asofdate]],J:K,2,0)</f>
        <v>2.459594E-4</v>
      </c>
      <c r="F292" s="23">
        <f ca="1">VLOOKUP(CurrentMtgRatesDataTable825[[#This Row],[asofdate]]+1,Bloomberg!B:C,2,0)</f>
        <v>2220.1</v>
      </c>
      <c r="I292" s="137"/>
      <c r="J292" s="15">
        <v>36392</v>
      </c>
      <c r="K292" s="137">
        <v>9.2482E-5</v>
      </c>
    </row>
    <row r="293" spans="3:11">
      <c r="C293" s="15">
        <v>40654</v>
      </c>
      <c r="D293" s="137">
        <v>0.52727126680000003</v>
      </c>
      <c r="E293" s="20">
        <f>VLOOKUP(CurrentMtgRatesDataTable825[[#This Row],[asofdate]],J:K,2,0)</f>
        <v>2.441136E-4</v>
      </c>
      <c r="F293" s="23">
        <f ca="1">VLOOKUP(CurrentMtgRatesDataTable825[[#This Row],[asofdate]]+1,Bloomberg!B:C,2,0)</f>
        <v>2091.4</v>
      </c>
      <c r="I293" s="137"/>
      <c r="J293" s="15">
        <v>36399</v>
      </c>
      <c r="K293" s="137">
        <v>2.7801189999999997E-4</v>
      </c>
    </row>
    <row r="294" spans="3:11">
      <c r="C294" s="15">
        <v>40647</v>
      </c>
      <c r="D294" s="137">
        <v>0.49577828569999999</v>
      </c>
      <c r="E294" s="20">
        <f>VLOOKUP(CurrentMtgRatesDataTable825[[#This Row],[asofdate]],J:K,2,0)</f>
        <v>7.0255399999999998E-5</v>
      </c>
      <c r="F294" s="23">
        <f ca="1">VLOOKUP(CurrentMtgRatesDataTable825[[#This Row],[asofdate]]+1,Bloomberg!B:C,2,0)</f>
        <v>2065.3000000000002</v>
      </c>
      <c r="I294" s="137"/>
      <c r="J294" s="15">
        <v>36406</v>
      </c>
      <c r="K294" s="137">
        <v>6.5819619999999985E-4</v>
      </c>
    </row>
    <row r="295" spans="3:11">
      <c r="C295" s="15">
        <v>40640</v>
      </c>
      <c r="D295" s="137">
        <v>0.50344599359999997</v>
      </c>
      <c r="E295" s="20">
        <f>VLOOKUP(CurrentMtgRatesDataTable825[[#This Row],[asofdate]],J:K,2,0)</f>
        <v>6.8381599999999996E-5</v>
      </c>
      <c r="F295" s="23">
        <f ca="1">VLOOKUP(CurrentMtgRatesDataTable825[[#This Row],[asofdate]]+1,Bloomberg!B:C,2,0)</f>
        <v>2010.6</v>
      </c>
      <c r="I295" s="137"/>
      <c r="J295" s="15">
        <v>36413</v>
      </c>
      <c r="K295" s="137">
        <v>5.0926059999999997E-4</v>
      </c>
    </row>
    <row r="296" spans="3:11">
      <c r="C296" s="15">
        <v>40633</v>
      </c>
      <c r="D296" s="137">
        <v>0.52375787650000005</v>
      </c>
      <c r="E296" s="20">
        <f>VLOOKUP(CurrentMtgRatesDataTable825[[#This Row],[asofdate]],J:K,2,0)</f>
        <v>6.8061700000000006E-5</v>
      </c>
      <c r="F296" s="23">
        <f ca="1">VLOOKUP(CurrentMtgRatesDataTable825[[#This Row],[asofdate]]+1,Bloomberg!B:C,2,0)</f>
        <v>2194.4</v>
      </c>
      <c r="I296" s="137"/>
      <c r="J296" s="15">
        <v>36420</v>
      </c>
      <c r="K296" s="137">
        <v>6.4153810000000002E-4</v>
      </c>
    </row>
    <row r="297" spans="3:11">
      <c r="C297" s="15">
        <v>40626</v>
      </c>
      <c r="D297" s="137">
        <v>0.53978755850000004</v>
      </c>
      <c r="E297" s="20">
        <f>VLOOKUP(CurrentMtgRatesDataTable825[[#This Row],[asofdate]],J:K,2,0)</f>
        <v>1.752143E-4</v>
      </c>
      <c r="F297" s="23">
        <f ca="1">VLOOKUP(CurrentMtgRatesDataTable825[[#This Row],[asofdate]]+1,Bloomberg!B:C,2,0)</f>
        <v>2350.6999999999998</v>
      </c>
      <c r="I297" s="137"/>
      <c r="J297" s="15">
        <v>36427</v>
      </c>
      <c r="K297" s="137">
        <v>9.8951820000000006E-4</v>
      </c>
    </row>
    <row r="298" spans="3:11">
      <c r="C298" s="15">
        <v>40619</v>
      </c>
      <c r="D298" s="137">
        <v>0.56208097560000003</v>
      </c>
      <c r="E298" s="20">
        <f>VLOOKUP(CurrentMtgRatesDataTable825[[#This Row],[asofdate]],J:K,2,0)</f>
        <v>4.507925E-4</v>
      </c>
      <c r="F298" s="23">
        <f ca="1">VLOOKUP(CurrentMtgRatesDataTable825[[#This Row],[asofdate]]+1,Bloomberg!B:C,2,0)</f>
        <v>2620.8000000000002</v>
      </c>
      <c r="I298" s="137"/>
      <c r="J298" s="15">
        <v>36434</v>
      </c>
      <c r="K298" s="137">
        <v>2.7278628E-3</v>
      </c>
    </row>
    <row r="299" spans="3:11">
      <c r="C299" s="15">
        <v>40612</v>
      </c>
      <c r="D299" s="137">
        <v>0.5148197189</v>
      </c>
      <c r="E299" s="20">
        <f>VLOOKUP(CurrentMtgRatesDataTable825[[#This Row],[asofdate]],J:K,2,0)</f>
        <v>6.7790400000000001E-5</v>
      </c>
      <c r="F299" s="23">
        <f ca="1">VLOOKUP(CurrentMtgRatesDataTable825[[#This Row],[asofdate]]+1,Bloomberg!B:C,2,0)</f>
        <v>2563.6</v>
      </c>
      <c r="I299" s="137"/>
      <c r="J299" s="15">
        <v>36441</v>
      </c>
      <c r="K299" s="137">
        <v>1.4420155E-3</v>
      </c>
    </row>
    <row r="300" spans="3:11">
      <c r="C300" s="15">
        <v>40605</v>
      </c>
      <c r="D300" s="137">
        <v>0.51942399480000001</v>
      </c>
      <c r="E300" s="20">
        <f>VLOOKUP(CurrentMtgRatesDataTable825[[#This Row],[asofdate]],J:K,2,0)</f>
        <v>6.8061700000000006E-5</v>
      </c>
      <c r="F300" s="23">
        <f ca="1">VLOOKUP(CurrentMtgRatesDataTable825[[#This Row],[asofdate]]+1,Bloomberg!B:C,2,0)</f>
        <v>2539.4</v>
      </c>
      <c r="I300" s="137"/>
      <c r="J300" s="15">
        <v>36448</v>
      </c>
      <c r="K300" s="137">
        <v>1.392482E-3</v>
      </c>
    </row>
    <row r="301" spans="3:11">
      <c r="C301" s="15">
        <v>40598</v>
      </c>
      <c r="D301" s="137">
        <v>0.508720438</v>
      </c>
      <c r="E301" s="20">
        <f>VLOOKUP(CurrentMtgRatesDataTable825[[#This Row],[asofdate]],J:K,2,0)</f>
        <v>3.87933E-5</v>
      </c>
      <c r="F301" s="23">
        <f ca="1">VLOOKUP(CurrentMtgRatesDataTable825[[#This Row],[asofdate]]+1,Bloomberg!B:C,2,0)</f>
        <v>2155.5</v>
      </c>
      <c r="I301" s="137"/>
      <c r="J301" s="15">
        <v>36455</v>
      </c>
      <c r="K301" s="137">
        <v>8.3795699999999996E-4</v>
      </c>
    </row>
    <row r="302" spans="3:11">
      <c r="C302" s="15">
        <v>40591</v>
      </c>
      <c r="D302" s="137">
        <v>0.47639406890000002</v>
      </c>
      <c r="E302" s="20">
        <f>VLOOKUP(CurrentMtgRatesDataTable825[[#This Row],[asofdate]],J:K,2,0)</f>
        <v>2.3976100000000002E-5</v>
      </c>
      <c r="F302" s="23">
        <f ca="1">VLOOKUP(CurrentMtgRatesDataTable825[[#This Row],[asofdate]]+1,Bloomberg!B:C,2,0)</f>
        <v>2325.3000000000002</v>
      </c>
      <c r="I302" s="137"/>
      <c r="J302" s="15">
        <v>36462</v>
      </c>
      <c r="K302" s="137">
        <v>8.1677370000000004E-4</v>
      </c>
    </row>
    <row r="303" spans="3:11">
      <c r="C303" s="15">
        <v>40584</v>
      </c>
      <c r="D303" s="137">
        <v>0.45403412139999999</v>
      </c>
      <c r="E303" s="20">
        <f>VLOOKUP(CurrentMtgRatesDataTable825[[#This Row],[asofdate]],J:K,2,0)</f>
        <v>1.7607900000000001E-5</v>
      </c>
      <c r="F303" s="23">
        <f ca="1">VLOOKUP(CurrentMtgRatesDataTable825[[#This Row],[asofdate]]+1,Bloomberg!B:C,2,0)</f>
        <v>1953.2</v>
      </c>
      <c r="I303" s="137"/>
      <c r="J303" s="15">
        <v>36469</v>
      </c>
      <c r="K303" s="137">
        <v>3.4525812999999998E-3</v>
      </c>
    </row>
    <row r="304" spans="3:11">
      <c r="C304" s="15">
        <v>40577</v>
      </c>
      <c r="D304" s="137">
        <v>0.5489494976</v>
      </c>
      <c r="E304" s="20">
        <f>VLOOKUP(CurrentMtgRatesDataTable825[[#This Row],[asofdate]],J:K,2,0)</f>
        <v>1.0595339999999999E-4</v>
      </c>
      <c r="F304" s="23">
        <f ca="1">VLOOKUP(CurrentMtgRatesDataTable825[[#This Row],[asofdate]]+1,Bloomberg!B:C,2,0)</f>
        <v>2190.4</v>
      </c>
      <c r="I304" s="137"/>
      <c r="J304" s="15">
        <v>36476</v>
      </c>
      <c r="K304" s="137">
        <v>5.7441675000000003E-3</v>
      </c>
    </row>
    <row r="305" spans="3:11">
      <c r="C305" s="15">
        <v>40570</v>
      </c>
      <c r="D305" s="137">
        <v>0.58888948990000001</v>
      </c>
      <c r="E305" s="20">
        <f>VLOOKUP(CurrentMtgRatesDataTable825[[#This Row],[asofdate]],J:K,2,0)</f>
        <v>1.2575109999999999E-4</v>
      </c>
      <c r="F305" s="23">
        <f ca="1">VLOOKUP(CurrentMtgRatesDataTable825[[#This Row],[asofdate]]+1,Bloomberg!B:C,2,0)</f>
        <v>2371.1</v>
      </c>
      <c r="I305" s="137"/>
      <c r="J305" s="15">
        <v>36483</v>
      </c>
      <c r="K305" s="137">
        <v>5.5167128999999999E-3</v>
      </c>
    </row>
    <row r="306" spans="3:11">
      <c r="C306" s="15">
        <v>40563</v>
      </c>
      <c r="D306" s="137">
        <v>0.60501972319999997</v>
      </c>
      <c r="E306" s="20">
        <f>VLOOKUP(CurrentMtgRatesDataTable825[[#This Row],[asofdate]],J:K,2,0)</f>
        <v>2.7941290000000002E-4</v>
      </c>
      <c r="F306" s="23">
        <f ca="1">VLOOKUP(CurrentMtgRatesDataTable825[[#This Row],[asofdate]]+1,Bloomberg!B:C,2,0)</f>
        <v>2129.6999999999998</v>
      </c>
      <c r="I306" s="137"/>
      <c r="J306" s="15">
        <v>36490</v>
      </c>
      <c r="K306" s="137">
        <v>4.4705604999999999E-3</v>
      </c>
    </row>
    <row r="307" spans="3:11">
      <c r="C307" s="15">
        <v>40556</v>
      </c>
      <c r="D307" s="137">
        <v>0.6205579832</v>
      </c>
      <c r="E307" s="20">
        <f>VLOOKUP(CurrentMtgRatesDataTable825[[#This Row],[asofdate]],J:K,2,0)</f>
        <v>4.067427E-4</v>
      </c>
      <c r="F307" s="23">
        <f ca="1">VLOOKUP(CurrentMtgRatesDataTable825[[#This Row],[asofdate]]+1,Bloomberg!B:C,2,0)</f>
        <v>2528.6999999999998</v>
      </c>
      <c r="I307" s="137"/>
      <c r="J307" s="15">
        <v>36497</v>
      </c>
      <c r="K307" s="137">
        <v>5.2780945000000003E-3</v>
      </c>
    </row>
    <row r="308" spans="3:11">
      <c r="C308" s="15">
        <v>40549</v>
      </c>
      <c r="D308" s="137">
        <v>0.59347128179999997</v>
      </c>
      <c r="E308" s="20">
        <f>VLOOKUP(CurrentMtgRatesDataTable825[[#This Row],[asofdate]],J:K,2,0)</f>
        <v>2.7164890000000002E-4</v>
      </c>
      <c r="F308" s="23">
        <f ca="1">VLOOKUP(CurrentMtgRatesDataTable825[[#This Row],[asofdate]]+1,Bloomberg!B:C,2,0)</f>
        <v>2344.3000000000002</v>
      </c>
      <c r="I308" s="137"/>
      <c r="J308" s="15">
        <v>36504</v>
      </c>
      <c r="K308" s="137">
        <v>5.2780945000000003E-3</v>
      </c>
    </row>
    <row r="309" spans="3:11">
      <c r="C309" s="15">
        <v>40542</v>
      </c>
      <c r="D309" s="137">
        <v>0.56063199370000005</v>
      </c>
      <c r="E309" s="20">
        <f>VLOOKUP(CurrentMtgRatesDataTable825[[#This Row],[asofdate]],J:K,2,0)</f>
        <v>1.1514540000000001E-4</v>
      </c>
      <c r="F309" s="23">
        <f ca="1">VLOOKUP(CurrentMtgRatesDataTable825[[#This Row],[asofdate]]+1,Bloomberg!B:C,2,0)</f>
        <v>2249.6</v>
      </c>
      <c r="I309" s="137"/>
      <c r="J309" s="15">
        <v>36511</v>
      </c>
      <c r="K309" s="137">
        <v>4.2505779E-3</v>
      </c>
    </row>
    <row r="310" spans="3:11">
      <c r="C310" s="15">
        <v>40535</v>
      </c>
      <c r="D310" s="137">
        <v>0.60318650750000002</v>
      </c>
      <c r="E310" s="20">
        <f>VLOOKUP(CurrentMtgRatesDataTable825[[#This Row],[asofdate]],J:K,2,0)</f>
        <v>2.180665E-4</v>
      </c>
      <c r="F310" s="23">
        <f ca="1">VLOOKUP(CurrentMtgRatesDataTable825[[#This Row],[asofdate]]+1,Bloomberg!B:C,2,0)</f>
        <v>2185.5</v>
      </c>
      <c r="I310" s="137"/>
      <c r="J310" s="15">
        <v>36518</v>
      </c>
      <c r="K310" s="137">
        <v>2.0629936000000001E-3</v>
      </c>
    </row>
    <row r="311" spans="3:11">
      <c r="C311" s="15">
        <v>40528</v>
      </c>
      <c r="D311" s="137">
        <v>0.58904679879999999</v>
      </c>
      <c r="E311" s="20">
        <f>VLOOKUP(CurrentMtgRatesDataTable825[[#This Row],[asofdate]],J:K,2,0)</f>
        <v>1.217348E-4</v>
      </c>
      <c r="F311" s="23">
        <f ca="1">VLOOKUP(CurrentMtgRatesDataTable825[[#This Row],[asofdate]]+1,Bloomberg!B:C,2,0)</f>
        <v>2319.9</v>
      </c>
      <c r="I311" s="137"/>
      <c r="J311" s="15">
        <v>36525</v>
      </c>
      <c r="K311" s="137">
        <v>0</v>
      </c>
    </row>
    <row r="312" spans="3:11">
      <c r="C312" s="15">
        <v>40521</v>
      </c>
      <c r="D312" s="137">
        <v>0.67175467840000003</v>
      </c>
      <c r="E312" s="20">
        <f>VLOOKUP(CurrentMtgRatesDataTable825[[#This Row],[asofdate]],J:K,2,0)</f>
        <v>6.9437969999999998E-4</v>
      </c>
      <c r="F312" s="23">
        <f ca="1">VLOOKUP(CurrentMtgRatesDataTable825[[#This Row],[asofdate]]+1,Bloomberg!B:C,2,0)</f>
        <v>3067.3</v>
      </c>
      <c r="I312" s="137"/>
      <c r="J312" s="15">
        <v>36532</v>
      </c>
      <c r="K312" s="137">
        <v>8.8236830000000001E-4</v>
      </c>
    </row>
    <row r="313" spans="3:11">
      <c r="C313" s="15">
        <v>40514</v>
      </c>
      <c r="D313" s="137">
        <v>0.73298549680000002</v>
      </c>
      <c r="E313" s="20">
        <f>VLOOKUP(CurrentMtgRatesDataTable825[[#This Row],[asofdate]],J:K,2,0)</f>
        <v>1.3575178E-3</v>
      </c>
      <c r="F313" s="23">
        <f ca="1">VLOOKUP(CurrentMtgRatesDataTable825[[#This Row],[asofdate]]+1,Bloomberg!B:C,2,0)</f>
        <v>3066.2</v>
      </c>
      <c r="I313" s="137"/>
      <c r="J313" s="15">
        <v>36539</v>
      </c>
      <c r="K313" s="137">
        <v>8.6917139999999999E-4</v>
      </c>
    </row>
    <row r="314" spans="3:11">
      <c r="C314" s="15">
        <v>40506</v>
      </c>
      <c r="D314" s="137">
        <v>0.82198260339999996</v>
      </c>
      <c r="E314" s="20">
        <f>VLOOKUP(CurrentMtgRatesDataTable825[[#This Row],[asofdate]],J:K,2,0)</f>
        <v>4.1857947000000003E-3</v>
      </c>
      <c r="F314" s="23" t="e">
        <f ca="1">VLOOKUP(CurrentMtgRatesDataTable825[[#This Row],[asofdate]]+1,Bloomberg!B:C,2,0)</f>
        <v>#N/A</v>
      </c>
      <c r="I314" s="137"/>
      <c r="J314" s="15">
        <v>36546</v>
      </c>
      <c r="K314" s="137">
        <v>7.7892219999999999E-4</v>
      </c>
    </row>
    <row r="315" spans="3:11">
      <c r="C315" s="15">
        <v>40500</v>
      </c>
      <c r="D315" s="137">
        <v>0.79909835509999994</v>
      </c>
      <c r="E315" s="20">
        <f>VLOOKUP(CurrentMtgRatesDataTable825[[#This Row],[asofdate]],J:K,2,0)</f>
        <v>4.1800915000000001E-3</v>
      </c>
      <c r="F315" s="23">
        <f ca="1">VLOOKUP(CurrentMtgRatesDataTable825[[#This Row],[asofdate]]+1,Bloomberg!B:C,2,0)</f>
        <v>4009.2</v>
      </c>
      <c r="I315" s="137"/>
      <c r="J315" s="15">
        <v>36553</v>
      </c>
      <c r="K315" s="137">
        <v>8.0167119999999996E-4</v>
      </c>
    </row>
    <row r="316" spans="3:11">
      <c r="C316" s="15">
        <v>40493</v>
      </c>
      <c r="D316" s="137">
        <v>0.94834647279999995</v>
      </c>
      <c r="E316" s="20">
        <f>VLOOKUP(CurrentMtgRatesDataTable825[[#This Row],[asofdate]],J:K,2,0)</f>
        <v>0.87849900790000013</v>
      </c>
      <c r="F316" s="23">
        <f ca="1">VLOOKUP(CurrentMtgRatesDataTable825[[#This Row],[asofdate]]+1,Bloomberg!B:C,2,0)</f>
        <v>4015.2</v>
      </c>
      <c r="I316" s="137"/>
      <c r="J316" s="15">
        <v>36560</v>
      </c>
      <c r="K316" s="137">
        <v>1.875526E-3</v>
      </c>
    </row>
    <row r="317" spans="3:11">
      <c r="C317" s="15">
        <v>40486</v>
      </c>
      <c r="D317" s="137">
        <v>0.93243236860000001</v>
      </c>
      <c r="E317" s="20">
        <f>VLOOKUP(CurrentMtgRatesDataTable825[[#This Row],[asofdate]],J:K,2,0)</f>
        <v>0.83158081500000003</v>
      </c>
      <c r="F317" s="23">
        <f ca="1">VLOOKUP(CurrentMtgRatesDataTable825[[#This Row],[asofdate]]+1,Bloomberg!B:C,2,0)</f>
        <v>4836.3999999999996</v>
      </c>
      <c r="I317" s="137"/>
      <c r="J317" s="15">
        <v>36567</v>
      </c>
      <c r="K317" s="137">
        <v>7.9744210000000002E-4</v>
      </c>
    </row>
    <row r="318" spans="3:11">
      <c r="C318" s="15">
        <v>40479</v>
      </c>
      <c r="D318" s="137">
        <v>0.95074042540000003</v>
      </c>
      <c r="E318" s="20">
        <f>VLOOKUP(CurrentMtgRatesDataTable825[[#This Row],[asofdate]],J:K,2,0)</f>
        <v>0.87352285470000002</v>
      </c>
      <c r="F318" s="23">
        <f ca="1">VLOOKUP(CurrentMtgRatesDataTable825[[#This Row],[asofdate]]+1,Bloomberg!B:C,2,0)</f>
        <v>4568.1000000000004</v>
      </c>
      <c r="I318" s="137"/>
      <c r="J318" s="15">
        <v>36574</v>
      </c>
      <c r="K318" s="137">
        <v>8.045029E-4</v>
      </c>
    </row>
    <row r="319" spans="3:11">
      <c r="C319" s="15">
        <v>40472</v>
      </c>
      <c r="D319" s="137">
        <v>0.9515616254</v>
      </c>
      <c r="E319" s="20">
        <f>VLOOKUP(CurrentMtgRatesDataTable825[[#This Row],[asofdate]],J:K,2,0)</f>
        <v>0.87405301849999995</v>
      </c>
      <c r="F319" s="23">
        <f ca="1">VLOOKUP(CurrentMtgRatesDataTable825[[#This Row],[asofdate]]+1,Bloomberg!B:C,2,0)</f>
        <v>4904.2</v>
      </c>
      <c r="I319" s="137"/>
      <c r="J319" s="15">
        <v>36581</v>
      </c>
      <c r="K319" s="137">
        <v>9.1311919999999996E-4</v>
      </c>
    </row>
    <row r="320" spans="3:11">
      <c r="C320" s="15">
        <v>40465</v>
      </c>
      <c r="D320" s="137">
        <v>0.95265037860000001</v>
      </c>
      <c r="E320" s="20">
        <f>VLOOKUP(CurrentMtgRatesDataTable825[[#This Row],[asofdate]],J:K,2,0)</f>
        <v>0.87668126219999998</v>
      </c>
      <c r="F320" s="23">
        <f ca="1">VLOOKUP(CurrentMtgRatesDataTable825[[#This Row],[asofdate]]+1,Bloomberg!B:C,2,0)</f>
        <v>4768.6000000000004</v>
      </c>
      <c r="I320" s="137"/>
      <c r="J320" s="15">
        <v>36588</v>
      </c>
      <c r="K320" s="137">
        <v>1.8698836999999999E-3</v>
      </c>
    </row>
    <row r="321" spans="3:11">
      <c r="C321" s="15">
        <v>40458</v>
      </c>
      <c r="D321" s="137">
        <v>0.93741406800000004</v>
      </c>
      <c r="E321" s="20">
        <f>VLOOKUP(CurrentMtgRatesDataTable825[[#This Row],[asofdate]],J:K,2,0)</f>
        <v>0.84601650620000002</v>
      </c>
      <c r="F321" s="23">
        <f ca="1">VLOOKUP(CurrentMtgRatesDataTable825[[#This Row],[asofdate]]+1,Bloomberg!B:C,2,0)</f>
        <v>5455.4</v>
      </c>
      <c r="I321" s="137"/>
      <c r="J321" s="15">
        <v>36595</v>
      </c>
      <c r="K321" s="137">
        <v>3.1313220999999998E-3</v>
      </c>
    </row>
    <row r="322" spans="3:11">
      <c r="C322" s="15">
        <v>40451</v>
      </c>
      <c r="D322" s="137">
        <v>0.92460704859999998</v>
      </c>
      <c r="E322" s="20">
        <f>VLOOKUP(CurrentMtgRatesDataTable825[[#This Row],[asofdate]],J:K,2,0)</f>
        <v>0.82255319569999996</v>
      </c>
      <c r="F322" s="23">
        <f ca="1">VLOOKUP(CurrentMtgRatesDataTable825[[#This Row],[asofdate]]+1,Bloomberg!B:C,2,0)</f>
        <v>4395.5</v>
      </c>
      <c r="I322" s="137"/>
      <c r="J322" s="15">
        <v>36602</v>
      </c>
      <c r="K322" s="137">
        <v>2.984015E-3</v>
      </c>
    </row>
    <row r="323" spans="3:11">
      <c r="C323" s="15">
        <v>40444</v>
      </c>
      <c r="D323" s="137">
        <v>0.91580087529999998</v>
      </c>
      <c r="E323" s="20">
        <f>VLOOKUP(CurrentMtgRatesDataTable825[[#This Row],[asofdate]],J:K,2,0)</f>
        <v>0.82065378529999999</v>
      </c>
      <c r="F323" s="23">
        <f ca="1">VLOOKUP(CurrentMtgRatesDataTable825[[#This Row],[asofdate]]+1,Bloomberg!B:C,2,0)</f>
        <v>4549.3</v>
      </c>
      <c r="I323" s="137"/>
      <c r="J323" s="15">
        <v>36609</v>
      </c>
      <c r="K323" s="137">
        <v>3.0201238999999999E-3</v>
      </c>
    </row>
    <row r="324" spans="3:11">
      <c r="C324" s="15">
        <v>40437</v>
      </c>
      <c r="D324" s="137">
        <v>0.91580087529999998</v>
      </c>
      <c r="E324" s="20">
        <f>VLOOKUP(CurrentMtgRatesDataTable825[[#This Row],[asofdate]],J:K,2,0)</f>
        <v>0.82065378529999999</v>
      </c>
      <c r="F324" s="23">
        <f ca="1">VLOOKUP(CurrentMtgRatesDataTable825[[#This Row],[asofdate]]+1,Bloomberg!B:C,2,0)</f>
        <v>4624.6000000000004</v>
      </c>
      <c r="I324" s="137"/>
      <c r="J324" s="15">
        <v>36616</v>
      </c>
      <c r="K324" s="137">
        <v>2.1816004999999999E-3</v>
      </c>
    </row>
    <row r="325" spans="3:11">
      <c r="C325" s="15">
        <v>40430</v>
      </c>
      <c r="D325" s="137">
        <v>0.92336794280000001</v>
      </c>
      <c r="E325" s="20">
        <f>VLOOKUP(CurrentMtgRatesDataTable825[[#This Row],[asofdate]],J:K,2,0)</f>
        <v>0.82249875709999998</v>
      </c>
      <c r="F325" s="23">
        <f ca="1">VLOOKUP(CurrentMtgRatesDataTable825[[#This Row],[asofdate]]+1,Bloomberg!B:C,2,0)</f>
        <v>4663.8</v>
      </c>
      <c r="I325" s="137"/>
      <c r="J325" s="15">
        <v>36623</v>
      </c>
      <c r="K325" s="137">
        <v>4.3475238999999997E-3</v>
      </c>
    </row>
    <row r="326" spans="3:11">
      <c r="C326" s="15">
        <v>40423</v>
      </c>
      <c r="D326" s="137">
        <v>0.93385942560000001</v>
      </c>
      <c r="E326" s="20">
        <f>VLOOKUP(CurrentMtgRatesDataTable825[[#This Row],[asofdate]],J:K,2,0)</f>
        <v>0.8595783092</v>
      </c>
      <c r="F326" s="23">
        <f ca="1">VLOOKUP(CurrentMtgRatesDataTable825[[#This Row],[asofdate]]+1,Bloomberg!B:C,2,0)</f>
        <v>5214.6000000000004</v>
      </c>
      <c r="I326" s="137"/>
      <c r="J326" s="15">
        <v>36630</v>
      </c>
      <c r="K326" s="137">
        <v>7.2814847999999998E-3</v>
      </c>
    </row>
    <row r="327" spans="3:11">
      <c r="C327" s="15">
        <v>40416</v>
      </c>
      <c r="D327" s="137">
        <v>0.92103950720000005</v>
      </c>
      <c r="E327" s="20">
        <f>VLOOKUP(CurrentMtgRatesDataTable825[[#This Row],[asofdate]],J:K,2,0)</f>
        <v>0.83767788539999999</v>
      </c>
      <c r="F327" s="23">
        <f ca="1">VLOOKUP(CurrentMtgRatesDataTable825[[#This Row],[asofdate]]+1,Bloomberg!B:C,2,0)</f>
        <v>5431.5</v>
      </c>
      <c r="I327" s="137"/>
      <c r="J327" s="15">
        <v>36637</v>
      </c>
      <c r="K327" s="137">
        <v>4.6074080999999999E-3</v>
      </c>
    </row>
    <row r="328" spans="3:11">
      <c r="C328" s="15">
        <v>40409</v>
      </c>
      <c r="D328" s="137">
        <v>0.86898326420000005</v>
      </c>
      <c r="E328" s="20">
        <f>VLOOKUP(CurrentMtgRatesDataTable825[[#This Row],[asofdate]],J:K,2,0)</f>
        <v>0.80875793200000001</v>
      </c>
      <c r="F328" s="23">
        <f ca="1">VLOOKUP(CurrentMtgRatesDataTable825[[#This Row],[asofdate]]+1,Bloomberg!B:C,2,0)</f>
        <v>5260.7</v>
      </c>
      <c r="I328" s="137"/>
      <c r="J328" s="15">
        <v>36644</v>
      </c>
      <c r="K328" s="137">
        <v>6.5957712000000003E-3</v>
      </c>
    </row>
    <row r="329" spans="3:11">
      <c r="C329" s="15">
        <v>40402</v>
      </c>
      <c r="D329" s="137">
        <v>0.83410549239999998</v>
      </c>
      <c r="E329" s="20">
        <f>VLOOKUP(CurrentMtgRatesDataTable825[[#This Row],[asofdate]],J:K,2,0)</f>
        <v>0.80814178439999995</v>
      </c>
      <c r="F329" s="23">
        <f ca="1">VLOOKUP(CurrentMtgRatesDataTable825[[#This Row],[asofdate]]+1,Bloomberg!B:C,2,0)</f>
        <v>4940.8999999999996</v>
      </c>
      <c r="I329" s="137"/>
      <c r="J329" s="15">
        <v>36651</v>
      </c>
      <c r="K329" s="137">
        <v>2.5952303000000001E-3</v>
      </c>
    </row>
    <row r="330" spans="3:11">
      <c r="C330" s="15">
        <v>40395</v>
      </c>
      <c r="D330" s="137">
        <v>0.78585671720000005</v>
      </c>
      <c r="E330" s="20">
        <f>VLOOKUP(CurrentMtgRatesDataTable825[[#This Row],[asofdate]],J:K,2,0)</f>
        <v>0.77103122199999996</v>
      </c>
      <c r="F330" s="23">
        <f ca="1">VLOOKUP(CurrentMtgRatesDataTable825[[#This Row],[asofdate]]+1,Bloomberg!B:C,2,0)</f>
        <v>4147.1000000000004</v>
      </c>
      <c r="I330" s="137"/>
      <c r="J330" s="15">
        <v>36658</v>
      </c>
      <c r="K330" s="137">
        <v>9.3225209999999998E-4</v>
      </c>
    </row>
    <row r="331" spans="3:11">
      <c r="C331" s="15">
        <v>40388</v>
      </c>
      <c r="D331" s="137">
        <v>0.75383836250000003</v>
      </c>
      <c r="E331" s="20">
        <f>VLOOKUP(CurrentMtgRatesDataTable825[[#This Row],[asofdate]],J:K,2,0)</f>
        <v>0.76295205990000003</v>
      </c>
      <c r="F331" s="23">
        <f ca="1">VLOOKUP(CurrentMtgRatesDataTable825[[#This Row],[asofdate]]+1,Bloomberg!B:C,2,0)</f>
        <v>4155.5</v>
      </c>
      <c r="I331" s="137"/>
      <c r="J331" s="15">
        <v>36665</v>
      </c>
      <c r="K331" s="137">
        <v>5.523657E-4</v>
      </c>
    </row>
    <row r="332" spans="3:11">
      <c r="C332" s="15">
        <v>40381</v>
      </c>
      <c r="D332" s="137">
        <v>0.74772968299999998</v>
      </c>
      <c r="E332" s="20">
        <f>VLOOKUP(CurrentMtgRatesDataTable825[[#This Row],[asofdate]],J:K,2,0)</f>
        <v>0.76214313</v>
      </c>
      <c r="F332" s="23">
        <f ca="1">VLOOKUP(CurrentMtgRatesDataTable825[[#This Row],[asofdate]]+1,Bloomberg!B:C,2,0)</f>
        <v>4097.3</v>
      </c>
      <c r="I332" s="137"/>
      <c r="J332" s="15">
        <v>36672</v>
      </c>
      <c r="K332" s="137">
        <v>5.7479190000000004E-4</v>
      </c>
    </row>
    <row r="333" spans="3:11">
      <c r="C333" s="15">
        <v>40374</v>
      </c>
      <c r="D333" s="137">
        <v>0.74536445709999999</v>
      </c>
      <c r="E333" s="20">
        <f>VLOOKUP(CurrentMtgRatesDataTable825[[#This Row],[asofdate]],J:K,2,0)</f>
        <v>0.76127916539999996</v>
      </c>
      <c r="F333" s="23">
        <f ca="1">VLOOKUP(CurrentMtgRatesDataTable825[[#This Row],[asofdate]]+1,Bloomberg!B:C,2,0)</f>
        <v>4345.3999999999996</v>
      </c>
      <c r="I333" s="137"/>
      <c r="J333" s="15">
        <v>36679</v>
      </c>
      <c r="K333" s="137">
        <v>2.1121630999999998E-3</v>
      </c>
    </row>
    <row r="334" spans="3:11">
      <c r="C334" s="15">
        <v>40367</v>
      </c>
      <c r="D334" s="137">
        <v>0.74536445709999999</v>
      </c>
      <c r="E334" s="20">
        <f>VLOOKUP(CurrentMtgRatesDataTable825[[#This Row],[asofdate]],J:K,2,0)</f>
        <v>0.76127916539999996</v>
      </c>
      <c r="F334" s="23">
        <f ca="1">VLOOKUP(CurrentMtgRatesDataTable825[[#This Row],[asofdate]]+1,Bloomberg!B:C,2,0)</f>
        <v>3925.8</v>
      </c>
      <c r="I334" s="137"/>
      <c r="J334" s="15">
        <v>36686</v>
      </c>
      <c r="K334" s="137">
        <v>4.3344802E-3</v>
      </c>
    </row>
    <row r="335" spans="3:11">
      <c r="C335" s="15">
        <v>40360</v>
      </c>
      <c r="D335" s="137">
        <v>0.74344977459999995</v>
      </c>
      <c r="E335" s="20">
        <f>VLOOKUP(CurrentMtgRatesDataTable825[[#This Row],[asofdate]],J:K,2,0)</f>
        <v>0.74095838449999996</v>
      </c>
      <c r="F335" s="23">
        <f ca="1">VLOOKUP(CurrentMtgRatesDataTable825[[#This Row],[asofdate]]+1,Bloomberg!B:C,2,0)</f>
        <v>3925.9</v>
      </c>
      <c r="I335" s="137"/>
      <c r="J335" s="15">
        <v>36693</v>
      </c>
      <c r="K335" s="137">
        <v>8.9940635999999994E-3</v>
      </c>
    </row>
    <row r="336" spans="3:11">
      <c r="C336" s="15">
        <v>40353</v>
      </c>
      <c r="D336" s="137">
        <v>0.72851500570000005</v>
      </c>
      <c r="E336" s="20">
        <f>VLOOKUP(CurrentMtgRatesDataTable825[[#This Row],[asofdate]],J:K,2,0)</f>
        <v>0.72360327089999998</v>
      </c>
      <c r="F336" s="23">
        <f ca="1">VLOOKUP(CurrentMtgRatesDataTable825[[#This Row],[asofdate]]+1,Bloomberg!B:C,2,0)</f>
        <v>3546.2</v>
      </c>
      <c r="I336" s="137"/>
      <c r="J336" s="15">
        <v>36700</v>
      </c>
      <c r="K336" s="137">
        <v>1.41843188E-2</v>
      </c>
    </row>
    <row r="337" spans="3:11">
      <c r="C337" s="15">
        <v>40346</v>
      </c>
      <c r="D337" s="137">
        <v>0.71486622489999996</v>
      </c>
      <c r="E337" s="20">
        <f>VLOOKUP(CurrentMtgRatesDataTable825[[#This Row],[asofdate]],J:K,2,0)</f>
        <v>0.7033472181</v>
      </c>
      <c r="F337" s="23">
        <f ca="1">VLOOKUP(CurrentMtgRatesDataTable825[[#This Row],[asofdate]]+1,Bloomberg!B:C,2,0)</f>
        <v>3107.1</v>
      </c>
      <c r="I337" s="137"/>
      <c r="J337" s="15">
        <v>36707</v>
      </c>
      <c r="K337" s="137">
        <v>1.06693459E-2</v>
      </c>
    </row>
    <row r="338" spans="3:11">
      <c r="C338" s="15">
        <v>40339</v>
      </c>
      <c r="D338" s="137">
        <v>0.72048233520000005</v>
      </c>
      <c r="E338" s="20">
        <f>VLOOKUP(CurrentMtgRatesDataTable825[[#This Row],[asofdate]],J:K,2,0)</f>
        <v>0.70511369130000001</v>
      </c>
      <c r="F338" s="23">
        <f ca="1">VLOOKUP(CurrentMtgRatesDataTable825[[#This Row],[asofdate]]+1,Bloomberg!B:C,2,0)</f>
        <v>3387.8</v>
      </c>
      <c r="I338" s="137"/>
      <c r="J338" s="15">
        <v>36714</v>
      </c>
      <c r="K338" s="137">
        <v>1.69330816E-2</v>
      </c>
    </row>
    <row r="339" spans="3:11">
      <c r="C339" s="15">
        <v>40332</v>
      </c>
      <c r="D339" s="137">
        <v>0.68469003900000003</v>
      </c>
      <c r="E339" s="20">
        <f>VLOOKUP(CurrentMtgRatesDataTable825[[#This Row],[asofdate]],J:K,2,0)</f>
        <v>0.68294508980000002</v>
      </c>
      <c r="F339" s="23">
        <f ca="1">VLOOKUP(CurrentMtgRatesDataTable825[[#This Row],[asofdate]]+1,Bloomberg!B:C,2,0)</f>
        <v>2781.6</v>
      </c>
      <c r="I339" s="137"/>
      <c r="J339" s="15">
        <v>36721</v>
      </c>
      <c r="K339" s="137">
        <v>2.3080593199999999E-2</v>
      </c>
    </row>
    <row r="340" spans="3:11">
      <c r="C340" s="15">
        <v>40325</v>
      </c>
      <c r="D340" s="137">
        <v>0.70986019460000005</v>
      </c>
      <c r="E340" s="20">
        <f>VLOOKUP(CurrentMtgRatesDataTable825[[#This Row],[asofdate]],J:K,2,0)</f>
        <v>0.69746715989999997</v>
      </c>
      <c r="F340" s="23">
        <f ca="1">VLOOKUP(CurrentMtgRatesDataTable825[[#This Row],[asofdate]]+1,Bloomberg!B:C,2,0)</f>
        <v>3239.2</v>
      </c>
      <c r="I340" s="137"/>
      <c r="J340" s="15">
        <v>36728</v>
      </c>
      <c r="K340" s="137">
        <v>1.52852979E-2</v>
      </c>
    </row>
    <row r="341" spans="3:11">
      <c r="C341" s="15">
        <v>40318</v>
      </c>
      <c r="D341" s="137">
        <v>0.6807497723</v>
      </c>
      <c r="E341" s="20">
        <f>VLOOKUP(CurrentMtgRatesDataTable825[[#This Row],[asofdate]],J:K,2,0)</f>
        <v>0.67392174719999998</v>
      </c>
      <c r="F341" s="23">
        <f ca="1">VLOOKUP(CurrentMtgRatesDataTable825[[#This Row],[asofdate]]+1,Bloomberg!B:C,2,0)</f>
        <v>3154.9</v>
      </c>
      <c r="I341" s="137"/>
      <c r="J341" s="15">
        <v>36735</v>
      </c>
      <c r="K341" s="137">
        <v>2.1633825799999999E-2</v>
      </c>
    </row>
    <row r="342" spans="3:11">
      <c r="C342" s="15">
        <v>40311</v>
      </c>
      <c r="D342" s="137">
        <v>0.63168664299999999</v>
      </c>
      <c r="E342" s="20">
        <f>VLOOKUP(CurrentMtgRatesDataTable825[[#This Row],[asofdate]],J:K,2,0)</f>
        <v>1.7426468099999998E-2</v>
      </c>
      <c r="F342" s="23">
        <f ca="1">VLOOKUP(CurrentMtgRatesDataTable825[[#This Row],[asofdate]]+1,Bloomberg!B:C,2,0)</f>
        <v>2668.6</v>
      </c>
      <c r="I342" s="137"/>
      <c r="J342" s="15">
        <v>36742</v>
      </c>
      <c r="K342" s="137">
        <v>2.7440745999999999E-2</v>
      </c>
    </row>
    <row r="343" spans="3:11">
      <c r="C343" s="15">
        <v>40304</v>
      </c>
      <c r="D343" s="137">
        <v>0.58772384690000001</v>
      </c>
      <c r="E343" s="20">
        <f>VLOOKUP(CurrentMtgRatesDataTable825[[#This Row],[asofdate]],J:K,2,0)</f>
        <v>1.2717029000000001E-3</v>
      </c>
      <c r="F343" s="23">
        <f ca="1">VLOOKUP(CurrentMtgRatesDataTable825[[#This Row],[asofdate]]+1,Bloomberg!B:C,2,0)</f>
        <v>2303.6</v>
      </c>
      <c r="I343" s="137"/>
      <c r="J343" s="15">
        <v>36749</v>
      </c>
      <c r="K343" s="137">
        <v>3.2542868400000001E-2</v>
      </c>
    </row>
    <row r="344" spans="3:11">
      <c r="C344" s="15">
        <v>40297</v>
      </c>
      <c r="D344" s="137">
        <v>0.56863720760000003</v>
      </c>
      <c r="E344" s="20">
        <f>VLOOKUP(CurrentMtgRatesDataTable825[[#This Row],[asofdate]],J:K,2,0)</f>
        <v>2.9468639999999998E-4</v>
      </c>
      <c r="F344" s="23">
        <f ca="1">VLOOKUP(CurrentMtgRatesDataTable825[[#This Row],[asofdate]]+1,Bloomberg!B:C,2,0)</f>
        <v>1953.3</v>
      </c>
      <c r="I344" s="137"/>
      <c r="J344" s="15">
        <v>36756</v>
      </c>
      <c r="K344" s="137">
        <v>3.5471702500000001E-2</v>
      </c>
    </row>
    <row r="345" spans="3:11">
      <c r="C345" s="15">
        <v>40290</v>
      </c>
      <c r="D345" s="137">
        <v>0.56287953099999999</v>
      </c>
      <c r="E345" s="20">
        <f>VLOOKUP(CurrentMtgRatesDataTable825[[#This Row],[asofdate]],J:K,2,0)</f>
        <v>2.9192680000000003E-4</v>
      </c>
      <c r="F345" s="23">
        <f ca="1">VLOOKUP(CurrentMtgRatesDataTable825[[#This Row],[asofdate]]+1,Bloomberg!B:C,2,0)</f>
        <v>1984.5</v>
      </c>
      <c r="I345" s="137"/>
      <c r="J345" s="15">
        <v>36763</v>
      </c>
      <c r="K345" s="137">
        <v>3.4457008999999997E-2</v>
      </c>
    </row>
    <row r="346" spans="3:11">
      <c r="C346" s="15">
        <v>40283</v>
      </c>
      <c r="D346" s="137">
        <v>0.57665684220000002</v>
      </c>
      <c r="E346" s="20">
        <f>VLOOKUP(CurrentMtgRatesDataTable825[[#This Row],[asofdate]],J:K,2,0)</f>
        <v>6.7993339999999989E-4</v>
      </c>
      <c r="F346" s="23">
        <f ca="1">VLOOKUP(CurrentMtgRatesDataTable825[[#This Row],[asofdate]]+1,Bloomberg!B:C,2,0)</f>
        <v>2217</v>
      </c>
      <c r="I346" s="137"/>
      <c r="J346" s="15">
        <v>36770</v>
      </c>
      <c r="K346" s="137">
        <v>4.6220378100000001E-2</v>
      </c>
    </row>
    <row r="347" spans="3:11">
      <c r="C347" s="15">
        <v>40276</v>
      </c>
      <c r="D347" s="137">
        <v>0.50387103229999997</v>
      </c>
      <c r="E347" s="20">
        <f>VLOOKUP(CurrentMtgRatesDataTable825[[#This Row],[asofdate]],J:K,2,0)</f>
        <v>3.2240799999999998E-5</v>
      </c>
      <c r="F347" s="23">
        <f ca="1">VLOOKUP(CurrentMtgRatesDataTable825[[#This Row],[asofdate]]+1,Bloomberg!B:C,2,0)</f>
        <v>1892.5</v>
      </c>
      <c r="I347" s="137"/>
      <c r="J347" s="15">
        <v>36777</v>
      </c>
      <c r="K347" s="137">
        <v>5.1431721800000003E-2</v>
      </c>
    </row>
    <row r="348" spans="3:11">
      <c r="C348" s="15">
        <v>40269</v>
      </c>
      <c r="D348" s="137">
        <v>0.55408346909999995</v>
      </c>
      <c r="E348" s="20">
        <f>VLOOKUP(CurrentMtgRatesDataTable825[[#This Row],[asofdate]],J:K,2,0)</f>
        <v>1.615617E-4</v>
      </c>
      <c r="F348" s="23">
        <f ca="1">VLOOKUP(CurrentMtgRatesDataTable825[[#This Row],[asofdate]]+1,Bloomberg!B:C,2,0)</f>
        <v>2051.3000000000002</v>
      </c>
      <c r="I348" s="137"/>
      <c r="J348" s="15">
        <v>36784</v>
      </c>
      <c r="K348" s="137">
        <v>5.5312576600000003E-2</v>
      </c>
    </row>
    <row r="349" spans="3:11">
      <c r="C349" s="15">
        <v>40262</v>
      </c>
      <c r="D349" s="137">
        <v>0.6445245879</v>
      </c>
      <c r="E349" s="20">
        <f>VLOOKUP(CurrentMtgRatesDataTable825[[#This Row],[asofdate]],J:K,2,0)</f>
        <v>1.8597026000000002E-3</v>
      </c>
      <c r="F349" s="23">
        <f ca="1">VLOOKUP(CurrentMtgRatesDataTable825[[#This Row],[asofdate]]+1,Bloomberg!B:C,2,0)</f>
        <v>2577.1999999999998</v>
      </c>
      <c r="I349" s="137"/>
      <c r="J349" s="15">
        <v>36791</v>
      </c>
      <c r="K349" s="137">
        <v>5.4085818899999999E-2</v>
      </c>
    </row>
    <row r="350" spans="3:11">
      <c r="C350" s="15">
        <v>40255</v>
      </c>
      <c r="D350" s="137">
        <v>0.64585810600000004</v>
      </c>
      <c r="E350" s="20">
        <f>VLOOKUP(CurrentMtgRatesDataTable825[[#This Row],[asofdate]],J:K,2,0)</f>
        <v>8.1109384E-3</v>
      </c>
      <c r="F350" s="23">
        <f ca="1">VLOOKUP(CurrentMtgRatesDataTable825[[#This Row],[asofdate]]+1,Bloomberg!B:C,2,0)</f>
        <v>2617.6999999999998</v>
      </c>
      <c r="I350" s="137"/>
      <c r="J350" s="15">
        <v>36798</v>
      </c>
      <c r="K350" s="137">
        <v>5.5312576600000003E-2</v>
      </c>
    </row>
    <row r="351" spans="3:11">
      <c r="C351" s="15">
        <v>40248</v>
      </c>
      <c r="D351" s="137">
        <v>0.65681393619999995</v>
      </c>
      <c r="E351" s="20">
        <f>VLOOKUP(CurrentMtgRatesDataTable825[[#This Row],[asofdate]],J:K,2,0)</f>
        <v>1.18532042E-2</v>
      </c>
      <c r="F351" s="23">
        <f ca="1">VLOOKUP(CurrentMtgRatesDataTable825[[#This Row],[asofdate]]+1,Bloomberg!B:C,2,0)</f>
        <v>2847.2</v>
      </c>
      <c r="I351" s="137"/>
      <c r="J351" s="15">
        <v>36805</v>
      </c>
      <c r="K351" s="137">
        <v>7.6061086800000011E-2</v>
      </c>
    </row>
    <row r="352" spans="3:11">
      <c r="C352" s="15">
        <v>40241</v>
      </c>
      <c r="D352" s="137">
        <v>0.64074062669999998</v>
      </c>
      <c r="E352" s="20">
        <f>VLOOKUP(CurrentMtgRatesDataTable825[[#This Row],[asofdate]],J:K,2,0)</f>
        <v>8.0942342999999993E-3</v>
      </c>
      <c r="F352" s="23">
        <f ca="1">VLOOKUP(CurrentMtgRatesDataTable825[[#This Row],[asofdate]]+1,Bloomberg!B:C,2,0)</f>
        <v>2937.6</v>
      </c>
      <c r="I352" s="137"/>
      <c r="J352" s="15">
        <v>36812</v>
      </c>
      <c r="K352" s="137">
        <v>7.4653779599999998E-2</v>
      </c>
    </row>
    <row r="353" spans="3:11">
      <c r="C353" s="15">
        <v>40234</v>
      </c>
      <c r="D353" s="137">
        <v>0.61413878499999996</v>
      </c>
      <c r="E353" s="20">
        <f>VLOOKUP(CurrentMtgRatesDataTable825[[#This Row],[asofdate]],J:K,2,0)</f>
        <v>2.6490880000000001E-4</v>
      </c>
      <c r="F353" s="23">
        <f ca="1">VLOOKUP(CurrentMtgRatesDataTable825[[#This Row],[asofdate]]+1,Bloomberg!B:C,2,0)</f>
        <v>2971.5</v>
      </c>
      <c r="I353" s="137"/>
      <c r="J353" s="15">
        <v>36819</v>
      </c>
      <c r="K353" s="137">
        <v>8.3103362799999997E-2</v>
      </c>
    </row>
    <row r="354" spans="3:11">
      <c r="C354" s="15">
        <v>40227</v>
      </c>
      <c r="D354" s="137">
        <v>0.68641483309999995</v>
      </c>
      <c r="E354" s="20">
        <f>VLOOKUP(CurrentMtgRatesDataTable825[[#This Row],[asofdate]],J:K,2,0)</f>
        <v>1.5519953899999999E-2</v>
      </c>
      <c r="F354" s="23">
        <f ca="1">VLOOKUP(CurrentMtgRatesDataTable825[[#This Row],[asofdate]]+1,Bloomberg!B:C,2,0)</f>
        <v>2474.9</v>
      </c>
      <c r="I354" s="137"/>
      <c r="J354" s="15">
        <v>36826</v>
      </c>
      <c r="K354" s="137">
        <v>0.1065925905</v>
      </c>
    </row>
    <row r="355" spans="3:11">
      <c r="C355" s="15">
        <v>40220</v>
      </c>
      <c r="D355" s="137">
        <v>0.65499093070000003</v>
      </c>
      <c r="E355" s="20">
        <f>VLOOKUP(CurrentMtgRatesDataTable825[[#This Row],[asofdate]],J:K,2,0)</f>
        <v>7.9416000999999996E-3</v>
      </c>
      <c r="F355" s="23">
        <f ca="1">VLOOKUP(CurrentMtgRatesDataTable825[[#This Row],[asofdate]]+1,Bloomberg!B:C,2,0)</f>
        <v>2781.2</v>
      </c>
      <c r="I355" s="137"/>
      <c r="J355" s="15">
        <v>36833</v>
      </c>
      <c r="K355" s="137">
        <v>0.1122717991</v>
      </c>
    </row>
    <row r="356" spans="3:11">
      <c r="C356" s="15">
        <v>40213</v>
      </c>
      <c r="D356" s="137">
        <v>0.63505398229999999</v>
      </c>
      <c r="E356" s="20">
        <f>VLOOKUP(CurrentMtgRatesDataTable825[[#This Row],[asofdate]],J:K,2,0)</f>
        <v>1.5017113999999999E-3</v>
      </c>
      <c r="F356" s="23">
        <f ca="1">VLOOKUP(CurrentMtgRatesDataTable825[[#This Row],[asofdate]]+1,Bloomberg!B:C,2,0)</f>
        <v>2807.8</v>
      </c>
      <c r="I356" s="137"/>
      <c r="J356" s="15">
        <v>36840</v>
      </c>
      <c r="K356" s="137">
        <v>0.1018922627</v>
      </c>
    </row>
    <row r="357" spans="3:11">
      <c r="C357" s="15">
        <v>40206</v>
      </c>
      <c r="D357" s="137">
        <v>0.68432757779999998</v>
      </c>
      <c r="E357" s="20">
        <f>VLOOKUP(CurrentMtgRatesDataTable825[[#This Row],[asofdate]],J:K,2,0)</f>
        <v>7.3673740000000003E-3</v>
      </c>
      <c r="F357" s="23">
        <f ca="1">VLOOKUP(CurrentMtgRatesDataTable825[[#This Row],[asofdate]]+1,Bloomberg!B:C,2,0)</f>
        <v>2763.6</v>
      </c>
      <c r="I357" s="137"/>
      <c r="J357" s="15">
        <v>36847</v>
      </c>
      <c r="K357" s="137">
        <v>0.11191752570000001</v>
      </c>
    </row>
    <row r="358" spans="3:11">
      <c r="C358" s="15">
        <v>40199</v>
      </c>
      <c r="D358" s="137">
        <v>0.66395755720000005</v>
      </c>
      <c r="E358" s="20">
        <f>VLOOKUP(CurrentMtgRatesDataTable825[[#This Row],[asofdate]],J:K,2,0)</f>
        <v>7.3323073999999999E-3</v>
      </c>
      <c r="F358" s="23">
        <f ca="1">VLOOKUP(CurrentMtgRatesDataTable825[[#This Row],[asofdate]]+1,Bloomberg!B:C,2,0)</f>
        <v>2192.1</v>
      </c>
      <c r="I358" s="137"/>
      <c r="J358" s="15">
        <v>36854</v>
      </c>
      <c r="K358" s="137">
        <v>0.11191752570000001</v>
      </c>
    </row>
    <row r="359" spans="3:11">
      <c r="C359" s="15">
        <v>40192</v>
      </c>
      <c r="D359" s="137">
        <v>0.62543256140000003</v>
      </c>
      <c r="E359" s="20">
        <f>VLOOKUP(CurrentMtgRatesDataTable825[[#This Row],[asofdate]],J:K,2,0)</f>
        <v>5.125997E-4</v>
      </c>
      <c r="F359" s="23">
        <f ca="1">VLOOKUP(CurrentMtgRatesDataTable825[[#This Row],[asofdate]]+1,Bloomberg!B:C,2,0)</f>
        <v>2638.2</v>
      </c>
      <c r="I359" s="137"/>
      <c r="J359" s="15">
        <v>36861</v>
      </c>
      <c r="K359" s="137">
        <v>0.13807214779999999</v>
      </c>
    </row>
    <row r="360" spans="3:11">
      <c r="C360" s="15">
        <v>40185</v>
      </c>
      <c r="D360" s="137">
        <v>0.60621552560000003</v>
      </c>
      <c r="E360" s="20">
        <f>VLOOKUP(CurrentMtgRatesDataTable825[[#This Row],[asofdate]],J:K,2,0)</f>
        <v>3.354365E-4</v>
      </c>
      <c r="F360" s="23">
        <f ca="1">VLOOKUP(CurrentMtgRatesDataTable825[[#This Row],[asofdate]]+1,Bloomberg!B:C,2,0)</f>
        <v>2430</v>
      </c>
      <c r="I360" s="137"/>
      <c r="J360" s="15">
        <v>36868</v>
      </c>
      <c r="K360" s="137">
        <v>0.1508736718</v>
      </c>
    </row>
    <row r="361" spans="3:11">
      <c r="C361" s="15">
        <v>40178</v>
      </c>
      <c r="D361" s="137">
        <v>0.58858815880000004</v>
      </c>
      <c r="E361" s="20">
        <f>VLOOKUP(CurrentMtgRatesDataTable825[[#This Row],[asofdate]],J:K,2,0)</f>
        <v>1.3941899999999999E-5</v>
      </c>
      <c r="F361" s="23">
        <f ca="1">VLOOKUP(CurrentMtgRatesDataTable825[[#This Row],[asofdate]]+1,Bloomberg!B:C,2,0)</f>
        <v>2021.1</v>
      </c>
      <c r="I361" s="137"/>
      <c r="J361" s="15">
        <v>36875</v>
      </c>
      <c r="K361" s="137">
        <v>0.17112518360000001</v>
      </c>
    </row>
    <row r="362" spans="3:11">
      <c r="C362" s="15">
        <v>40171</v>
      </c>
      <c r="D362" s="137">
        <v>0.64531897579999997</v>
      </c>
      <c r="E362" s="20">
        <f>VLOOKUP(CurrentMtgRatesDataTable825[[#This Row],[asofdate]],J:K,2,0)</f>
        <v>7.6324699999999999E-4</v>
      </c>
      <c r="F362" s="23">
        <f ca="1">VLOOKUP(CurrentMtgRatesDataTable825[[#This Row],[asofdate]]+1,Bloomberg!B:C,2,0)</f>
        <v>2038.4</v>
      </c>
      <c r="I362" s="137"/>
      <c r="J362" s="15">
        <v>36882</v>
      </c>
      <c r="K362" s="137">
        <v>0.20199305249999999</v>
      </c>
    </row>
    <row r="363" spans="3:11">
      <c r="C363" s="15">
        <v>40164</v>
      </c>
      <c r="D363" s="137">
        <v>0.71195240599999998</v>
      </c>
      <c r="E363" s="20">
        <f>VLOOKUP(CurrentMtgRatesDataTable825[[#This Row],[asofdate]],J:K,2,0)</f>
        <v>1.26402865E-2</v>
      </c>
      <c r="F363" s="23">
        <f ca="1">VLOOKUP(CurrentMtgRatesDataTable825[[#This Row],[asofdate]]+1,Bloomberg!B:C,2,0)</f>
        <v>2988.7</v>
      </c>
      <c r="I363" s="137"/>
      <c r="J363" s="15">
        <v>36889</v>
      </c>
      <c r="K363" s="137">
        <v>0.20601654659999999</v>
      </c>
    </row>
    <row r="364" spans="3:11">
      <c r="C364" s="15">
        <v>40157</v>
      </c>
      <c r="D364" s="137">
        <v>0.77762352670000001</v>
      </c>
      <c r="E364" s="20">
        <f>VLOOKUP(CurrentMtgRatesDataTable825[[#This Row],[asofdate]],J:K,2,0)</f>
        <v>0.77487696129999994</v>
      </c>
      <c r="F364" s="23">
        <f ca="1">VLOOKUP(CurrentMtgRatesDataTable825[[#This Row],[asofdate]]+1,Bloomberg!B:C,2,0)</f>
        <v>3354</v>
      </c>
      <c r="I364" s="137"/>
      <c r="J364" s="15">
        <v>36896</v>
      </c>
      <c r="K364" s="137">
        <v>0.22645914980000001</v>
      </c>
    </row>
    <row r="365" spans="3:11">
      <c r="C365" s="15">
        <v>40150</v>
      </c>
      <c r="D365" s="137">
        <v>0.79405461349999995</v>
      </c>
      <c r="E365" s="20">
        <f>VLOOKUP(CurrentMtgRatesDataTable825[[#This Row],[asofdate]],J:K,2,0)</f>
        <v>0.79182101829999996</v>
      </c>
      <c r="F365" s="23">
        <f ca="1">VLOOKUP(CurrentMtgRatesDataTable825[[#This Row],[asofdate]]+1,Bloomberg!B:C,2,0)</f>
        <v>3312.7</v>
      </c>
      <c r="I365" s="137"/>
      <c r="J365" s="15">
        <v>36903</v>
      </c>
      <c r="K365" s="137">
        <v>0.25699256459999997</v>
      </c>
    </row>
    <row r="366" spans="3:11">
      <c r="C366" s="15">
        <v>40142</v>
      </c>
      <c r="D366" s="137">
        <v>0.78805376930000004</v>
      </c>
      <c r="E366" s="20">
        <f>VLOOKUP(CurrentMtgRatesDataTable825[[#This Row],[asofdate]],J:K,2,0)</f>
        <v>0.78926948910000005</v>
      </c>
      <c r="F366" s="23" t="e">
        <f ca="1">VLOOKUP(CurrentMtgRatesDataTable825[[#This Row],[asofdate]]+1,Bloomberg!B:C,2,0)</f>
        <v>#N/A</v>
      </c>
      <c r="I366" s="137"/>
      <c r="J366" s="15">
        <v>36910</v>
      </c>
      <c r="K366" s="137">
        <v>0.2345948457</v>
      </c>
    </row>
    <row r="367" spans="3:11">
      <c r="C367" s="15">
        <v>40136</v>
      </c>
      <c r="D367" s="137">
        <v>0.77244808050000002</v>
      </c>
      <c r="E367" s="20">
        <f>VLOOKUP(CurrentMtgRatesDataTable825[[#This Row],[asofdate]],J:K,2,0)</f>
        <v>0.77043178379999999</v>
      </c>
      <c r="F367" s="23">
        <f ca="1">VLOOKUP(CurrentMtgRatesDataTable825[[#This Row],[asofdate]]+1,Bloomberg!B:C,2,0)</f>
        <v>2815.1</v>
      </c>
      <c r="I367" s="137"/>
      <c r="J367" s="15">
        <v>36917</v>
      </c>
      <c r="K367" s="137">
        <v>0.22034103050000001</v>
      </c>
    </row>
    <row r="368" spans="3:11">
      <c r="C368" s="15">
        <v>40129</v>
      </c>
      <c r="D368" s="137">
        <v>0.73860401099999995</v>
      </c>
      <c r="E368" s="20">
        <f>VLOOKUP(CurrentMtgRatesDataTable825[[#This Row],[asofdate]],J:K,2,0)</f>
        <v>0.747663572</v>
      </c>
      <c r="F368" s="23">
        <f ca="1">VLOOKUP(CurrentMtgRatesDataTable825[[#This Row],[asofdate]]+1,Bloomberg!B:C,2,0)</f>
        <v>3117</v>
      </c>
      <c r="I368" s="137"/>
      <c r="J368" s="15">
        <v>36924</v>
      </c>
      <c r="K368" s="137">
        <v>0.23606411710000003</v>
      </c>
    </row>
    <row r="369" spans="3:11">
      <c r="C369" s="15">
        <v>40122</v>
      </c>
      <c r="D369" s="137">
        <v>0.69334613379999999</v>
      </c>
      <c r="E369" s="20">
        <f>VLOOKUP(CurrentMtgRatesDataTable825[[#This Row],[asofdate]],J:K,2,0)</f>
        <v>9.4062940000000008E-3</v>
      </c>
      <c r="F369" s="23">
        <f ca="1">VLOOKUP(CurrentMtgRatesDataTable825[[#This Row],[asofdate]]+1,Bloomberg!B:C,2,0)</f>
        <v>2996</v>
      </c>
      <c r="I369" s="137"/>
      <c r="J369" s="15">
        <v>36931</v>
      </c>
      <c r="K369" s="137">
        <v>0.25185900259999999</v>
      </c>
    </row>
    <row r="370" spans="3:11">
      <c r="C370" s="15">
        <v>40115</v>
      </c>
      <c r="D370" s="137">
        <v>0.68194236509999995</v>
      </c>
      <c r="E370" s="20">
        <f>VLOOKUP(CurrentMtgRatesDataTable825[[#This Row],[asofdate]],J:K,2,0)</f>
        <v>4.9326667000000003E-3</v>
      </c>
      <c r="F370" s="23">
        <f ca="1">VLOOKUP(CurrentMtgRatesDataTable825[[#This Row],[asofdate]]+1,Bloomberg!B:C,2,0)</f>
        <v>2715.2</v>
      </c>
      <c r="I370" s="137"/>
      <c r="J370" s="15">
        <v>36938</v>
      </c>
      <c r="K370" s="137">
        <v>0.24963972779999999</v>
      </c>
    </row>
    <row r="371" spans="3:11">
      <c r="C371" s="15">
        <v>40108</v>
      </c>
      <c r="D371" s="137">
        <v>0.70027208269999996</v>
      </c>
      <c r="E371" s="20">
        <f>VLOOKUP(CurrentMtgRatesDataTable825[[#This Row],[asofdate]],J:K,2,0)</f>
        <v>8.2292375999999997E-3</v>
      </c>
      <c r="F371" s="23">
        <f ca="1">VLOOKUP(CurrentMtgRatesDataTable825[[#This Row],[asofdate]]+1,Bloomberg!B:C,2,0)</f>
        <v>2304</v>
      </c>
      <c r="I371" s="137"/>
      <c r="J371" s="15">
        <v>36945</v>
      </c>
      <c r="K371" s="137">
        <v>0.2357738855</v>
      </c>
    </row>
    <row r="372" spans="3:11">
      <c r="C372" s="15">
        <v>40101</v>
      </c>
      <c r="D372" s="137">
        <v>0.74934790669999995</v>
      </c>
      <c r="E372" s="20">
        <f>VLOOKUP(CurrentMtgRatesDataTable825[[#This Row],[asofdate]],J:K,2,0)</f>
        <v>0.76839137859999995</v>
      </c>
      <c r="F372" s="23">
        <f ca="1">VLOOKUP(CurrentMtgRatesDataTable825[[#This Row],[asofdate]]+1,Bloomberg!B:C,2,0)</f>
        <v>2774.7</v>
      </c>
      <c r="I372" s="137"/>
      <c r="J372" s="15">
        <v>36952</v>
      </c>
      <c r="K372" s="137">
        <v>0.25943978550000002</v>
      </c>
    </row>
    <row r="373" spans="3:11">
      <c r="C373" s="15">
        <v>40094</v>
      </c>
      <c r="D373" s="137">
        <v>0.77259198549999997</v>
      </c>
      <c r="E373" s="20">
        <f>VLOOKUP(CurrentMtgRatesDataTable825[[#This Row],[asofdate]],J:K,2,0)</f>
        <v>0.79045908549999999</v>
      </c>
      <c r="F373" s="23">
        <f ca="1">VLOOKUP(CurrentMtgRatesDataTable825[[#This Row],[asofdate]]+1,Bloomberg!B:C,2,0)</f>
        <v>3280.3</v>
      </c>
      <c r="I373" s="137"/>
      <c r="J373" s="15">
        <v>36959</v>
      </c>
      <c r="K373" s="137">
        <v>0.2684356591</v>
      </c>
    </row>
    <row r="374" spans="3:11">
      <c r="C374" s="15">
        <v>40087</v>
      </c>
      <c r="D374" s="137">
        <v>0.73905376229999997</v>
      </c>
      <c r="E374" s="20">
        <f>VLOOKUP(CurrentMtgRatesDataTable825[[#This Row],[asofdate]],J:K,2,0)</f>
        <v>0.76420351740000003</v>
      </c>
      <c r="F374" s="23">
        <f ca="1">VLOOKUP(CurrentMtgRatesDataTable825[[#This Row],[asofdate]]+1,Bloomberg!B:C,2,0)</f>
        <v>3230.9</v>
      </c>
      <c r="I374" s="137"/>
      <c r="J374" s="15">
        <v>36966</v>
      </c>
      <c r="K374" s="137">
        <v>0.27133337439999999</v>
      </c>
    </row>
    <row r="375" spans="3:11">
      <c r="C375" s="15">
        <v>40080</v>
      </c>
      <c r="D375" s="137">
        <v>0.7101193495</v>
      </c>
      <c r="E375" s="20">
        <f>VLOOKUP(CurrentMtgRatesDataTable825[[#This Row],[asofdate]],J:K,2,0)</f>
        <v>1.51329173E-2</v>
      </c>
      <c r="F375" s="23">
        <f ca="1">VLOOKUP(CurrentMtgRatesDataTable825[[#This Row],[asofdate]]+1,Bloomberg!B:C,2,0)</f>
        <v>2655.8</v>
      </c>
      <c r="I375" s="137"/>
      <c r="J375" s="15">
        <v>36973</v>
      </c>
      <c r="K375" s="137">
        <v>0.27725762139999999</v>
      </c>
    </row>
    <row r="376" spans="3:11">
      <c r="C376" s="15">
        <v>40073</v>
      </c>
      <c r="D376" s="137">
        <v>0.69825520549999998</v>
      </c>
      <c r="E376" s="20">
        <f>VLOOKUP(CurrentMtgRatesDataTable825[[#This Row],[asofdate]],J:K,2,0)</f>
        <v>9.0398625000000007E-3</v>
      </c>
      <c r="F376" s="23">
        <f ca="1">VLOOKUP(CurrentMtgRatesDataTable825[[#This Row],[asofdate]]+1,Bloomberg!B:C,2,0)</f>
        <v>2632.2</v>
      </c>
      <c r="I376" s="137"/>
      <c r="J376" s="15">
        <v>36980</v>
      </c>
      <c r="K376" s="137">
        <v>0.27740108699999999</v>
      </c>
    </row>
    <row r="377" spans="3:11">
      <c r="C377" s="15">
        <v>40066</v>
      </c>
      <c r="D377" s="137">
        <v>0.68080495220000004</v>
      </c>
      <c r="E377" s="20">
        <f>VLOOKUP(CurrentMtgRatesDataTable825[[#This Row],[asofdate]],J:K,2,0)</f>
        <v>9.0105779000000004E-3</v>
      </c>
      <c r="F377" s="23">
        <f ca="1">VLOOKUP(CurrentMtgRatesDataTable825[[#This Row],[asofdate]]+1,Bloomberg!B:C,2,0)</f>
        <v>2216.3000000000002</v>
      </c>
      <c r="I377" s="137"/>
      <c r="J377" s="15">
        <v>36987</v>
      </c>
      <c r="K377" s="137">
        <v>0.26196089140000001</v>
      </c>
    </row>
    <row r="378" spans="3:11">
      <c r="C378" s="15">
        <v>40059</v>
      </c>
      <c r="D378" s="137">
        <v>0.67081675360000004</v>
      </c>
      <c r="E378" s="20">
        <f>VLOOKUP(CurrentMtgRatesDataTable825[[#This Row],[asofdate]],J:K,2,0)</f>
        <v>7.4750987999999997E-3</v>
      </c>
      <c r="F378" s="23">
        <f ca="1">VLOOKUP(CurrentMtgRatesDataTable825[[#This Row],[asofdate]]+1,Bloomberg!B:C,2,0)</f>
        <v>2383.6999999999998</v>
      </c>
      <c r="I378" s="137"/>
      <c r="J378" s="15">
        <v>36994</v>
      </c>
      <c r="K378" s="137">
        <v>0.25990332389999998</v>
      </c>
    </row>
    <row r="379" spans="3:11">
      <c r="C379" s="15">
        <v>40052</v>
      </c>
      <c r="D379" s="137">
        <v>0.65629975750000002</v>
      </c>
      <c r="E379" s="20">
        <f>VLOOKUP(CurrentMtgRatesDataTable825[[#This Row],[asofdate]],J:K,2,0)</f>
        <v>3.8280061000000002E-3</v>
      </c>
      <c r="F379" s="23">
        <f ca="1">VLOOKUP(CurrentMtgRatesDataTable825[[#This Row],[asofdate]]+1,Bloomberg!B:C,2,0)</f>
        <v>1955.9</v>
      </c>
      <c r="I379" s="137"/>
      <c r="J379" s="15">
        <v>37001</v>
      </c>
      <c r="K379" s="137">
        <v>1.05431073E-2</v>
      </c>
    </row>
    <row r="380" spans="3:11">
      <c r="C380" s="15">
        <v>40045</v>
      </c>
      <c r="D380" s="137">
        <v>0.67752276570000003</v>
      </c>
      <c r="E380" s="20">
        <f>VLOOKUP(CurrentMtgRatesDataTable825[[#This Row],[asofdate]],J:K,2,0)</f>
        <v>6.7441365000000001E-3</v>
      </c>
      <c r="F380" s="23">
        <f ca="1">VLOOKUP(CurrentMtgRatesDataTable825[[#This Row],[asofdate]]+1,Bloomberg!B:C,2,0)</f>
        <v>1983.2</v>
      </c>
      <c r="I380" s="137"/>
      <c r="J380" s="15">
        <v>37008</v>
      </c>
      <c r="K380" s="137">
        <v>1.0538066800000001E-2</v>
      </c>
    </row>
    <row r="381" spans="3:11">
      <c r="C381" s="15">
        <v>40038</v>
      </c>
      <c r="D381" s="137">
        <v>0.56350972649999997</v>
      </c>
      <c r="E381" s="20">
        <f>VLOOKUP(CurrentMtgRatesDataTable825[[#This Row],[asofdate]],J:K,2,0)</f>
        <v>1.407658E-3</v>
      </c>
      <c r="F381" s="23">
        <f ca="1">VLOOKUP(CurrentMtgRatesDataTable825[[#This Row],[asofdate]]+1,Bloomberg!B:C,2,0)</f>
        <v>1782.2</v>
      </c>
      <c r="I381" s="137"/>
      <c r="J381" s="15">
        <v>37015</v>
      </c>
      <c r="K381" s="137">
        <v>1.48844752E-2</v>
      </c>
    </row>
    <row r="382" spans="3:11">
      <c r="C382" s="15">
        <v>40031</v>
      </c>
      <c r="D382" s="137">
        <v>0.62840261080000004</v>
      </c>
      <c r="E382" s="20">
        <f>VLOOKUP(CurrentMtgRatesDataTable825[[#This Row],[asofdate]],J:K,2,0)</f>
        <v>3.6532496000000001E-3</v>
      </c>
      <c r="F382" s="23">
        <f ca="1">VLOOKUP(CurrentMtgRatesDataTable825[[#This Row],[asofdate]]+1,Bloomberg!B:C,2,0)</f>
        <v>1659.1</v>
      </c>
      <c r="I382" s="137"/>
      <c r="J382" s="15">
        <v>37022</v>
      </c>
      <c r="K382" s="137">
        <v>0.24330014830000002</v>
      </c>
    </row>
    <row r="383" spans="3:11">
      <c r="C383" s="15">
        <v>40024</v>
      </c>
      <c r="D383" s="137">
        <v>0.63187604159999999</v>
      </c>
      <c r="E383" s="20">
        <f>VLOOKUP(CurrentMtgRatesDataTable825[[#This Row],[asofdate]],J:K,2,0)</f>
        <v>2.0640286000000001E-3</v>
      </c>
      <c r="F383" s="23">
        <f ca="1">VLOOKUP(CurrentMtgRatesDataTable825[[#This Row],[asofdate]]+1,Bloomberg!B:C,2,0)</f>
        <v>1826</v>
      </c>
      <c r="I383" s="137"/>
      <c r="J383" s="15">
        <v>37029</v>
      </c>
      <c r="K383" s="137">
        <v>4.3329505999999997E-3</v>
      </c>
    </row>
    <row r="384" spans="3:11">
      <c r="C384" s="15">
        <v>40017</v>
      </c>
      <c r="D384" s="137">
        <v>0.65469587100000004</v>
      </c>
      <c r="E384" s="20">
        <f>VLOOKUP(CurrentMtgRatesDataTable825[[#This Row],[asofdate]],J:K,2,0)</f>
        <v>2.4396846999999999E-3</v>
      </c>
      <c r="F384" s="23">
        <f ca="1">VLOOKUP(CurrentMtgRatesDataTable825[[#This Row],[asofdate]]+1,Bloomberg!B:C,2,0)</f>
        <v>1702.7</v>
      </c>
      <c r="I384" s="137"/>
      <c r="J384" s="15">
        <v>37036</v>
      </c>
      <c r="K384" s="137">
        <v>3.7505239999999999E-3</v>
      </c>
    </row>
    <row r="385" spans="3:11">
      <c r="C385" s="15">
        <v>40010</v>
      </c>
      <c r="D385" s="137">
        <v>0.68774564520000003</v>
      </c>
      <c r="E385" s="20">
        <f>VLOOKUP(CurrentMtgRatesDataTable825[[#This Row],[asofdate]],J:K,2,0)</f>
        <v>4.5963966000000002E-3</v>
      </c>
      <c r="F385" s="23">
        <f ca="1">VLOOKUP(CurrentMtgRatesDataTable825[[#This Row],[asofdate]]+1,Bloomberg!B:C,2,0)</f>
        <v>1982.8</v>
      </c>
      <c r="I385" s="137"/>
      <c r="J385" s="15">
        <v>37043</v>
      </c>
      <c r="K385" s="137">
        <v>3.7161288999999998E-3</v>
      </c>
    </row>
    <row r="386" spans="3:11">
      <c r="C386" s="15">
        <v>40003</v>
      </c>
      <c r="D386" s="137">
        <v>0.65469587100000004</v>
      </c>
      <c r="E386" s="20">
        <f>VLOOKUP(CurrentMtgRatesDataTable825[[#This Row],[asofdate]],J:K,2,0)</f>
        <v>2.4396846999999999E-3</v>
      </c>
      <c r="F386" s="23">
        <f ca="1">VLOOKUP(CurrentMtgRatesDataTable825[[#This Row],[asofdate]]+1,Bloomberg!B:C,2,0)</f>
        <v>1915.5</v>
      </c>
      <c r="I386" s="137"/>
      <c r="J386" s="15">
        <v>37050</v>
      </c>
      <c r="K386" s="137">
        <v>3.8466009999999998E-3</v>
      </c>
    </row>
    <row r="387" spans="3:11">
      <c r="C387" s="15">
        <v>39996</v>
      </c>
      <c r="D387" s="137">
        <v>0.56899485500000002</v>
      </c>
      <c r="E387" s="20">
        <f>VLOOKUP(CurrentMtgRatesDataTable825[[#This Row],[asofdate]],J:K,2,0)</f>
        <v>1.6449741E-3</v>
      </c>
      <c r="F387" s="23">
        <f ca="1">VLOOKUP(CurrentMtgRatesDataTable825[[#This Row],[asofdate]]+1,Bloomberg!B:C,2,0)</f>
        <v>1583.5</v>
      </c>
      <c r="I387" s="137"/>
      <c r="J387" s="15">
        <v>37057</v>
      </c>
      <c r="K387" s="137">
        <v>9.1746502000000004E-3</v>
      </c>
    </row>
    <row r="388" spans="3:11">
      <c r="C388" s="15">
        <v>39989</v>
      </c>
      <c r="D388" s="137">
        <v>0.5060874809</v>
      </c>
      <c r="E388" s="20">
        <f>VLOOKUP(CurrentMtgRatesDataTable825[[#This Row],[asofdate]],J:K,2,0)</f>
        <v>4.422645E-4</v>
      </c>
      <c r="F388" s="23">
        <f ca="1">VLOOKUP(CurrentMtgRatesDataTable825[[#This Row],[asofdate]]+1,Bloomberg!B:C,2,0)</f>
        <v>1328.1</v>
      </c>
      <c r="I388" s="137"/>
      <c r="J388" s="15">
        <v>37064</v>
      </c>
      <c r="K388" s="137">
        <v>1.99622289E-2</v>
      </c>
    </row>
    <row r="389" spans="3:11">
      <c r="C389" s="15">
        <v>39982</v>
      </c>
      <c r="D389" s="137">
        <v>0.5459267511</v>
      </c>
      <c r="E389" s="20">
        <f>VLOOKUP(CurrentMtgRatesDataTable825[[#This Row],[asofdate]],J:K,2,0)</f>
        <v>5.4072379999999995E-4</v>
      </c>
      <c r="F389" s="23">
        <f ca="1">VLOOKUP(CurrentMtgRatesDataTable825[[#This Row],[asofdate]]+1,Bloomberg!B:C,2,0)</f>
        <v>1504.6</v>
      </c>
      <c r="I389" s="137"/>
      <c r="J389" s="15">
        <v>37071</v>
      </c>
      <c r="K389" s="137">
        <v>9.1897816000000004E-3</v>
      </c>
    </row>
    <row r="390" spans="3:11">
      <c r="C390" s="15">
        <v>39975</v>
      </c>
      <c r="D390" s="137">
        <v>0.3809668907</v>
      </c>
      <c r="E390" s="20">
        <f>VLOOKUP(CurrentMtgRatesDataTable825[[#This Row],[asofdate]],J:K,2,0)</f>
        <v>2.6793020000000001E-4</v>
      </c>
      <c r="F390" s="23">
        <f ca="1">VLOOKUP(CurrentMtgRatesDataTable825[[#This Row],[asofdate]]+1,Bloomberg!B:C,2,0)</f>
        <v>1482.7</v>
      </c>
      <c r="I390" s="137"/>
      <c r="J390" s="15">
        <v>37078</v>
      </c>
      <c r="K390" s="137">
        <v>7.6662579999999996E-3</v>
      </c>
    </row>
    <row r="391" spans="3:11">
      <c r="C391" s="15">
        <v>39968</v>
      </c>
      <c r="D391" s="137">
        <v>0.61185159430000002</v>
      </c>
      <c r="E391" s="20">
        <f>VLOOKUP(CurrentMtgRatesDataTable825[[#This Row],[asofdate]],J:K,2,0)</f>
        <v>6.9875139999999998E-4</v>
      </c>
      <c r="F391" s="23">
        <f ca="1">VLOOKUP(CurrentMtgRatesDataTable825[[#This Row],[asofdate]]+1,Bloomberg!B:C,2,0)</f>
        <v>2156.5</v>
      </c>
      <c r="I391" s="137"/>
      <c r="J391" s="15">
        <v>37085</v>
      </c>
      <c r="K391" s="137">
        <v>7.4465182999999997E-3</v>
      </c>
    </row>
    <row r="392" spans="3:11">
      <c r="C392" s="15">
        <v>39961</v>
      </c>
      <c r="D392" s="137">
        <v>0.89171080709999995</v>
      </c>
      <c r="E392" s="20">
        <f>VLOOKUP(CurrentMtgRatesDataTable825[[#This Row],[asofdate]],J:K,2,0)</f>
        <v>0.91703471479999998</v>
      </c>
      <c r="F392" s="23">
        <f ca="1">VLOOKUP(CurrentMtgRatesDataTable825[[#This Row],[asofdate]]+1,Bloomberg!B:C,2,0)</f>
        <v>2583</v>
      </c>
      <c r="I392" s="137"/>
      <c r="J392" s="15">
        <v>37092</v>
      </c>
      <c r="K392" s="137">
        <v>0.23126785729999999</v>
      </c>
    </row>
    <row r="393" spans="3:11">
      <c r="C393" s="15">
        <v>39954</v>
      </c>
      <c r="D393" s="137">
        <v>0.91709385860000003</v>
      </c>
      <c r="E393" s="20">
        <f>VLOOKUP(CurrentMtgRatesDataTable825[[#This Row],[asofdate]],J:K,2,0)</f>
        <v>0.95023078650000004</v>
      </c>
      <c r="F393" s="23">
        <f ca="1">VLOOKUP(CurrentMtgRatesDataTable825[[#This Row],[asofdate]]+1,Bloomberg!B:C,2,0)</f>
        <v>3590.1</v>
      </c>
      <c r="I393" s="137"/>
      <c r="J393" s="15">
        <v>37099</v>
      </c>
      <c r="K393" s="137">
        <v>0.23700079499999999</v>
      </c>
    </row>
    <row r="394" spans="3:11">
      <c r="C394" s="15">
        <v>39947</v>
      </c>
      <c r="D394" s="137">
        <v>0.90920854770000004</v>
      </c>
      <c r="E394" s="20">
        <f>VLOOKUP(CurrentMtgRatesDataTable825[[#This Row],[asofdate]],J:K,2,0)</f>
        <v>0.9382895819</v>
      </c>
      <c r="F394" s="23">
        <f ca="1">VLOOKUP(CurrentMtgRatesDataTable825[[#This Row],[asofdate]]+1,Bloomberg!B:C,2,0)</f>
        <v>4586.2</v>
      </c>
      <c r="I394" s="137"/>
      <c r="J394" s="15">
        <v>37106</v>
      </c>
      <c r="K394" s="137">
        <v>0.23606688060000003</v>
      </c>
    </row>
    <row r="395" spans="3:11">
      <c r="C395" s="15">
        <v>39940</v>
      </c>
      <c r="D395" s="137">
        <v>0.90879210379999997</v>
      </c>
      <c r="E395" s="20">
        <f>VLOOKUP(CurrentMtgRatesDataTable825[[#This Row],[asofdate]],J:K,2,0)</f>
        <v>0.93819680849999998</v>
      </c>
      <c r="F395" s="23">
        <f ca="1">VLOOKUP(CurrentMtgRatesDataTable825[[#This Row],[asofdate]]+1,Bloomberg!B:C,2,0)</f>
        <v>4353.1000000000004</v>
      </c>
      <c r="I395" s="137"/>
      <c r="J395" s="15">
        <v>37113</v>
      </c>
      <c r="K395" s="137">
        <v>0.23606688060000003</v>
      </c>
    </row>
    <row r="396" spans="3:11">
      <c r="C396" s="15">
        <v>39933</v>
      </c>
      <c r="D396" s="137">
        <v>0.95820903840000005</v>
      </c>
      <c r="E396" s="20">
        <f>VLOOKUP(CurrentMtgRatesDataTable825[[#This Row],[asofdate]],J:K,2,0)</f>
        <v>0.96773525760000001</v>
      </c>
      <c r="F396" s="23">
        <f ca="1">VLOOKUP(CurrentMtgRatesDataTable825[[#This Row],[asofdate]]+1,Bloomberg!B:C,2,0)</f>
        <v>5084.2</v>
      </c>
      <c r="I396" s="137"/>
      <c r="J396" s="15">
        <v>37120</v>
      </c>
      <c r="K396" s="137">
        <v>0.25629608650000002</v>
      </c>
    </row>
    <row r="397" spans="3:11">
      <c r="C397" s="15">
        <v>39926</v>
      </c>
      <c r="D397" s="137">
        <v>0.95465763439999995</v>
      </c>
      <c r="E397" s="20">
        <f>VLOOKUP(CurrentMtgRatesDataTable825[[#This Row],[asofdate]],J:K,2,0)</f>
        <v>0.96668307070000004</v>
      </c>
      <c r="F397" s="23">
        <f ca="1">VLOOKUP(CurrentMtgRatesDataTable825[[#This Row],[asofdate]]+1,Bloomberg!B:C,2,0)</f>
        <v>4957.8999999999996</v>
      </c>
      <c r="I397" s="137"/>
      <c r="J397" s="15">
        <v>37127</v>
      </c>
      <c r="K397" s="137">
        <v>0.25943285030000002</v>
      </c>
    </row>
    <row r="398" spans="3:11">
      <c r="C398" s="15">
        <v>39919</v>
      </c>
      <c r="D398" s="137">
        <v>0.95712912230000002</v>
      </c>
      <c r="E398" s="20">
        <f>VLOOKUP(CurrentMtgRatesDataTable825[[#This Row],[asofdate]],J:K,2,0)</f>
        <v>0.96711362749999996</v>
      </c>
      <c r="F398" s="23">
        <f ca="1">VLOOKUP(CurrentMtgRatesDataTable825[[#This Row],[asofdate]]+1,Bloomberg!B:C,2,0)</f>
        <v>6547.2</v>
      </c>
      <c r="I398" s="137"/>
      <c r="J398" s="15">
        <v>37134</v>
      </c>
      <c r="K398" s="137">
        <v>0.25629608650000002</v>
      </c>
    </row>
    <row r="399" spans="3:11">
      <c r="C399" s="15">
        <v>39912</v>
      </c>
      <c r="D399" s="137">
        <v>0.94094154419999998</v>
      </c>
      <c r="E399" s="20">
        <f>VLOOKUP(CurrentMtgRatesDataTable825[[#This Row],[asofdate]],J:K,2,0)</f>
        <v>0.9513298858</v>
      </c>
      <c r="F399" s="23">
        <f ca="1">VLOOKUP(CurrentMtgRatesDataTable825[[#This Row],[asofdate]]+1,Bloomberg!B:C,2,0)</f>
        <v>6127.3</v>
      </c>
      <c r="I399" s="137"/>
      <c r="J399" s="15">
        <v>37141</v>
      </c>
      <c r="K399" s="137">
        <v>0.27067009860000002</v>
      </c>
    </row>
    <row r="400" spans="3:11">
      <c r="C400" s="15">
        <v>39905</v>
      </c>
      <c r="D400" s="137">
        <v>0.95820903840000005</v>
      </c>
      <c r="E400" s="20">
        <f>VLOOKUP(CurrentMtgRatesDataTable825[[#This Row],[asofdate]],J:K,2,0)</f>
        <v>0.96773525760000001</v>
      </c>
      <c r="F400" s="23">
        <f ca="1">VLOOKUP(CurrentMtgRatesDataTable825[[#This Row],[asofdate]]+1,Bloomberg!B:C,2,0)</f>
        <v>6734.2</v>
      </c>
      <c r="I400" s="137"/>
      <c r="J400" s="15">
        <v>37148</v>
      </c>
      <c r="K400" s="137">
        <v>0.27494429869999998</v>
      </c>
    </row>
    <row r="401" spans="3:11">
      <c r="C401" s="15">
        <v>39898</v>
      </c>
      <c r="D401" s="137">
        <v>0.95896771780000001</v>
      </c>
      <c r="E401" s="20">
        <f>VLOOKUP(CurrentMtgRatesDataTable825[[#This Row],[asofdate]],J:K,2,0)</f>
        <v>0.95662482240000002</v>
      </c>
      <c r="F401" s="23">
        <f ca="1">VLOOKUP(CurrentMtgRatesDataTable825[[#This Row],[asofdate]]+1,Bloomberg!B:C,2,0)</f>
        <v>6522</v>
      </c>
      <c r="I401" s="137"/>
      <c r="J401" s="15">
        <v>37155</v>
      </c>
      <c r="K401" s="137">
        <v>0.29340046180000001</v>
      </c>
    </row>
    <row r="402" spans="3:11">
      <c r="C402" s="15">
        <v>39891</v>
      </c>
      <c r="D402" s="137">
        <v>0.90097231310000003</v>
      </c>
      <c r="E402" s="20">
        <f>VLOOKUP(CurrentMtgRatesDataTable825[[#This Row],[asofdate]],J:K,2,0)</f>
        <v>0.89907836969999999</v>
      </c>
      <c r="F402" s="23">
        <f ca="1">VLOOKUP(CurrentMtgRatesDataTable825[[#This Row],[asofdate]]+1,Bloomberg!B:C,2,0)</f>
        <v>6374.7</v>
      </c>
      <c r="I402" s="137"/>
      <c r="J402" s="15">
        <v>37162</v>
      </c>
      <c r="K402" s="137">
        <v>0.57732034629999995</v>
      </c>
    </row>
    <row r="403" spans="3:11">
      <c r="C403" s="15">
        <v>39884</v>
      </c>
      <c r="D403" s="137">
        <v>0.87167889590000014</v>
      </c>
      <c r="E403" s="20">
        <f>VLOOKUP(CurrentMtgRatesDataTable825[[#This Row],[asofdate]],J:K,2,0)</f>
        <v>0.86873115099999998</v>
      </c>
      <c r="F403" s="23">
        <f ca="1">VLOOKUP(CurrentMtgRatesDataTable825[[#This Row],[asofdate]]+1,Bloomberg!B:C,2,0)</f>
        <v>4428.1000000000004</v>
      </c>
      <c r="I403" s="137"/>
      <c r="J403" s="15">
        <v>37169</v>
      </c>
      <c r="K403" s="137">
        <v>0.69206599680000003</v>
      </c>
    </row>
    <row r="404" spans="3:11">
      <c r="C404" s="15">
        <v>39877</v>
      </c>
      <c r="D404" s="137">
        <v>0.78597676670000005</v>
      </c>
      <c r="E404" s="20">
        <f>VLOOKUP(CurrentMtgRatesDataTable825[[#This Row],[asofdate]],J:K,2,0)</f>
        <v>0.78969731409999999</v>
      </c>
      <c r="F404" s="23">
        <f ca="1">VLOOKUP(CurrentMtgRatesDataTable825[[#This Row],[asofdate]]+1,Bloomberg!B:C,2,0)</f>
        <v>3352.8</v>
      </c>
      <c r="I404" s="137"/>
      <c r="J404" s="15">
        <v>37176</v>
      </c>
      <c r="K404" s="137">
        <v>0.75924082849999996</v>
      </c>
    </row>
    <row r="405" spans="3:11">
      <c r="C405" s="15">
        <v>39870</v>
      </c>
      <c r="D405" s="137">
        <v>0.85195386939999995</v>
      </c>
      <c r="E405" s="20">
        <f>VLOOKUP(CurrentMtgRatesDataTable825[[#This Row],[asofdate]],J:K,2,0)</f>
        <v>0.85325570760000002</v>
      </c>
      <c r="F405" s="23">
        <f ca="1">VLOOKUP(CurrentMtgRatesDataTable825[[#This Row],[asofdate]]+1,Bloomberg!B:C,2,0)</f>
        <v>2945.5</v>
      </c>
      <c r="I405" s="137"/>
      <c r="J405" s="15">
        <v>37183</v>
      </c>
      <c r="K405" s="137">
        <v>0.69514611969999995</v>
      </c>
    </row>
    <row r="406" spans="3:11">
      <c r="C406" s="15">
        <v>39863</v>
      </c>
      <c r="D406" s="137">
        <v>0.87232807749999997</v>
      </c>
      <c r="E406" s="20">
        <f>VLOOKUP(CurrentMtgRatesDataTable825[[#This Row],[asofdate]],J:K,2,0)</f>
        <v>0.86630603630000003</v>
      </c>
      <c r="F406" s="23">
        <f ca="1">VLOOKUP(CurrentMtgRatesDataTable825[[#This Row],[asofdate]]+1,Bloomberg!B:C,2,0)</f>
        <v>3531.5</v>
      </c>
      <c r="I406" s="137"/>
      <c r="J406" s="15">
        <v>37190</v>
      </c>
      <c r="K406" s="137">
        <v>0.69206599680000003</v>
      </c>
    </row>
    <row r="407" spans="3:11">
      <c r="C407" s="15">
        <v>39856</v>
      </c>
      <c r="D407" s="137">
        <v>0.78575978540000002</v>
      </c>
      <c r="E407" s="20">
        <f>VLOOKUP(CurrentMtgRatesDataTable825[[#This Row],[asofdate]],J:K,2,0)</f>
        <v>0.78832157729999996</v>
      </c>
      <c r="F407" s="23">
        <f ca="1">VLOOKUP(CurrentMtgRatesDataTable825[[#This Row],[asofdate]]+1,Bloomberg!B:C,2,0)</f>
        <v>4564.5</v>
      </c>
      <c r="I407" s="137"/>
      <c r="J407" s="15">
        <v>37197</v>
      </c>
      <c r="K407" s="137">
        <v>0.77350413520000005</v>
      </c>
    </row>
    <row r="408" spans="3:11">
      <c r="C408" s="15">
        <v>39849</v>
      </c>
      <c r="D408" s="137">
        <v>0.69855204130000004</v>
      </c>
      <c r="E408" s="20">
        <f>VLOOKUP(CurrentMtgRatesDataTable825[[#This Row],[asofdate]],J:K,2,0)</f>
        <v>0.69663565689999996</v>
      </c>
      <c r="F408" s="23">
        <f ca="1">VLOOKUP(CurrentMtgRatesDataTable825[[#This Row],[asofdate]]+1,Bloomberg!B:C,2,0)</f>
        <v>2611.1</v>
      </c>
      <c r="I408" s="137"/>
      <c r="J408" s="15">
        <v>37204</v>
      </c>
      <c r="K408" s="137">
        <v>0.85462935200000001</v>
      </c>
    </row>
    <row r="409" spans="3:11">
      <c r="C409" s="15">
        <v>39842</v>
      </c>
      <c r="D409" s="137">
        <v>0.83006388230000006</v>
      </c>
      <c r="E409" s="20">
        <f>VLOOKUP(CurrentMtgRatesDataTable825[[#This Row],[asofdate]],J:K,2,0)</f>
        <v>0.83093630070000002</v>
      </c>
      <c r="F409" s="23">
        <f ca="1">VLOOKUP(CurrentMtgRatesDataTable825[[#This Row],[asofdate]]+1,Bloomberg!B:C,2,0)</f>
        <v>3871.3</v>
      </c>
      <c r="I409" s="137"/>
      <c r="J409" s="15">
        <v>37211</v>
      </c>
      <c r="K409" s="137">
        <v>0.80653220240000001</v>
      </c>
    </row>
    <row r="410" spans="3:11">
      <c r="C410" s="15">
        <v>39835</v>
      </c>
      <c r="D410" s="137">
        <v>0.82036723730000005</v>
      </c>
      <c r="E410" s="20">
        <f>VLOOKUP(CurrentMtgRatesDataTable825[[#This Row],[asofdate]],J:K,2,0)</f>
        <v>0.82580071769999996</v>
      </c>
      <c r="F410" s="23">
        <f ca="1">VLOOKUP(CurrentMtgRatesDataTable825[[#This Row],[asofdate]]+1,Bloomberg!B:C,2,0)</f>
        <v>3300.6</v>
      </c>
      <c r="I410" s="137"/>
      <c r="J410" s="15">
        <v>37218</v>
      </c>
      <c r="K410" s="137">
        <v>0.31759692940000001</v>
      </c>
    </row>
    <row r="411" spans="3:11">
      <c r="C411" s="15">
        <v>39828</v>
      </c>
      <c r="D411" s="137">
        <v>0.91919160860000004</v>
      </c>
      <c r="E411" s="20">
        <f>VLOOKUP(CurrentMtgRatesDataTable825[[#This Row],[asofdate]],J:K,2,0)</f>
        <v>0.91180757339999996</v>
      </c>
      <c r="F411" s="23">
        <f ca="1">VLOOKUP(CurrentMtgRatesDataTable825[[#This Row],[asofdate]]+1,Bloomberg!B:C,2,0)</f>
        <v>6768.6</v>
      </c>
      <c r="I411" s="137"/>
      <c r="J411" s="15">
        <v>37225</v>
      </c>
      <c r="K411" s="137">
        <v>9.9974972999999998E-3</v>
      </c>
    </row>
    <row r="412" spans="3:11">
      <c r="C412" s="15">
        <v>39821</v>
      </c>
      <c r="D412" s="137">
        <v>0.90231511019999999</v>
      </c>
      <c r="E412" s="20">
        <f>VLOOKUP(CurrentMtgRatesDataTable825[[#This Row],[asofdate]],J:K,2,0)</f>
        <v>0.89735601710000001</v>
      </c>
      <c r="F412" s="23">
        <f ca="1">VLOOKUP(CurrentMtgRatesDataTable825[[#This Row],[asofdate]]+1,Bloomberg!B:C,2,0)</f>
        <v>7842.7</v>
      </c>
      <c r="I412" s="137"/>
      <c r="J412" s="15">
        <v>37232</v>
      </c>
      <c r="K412" s="137">
        <v>0.2830033018</v>
      </c>
    </row>
    <row r="413" spans="3:11">
      <c r="C413" s="15">
        <v>39813</v>
      </c>
      <c r="D413" s="137">
        <v>0.83297072390000004</v>
      </c>
      <c r="E413" s="20">
        <f>VLOOKUP(CurrentMtgRatesDataTable825[[#This Row],[asofdate]],J:K,2,0)</f>
        <v>0.83225440230000003</v>
      </c>
      <c r="F413" s="23" t="e">
        <f ca="1">VLOOKUP(CurrentMtgRatesDataTable825[[#This Row],[asofdate]]+1,Bloomberg!B:C,2,0)</f>
        <v>#N/A</v>
      </c>
      <c r="I413" s="137"/>
      <c r="J413" s="15">
        <v>37239</v>
      </c>
      <c r="K413" s="137">
        <v>3.8952348999999999E-3</v>
      </c>
    </row>
    <row r="414" spans="3:11">
      <c r="C414" s="15">
        <v>39806</v>
      </c>
      <c r="D414" s="137">
        <v>0.78653316220000002</v>
      </c>
      <c r="E414" s="20">
        <f>VLOOKUP(CurrentMtgRatesDataTable825[[#This Row],[asofdate]],J:K,2,0)</f>
        <v>0.78993674390000002</v>
      </c>
      <c r="F414" s="23" t="e">
        <f ca="1">VLOOKUP(CurrentMtgRatesDataTable825[[#This Row],[asofdate]]+1,Bloomberg!B:C,2,0)</f>
        <v>#N/A</v>
      </c>
      <c r="I414" s="137"/>
      <c r="J414" s="15">
        <v>37246</v>
      </c>
      <c r="K414" s="137">
        <v>3.3853634999999999E-3</v>
      </c>
    </row>
    <row r="415" spans="3:11">
      <c r="C415" s="15">
        <v>39800</v>
      </c>
      <c r="D415" s="137">
        <v>0.77118219460000004</v>
      </c>
      <c r="E415" s="20">
        <f>VLOOKUP(CurrentMtgRatesDataTable825[[#This Row],[asofdate]],J:K,2,0)</f>
        <v>0.78361411790000002</v>
      </c>
      <c r="F415" s="23">
        <f ca="1">VLOOKUP(CurrentMtgRatesDataTable825[[#This Row],[asofdate]]+1,Bloomberg!B:C,2,0)</f>
        <v>7098.9</v>
      </c>
      <c r="I415" s="137"/>
      <c r="J415" s="15">
        <v>37253</v>
      </c>
      <c r="K415" s="137">
        <v>3.2916696999999999E-3</v>
      </c>
    </row>
    <row r="416" spans="3:11">
      <c r="C416" s="15">
        <v>39793</v>
      </c>
      <c r="D416" s="137">
        <v>0.53032542419999995</v>
      </c>
      <c r="E416" s="20">
        <f>VLOOKUP(CurrentMtgRatesDataTable825[[#This Row],[asofdate]],J:K,2,0)</f>
        <v>0.54517550680000004</v>
      </c>
      <c r="F416" s="23">
        <f ca="1">VLOOKUP(CurrentMtgRatesDataTable825[[#This Row],[asofdate]]+1,Bloomberg!B:C,2,0)</f>
        <v>4013.2</v>
      </c>
      <c r="I416" s="137"/>
      <c r="J416" s="15">
        <v>37260</v>
      </c>
      <c r="K416" s="137">
        <v>5.6437689999999999E-3</v>
      </c>
    </row>
    <row r="417" spans="3:11">
      <c r="C417" s="15">
        <v>39786</v>
      </c>
      <c r="D417" s="137">
        <v>0.47551961080000005</v>
      </c>
      <c r="E417" s="20">
        <f>VLOOKUP(CurrentMtgRatesDataTable825[[#This Row],[asofdate]],J:K,2,0)</f>
        <v>0.4238442993</v>
      </c>
      <c r="F417" s="23">
        <f ca="1">VLOOKUP(CurrentMtgRatesDataTable825[[#This Row],[asofdate]]+1,Bloomberg!B:C,2,0)</f>
        <v>3746.9</v>
      </c>
      <c r="I417" s="137"/>
      <c r="J417" s="15">
        <v>37267</v>
      </c>
      <c r="K417" s="137">
        <v>6.4130580000000001E-3</v>
      </c>
    </row>
    <row r="418" spans="3:11">
      <c r="C418" s="15">
        <v>39778</v>
      </c>
      <c r="D418" s="137">
        <v>0.20538005379999999</v>
      </c>
      <c r="E418" s="20">
        <f>VLOOKUP(CurrentMtgRatesDataTable825[[#This Row],[asofdate]],J:K,2,0)</f>
        <v>2.9545367900000001E-2</v>
      </c>
      <c r="F418" s="23" t="e">
        <f ca="1">VLOOKUP(CurrentMtgRatesDataTable825[[#This Row],[asofdate]]+1,Bloomberg!B:C,2,0)</f>
        <v>#N/A</v>
      </c>
      <c r="I418" s="137"/>
      <c r="J418" s="15">
        <v>37274</v>
      </c>
      <c r="K418" s="137">
        <v>0.2747450461</v>
      </c>
    </row>
    <row r="419" spans="3:11">
      <c r="C419" s="15">
        <v>39772</v>
      </c>
      <c r="D419" s="137">
        <v>0.17988953639999999</v>
      </c>
      <c r="E419" s="20">
        <f>VLOOKUP(CurrentMtgRatesDataTable825[[#This Row],[asofdate]],J:K,2,0)</f>
        <v>2.1773385499999999E-2</v>
      </c>
      <c r="F419" s="23">
        <f ca="1">VLOOKUP(CurrentMtgRatesDataTable825[[#This Row],[asofdate]]+1,Bloomberg!B:C,2,0)</f>
        <v>896.8</v>
      </c>
      <c r="I419" s="137"/>
      <c r="J419" s="15">
        <v>37281</v>
      </c>
      <c r="K419" s="137">
        <v>9.8849194000000008E-3</v>
      </c>
    </row>
    <row r="420" spans="3:11">
      <c r="C420" s="15">
        <v>39765</v>
      </c>
      <c r="D420" s="137">
        <v>0.1469548068</v>
      </c>
      <c r="E420" s="20">
        <f>VLOOKUP(CurrentMtgRatesDataTable825[[#This Row],[asofdate]],J:K,2,0)</f>
        <v>1.49714459E-2</v>
      </c>
      <c r="F420" s="23">
        <f ca="1">VLOOKUP(CurrentMtgRatesDataTable825[[#This Row],[asofdate]]+1,Bloomberg!B:C,2,0)</f>
        <v>927.3</v>
      </c>
      <c r="I420" s="137"/>
      <c r="J420" s="15">
        <v>37288</v>
      </c>
      <c r="K420" s="137">
        <v>1.05445122E-2</v>
      </c>
    </row>
    <row r="421" spans="3:11">
      <c r="C421" s="15">
        <v>39758</v>
      </c>
      <c r="D421" s="137">
        <v>0.13712845730000001</v>
      </c>
      <c r="E421" s="20">
        <f>VLOOKUP(CurrentMtgRatesDataTable825[[#This Row],[asofdate]],J:K,2,0)</f>
        <v>1.3662998900000001E-2</v>
      </c>
      <c r="F421" s="23">
        <f ca="1">VLOOKUP(CurrentMtgRatesDataTable825[[#This Row],[asofdate]]+1,Bloomberg!B:C,2,0)</f>
        <v>907.7</v>
      </c>
      <c r="I421" s="137"/>
      <c r="J421" s="15">
        <v>37295</v>
      </c>
      <c r="K421" s="137">
        <v>0.24831433320000001</v>
      </c>
    </row>
    <row r="422" spans="3:11">
      <c r="C422" s="15">
        <v>39751</v>
      </c>
      <c r="D422" s="137">
        <v>8.2001154000000007E-2</v>
      </c>
      <c r="E422" s="20">
        <f>VLOOKUP(CurrentMtgRatesDataTable825[[#This Row],[asofdate]],J:K,2,0)</f>
        <v>2.0620106000000002E-3</v>
      </c>
      <c r="F422" s="23">
        <f ca="1">VLOOKUP(CurrentMtgRatesDataTable825[[#This Row],[asofdate]]+1,Bloomberg!B:C,2,0)</f>
        <v>688.8</v>
      </c>
      <c r="I422" s="137"/>
      <c r="J422" s="15">
        <v>37302</v>
      </c>
      <c r="K422" s="137">
        <v>0.25044859679999998</v>
      </c>
    </row>
    <row r="423" spans="3:11">
      <c r="C423" s="15">
        <v>39744</v>
      </c>
      <c r="D423" s="137">
        <v>0.1852401991</v>
      </c>
      <c r="E423" s="20">
        <f>VLOOKUP(CurrentMtgRatesDataTable825[[#This Row],[asofdate]],J:K,2,0)</f>
        <v>1.7940324800000001E-2</v>
      </c>
      <c r="F423" s="23">
        <f ca="1">VLOOKUP(CurrentMtgRatesDataTable825[[#This Row],[asofdate]]+1,Bloomberg!B:C,2,0)</f>
        <v>1135.5999999999999</v>
      </c>
      <c r="I423" s="137"/>
      <c r="J423" s="15">
        <v>37309</v>
      </c>
      <c r="K423" s="137">
        <v>0.27022381829999997</v>
      </c>
    </row>
    <row r="424" spans="3:11">
      <c r="C424" s="15">
        <v>39737</v>
      </c>
      <c r="D424" s="137">
        <v>8.7419545000000001E-2</v>
      </c>
      <c r="E424" s="20">
        <f>VLOOKUP(CurrentMtgRatesDataTable825[[#This Row],[asofdate]],J:K,2,0)</f>
        <v>2.1092658000000002E-3</v>
      </c>
      <c r="F424" s="23">
        <f ca="1">VLOOKUP(CurrentMtgRatesDataTable825[[#This Row],[asofdate]]+1,Bloomberg!B:C,2,0)</f>
        <v>798</v>
      </c>
      <c r="I424" s="137"/>
      <c r="J424" s="15">
        <v>37316</v>
      </c>
      <c r="K424" s="137">
        <v>0.25957472780000002</v>
      </c>
    </row>
    <row r="425" spans="3:11">
      <c r="C425" s="15">
        <v>39730</v>
      </c>
      <c r="D425" s="137">
        <v>0.23372308580000001</v>
      </c>
      <c r="E425" s="20">
        <f>VLOOKUP(CurrentMtgRatesDataTable825[[#This Row],[asofdate]],J:K,2,0)</f>
        <v>4.1625742200000003E-2</v>
      </c>
      <c r="F425" s="23">
        <f ca="1">VLOOKUP(CurrentMtgRatesDataTable825[[#This Row],[asofdate]]+1,Bloomberg!B:C,2,0)</f>
        <v>1190.8</v>
      </c>
      <c r="I425" s="137"/>
      <c r="J425" s="15">
        <v>37323</v>
      </c>
      <c r="K425" s="137">
        <v>1.17028108E-2</v>
      </c>
    </row>
    <row r="426" spans="3:11">
      <c r="C426" s="15">
        <v>39723</v>
      </c>
      <c r="D426" s="137">
        <v>0.1677361312</v>
      </c>
      <c r="E426" s="20">
        <f>VLOOKUP(CurrentMtgRatesDataTable825[[#This Row],[asofdate]],J:K,2,0)</f>
        <v>1.6478596700000001E-2</v>
      </c>
      <c r="F426" s="23">
        <f ca="1">VLOOKUP(CurrentMtgRatesDataTable825[[#This Row],[asofdate]]+1,Bloomberg!B:C,2,0)</f>
        <v>999.6</v>
      </c>
      <c r="I426" s="137"/>
      <c r="J426" s="15">
        <v>37330</v>
      </c>
      <c r="K426" s="137">
        <v>4.6452934999999997E-3</v>
      </c>
    </row>
    <row r="427" spans="3:11">
      <c r="C427" s="15">
        <v>39716</v>
      </c>
      <c r="D427" s="137">
        <v>0.16268158369999999</v>
      </c>
      <c r="E427" s="20">
        <f>VLOOKUP(CurrentMtgRatesDataTable825[[#This Row],[asofdate]],J:K,2,0)</f>
        <v>1.33154169E-2</v>
      </c>
      <c r="F427" s="23">
        <f ca="1">VLOOKUP(CurrentMtgRatesDataTable825[[#This Row],[asofdate]]+1,Bloomberg!B:C,2,0)</f>
        <v>1026</v>
      </c>
      <c r="I427" s="137"/>
      <c r="J427" s="15">
        <v>37337</v>
      </c>
      <c r="K427" s="137">
        <v>4.4198403000000001E-3</v>
      </c>
    </row>
    <row r="428" spans="3:11">
      <c r="C428" s="15">
        <v>39709</v>
      </c>
      <c r="D428" s="137">
        <v>0.33812670979999998</v>
      </c>
      <c r="E428" s="20">
        <f>VLOOKUP(CurrentMtgRatesDataTable825[[#This Row],[asofdate]],J:K,2,0)</f>
        <v>0.29699088080000002</v>
      </c>
      <c r="F428" s="23">
        <f ca="1">VLOOKUP(CurrentMtgRatesDataTable825[[#This Row],[asofdate]]+1,Bloomberg!B:C,2,0)</f>
        <v>1756.8</v>
      </c>
      <c r="I428" s="137"/>
      <c r="J428" s="15">
        <v>37344</v>
      </c>
      <c r="K428" s="137">
        <v>1.6274212000000001E-3</v>
      </c>
    </row>
    <row r="429" spans="3:11">
      <c r="C429" s="15">
        <v>39702</v>
      </c>
      <c r="D429" s="137">
        <v>0.22375450559999999</v>
      </c>
      <c r="E429" s="20">
        <f>VLOOKUP(CurrentMtgRatesDataTable825[[#This Row],[asofdate]],J:K,2,0)</f>
        <v>0.2034955198</v>
      </c>
      <c r="F429" s="23">
        <f ca="1">VLOOKUP(CurrentMtgRatesDataTable825[[#This Row],[asofdate]]+1,Bloomberg!B:C,2,0)</f>
        <v>2068.5</v>
      </c>
      <c r="I429" s="137"/>
      <c r="J429" s="15">
        <v>37351</v>
      </c>
      <c r="K429" s="137">
        <v>6.6053431000000001E-3</v>
      </c>
    </row>
    <row r="430" spans="3:11">
      <c r="C430" s="15">
        <v>39695</v>
      </c>
      <c r="D430" s="137">
        <v>0.1017859443</v>
      </c>
      <c r="E430" s="20">
        <f>VLOOKUP(CurrentMtgRatesDataTable825[[#This Row],[asofdate]],J:K,2,0)</f>
        <v>5.6994957000000004E-3</v>
      </c>
      <c r="F430" s="23">
        <f ca="1">VLOOKUP(CurrentMtgRatesDataTable825[[#This Row],[asofdate]]+1,Bloomberg!B:C,2,0)</f>
        <v>998.3</v>
      </c>
      <c r="I430" s="137"/>
      <c r="J430" s="15">
        <v>37358</v>
      </c>
      <c r="K430" s="137">
        <v>1.07460165E-2</v>
      </c>
    </row>
    <row r="431" spans="3:11">
      <c r="C431" s="15">
        <v>39688</v>
      </c>
      <c r="D431" s="137">
        <v>9.9715127299999998E-2</v>
      </c>
      <c r="E431" s="20">
        <f>VLOOKUP(CurrentMtgRatesDataTable825[[#This Row],[asofdate]],J:K,2,0)</f>
        <v>4.3470202000000001E-3</v>
      </c>
      <c r="F431" s="23">
        <f ca="1">VLOOKUP(CurrentMtgRatesDataTable825[[#This Row],[asofdate]]+1,Bloomberg!B:C,2,0)</f>
        <v>825</v>
      </c>
      <c r="I431" s="137"/>
      <c r="J431" s="15">
        <v>37365</v>
      </c>
      <c r="K431" s="137">
        <v>1.53449676E-2</v>
      </c>
    </row>
    <row r="432" spans="3:11">
      <c r="C432" s="15">
        <v>39681</v>
      </c>
      <c r="D432" s="137">
        <v>8.1784477600000002E-2</v>
      </c>
      <c r="E432" s="20">
        <f>VLOOKUP(CurrentMtgRatesDataTable825[[#This Row],[asofdate]],J:K,2,0)</f>
        <v>3.5366915E-3</v>
      </c>
      <c r="F432" s="23">
        <f ca="1">VLOOKUP(CurrentMtgRatesDataTable825[[#This Row],[asofdate]]+1,Bloomberg!B:C,2,0)</f>
        <v>793.9</v>
      </c>
      <c r="I432" s="137"/>
      <c r="J432" s="15">
        <v>37372</v>
      </c>
      <c r="K432" s="137">
        <v>1.66981189E-2</v>
      </c>
    </row>
    <row r="433" spans="3:11">
      <c r="C433" s="15">
        <v>39674</v>
      </c>
      <c r="D433" s="137">
        <v>7.6992391699999996E-2</v>
      </c>
      <c r="E433" s="20">
        <f>VLOOKUP(CurrentMtgRatesDataTable825[[#This Row],[asofdate]],J:K,2,0)</f>
        <v>1.1530172E-3</v>
      </c>
      <c r="F433" s="23">
        <f ca="1">VLOOKUP(CurrentMtgRatesDataTable825[[#This Row],[asofdate]]+1,Bloomberg!B:C,2,0)</f>
        <v>815.2</v>
      </c>
      <c r="I433" s="137"/>
      <c r="J433" s="15">
        <v>37379</v>
      </c>
      <c r="K433" s="137">
        <v>0.2532556815</v>
      </c>
    </row>
    <row r="434" spans="3:11">
      <c r="C434" s="15">
        <v>39667</v>
      </c>
      <c r="D434" s="137">
        <v>7.6992391699999996E-2</v>
      </c>
      <c r="E434" s="20">
        <f>VLOOKUP(CurrentMtgRatesDataTable825[[#This Row],[asofdate]],J:K,2,0)</f>
        <v>1.1530172E-3</v>
      </c>
      <c r="F434" s="23">
        <f ca="1">VLOOKUP(CurrentMtgRatesDataTable825[[#This Row],[asofdate]]+1,Bloomberg!B:C,2,0)</f>
        <v>853.1</v>
      </c>
      <c r="I434" s="137"/>
      <c r="J434" s="15">
        <v>37386</v>
      </c>
      <c r="K434" s="137">
        <v>0.24634597559999999</v>
      </c>
    </row>
    <row r="435" spans="3:11">
      <c r="C435" s="15">
        <v>39660</v>
      </c>
      <c r="D435" s="137">
        <v>7.8223039200000011E-2</v>
      </c>
      <c r="E435" s="20">
        <f>VLOOKUP(CurrentMtgRatesDataTable825[[#This Row],[asofdate]],J:K,2,0)</f>
        <v>1.5464712000000001E-3</v>
      </c>
      <c r="F435" s="23">
        <f ca="1">VLOOKUP(CurrentMtgRatesDataTable825[[#This Row],[asofdate]]+1,Bloomberg!B:C,2,0)</f>
        <v>897.7</v>
      </c>
      <c r="I435" s="137"/>
      <c r="J435" s="15">
        <v>37393</v>
      </c>
      <c r="K435" s="137">
        <v>1.6416604800000002E-2</v>
      </c>
    </row>
    <row r="436" spans="3:11">
      <c r="C436" s="15">
        <v>39653</v>
      </c>
      <c r="D436" s="137">
        <v>6.4039119199999994E-2</v>
      </c>
      <c r="E436" s="20">
        <f>VLOOKUP(CurrentMtgRatesDataTable825[[#This Row],[asofdate]],J:K,2,0)</f>
        <v>1.2603665999999999E-3</v>
      </c>
      <c r="F436" s="23">
        <f ca="1">VLOOKUP(CurrentMtgRatesDataTable825[[#This Row],[asofdate]]+1,Bloomberg!B:C,2,0)</f>
        <v>874.1</v>
      </c>
      <c r="I436" s="137"/>
      <c r="J436" s="15">
        <v>37400</v>
      </c>
      <c r="K436" s="137">
        <v>3.1282087E-2</v>
      </c>
    </row>
    <row r="437" spans="3:11">
      <c r="C437" s="15">
        <v>39646</v>
      </c>
      <c r="D437" s="137">
        <v>0.13065492100000001</v>
      </c>
      <c r="E437" s="20">
        <f>VLOOKUP(CurrentMtgRatesDataTable825[[#This Row],[asofdate]],J:K,2,0)</f>
        <v>5.1440979000000001E-3</v>
      </c>
      <c r="F437" s="23">
        <f ca="1">VLOOKUP(CurrentMtgRatesDataTable825[[#This Row],[asofdate]]+1,Bloomberg!B:C,2,0)</f>
        <v>1213.9000000000001</v>
      </c>
      <c r="I437" s="137"/>
      <c r="J437" s="15">
        <v>37407</v>
      </c>
      <c r="K437" s="137">
        <v>0.24856269460000002</v>
      </c>
    </row>
    <row r="438" spans="3:11">
      <c r="C438" s="15">
        <v>39639</v>
      </c>
      <c r="D438" s="137">
        <v>0.1050142817</v>
      </c>
      <c r="E438" s="20">
        <f>VLOOKUP(CurrentMtgRatesDataTable825[[#This Row],[asofdate]],J:K,2,0)</f>
        <v>4.1558315999999998E-3</v>
      </c>
      <c r="F438" s="23">
        <f ca="1">VLOOKUP(CurrentMtgRatesDataTable825[[#This Row],[asofdate]]+1,Bloomberg!B:C,2,0)</f>
        <v>1270.5999999999999</v>
      </c>
      <c r="I438" s="137"/>
      <c r="J438" s="15">
        <v>37414</v>
      </c>
      <c r="K438" s="137">
        <v>0.48111154890000007</v>
      </c>
    </row>
    <row r="439" spans="3:11">
      <c r="C439" s="15">
        <v>39632</v>
      </c>
      <c r="D439" s="137">
        <v>0.1096612248</v>
      </c>
      <c r="E439" s="20">
        <f>VLOOKUP(CurrentMtgRatesDataTable825[[#This Row],[asofdate]],J:K,2,0)</f>
        <v>4.3317863000000003E-3</v>
      </c>
      <c r="F439" s="23">
        <f ca="1">VLOOKUP(CurrentMtgRatesDataTable825[[#This Row],[asofdate]]+1,Bloomberg!B:C,2,0)</f>
        <v>1166.5</v>
      </c>
      <c r="I439" s="137"/>
      <c r="J439" s="15">
        <v>37421</v>
      </c>
      <c r="K439" s="137">
        <v>0.48111154890000007</v>
      </c>
    </row>
    <row r="440" spans="3:11">
      <c r="C440" s="15">
        <v>39625</v>
      </c>
      <c r="D440" s="137">
        <v>9.3717454800000002E-2</v>
      </c>
      <c r="E440" s="20">
        <f>VLOOKUP(CurrentMtgRatesDataTable825[[#This Row],[asofdate]],J:K,2,0)</f>
        <v>1.0353853999999999E-3</v>
      </c>
      <c r="F440" s="23">
        <f ca="1">VLOOKUP(CurrentMtgRatesDataTable825[[#This Row],[asofdate]]+1,Bloomberg!B:C,2,0)</f>
        <v>1111.3</v>
      </c>
      <c r="I440" s="137"/>
      <c r="J440" s="15">
        <v>37428</v>
      </c>
      <c r="K440" s="137">
        <v>0.63682448059999996</v>
      </c>
    </row>
    <row r="441" spans="3:11">
      <c r="C441" s="15">
        <v>39618</v>
      </c>
      <c r="D441" s="137">
        <v>9.4532943800000005E-2</v>
      </c>
      <c r="E441" s="20">
        <f>VLOOKUP(CurrentMtgRatesDataTable825[[#This Row],[asofdate]],J:K,2,0)</f>
        <v>1.0355873E-3</v>
      </c>
      <c r="F441" s="23">
        <f ca="1">VLOOKUP(CurrentMtgRatesDataTable825[[#This Row],[asofdate]]+1,Bloomberg!B:C,2,0)</f>
        <v>1044.5999999999999</v>
      </c>
      <c r="I441" s="137"/>
      <c r="J441" s="15">
        <v>37435</v>
      </c>
      <c r="K441" s="137">
        <v>0.74738653990000004</v>
      </c>
    </row>
    <row r="442" spans="3:11">
      <c r="C442" s="15">
        <v>39611</v>
      </c>
      <c r="D442" s="137">
        <v>0.1123154383</v>
      </c>
      <c r="E442" s="20">
        <f>VLOOKUP(CurrentMtgRatesDataTable825[[#This Row],[asofdate]],J:K,2,0)</f>
        <v>1.3281057E-3</v>
      </c>
      <c r="F442" s="23">
        <f ca="1">VLOOKUP(CurrentMtgRatesDataTable825[[#This Row],[asofdate]]+1,Bloomberg!B:C,2,0)</f>
        <v>1219.7</v>
      </c>
      <c r="I442" s="137"/>
      <c r="J442" s="15">
        <v>37442</v>
      </c>
      <c r="K442" s="137">
        <v>0.68067584020000005</v>
      </c>
    </row>
    <row r="443" spans="3:11">
      <c r="C443" s="15">
        <v>39604</v>
      </c>
      <c r="D443" s="137">
        <v>0.17810420960000001</v>
      </c>
      <c r="E443" s="20">
        <f>VLOOKUP(CurrentMtgRatesDataTable825[[#This Row],[asofdate]],J:K,2,0)</f>
        <v>6.5142758999999998E-3</v>
      </c>
      <c r="F443" s="23">
        <f ca="1">VLOOKUP(CurrentMtgRatesDataTable825[[#This Row],[asofdate]]+1,Bloomberg!B:C,2,0)</f>
        <v>1477.5</v>
      </c>
      <c r="I443" s="137"/>
      <c r="J443" s="15">
        <v>37449</v>
      </c>
      <c r="K443" s="137">
        <v>0.74807733210000005</v>
      </c>
    </row>
    <row r="444" spans="3:11">
      <c r="C444" s="15">
        <v>39597</v>
      </c>
      <c r="D444" s="137">
        <v>0.18416776970000001</v>
      </c>
      <c r="E444" s="20">
        <f>VLOOKUP(CurrentMtgRatesDataTable825[[#This Row],[asofdate]],J:K,2,0)</f>
        <v>3.8501543999999999E-3</v>
      </c>
      <c r="F444" s="23">
        <f ca="1">VLOOKUP(CurrentMtgRatesDataTable825[[#This Row],[asofdate]]+1,Bloomberg!B:C,2,0)</f>
        <v>1387.8</v>
      </c>
      <c r="I444" s="137"/>
      <c r="J444" s="15">
        <v>37456</v>
      </c>
      <c r="K444" s="137">
        <v>0.75517637999999998</v>
      </c>
    </row>
    <row r="445" spans="3:11">
      <c r="C445" s="15">
        <v>39590</v>
      </c>
      <c r="D445" s="137">
        <v>0.23849039160000002</v>
      </c>
      <c r="E445" s="20">
        <f>VLOOKUP(CurrentMtgRatesDataTable825[[#This Row],[asofdate]],J:K,2,0)</f>
        <v>2.1854756900000001E-2</v>
      </c>
      <c r="F445" s="23">
        <f ca="1">VLOOKUP(CurrentMtgRatesDataTable825[[#This Row],[asofdate]]+1,Bloomberg!B:C,2,0)</f>
        <v>1930.4</v>
      </c>
      <c r="I445" s="137"/>
      <c r="J445" s="15">
        <v>37463</v>
      </c>
      <c r="K445" s="137">
        <v>0.84823702400000001</v>
      </c>
    </row>
    <row r="446" spans="3:11">
      <c r="C446" s="160">
        <v>39583</v>
      </c>
      <c r="D446" s="161">
        <v>0.211388195</v>
      </c>
      <c r="E446" s="162">
        <f>VLOOKUP(CurrentMtgRatesDataTable825[[#This Row],[asofdate]],J:K,2,0)</f>
        <v>1.1820247799999999E-2</v>
      </c>
      <c r="F446" s="163">
        <f ca="1">VLOOKUP(CurrentMtgRatesDataTable825[[#This Row],[asofdate]]+1,Bloomberg!B:C,2,0)</f>
        <v>2135.8000000000002</v>
      </c>
      <c r="I446" s="137"/>
      <c r="J446" s="15">
        <v>37470</v>
      </c>
      <c r="K446" s="137">
        <v>0.77533119340000001</v>
      </c>
    </row>
    <row r="447" spans="3:11">
      <c r="C447" s="160">
        <v>39576</v>
      </c>
      <c r="D447" s="161">
        <v>0.2268172108</v>
      </c>
      <c r="E447" s="162">
        <f>VLOOKUP(CurrentMtgRatesDataTable825[[#This Row],[asofdate]],J:K,2,0)</f>
        <v>2.1851759599999999E-2</v>
      </c>
      <c r="F447" s="163">
        <f ca="1">VLOOKUP(CurrentMtgRatesDataTable825[[#This Row],[asofdate]]+1,Bloomberg!B:C,2,0)</f>
        <v>2388.8000000000002</v>
      </c>
      <c r="I447" s="137"/>
      <c r="J447" s="15">
        <v>37477</v>
      </c>
      <c r="K447" s="137">
        <v>0.8694538128</v>
      </c>
    </row>
    <row r="448" spans="3:11">
      <c r="C448" s="160">
        <v>39569</v>
      </c>
      <c r="D448" s="161">
        <v>0.2021882774</v>
      </c>
      <c r="E448" s="162">
        <f>VLOOKUP(CurrentMtgRatesDataTable825[[#This Row],[asofdate]],J:K,2,0)</f>
        <v>1.1809742200000001E-2</v>
      </c>
      <c r="F448" s="163">
        <f ca="1">VLOOKUP(CurrentMtgRatesDataTable825[[#This Row],[asofdate]]+1,Bloomberg!B:C,2,0)</f>
        <v>2195</v>
      </c>
      <c r="I448" s="137"/>
      <c r="J448" s="15">
        <v>37484</v>
      </c>
      <c r="K448" s="137">
        <v>0.91729215080000004</v>
      </c>
    </row>
    <row r="449" spans="3:11">
      <c r="C449" s="160">
        <v>39562</v>
      </c>
      <c r="D449" s="161">
        <v>0.24588021339999999</v>
      </c>
      <c r="E449" s="162">
        <f>VLOOKUP(CurrentMtgRatesDataTable825[[#This Row],[asofdate]],J:K,2,0)</f>
        <v>0.20767634430000001</v>
      </c>
      <c r="F449" s="163">
        <f ca="1">VLOOKUP(CurrentMtgRatesDataTable825[[#This Row],[asofdate]]+1,Bloomberg!B:C,2,0)</f>
        <v>1809.5</v>
      </c>
      <c r="I449" s="137"/>
      <c r="J449" s="15">
        <v>37491</v>
      </c>
      <c r="K449" s="137">
        <v>0.87373005530000003</v>
      </c>
    </row>
    <row r="450" spans="3:11">
      <c r="C450" s="160">
        <v>39555</v>
      </c>
      <c r="D450" s="161">
        <v>0.32398856120000002</v>
      </c>
      <c r="E450" s="162">
        <f>VLOOKUP(CurrentMtgRatesDataTable825[[#This Row],[asofdate]],J:K,2,0)</f>
        <v>0.26324610580000002</v>
      </c>
      <c r="F450" s="163">
        <f ca="1">VLOOKUP(CurrentMtgRatesDataTable825[[#This Row],[asofdate]]+1,Bloomberg!B:C,2,0)</f>
        <v>2215.6999999999998</v>
      </c>
      <c r="I450" s="137"/>
      <c r="J450" s="15">
        <v>37498</v>
      </c>
      <c r="K450" s="137">
        <v>0.90600108980000005</v>
      </c>
    </row>
    <row r="451" spans="3:11">
      <c r="C451" s="164">
        <v>39548</v>
      </c>
      <c r="D451" s="165">
        <v>0.32398856120000002</v>
      </c>
      <c r="E451" s="166">
        <f>VLOOKUP(CurrentMtgRatesDataTable825[[#This Row],[asofdate]],J:K,2,0)</f>
        <v>0.26324610580000002</v>
      </c>
      <c r="F451" s="167">
        <f ca="1">VLOOKUP(CurrentMtgRatesDataTable825[[#This Row],[asofdate]]+1,Bloomberg!B:C,2,0)</f>
        <v>2880.7</v>
      </c>
      <c r="I451" s="137"/>
      <c r="J451" s="15">
        <v>37505</v>
      </c>
      <c r="K451" s="137">
        <v>0.96608447529999997</v>
      </c>
    </row>
    <row r="452" spans="3:11">
      <c r="C452" s="164">
        <v>39541</v>
      </c>
      <c r="D452" s="165">
        <v>0.30497347089999999</v>
      </c>
      <c r="E452" s="166">
        <f>VLOOKUP(CurrentMtgRatesDataTable825[[#This Row],[asofdate]],J:K,2,0)</f>
        <v>0.24287441949999999</v>
      </c>
      <c r="F452" s="167">
        <f ca="1">VLOOKUP(CurrentMtgRatesDataTable825[[#This Row],[asofdate]]+1,Bloomberg!B:C,2,0)</f>
        <v>2709.1</v>
      </c>
      <c r="I452" s="137"/>
      <c r="J452" s="15">
        <v>37512</v>
      </c>
      <c r="K452" s="137">
        <v>0.93843705970000002</v>
      </c>
    </row>
    <row r="453" spans="3:11">
      <c r="C453" s="164">
        <v>39534</v>
      </c>
      <c r="D453" s="165">
        <v>0.37557161719999999</v>
      </c>
      <c r="E453" s="166">
        <f>VLOOKUP(CurrentMtgRatesDataTable825[[#This Row],[asofdate]],J:K,2,0)</f>
        <v>0.27855394999999999</v>
      </c>
      <c r="F453" s="167">
        <f ca="1">VLOOKUP(CurrentMtgRatesDataTable825[[#This Row],[asofdate]]+1,Bloomberg!B:C,2,0)</f>
        <v>2653.2</v>
      </c>
      <c r="I453" s="137"/>
      <c r="J453" s="15">
        <v>37519</v>
      </c>
      <c r="K453" s="137">
        <v>0.97306957829999996</v>
      </c>
    </row>
    <row r="454" spans="3:11">
      <c r="C454" s="168">
        <v>39527</v>
      </c>
      <c r="D454" s="169">
        <v>0.34568552689999998</v>
      </c>
      <c r="E454" s="170">
        <f>VLOOKUP(CurrentMtgRatesDataTable825[[#This Row],[asofdate]],J:K,2,0)</f>
        <v>0.27596594369999999</v>
      </c>
      <c r="F454" s="171">
        <f ca="1">VLOOKUP(CurrentMtgRatesDataTable825[[#This Row],[asofdate]]+1,Bloomberg!B:C,2,0)</f>
        <v>4468.3999999999996</v>
      </c>
      <c r="I454" s="137"/>
      <c r="J454" s="15">
        <v>37526</v>
      </c>
      <c r="K454" s="137">
        <v>0.98568023589999998</v>
      </c>
    </row>
    <row r="455" spans="3:11">
      <c r="C455" s="172">
        <v>39520</v>
      </c>
      <c r="D455" s="173">
        <v>0.19488334600000001</v>
      </c>
      <c r="E455" s="174">
        <f>VLOOKUP(CurrentMtgRatesDataTable825[[#This Row],[asofdate]],J:K,2,0)</f>
        <v>1.49967391E-2</v>
      </c>
      <c r="F455" s="175">
        <f ca="1">VLOOKUP(CurrentMtgRatesDataTable825[[#This Row],[asofdate]]+1,Bloomberg!B:C,2,0)</f>
        <v>2338.8000000000002</v>
      </c>
      <c r="I455" s="137"/>
      <c r="J455" s="15">
        <v>37533</v>
      </c>
      <c r="K455" s="137">
        <v>0.98501673729999994</v>
      </c>
    </row>
    <row r="456" spans="3:11">
      <c r="C456" s="172">
        <v>39513</v>
      </c>
      <c r="D456" s="173">
        <v>0.24315491440000003</v>
      </c>
      <c r="E456" s="174">
        <f>VLOOKUP(CurrentMtgRatesDataTable825[[#This Row],[asofdate]],J:K,2,0)</f>
        <v>0.20492897060000001</v>
      </c>
      <c r="F456" s="175">
        <f ca="1">VLOOKUP(CurrentMtgRatesDataTable825[[#This Row],[asofdate]]+1,Bloomberg!B:C,2,0)</f>
        <v>2519.4</v>
      </c>
      <c r="I456" s="137"/>
      <c r="J456" s="15">
        <v>37540</v>
      </c>
      <c r="K456" s="137">
        <v>0.98512965490000004</v>
      </c>
    </row>
    <row r="457" spans="3:11">
      <c r="C457" s="172">
        <v>39506</v>
      </c>
      <c r="D457" s="173">
        <v>0.15642699030000001</v>
      </c>
      <c r="E457" s="174">
        <f>VLOOKUP(CurrentMtgRatesDataTable825[[#This Row],[asofdate]],J:K,2,0)</f>
        <v>5.5073624999999998E-3</v>
      </c>
      <c r="F457" s="175">
        <f ca="1">VLOOKUP(CurrentMtgRatesDataTable825[[#This Row],[asofdate]]+1,Bloomberg!B:C,2,0)</f>
        <v>2667.8</v>
      </c>
      <c r="I457" s="137"/>
      <c r="J457" s="15">
        <v>37547</v>
      </c>
      <c r="K457" s="137">
        <v>0.96665382509999997</v>
      </c>
    </row>
    <row r="458" spans="3:11">
      <c r="C458" s="172">
        <v>39499</v>
      </c>
      <c r="D458" s="173">
        <v>0.22457878040000001</v>
      </c>
      <c r="E458" s="174">
        <f>VLOOKUP(CurrentMtgRatesDataTable825[[#This Row],[asofdate]],J:K,2,0)</f>
        <v>0.17051092370000004</v>
      </c>
      <c r="F458" s="175">
        <f ca="1">VLOOKUP(CurrentMtgRatesDataTable825[[#This Row],[asofdate]]+1,Bloomberg!B:C,2,0)</f>
        <v>2571.6</v>
      </c>
      <c r="I458" s="137"/>
      <c r="J458" s="15">
        <v>37554</v>
      </c>
      <c r="K458" s="137">
        <v>0.85066564730000005</v>
      </c>
    </row>
    <row r="459" spans="3:11">
      <c r="C459" s="172">
        <v>39492</v>
      </c>
      <c r="D459" s="173">
        <v>0.46944203969999998</v>
      </c>
      <c r="E459" s="174">
        <f>VLOOKUP(CurrentMtgRatesDataTable825[[#This Row],[asofdate]],J:K,2,0)</f>
        <v>0.33635192619999998</v>
      </c>
      <c r="F459" s="175">
        <f ca="1">VLOOKUP(CurrentMtgRatesDataTable825[[#This Row],[asofdate]]+1,Bloomberg!B:C,2,0)</f>
        <v>3784.1</v>
      </c>
      <c r="I459" s="137"/>
      <c r="J459" s="15">
        <v>37561</v>
      </c>
      <c r="K459" s="137">
        <v>0.95431956090000003</v>
      </c>
    </row>
    <row r="460" spans="3:11">
      <c r="C460" s="177">
        <v>39485</v>
      </c>
      <c r="D460" s="178">
        <v>0.51170011849999997</v>
      </c>
      <c r="E460" s="179">
        <f>VLOOKUP(CurrentMtgRatesDataTable825[[#This Row],[asofdate]],J:K,2,0)</f>
        <v>0.41170641790000001</v>
      </c>
      <c r="F460" s="180">
        <f ca="1">VLOOKUP(CurrentMtgRatesDataTable825[[#This Row],[asofdate]]+1,Bloomberg!B:C,2,0)</f>
        <v>5362.6</v>
      </c>
      <c r="I460" s="137"/>
      <c r="J460" s="15">
        <v>37568</v>
      </c>
      <c r="K460" s="137">
        <v>0.95683937730000002</v>
      </c>
    </row>
    <row r="461" spans="3:11">
      <c r="C461" s="177">
        <v>39478</v>
      </c>
      <c r="D461" s="178">
        <v>0.49813553370000002</v>
      </c>
      <c r="E461" s="179">
        <f>VLOOKUP(CurrentMtgRatesDataTable825[[#This Row],[asofdate]],J:K,2,0)</f>
        <v>0.38285928120000001</v>
      </c>
      <c r="F461" s="180">
        <f ca="1">VLOOKUP(CurrentMtgRatesDataTable825[[#This Row],[asofdate]]+1,Bloomberg!B:C,2,0)</f>
        <v>5523.9</v>
      </c>
      <c r="I461" s="137"/>
      <c r="J461" s="15">
        <v>37575</v>
      </c>
      <c r="K461" s="137">
        <v>0.98072821229999996</v>
      </c>
    </row>
    <row r="462" spans="3:11">
      <c r="C462" s="177">
        <v>39471</v>
      </c>
      <c r="D462" s="178">
        <v>0.68270179529999997</v>
      </c>
      <c r="E462" s="179">
        <f>VLOOKUP(CurrentMtgRatesDataTable825[[#This Row],[asofdate]],J:K,2,0)</f>
        <v>0.66163350180000002</v>
      </c>
      <c r="F462" s="180">
        <f ca="1">VLOOKUP(CurrentMtgRatesDataTable825[[#This Row],[asofdate]]+1,Bloomberg!B:C,2,0)</f>
        <v>5682.2</v>
      </c>
      <c r="I462" s="137"/>
      <c r="J462" s="15">
        <v>37582</v>
      </c>
      <c r="K462" s="137">
        <v>0.97683856970000005</v>
      </c>
    </row>
    <row r="463" spans="3:11">
      <c r="C463" s="177">
        <v>39464</v>
      </c>
      <c r="D463" s="178">
        <v>0.46799807980000008</v>
      </c>
      <c r="E463" s="179">
        <f>VLOOKUP(CurrentMtgRatesDataTable825[[#This Row],[asofdate]],J:K,2,0)</f>
        <v>0.32976146579999999</v>
      </c>
      <c r="F463" s="180">
        <f ca="1">VLOOKUP(CurrentMtgRatesDataTable825[[#This Row],[asofdate]]+1,Bloomberg!B:C,2,0)</f>
        <v>4588.3999999999996</v>
      </c>
      <c r="I463" s="137"/>
      <c r="J463" s="15">
        <v>37589</v>
      </c>
      <c r="K463" s="137">
        <v>0.95431956090000003</v>
      </c>
    </row>
    <row r="464" spans="3:11">
      <c r="C464" s="177">
        <v>39457</v>
      </c>
      <c r="D464" s="178">
        <v>0.36463177990000001</v>
      </c>
      <c r="E464" s="179">
        <f>VLOOKUP(CurrentMtgRatesDataTable825[[#This Row],[asofdate]],J:K,2,0)</f>
        <v>0.26151994560000003</v>
      </c>
      <c r="F464" s="180">
        <f ca="1">VLOOKUP(CurrentMtgRatesDataTable825[[#This Row],[asofdate]]+1,Bloomberg!B:C,2,0)</f>
        <v>3923.5</v>
      </c>
      <c r="I464" s="137"/>
      <c r="J464" s="15">
        <v>37596</v>
      </c>
      <c r="K464" s="137">
        <v>0.88241247030000003</v>
      </c>
    </row>
    <row r="465" spans="3:11">
      <c r="C465" s="177">
        <v>39450</v>
      </c>
      <c r="D465" s="178">
        <v>0.22129148269999999</v>
      </c>
      <c r="E465" s="179">
        <f>VLOOKUP(CurrentMtgRatesDataTable825[[#This Row],[asofdate]],J:K,2,0)</f>
        <v>0.16352889400000001</v>
      </c>
      <c r="F465" s="180">
        <f ca="1">VLOOKUP(CurrentMtgRatesDataTable825[[#This Row],[asofdate]]+1,Bloomberg!B:C,2,0)</f>
        <v>2729.3</v>
      </c>
      <c r="I465" s="137"/>
      <c r="J465" s="15">
        <v>37603</v>
      </c>
      <c r="K465" s="137">
        <v>0.95963941399999997</v>
      </c>
    </row>
    <row r="466" spans="3:11">
      <c r="I466" s="137"/>
      <c r="J466" s="15">
        <v>37610</v>
      </c>
      <c r="K466" s="137">
        <v>0.95891296810000004</v>
      </c>
    </row>
    <row r="467" spans="3:11">
      <c r="I467" s="137"/>
      <c r="J467" s="15">
        <v>37617</v>
      </c>
      <c r="K467" s="137">
        <v>0.96448534750000003</v>
      </c>
    </row>
    <row r="468" spans="3:11">
      <c r="I468" s="137"/>
      <c r="J468" s="15">
        <v>37624</v>
      </c>
      <c r="K468" s="137">
        <v>0.95579136239999996</v>
      </c>
    </row>
    <row r="469" spans="3:11">
      <c r="I469" s="137"/>
      <c r="J469" s="15">
        <v>37631</v>
      </c>
      <c r="K469" s="137">
        <v>0.93689097929999998</v>
      </c>
    </row>
    <row r="470" spans="3:11">
      <c r="I470" s="137"/>
      <c r="J470" s="15">
        <v>37638</v>
      </c>
      <c r="K470" s="137">
        <v>0.93518688370000003</v>
      </c>
    </row>
    <row r="471" spans="3:11">
      <c r="I471" s="137"/>
      <c r="J471" s="15">
        <v>37645</v>
      </c>
      <c r="K471" s="137">
        <v>0.95189047670000004</v>
      </c>
    </row>
    <row r="472" spans="3:11">
      <c r="I472" s="137"/>
      <c r="J472" s="15">
        <v>37652</v>
      </c>
      <c r="K472" s="137">
        <v>0.95225487539999998</v>
      </c>
    </row>
    <row r="473" spans="3:11">
      <c r="I473" s="137"/>
      <c r="J473" s="15">
        <v>37659</v>
      </c>
      <c r="K473" s="137">
        <v>0.91967094250000003</v>
      </c>
    </row>
    <row r="474" spans="3:11">
      <c r="I474" s="137"/>
      <c r="J474" s="15">
        <v>37666</v>
      </c>
      <c r="K474" s="137">
        <v>0.92260890910000004</v>
      </c>
    </row>
    <row r="475" spans="3:11">
      <c r="I475" s="137"/>
      <c r="J475" s="15">
        <v>37673</v>
      </c>
      <c r="K475" s="137">
        <v>0.92448196640000002</v>
      </c>
    </row>
    <row r="476" spans="3:11">
      <c r="I476" s="137"/>
      <c r="J476" s="15">
        <v>37680</v>
      </c>
      <c r="K476" s="137">
        <v>0.92885951830000002</v>
      </c>
    </row>
    <row r="477" spans="3:11">
      <c r="I477" s="137"/>
      <c r="J477" s="15">
        <v>37687</v>
      </c>
      <c r="K477" s="137">
        <v>0.94264703530000005</v>
      </c>
    </row>
    <row r="478" spans="3:11">
      <c r="I478" s="137"/>
      <c r="J478" s="15">
        <v>37694</v>
      </c>
      <c r="K478" s="137">
        <v>0.97512135219999996</v>
      </c>
    </row>
    <row r="479" spans="3:11">
      <c r="I479" s="137"/>
      <c r="J479" s="15">
        <v>37701</v>
      </c>
      <c r="K479" s="137">
        <v>0.90506474830000005</v>
      </c>
    </row>
    <row r="480" spans="3:11">
      <c r="I480" s="137"/>
      <c r="J480" s="15">
        <v>37708</v>
      </c>
      <c r="K480" s="137">
        <v>0.89511871129999998</v>
      </c>
    </row>
    <row r="481" spans="9:11">
      <c r="I481" s="137"/>
      <c r="J481" s="15">
        <v>37715</v>
      </c>
      <c r="K481" s="137">
        <v>0.88137696320000003</v>
      </c>
    </row>
    <row r="482" spans="9:11">
      <c r="I482" s="137"/>
      <c r="J482" s="15">
        <v>37722</v>
      </c>
      <c r="K482" s="137">
        <v>0.87492135240000013</v>
      </c>
    </row>
    <row r="483" spans="9:11">
      <c r="I483" s="137"/>
      <c r="J483" s="15">
        <v>37729</v>
      </c>
      <c r="K483" s="137">
        <v>0.87799817840000016</v>
      </c>
    </row>
    <row r="484" spans="9:11">
      <c r="I484" s="137"/>
      <c r="J484" s="15">
        <v>37736</v>
      </c>
      <c r="K484" s="137">
        <v>0.88137696320000003</v>
      </c>
    </row>
    <row r="485" spans="9:11">
      <c r="I485" s="137"/>
      <c r="J485" s="15">
        <v>37743</v>
      </c>
      <c r="K485" s="137">
        <v>0.88482235860000003</v>
      </c>
    </row>
    <row r="486" spans="9:11">
      <c r="I486" s="137"/>
      <c r="J486" s="15">
        <v>37750</v>
      </c>
      <c r="K486" s="137">
        <v>0.92830699049999998</v>
      </c>
    </row>
    <row r="487" spans="9:11">
      <c r="I487" s="137"/>
      <c r="J487" s="15">
        <v>37757</v>
      </c>
      <c r="K487" s="137">
        <v>0.98326305579999995</v>
      </c>
    </row>
    <row r="488" spans="9:11">
      <c r="I488" s="137"/>
      <c r="J488" s="15">
        <v>37764</v>
      </c>
      <c r="K488" s="137">
        <v>0.99408203569999998</v>
      </c>
    </row>
    <row r="489" spans="9:11">
      <c r="I489" s="137"/>
      <c r="J489" s="15">
        <v>37771</v>
      </c>
      <c r="K489" s="137">
        <v>0.99492141320000005</v>
      </c>
    </row>
    <row r="490" spans="9:11">
      <c r="I490" s="137"/>
      <c r="J490" s="15">
        <v>37778</v>
      </c>
      <c r="K490" s="137">
        <v>0.99659856970000005</v>
      </c>
    </row>
    <row r="491" spans="9:11">
      <c r="I491" s="137"/>
      <c r="J491" s="15">
        <v>37785</v>
      </c>
      <c r="K491" s="137">
        <v>0.99850874310000004</v>
      </c>
    </row>
    <row r="492" spans="9:11">
      <c r="I492" s="137"/>
      <c r="J492" s="15">
        <v>37792</v>
      </c>
      <c r="K492" s="137">
        <v>0.99795555300000005</v>
      </c>
    </row>
    <row r="493" spans="9:11">
      <c r="I493" s="137"/>
      <c r="J493" s="15">
        <v>37799</v>
      </c>
      <c r="K493" s="137">
        <v>0.9955641046</v>
      </c>
    </row>
    <row r="494" spans="9:11">
      <c r="I494" s="137"/>
      <c r="J494" s="15">
        <v>37806</v>
      </c>
      <c r="K494" s="137">
        <v>0.94636800720000003</v>
      </c>
    </row>
    <row r="495" spans="9:11">
      <c r="I495" s="137"/>
      <c r="J495" s="15">
        <v>37813</v>
      </c>
      <c r="K495" s="137">
        <v>0.88261199570000004</v>
      </c>
    </row>
    <row r="496" spans="9:11">
      <c r="I496" s="137"/>
      <c r="J496" s="15">
        <v>37820</v>
      </c>
      <c r="K496" s="137">
        <v>0.78616350670000001</v>
      </c>
    </row>
    <row r="497" spans="9:11">
      <c r="I497" s="137"/>
      <c r="J497" s="15">
        <v>37827</v>
      </c>
      <c r="K497" s="137">
        <v>2.5765502E-3</v>
      </c>
    </row>
    <row r="498" spans="9:11">
      <c r="I498" s="137"/>
      <c r="J498" s="15">
        <v>37834</v>
      </c>
      <c r="K498" s="137">
        <v>1.3426721999999999E-3</v>
      </c>
    </row>
    <row r="499" spans="9:11">
      <c r="I499" s="137"/>
      <c r="J499" s="15">
        <v>37841</v>
      </c>
      <c r="K499" s="137">
        <v>1.0079830000000001E-3</v>
      </c>
    </row>
    <row r="500" spans="9:11">
      <c r="I500" s="137"/>
      <c r="J500" s="15">
        <v>37848</v>
      </c>
      <c r="K500" s="137">
        <v>1.0863574E-3</v>
      </c>
    </row>
    <row r="501" spans="9:11">
      <c r="I501" s="137"/>
      <c r="J501" s="15">
        <v>37855</v>
      </c>
      <c r="K501" s="137">
        <v>1.0457913E-3</v>
      </c>
    </row>
    <row r="502" spans="9:11">
      <c r="I502" s="137"/>
      <c r="J502" s="15">
        <v>37862</v>
      </c>
      <c r="K502" s="137">
        <v>1.0148593E-3</v>
      </c>
    </row>
    <row r="503" spans="9:11">
      <c r="I503" s="137"/>
      <c r="J503" s="15">
        <v>37869</v>
      </c>
      <c r="K503" s="137">
        <v>9.2365679999999997E-4</v>
      </c>
    </row>
    <row r="504" spans="9:11">
      <c r="I504" s="137"/>
      <c r="J504" s="15">
        <v>37876</v>
      </c>
      <c r="K504" s="137">
        <v>2.9921386999999999E-3</v>
      </c>
    </row>
    <row r="505" spans="9:11">
      <c r="I505" s="137"/>
      <c r="J505" s="15">
        <v>37883</v>
      </c>
      <c r="K505" s="137">
        <v>3.3395030000000002E-3</v>
      </c>
    </row>
    <row r="506" spans="9:11">
      <c r="I506" s="137"/>
      <c r="J506" s="15">
        <v>37890</v>
      </c>
      <c r="K506" s="137">
        <v>3.371766E-3</v>
      </c>
    </row>
    <row r="507" spans="9:11">
      <c r="I507" s="137"/>
      <c r="J507" s="15">
        <v>37897</v>
      </c>
      <c r="K507" s="137">
        <v>1.4780805500000001E-2</v>
      </c>
    </row>
    <row r="508" spans="9:11">
      <c r="I508" s="137"/>
      <c r="J508" s="15">
        <v>37904</v>
      </c>
      <c r="K508" s="137">
        <v>5.1483107000000004E-3</v>
      </c>
    </row>
    <row r="509" spans="9:11">
      <c r="I509" s="137"/>
      <c r="J509" s="15">
        <v>37911</v>
      </c>
      <c r="K509" s="137">
        <v>4.7703117999999996E-3</v>
      </c>
    </row>
    <row r="510" spans="9:11">
      <c r="I510" s="137"/>
      <c r="J510" s="15">
        <v>37918</v>
      </c>
      <c r="K510" s="137">
        <v>3.4678496E-3</v>
      </c>
    </row>
    <row r="511" spans="9:11">
      <c r="I511" s="137"/>
      <c r="J511" s="15">
        <v>37925</v>
      </c>
      <c r="K511" s="137">
        <v>5.1729035000000001E-3</v>
      </c>
    </row>
    <row r="512" spans="9:11">
      <c r="I512" s="137"/>
      <c r="J512" s="15">
        <v>37932</v>
      </c>
      <c r="K512" s="137">
        <v>5.6124592999999999E-3</v>
      </c>
    </row>
    <row r="513" spans="9:11">
      <c r="I513" s="137"/>
      <c r="J513" s="15">
        <v>37939</v>
      </c>
      <c r="K513" s="137">
        <v>5.5570931000000004E-3</v>
      </c>
    </row>
    <row r="514" spans="9:11">
      <c r="I514" s="137"/>
      <c r="J514" s="15">
        <v>37946</v>
      </c>
      <c r="K514" s="137">
        <v>9.3795066999999999E-3</v>
      </c>
    </row>
    <row r="515" spans="9:11">
      <c r="I515" s="137"/>
      <c r="J515" s="15">
        <v>37953</v>
      </c>
      <c r="K515" s="137">
        <v>8.3351408999999994E-3</v>
      </c>
    </row>
    <row r="516" spans="9:11">
      <c r="I516" s="137"/>
      <c r="J516" s="15">
        <v>37960</v>
      </c>
      <c r="K516" s="137">
        <v>7.7860582000000003E-3</v>
      </c>
    </row>
    <row r="517" spans="9:11">
      <c r="I517" s="137"/>
      <c r="J517" s="15">
        <v>37967</v>
      </c>
      <c r="K517" s="137">
        <v>1.18306057E-2</v>
      </c>
    </row>
    <row r="518" spans="9:11">
      <c r="I518" s="137"/>
      <c r="J518" s="15">
        <v>37974</v>
      </c>
      <c r="K518" s="137">
        <v>1.3585883199999999E-2</v>
      </c>
    </row>
    <row r="519" spans="9:11">
      <c r="I519" s="137"/>
      <c r="J519" s="15">
        <v>37981</v>
      </c>
      <c r="K519" s="137">
        <v>1.5225610800000001E-2</v>
      </c>
    </row>
    <row r="520" spans="9:11">
      <c r="I520" s="137"/>
      <c r="J520" s="15">
        <v>37986</v>
      </c>
      <c r="K520" s="137">
        <v>1.24375554E-2</v>
      </c>
    </row>
    <row r="521" spans="9:11">
      <c r="I521" s="137"/>
      <c r="J521" s="15">
        <v>37994</v>
      </c>
      <c r="K521" s="137">
        <v>1.5764423699999999E-2</v>
      </c>
    </row>
    <row r="522" spans="9:11">
      <c r="I522" s="137"/>
      <c r="J522" s="15">
        <v>38001</v>
      </c>
      <c r="K522" s="137">
        <v>0.52098617280000004</v>
      </c>
    </row>
    <row r="523" spans="9:11">
      <c r="I523" s="137"/>
      <c r="J523" s="15">
        <v>38008</v>
      </c>
      <c r="K523" s="137">
        <v>0.52940803759999999</v>
      </c>
    </row>
    <row r="524" spans="9:11">
      <c r="I524" s="137"/>
      <c r="J524" s="15">
        <v>38015</v>
      </c>
      <c r="K524" s="137">
        <v>3.1860077200000003E-2</v>
      </c>
    </row>
    <row r="525" spans="9:11">
      <c r="I525" s="137"/>
      <c r="J525" s="15">
        <v>38022</v>
      </c>
      <c r="K525" s="137">
        <v>3.6384446399999999E-2</v>
      </c>
    </row>
    <row r="526" spans="9:11">
      <c r="I526" s="137"/>
      <c r="J526" s="15">
        <v>38029</v>
      </c>
      <c r="K526" s="137">
        <v>3.8883983800000001E-2</v>
      </c>
    </row>
    <row r="527" spans="9:11">
      <c r="I527" s="137"/>
      <c r="J527" s="15">
        <v>38036</v>
      </c>
      <c r="K527" s="137">
        <v>0.55014794820000001</v>
      </c>
    </row>
    <row r="528" spans="9:11">
      <c r="I528" s="137"/>
      <c r="J528" s="15">
        <v>38043</v>
      </c>
      <c r="K528" s="137">
        <v>0.52560942970000002</v>
      </c>
    </row>
    <row r="529" spans="9:11">
      <c r="I529" s="137"/>
      <c r="J529" s="15">
        <v>38050</v>
      </c>
      <c r="K529" s="137">
        <v>0.51197434870000003</v>
      </c>
    </row>
    <row r="530" spans="9:11">
      <c r="I530" s="137"/>
      <c r="J530" s="15">
        <v>38057</v>
      </c>
      <c r="K530" s="137">
        <v>0.68308031670000002</v>
      </c>
    </row>
    <row r="531" spans="9:11">
      <c r="I531" s="137"/>
      <c r="J531" s="15">
        <v>38064</v>
      </c>
      <c r="K531" s="137">
        <v>0.68486835999999995</v>
      </c>
    </row>
    <row r="532" spans="9:11">
      <c r="I532" s="137"/>
      <c r="J532" s="15">
        <v>38071</v>
      </c>
      <c r="K532" s="137">
        <v>0.67252651699999999</v>
      </c>
    </row>
    <row r="533" spans="9:11">
      <c r="I533" s="137"/>
      <c r="J533" s="15">
        <v>38078</v>
      </c>
      <c r="K533" s="137">
        <v>0.56553960869999997</v>
      </c>
    </row>
    <row r="534" spans="9:11">
      <c r="I534" s="137"/>
      <c r="J534" s="15">
        <v>38085</v>
      </c>
      <c r="K534" s="137">
        <v>1.6630009599999999E-2</v>
      </c>
    </row>
    <row r="535" spans="9:11">
      <c r="I535" s="137"/>
      <c r="J535" s="15">
        <v>38092</v>
      </c>
      <c r="K535" s="137">
        <v>1.4816579E-3</v>
      </c>
    </row>
    <row r="536" spans="9:11">
      <c r="I536" s="137"/>
      <c r="J536" s="15">
        <v>38099</v>
      </c>
      <c r="K536" s="137">
        <v>1.3085874999999999E-3</v>
      </c>
    </row>
    <row r="537" spans="9:11">
      <c r="I537" s="137"/>
      <c r="J537" s="15">
        <v>38106</v>
      </c>
      <c r="K537" s="137">
        <v>1.1974285999999999E-3</v>
      </c>
    </row>
    <row r="538" spans="9:11">
      <c r="I538" s="137"/>
      <c r="J538" s="15">
        <v>38113</v>
      </c>
      <c r="K538" s="137">
        <v>1.3324916999999999E-3</v>
      </c>
    </row>
    <row r="539" spans="9:11">
      <c r="I539" s="137"/>
      <c r="J539" s="15">
        <v>38120</v>
      </c>
      <c r="K539" s="137">
        <v>8.9672760000000004E-4</v>
      </c>
    </row>
    <row r="540" spans="9:11">
      <c r="I540" s="137"/>
      <c r="J540" s="15">
        <v>38127</v>
      </c>
      <c r="K540" s="137">
        <v>9.4346899999999995E-4</v>
      </c>
    </row>
    <row r="541" spans="9:11">
      <c r="I541" s="137"/>
      <c r="J541" s="15">
        <v>38134</v>
      </c>
      <c r="K541" s="137">
        <v>9.4862280000000004E-4</v>
      </c>
    </row>
    <row r="542" spans="9:11">
      <c r="I542" s="137"/>
      <c r="J542" s="15">
        <v>38141</v>
      </c>
      <c r="K542" s="137">
        <v>1.4662640999999999E-3</v>
      </c>
    </row>
    <row r="543" spans="9:11">
      <c r="I543" s="137"/>
      <c r="J543" s="15">
        <v>38148</v>
      </c>
      <c r="K543" s="137">
        <v>4.8314030000000006E-4</v>
      </c>
    </row>
    <row r="544" spans="9:11">
      <c r="I544" s="137"/>
      <c r="J544" s="15">
        <v>38155</v>
      </c>
      <c r="K544" s="137">
        <v>1.4976197E-3</v>
      </c>
    </row>
    <row r="545" spans="9:11">
      <c r="I545" s="137"/>
      <c r="J545" s="15">
        <v>38162</v>
      </c>
      <c r="K545" s="137">
        <v>1.6363707000000001E-3</v>
      </c>
    </row>
    <row r="546" spans="9:11">
      <c r="I546" s="137"/>
      <c r="J546" s="15">
        <v>38169</v>
      </c>
      <c r="K546" s="137">
        <v>2.9042554999999999E-3</v>
      </c>
    </row>
    <row r="547" spans="9:11">
      <c r="I547" s="137"/>
      <c r="J547" s="15">
        <v>38176</v>
      </c>
      <c r="K547" s="137">
        <v>5.4482300000000001E-3</v>
      </c>
    </row>
    <row r="548" spans="9:11">
      <c r="I548" s="137"/>
      <c r="J548" s="15">
        <v>38183</v>
      </c>
      <c r="K548" s="137">
        <v>5.514896E-3</v>
      </c>
    </row>
    <row r="549" spans="9:11">
      <c r="I549" s="137"/>
      <c r="J549" s="15">
        <v>38190</v>
      </c>
      <c r="K549" s="137">
        <v>5.785676E-3</v>
      </c>
    </row>
    <row r="550" spans="9:11">
      <c r="I550" s="137"/>
      <c r="J550" s="15">
        <v>38197</v>
      </c>
      <c r="K550" s="137">
        <v>3.8464889000000002E-3</v>
      </c>
    </row>
    <row r="551" spans="9:11">
      <c r="I551" s="137"/>
      <c r="J551" s="15">
        <v>38204</v>
      </c>
      <c r="K551" s="137">
        <v>6.0070660000000001E-3</v>
      </c>
    </row>
    <row r="552" spans="9:11">
      <c r="I552" s="137"/>
      <c r="J552" s="15">
        <v>38211</v>
      </c>
      <c r="K552" s="137">
        <v>9.6837195999999997E-3</v>
      </c>
    </row>
    <row r="553" spans="9:11">
      <c r="I553" s="137"/>
      <c r="J553" s="15">
        <v>38218</v>
      </c>
      <c r="K553" s="137">
        <v>9.8949156E-3</v>
      </c>
    </row>
    <row r="554" spans="9:11">
      <c r="I554" s="137"/>
      <c r="J554" s="15">
        <v>38225</v>
      </c>
      <c r="K554" s="137">
        <v>9.7534049000000001E-3</v>
      </c>
    </row>
    <row r="555" spans="9:11">
      <c r="I555" s="137"/>
      <c r="J555" s="15">
        <v>38232</v>
      </c>
      <c r="K555" s="137">
        <v>1.4974635599999999E-2</v>
      </c>
    </row>
    <row r="556" spans="9:11">
      <c r="I556" s="137"/>
      <c r="J556" s="15">
        <v>38239</v>
      </c>
      <c r="K556" s="137">
        <v>1.09140468E-2</v>
      </c>
    </row>
    <row r="557" spans="9:11">
      <c r="I557" s="137"/>
      <c r="J557" s="15">
        <v>38246</v>
      </c>
      <c r="K557" s="137">
        <v>2.8789640599999999E-2</v>
      </c>
    </row>
    <row r="558" spans="9:11">
      <c r="I558" s="137"/>
      <c r="J558" s="15">
        <v>38253</v>
      </c>
      <c r="K558" s="137">
        <v>5.27935847E-2</v>
      </c>
    </row>
    <row r="559" spans="9:11">
      <c r="I559" s="137"/>
      <c r="J559" s="15">
        <v>38260</v>
      </c>
      <c r="K559" s="137">
        <v>5.3235892600000001E-2</v>
      </c>
    </row>
    <row r="560" spans="9:11">
      <c r="I560" s="137"/>
      <c r="J560" s="15">
        <v>38267</v>
      </c>
      <c r="K560" s="137">
        <v>1.9969755799999999E-2</v>
      </c>
    </row>
    <row r="561" spans="9:11">
      <c r="I561" s="137"/>
      <c r="J561" s="15">
        <v>38274</v>
      </c>
      <c r="K561" s="137">
        <v>3.3435248399999999E-2</v>
      </c>
    </row>
    <row r="562" spans="9:11">
      <c r="I562" s="137"/>
      <c r="J562" s="15">
        <v>38281</v>
      </c>
      <c r="K562" s="137">
        <v>6.3904905600000006E-2</v>
      </c>
    </row>
    <row r="563" spans="9:11">
      <c r="I563" s="137"/>
      <c r="J563" s="15">
        <v>38288</v>
      </c>
      <c r="K563" s="137">
        <v>7.2373428700000006E-2</v>
      </c>
    </row>
    <row r="564" spans="9:11">
      <c r="I564" s="137"/>
      <c r="J564" s="15">
        <v>38295</v>
      </c>
      <c r="K564" s="137">
        <v>7.3164580000000007E-2</v>
      </c>
    </row>
    <row r="565" spans="9:11">
      <c r="I565" s="137"/>
      <c r="J565" s="15">
        <v>38302</v>
      </c>
      <c r="K565" s="137">
        <v>3.0316814599999999E-2</v>
      </c>
    </row>
    <row r="566" spans="9:11">
      <c r="I566" s="137"/>
      <c r="J566" s="15">
        <v>38309</v>
      </c>
      <c r="K566" s="137">
        <v>3.8306615299999999E-2</v>
      </c>
    </row>
    <row r="567" spans="9:11">
      <c r="I567" s="137"/>
      <c r="J567" s="15">
        <v>38315</v>
      </c>
      <c r="K567" s="137">
        <v>3.9532698599999999E-2</v>
      </c>
    </row>
    <row r="568" spans="9:11">
      <c r="I568" s="137"/>
      <c r="J568" s="15">
        <v>38323</v>
      </c>
      <c r="K568" s="137">
        <v>2.4997611499999999E-2</v>
      </c>
    </row>
    <row r="569" spans="9:11">
      <c r="I569" s="137"/>
      <c r="J569" s="15">
        <v>38330</v>
      </c>
      <c r="K569" s="137">
        <v>4.10771672E-2</v>
      </c>
    </row>
    <row r="570" spans="9:11">
      <c r="I570" s="137"/>
      <c r="J570" s="15">
        <v>38337</v>
      </c>
      <c r="K570" s="137">
        <v>7.7753614600000021E-2</v>
      </c>
    </row>
    <row r="571" spans="9:11">
      <c r="I571" s="137"/>
      <c r="J571" s="15">
        <v>38343</v>
      </c>
      <c r="K571" s="137">
        <v>3.5155141799999998E-2</v>
      </c>
    </row>
    <row r="572" spans="9:11">
      <c r="I572" s="137"/>
      <c r="J572" s="15">
        <v>38350</v>
      </c>
      <c r="K572" s="137">
        <v>2.5527064000000002E-3</v>
      </c>
    </row>
    <row r="573" spans="9:11">
      <c r="I573" s="137"/>
      <c r="J573" s="15">
        <v>38358</v>
      </c>
      <c r="K573" s="137">
        <v>2.5914884199999998E-2</v>
      </c>
    </row>
    <row r="574" spans="9:11">
      <c r="I574" s="137"/>
      <c r="J574" s="15">
        <v>38365</v>
      </c>
      <c r="K574" s="137">
        <v>3.99722463E-2</v>
      </c>
    </row>
    <row r="575" spans="9:11">
      <c r="I575" s="137"/>
      <c r="J575" s="15">
        <v>38372</v>
      </c>
      <c r="K575" s="137">
        <v>7.6657435400000001E-2</v>
      </c>
    </row>
    <row r="576" spans="9:11">
      <c r="I576" s="137"/>
      <c r="J576" s="15">
        <v>38379</v>
      </c>
      <c r="K576" s="137">
        <v>8.8952956700000002E-2</v>
      </c>
    </row>
    <row r="577" spans="9:11">
      <c r="I577" s="137"/>
      <c r="J577" s="15">
        <v>38386</v>
      </c>
      <c r="K577" s="137">
        <v>9.0240947899999993E-2</v>
      </c>
    </row>
    <row r="578" spans="9:11">
      <c r="I578" s="137"/>
      <c r="J578" s="15">
        <v>38393</v>
      </c>
      <c r="K578" s="137">
        <v>9.6711548699999997E-2</v>
      </c>
    </row>
    <row r="579" spans="9:11">
      <c r="I579" s="137"/>
      <c r="J579" s="15">
        <v>38400</v>
      </c>
      <c r="K579" s="137">
        <v>9.2928798199999996E-2</v>
      </c>
    </row>
    <row r="580" spans="9:11">
      <c r="I580" s="137"/>
      <c r="J580" s="15">
        <v>38407</v>
      </c>
      <c r="K580" s="137">
        <v>4.3441112499999997E-2</v>
      </c>
    </row>
    <row r="581" spans="9:11">
      <c r="I581" s="137"/>
      <c r="J581" s="15">
        <v>38414</v>
      </c>
      <c r="K581" s="137">
        <v>1.5480794000000001E-3</v>
      </c>
    </row>
    <row r="582" spans="9:11">
      <c r="I582" s="137"/>
      <c r="J582" s="15">
        <v>38421</v>
      </c>
      <c r="K582" s="137">
        <v>1.4943553E-3</v>
      </c>
    </row>
    <row r="583" spans="9:11">
      <c r="I583" s="137"/>
      <c r="J583" s="15">
        <v>38428</v>
      </c>
      <c r="K583" s="137">
        <v>1.3264786000000001E-3</v>
      </c>
    </row>
    <row r="584" spans="9:11">
      <c r="I584" s="137"/>
      <c r="J584" s="15">
        <v>38435</v>
      </c>
      <c r="K584" s="137">
        <v>1.1734255E-3</v>
      </c>
    </row>
    <row r="585" spans="9:11">
      <c r="I585" s="137"/>
      <c r="J585" s="15">
        <v>38442</v>
      </c>
      <c r="K585" s="137">
        <v>1.1205776E-3</v>
      </c>
    </row>
    <row r="586" spans="9:11">
      <c r="I586" s="137"/>
      <c r="J586" s="15">
        <v>38449</v>
      </c>
      <c r="K586" s="137">
        <v>2.7012874999999999E-3</v>
      </c>
    </row>
    <row r="587" spans="9:11">
      <c r="I587" s="137"/>
      <c r="J587" s="15">
        <v>38456</v>
      </c>
      <c r="K587" s="137">
        <v>2.7126348000000001E-3</v>
      </c>
    </row>
    <row r="588" spans="9:11">
      <c r="I588" s="137"/>
      <c r="J588" s="15">
        <v>38463</v>
      </c>
      <c r="K588" s="137">
        <v>6.0775780999999997E-3</v>
      </c>
    </row>
    <row r="589" spans="9:11">
      <c r="I589" s="137"/>
      <c r="J589" s="15">
        <v>38470</v>
      </c>
      <c r="K589" s="137">
        <v>5.9516515000000002E-3</v>
      </c>
    </row>
    <row r="590" spans="9:11">
      <c r="I590" s="137"/>
      <c r="J590" s="15">
        <v>38477</v>
      </c>
      <c r="K590" s="137">
        <v>9.3634271999999998E-3</v>
      </c>
    </row>
    <row r="591" spans="9:11">
      <c r="I591" s="137"/>
      <c r="J591" s="15">
        <v>38484</v>
      </c>
      <c r="K591" s="137">
        <v>1.1452649400000001E-2</v>
      </c>
    </row>
    <row r="592" spans="9:11">
      <c r="I592" s="137"/>
      <c r="J592" s="15">
        <v>38491</v>
      </c>
      <c r="K592" s="137">
        <v>1.49275402E-2</v>
      </c>
    </row>
    <row r="593" spans="9:11">
      <c r="I593" s="137"/>
      <c r="J593" s="15">
        <v>38498</v>
      </c>
      <c r="K593" s="137">
        <v>9.1574159299999999E-2</v>
      </c>
    </row>
    <row r="594" spans="9:11">
      <c r="I594" s="137"/>
      <c r="J594" s="15">
        <v>38505</v>
      </c>
      <c r="K594" s="137">
        <v>0.1054600888</v>
      </c>
    </row>
    <row r="595" spans="9:11">
      <c r="I595" s="137"/>
      <c r="J595" s="15">
        <v>38512</v>
      </c>
      <c r="K595" s="137">
        <v>0.13297148510000001</v>
      </c>
    </row>
    <row r="596" spans="9:11">
      <c r="I596" s="137"/>
      <c r="J596" s="15">
        <v>38519</v>
      </c>
      <c r="K596" s="137">
        <v>0.1101683482</v>
      </c>
    </row>
    <row r="597" spans="9:11">
      <c r="I597" s="137"/>
      <c r="J597" s="15">
        <v>38526</v>
      </c>
      <c r="K597" s="137">
        <v>0.12778035239999999</v>
      </c>
    </row>
    <row r="598" spans="9:11">
      <c r="I598" s="137"/>
      <c r="J598" s="15">
        <v>38533</v>
      </c>
      <c r="K598" s="137">
        <v>0.15362853100000001</v>
      </c>
    </row>
    <row r="599" spans="9:11">
      <c r="I599" s="137"/>
      <c r="J599" s="15">
        <v>38540</v>
      </c>
      <c r="K599" s="137">
        <v>6.7109508700000001E-2</v>
      </c>
    </row>
    <row r="600" spans="9:11">
      <c r="I600" s="137"/>
      <c r="J600" s="15">
        <v>38547</v>
      </c>
      <c r="K600" s="137">
        <v>6.0842687899999998E-2</v>
      </c>
    </row>
    <row r="601" spans="9:11">
      <c r="I601" s="137"/>
      <c r="J601" s="15">
        <v>38554</v>
      </c>
      <c r="K601" s="137">
        <v>1.47665391E-2</v>
      </c>
    </row>
    <row r="602" spans="9:11">
      <c r="I602" s="137"/>
      <c r="J602" s="15">
        <v>38561</v>
      </c>
      <c r="K602" s="137">
        <v>9.4380734000000001E-3</v>
      </c>
    </row>
    <row r="603" spans="9:11">
      <c r="I603" s="137"/>
      <c r="J603" s="15">
        <v>38568</v>
      </c>
      <c r="K603" s="137">
        <v>2.8460933000000002E-3</v>
      </c>
    </row>
    <row r="604" spans="9:11">
      <c r="I604" s="137"/>
      <c r="J604" s="15">
        <v>38575</v>
      </c>
      <c r="K604" s="137">
        <v>2.1464180000000002E-3</v>
      </c>
    </row>
    <row r="605" spans="9:11">
      <c r="I605" s="137"/>
      <c r="J605" s="15">
        <v>38582</v>
      </c>
      <c r="K605" s="137">
        <v>3.4125867999999998E-3</v>
      </c>
    </row>
    <row r="606" spans="9:11">
      <c r="I606" s="137"/>
      <c r="J606" s="15">
        <v>38589</v>
      </c>
      <c r="K606" s="137">
        <v>1.28161818E-2</v>
      </c>
    </row>
    <row r="607" spans="9:11">
      <c r="I607" s="137"/>
      <c r="J607" s="15">
        <v>38596</v>
      </c>
      <c r="K607" s="137">
        <v>1.8627229200000001E-2</v>
      </c>
    </row>
    <row r="608" spans="9:11">
      <c r="I608" s="137"/>
      <c r="J608" s="15">
        <v>38603</v>
      </c>
      <c r="K608" s="137">
        <v>1.6616783699999998E-2</v>
      </c>
    </row>
    <row r="609" spans="9:11">
      <c r="I609" s="137"/>
      <c r="J609" s="15">
        <v>38610</v>
      </c>
      <c r="K609" s="137">
        <v>1.5360494299999999E-2</v>
      </c>
    </row>
    <row r="610" spans="9:11">
      <c r="I610" s="137"/>
      <c r="J610" s="15">
        <v>38617</v>
      </c>
      <c r="K610" s="137">
        <v>2.1398132E-3</v>
      </c>
    </row>
    <row r="611" spans="9:11">
      <c r="I611" s="137"/>
      <c r="J611" s="15">
        <v>38624</v>
      </c>
      <c r="K611" s="137">
        <v>1.6896864000000001E-3</v>
      </c>
    </row>
    <row r="612" spans="9:11">
      <c r="I612" s="137"/>
      <c r="J612" s="15">
        <v>38631</v>
      </c>
      <c r="K612" s="137">
        <v>1.4434145E-3</v>
      </c>
    </row>
    <row r="613" spans="9:11">
      <c r="I613" s="137"/>
      <c r="J613" s="15">
        <v>38638</v>
      </c>
      <c r="K613" s="137">
        <v>1.2341428E-3</v>
      </c>
    </row>
    <row r="614" spans="9:11">
      <c r="I614" s="137"/>
      <c r="J614" s="15">
        <v>38645</v>
      </c>
      <c r="K614" s="137">
        <v>1.1589931999999999E-3</v>
      </c>
    </row>
    <row r="615" spans="9:11">
      <c r="I615" s="137"/>
      <c r="J615" s="15">
        <v>38652</v>
      </c>
      <c r="K615" s="137">
        <v>9.3794440000000005E-4</v>
      </c>
    </row>
    <row r="616" spans="9:11">
      <c r="I616" s="137"/>
      <c r="J616" s="15">
        <v>38659</v>
      </c>
      <c r="K616" s="137">
        <v>6.2579669999999999E-4</v>
      </c>
    </row>
    <row r="617" spans="9:11">
      <c r="I617" s="137"/>
      <c r="J617" s="15">
        <v>38666</v>
      </c>
      <c r="K617" s="137">
        <v>5.5423389999999999E-4</v>
      </c>
    </row>
    <row r="618" spans="9:11">
      <c r="I618" s="137"/>
      <c r="J618" s="15">
        <v>38673</v>
      </c>
      <c r="K618" s="137">
        <v>5.0575309999999999E-4</v>
      </c>
    </row>
    <row r="619" spans="9:11">
      <c r="I619" s="137"/>
      <c r="J619" s="15">
        <v>38679</v>
      </c>
      <c r="K619" s="137">
        <v>6.2874890000000003E-4</v>
      </c>
    </row>
    <row r="620" spans="9:11">
      <c r="I620" s="137"/>
      <c r="J620" s="15">
        <v>38687</v>
      </c>
      <c r="K620" s="137">
        <v>1.3179190999999999E-3</v>
      </c>
    </row>
    <row r="621" spans="9:11">
      <c r="I621" s="137"/>
      <c r="J621" s="15">
        <v>38694</v>
      </c>
      <c r="K621" s="137">
        <v>1.0592392000000001E-3</v>
      </c>
    </row>
    <row r="622" spans="9:11">
      <c r="I622" s="137"/>
      <c r="J622" s="15">
        <v>38701</v>
      </c>
      <c r="K622" s="137">
        <v>1.1909513999999999E-3</v>
      </c>
    </row>
    <row r="623" spans="9:11">
      <c r="I623" s="137"/>
      <c r="J623" s="15">
        <v>38708</v>
      </c>
      <c r="K623" s="137">
        <v>1.2271807E-3</v>
      </c>
    </row>
    <row r="624" spans="9:11">
      <c r="I624" s="137"/>
      <c r="J624" s="15">
        <v>38715</v>
      </c>
      <c r="K624" s="137">
        <v>1.4457293000000001E-3</v>
      </c>
    </row>
    <row r="625" spans="9:11">
      <c r="I625" s="137"/>
      <c r="J625" s="15">
        <v>38722</v>
      </c>
      <c r="K625" s="137">
        <v>2.4352301000000001E-3</v>
      </c>
    </row>
    <row r="626" spans="9:11">
      <c r="I626" s="137"/>
      <c r="J626" s="15">
        <v>38729</v>
      </c>
      <c r="K626" s="137">
        <v>2.5726061999999999E-3</v>
      </c>
    </row>
    <row r="627" spans="9:11">
      <c r="I627" s="137"/>
      <c r="J627" s="15">
        <v>38736</v>
      </c>
      <c r="K627" s="137">
        <v>4.1354883999999998E-3</v>
      </c>
    </row>
    <row r="628" spans="9:11">
      <c r="I628" s="137"/>
      <c r="J628" s="15">
        <v>38743</v>
      </c>
      <c r="K628" s="137">
        <v>3.0193911999999998E-3</v>
      </c>
    </row>
    <row r="629" spans="9:11">
      <c r="I629" s="137"/>
      <c r="J629" s="15">
        <v>38750</v>
      </c>
      <c r="K629" s="137">
        <v>3.3538255000000001E-3</v>
      </c>
    </row>
    <row r="630" spans="9:11">
      <c r="I630" s="137"/>
      <c r="J630" s="15">
        <v>38757</v>
      </c>
      <c r="K630" s="137">
        <v>3.1788412E-3</v>
      </c>
    </row>
    <row r="631" spans="9:11">
      <c r="I631" s="137"/>
      <c r="J631" s="15">
        <v>38764</v>
      </c>
      <c r="K631" s="137">
        <v>3.0757698000000002E-3</v>
      </c>
    </row>
    <row r="632" spans="9:11">
      <c r="I632" s="137"/>
      <c r="J632" s="15">
        <v>38771</v>
      </c>
      <c r="K632" s="137">
        <v>2.4864327E-3</v>
      </c>
    </row>
    <row r="633" spans="9:11">
      <c r="I633" s="137"/>
      <c r="J633" s="15">
        <v>38778</v>
      </c>
      <c r="K633" s="137">
        <v>3.2252353E-3</v>
      </c>
    </row>
    <row r="634" spans="9:11">
      <c r="I634" s="137"/>
      <c r="J634" s="15">
        <v>38785</v>
      </c>
      <c r="K634" s="137">
        <v>0</v>
      </c>
    </row>
    <row r="635" spans="9:11">
      <c r="I635" s="137"/>
      <c r="J635" s="15">
        <v>38792</v>
      </c>
      <c r="K635" s="137">
        <v>0</v>
      </c>
    </row>
    <row r="636" spans="9:11">
      <c r="I636" s="137"/>
      <c r="J636" s="15">
        <v>38799</v>
      </c>
      <c r="K636" s="137">
        <v>0</v>
      </c>
    </row>
    <row r="637" spans="9:11">
      <c r="I637" s="137"/>
      <c r="J637" s="15">
        <v>38806</v>
      </c>
      <c r="K637" s="137">
        <v>0</v>
      </c>
    </row>
    <row r="638" spans="9:11">
      <c r="I638" s="137"/>
      <c r="J638" s="15">
        <v>38813</v>
      </c>
      <c r="K638" s="137">
        <v>0</v>
      </c>
    </row>
    <row r="639" spans="9:11">
      <c r="I639" s="137"/>
      <c r="J639" s="15">
        <v>38820</v>
      </c>
      <c r="K639" s="137">
        <v>0</v>
      </c>
    </row>
    <row r="640" spans="9:11">
      <c r="I640" s="137"/>
      <c r="J640" s="15">
        <v>38827</v>
      </c>
      <c r="K640" s="137">
        <v>0</v>
      </c>
    </row>
    <row r="641" spans="9:11">
      <c r="I641" s="137"/>
      <c r="J641" s="15">
        <v>38834</v>
      </c>
      <c r="K641" s="137">
        <v>0</v>
      </c>
    </row>
    <row r="642" spans="9:11">
      <c r="I642" s="137"/>
      <c r="J642" s="15">
        <v>38841</v>
      </c>
      <c r="K642" s="137">
        <v>0</v>
      </c>
    </row>
    <row r="643" spans="9:11">
      <c r="I643" s="137"/>
      <c r="J643" s="15">
        <v>38848</v>
      </c>
      <c r="K643" s="137">
        <v>0</v>
      </c>
    </row>
    <row r="644" spans="9:11">
      <c r="I644" s="137"/>
      <c r="J644" s="15">
        <v>38855</v>
      </c>
      <c r="K644" s="137">
        <v>0</v>
      </c>
    </row>
    <row r="645" spans="9:11">
      <c r="I645" s="137"/>
      <c r="J645" s="15">
        <v>38862</v>
      </c>
      <c r="K645" s="137">
        <v>0</v>
      </c>
    </row>
    <row r="646" spans="9:11">
      <c r="I646" s="137"/>
      <c r="J646" s="15">
        <v>38869</v>
      </c>
      <c r="K646" s="137">
        <v>0</v>
      </c>
    </row>
    <row r="647" spans="9:11">
      <c r="I647" s="137"/>
      <c r="J647" s="15">
        <v>38876</v>
      </c>
      <c r="K647" s="137">
        <v>0</v>
      </c>
    </row>
    <row r="648" spans="9:11">
      <c r="I648" s="137"/>
      <c r="J648" s="15">
        <v>38883</v>
      </c>
      <c r="K648" s="137">
        <v>0</v>
      </c>
    </row>
    <row r="649" spans="9:11">
      <c r="I649" s="137"/>
      <c r="J649" s="15">
        <v>38890</v>
      </c>
      <c r="K649" s="137">
        <v>0</v>
      </c>
    </row>
    <row r="650" spans="9:11">
      <c r="I650" s="137"/>
      <c r="J650" s="15">
        <v>38897</v>
      </c>
      <c r="K650" s="137">
        <v>0</v>
      </c>
    </row>
    <row r="651" spans="9:11">
      <c r="I651" s="137"/>
      <c r="J651" s="15">
        <v>38904</v>
      </c>
      <c r="K651" s="137">
        <v>0</v>
      </c>
    </row>
    <row r="652" spans="9:11">
      <c r="I652" s="137"/>
      <c r="J652" s="15">
        <v>38911</v>
      </c>
      <c r="K652" s="137">
        <v>0</v>
      </c>
    </row>
    <row r="653" spans="9:11">
      <c r="I653" s="137"/>
      <c r="J653" s="15">
        <v>38918</v>
      </c>
      <c r="K653" s="137">
        <v>0</v>
      </c>
    </row>
    <row r="654" spans="9:11">
      <c r="I654" s="137"/>
      <c r="J654" s="15">
        <v>38925</v>
      </c>
      <c r="K654" s="137">
        <v>0</v>
      </c>
    </row>
    <row r="655" spans="9:11">
      <c r="I655" s="137"/>
      <c r="J655" s="15">
        <v>38932</v>
      </c>
      <c r="K655" s="137">
        <v>0</v>
      </c>
    </row>
    <row r="656" spans="9:11">
      <c r="I656" s="137"/>
      <c r="J656" s="15">
        <v>38939</v>
      </c>
      <c r="K656" s="137">
        <v>0</v>
      </c>
    </row>
    <row r="657" spans="9:11">
      <c r="I657" s="137"/>
      <c r="J657" s="15">
        <v>38946</v>
      </c>
      <c r="K657" s="137">
        <v>0</v>
      </c>
    </row>
    <row r="658" spans="9:11">
      <c r="I658" s="137"/>
      <c r="J658" s="15">
        <v>38953</v>
      </c>
      <c r="K658" s="137">
        <v>0</v>
      </c>
    </row>
    <row r="659" spans="9:11">
      <c r="I659" s="137"/>
      <c r="J659" s="15">
        <v>38960</v>
      </c>
      <c r="K659" s="137">
        <v>0</v>
      </c>
    </row>
    <row r="660" spans="9:11">
      <c r="I660" s="137"/>
      <c r="J660" s="15">
        <v>38967</v>
      </c>
      <c r="K660" s="137">
        <v>0</v>
      </c>
    </row>
    <row r="661" spans="9:11">
      <c r="I661" s="137"/>
      <c r="J661" s="15">
        <v>38974</v>
      </c>
      <c r="K661" s="137">
        <v>0</v>
      </c>
    </row>
    <row r="662" spans="9:11">
      <c r="I662" s="137"/>
      <c r="J662" s="15">
        <v>38981</v>
      </c>
      <c r="K662" s="137">
        <v>0</v>
      </c>
    </row>
    <row r="663" spans="9:11">
      <c r="I663" s="137"/>
      <c r="J663" s="15">
        <v>38988</v>
      </c>
      <c r="K663" s="137">
        <v>2.4531527999999999E-3</v>
      </c>
    </row>
    <row r="664" spans="9:11">
      <c r="I664" s="137"/>
      <c r="J664" s="15">
        <v>38995</v>
      </c>
      <c r="K664" s="137">
        <v>3.5755981499999999E-2</v>
      </c>
    </row>
    <row r="665" spans="9:11">
      <c r="I665" s="137"/>
      <c r="J665" s="15">
        <v>39002</v>
      </c>
      <c r="K665" s="137">
        <v>1.9765839699999999E-2</v>
      </c>
    </row>
    <row r="666" spans="9:11">
      <c r="I666" s="137"/>
      <c r="J666" s="15">
        <v>39009</v>
      </c>
      <c r="K666" s="137">
        <v>1.9769747800000001E-2</v>
      </c>
    </row>
    <row r="667" spans="9:11">
      <c r="I667" s="137"/>
      <c r="J667" s="15">
        <v>39016</v>
      </c>
      <c r="K667" s="137">
        <v>1.9764560300000001E-2</v>
      </c>
    </row>
    <row r="668" spans="9:11">
      <c r="I668" s="137"/>
      <c r="J668" s="15">
        <v>39023</v>
      </c>
      <c r="K668" s="137">
        <v>4.2686293E-2</v>
      </c>
    </row>
    <row r="669" spans="9:11">
      <c r="I669" s="137"/>
      <c r="J669" s="15">
        <v>39030</v>
      </c>
      <c r="K669" s="137">
        <v>2.7838102699999999E-2</v>
      </c>
    </row>
    <row r="670" spans="9:11">
      <c r="I670" s="137"/>
      <c r="J670" s="15">
        <v>39037</v>
      </c>
      <c r="K670" s="137">
        <v>4.7254418100000001E-2</v>
      </c>
    </row>
    <row r="671" spans="9:11">
      <c r="I671" s="137"/>
      <c r="J671" s="15">
        <v>39043</v>
      </c>
      <c r="K671" s="137">
        <v>6.1057611900000003E-2</v>
      </c>
    </row>
    <row r="672" spans="9:11">
      <c r="I672" s="137"/>
      <c r="J672" s="15">
        <v>39051</v>
      </c>
      <c r="K672" s="137">
        <v>6.7219071800000002E-2</v>
      </c>
    </row>
    <row r="673" spans="9:11">
      <c r="I673" s="137"/>
      <c r="J673" s="15">
        <v>39058</v>
      </c>
      <c r="K673" s="137">
        <v>8.2701184400000002E-2</v>
      </c>
    </row>
    <row r="674" spans="9:11">
      <c r="I674" s="137"/>
      <c r="J674" s="15">
        <v>39065</v>
      </c>
      <c r="K674" s="137">
        <v>8.3657244500000005E-2</v>
      </c>
    </row>
    <row r="675" spans="9:11">
      <c r="I675" s="137"/>
      <c r="J675" s="15">
        <v>39072</v>
      </c>
      <c r="K675" s="137">
        <v>8.2821671999999999E-2</v>
      </c>
    </row>
    <row r="676" spans="9:11">
      <c r="I676" s="137"/>
      <c r="J676" s="15">
        <v>39079</v>
      </c>
      <c r="K676" s="137">
        <v>7.552499330000001E-2</v>
      </c>
    </row>
    <row r="677" spans="9:11">
      <c r="I677" s="137"/>
      <c r="J677" s="15">
        <v>39086</v>
      </c>
      <c r="K677" s="137">
        <v>8.4035061199999997E-2</v>
      </c>
    </row>
    <row r="678" spans="9:11">
      <c r="I678" s="137"/>
      <c r="J678" s="15">
        <v>39093</v>
      </c>
      <c r="K678" s="137">
        <v>8.3247358800000004E-2</v>
      </c>
    </row>
    <row r="679" spans="9:11">
      <c r="I679" s="137"/>
      <c r="J679" s="15">
        <v>39100</v>
      </c>
      <c r="K679" s="137">
        <v>6.7629059000000005E-2</v>
      </c>
    </row>
    <row r="680" spans="9:11">
      <c r="I680" s="137"/>
      <c r="J680" s="15">
        <v>39107</v>
      </c>
      <c r="K680" s="137">
        <v>6.11004359E-2</v>
      </c>
    </row>
    <row r="681" spans="9:11">
      <c r="I681" s="137"/>
      <c r="J681" s="15">
        <v>39114</v>
      </c>
      <c r="K681" s="137">
        <v>5.8982440000000004E-3</v>
      </c>
    </row>
    <row r="682" spans="9:11">
      <c r="I682" s="137"/>
      <c r="J682" s="15">
        <v>39121</v>
      </c>
      <c r="K682" s="137">
        <v>6.4989330900000003E-2</v>
      </c>
    </row>
    <row r="683" spans="9:11">
      <c r="I683" s="137"/>
      <c r="J683" s="15">
        <v>39128</v>
      </c>
      <c r="K683" s="137">
        <v>7.3272481999999998E-3</v>
      </c>
    </row>
    <row r="684" spans="9:11">
      <c r="I684" s="137"/>
      <c r="J684" s="15">
        <v>39135</v>
      </c>
      <c r="K684" s="137">
        <v>6.4999505799999996E-2</v>
      </c>
    </row>
    <row r="685" spans="9:11">
      <c r="I685" s="137"/>
      <c r="J685" s="15">
        <v>39142</v>
      </c>
      <c r="K685" s="137">
        <v>9.3349277100000003E-2</v>
      </c>
    </row>
    <row r="686" spans="9:11">
      <c r="I686" s="137"/>
      <c r="J686" s="15">
        <v>39149</v>
      </c>
      <c r="K686" s="137">
        <v>9.36298354E-2</v>
      </c>
    </row>
    <row r="687" spans="9:11">
      <c r="I687" s="137"/>
      <c r="J687" s="15">
        <v>39156</v>
      </c>
      <c r="K687" s="137">
        <v>0.10138497959999999</v>
      </c>
    </row>
    <row r="688" spans="9:11">
      <c r="I688" s="137"/>
      <c r="J688" s="15">
        <v>39163</v>
      </c>
      <c r="K688" s="137">
        <v>9.3657865100000001E-2</v>
      </c>
    </row>
    <row r="689" spans="9:11">
      <c r="I689" s="137"/>
      <c r="J689" s="15">
        <v>39170</v>
      </c>
      <c r="K689" s="137">
        <v>9.3657865100000001E-2</v>
      </c>
    </row>
    <row r="690" spans="9:11">
      <c r="I690" s="137"/>
      <c r="J690" s="15">
        <v>39177</v>
      </c>
      <c r="K690" s="137">
        <v>9.5747183400000005E-2</v>
      </c>
    </row>
    <row r="691" spans="9:11">
      <c r="I691" s="137"/>
      <c r="J691" s="15">
        <v>39184</v>
      </c>
      <c r="K691" s="137">
        <v>1.1145530900000001E-2</v>
      </c>
    </row>
    <row r="692" spans="9:11">
      <c r="I692" s="137"/>
      <c r="J692" s="15">
        <v>39191</v>
      </c>
      <c r="K692" s="137">
        <v>8.9428479500000005E-2</v>
      </c>
    </row>
    <row r="693" spans="9:11">
      <c r="I693" s="137"/>
      <c r="J693" s="15">
        <v>39198</v>
      </c>
      <c r="K693" s="137">
        <v>8.9444755200000003E-2</v>
      </c>
    </row>
    <row r="694" spans="9:11">
      <c r="I694" s="137"/>
      <c r="J694" s="15">
        <v>39205</v>
      </c>
      <c r="K694" s="137">
        <v>1.7355111199999999E-2</v>
      </c>
    </row>
    <row r="695" spans="9:11">
      <c r="I695" s="137"/>
      <c r="J695" s="15">
        <v>39212</v>
      </c>
      <c r="K695" s="137">
        <v>9.7838746300000001E-2</v>
      </c>
    </row>
    <row r="696" spans="9:11">
      <c r="I696" s="137"/>
      <c r="J696" s="15">
        <v>39219</v>
      </c>
      <c r="K696" s="137">
        <v>1.09481813E-2</v>
      </c>
    </row>
    <row r="697" spans="9:11">
      <c r="I697" s="137"/>
      <c r="J697" s="15">
        <v>39226</v>
      </c>
      <c r="K697" s="137">
        <v>1.1787154E-3</v>
      </c>
    </row>
    <row r="698" spans="9:11">
      <c r="I698" s="137"/>
      <c r="J698" s="15">
        <v>39233</v>
      </c>
      <c r="K698" s="137">
        <v>1.001625E-4</v>
      </c>
    </row>
    <row r="699" spans="9:11">
      <c r="I699" s="137"/>
      <c r="J699" s="15">
        <v>39240</v>
      </c>
      <c r="K699" s="137">
        <v>1.2659765E-3</v>
      </c>
    </row>
    <row r="700" spans="9:11">
      <c r="I700" s="137"/>
      <c r="J700" s="15">
        <v>39247</v>
      </c>
      <c r="K700" s="137">
        <v>8.913568E-4</v>
      </c>
    </row>
    <row r="701" spans="9:11">
      <c r="I701" s="137"/>
      <c r="J701" s="15">
        <v>39254</v>
      </c>
      <c r="K701" s="137">
        <v>9.1740479999999998E-4</v>
      </c>
    </row>
    <row r="702" spans="9:11">
      <c r="I702" s="137"/>
      <c r="J702" s="15">
        <v>39261</v>
      </c>
      <c r="K702" s="137">
        <v>1.0551409000000001E-3</v>
      </c>
    </row>
    <row r="703" spans="9:11">
      <c r="I703" s="137"/>
      <c r="J703" s="15">
        <v>39268</v>
      </c>
      <c r="K703" s="137">
        <v>3.1055784E-3</v>
      </c>
    </row>
    <row r="704" spans="9:11">
      <c r="I704" s="137"/>
      <c r="J704" s="15">
        <v>39275</v>
      </c>
      <c r="K704" s="137">
        <v>1.1833788E-3</v>
      </c>
    </row>
    <row r="705" spans="9:11">
      <c r="I705" s="137"/>
      <c r="J705" s="15">
        <v>39282</v>
      </c>
      <c r="K705" s="137">
        <v>1.1833788E-3</v>
      </c>
    </row>
    <row r="706" spans="9:11">
      <c r="I706" s="137"/>
      <c r="J706" s="15">
        <v>39289</v>
      </c>
      <c r="K706" s="137">
        <v>2.8111287000000002E-3</v>
      </c>
    </row>
    <row r="707" spans="9:11">
      <c r="I707" s="137"/>
      <c r="J707" s="15">
        <v>39296</v>
      </c>
      <c r="K707" s="137">
        <v>5.5086342999999998E-3</v>
      </c>
    </row>
    <row r="708" spans="9:11">
      <c r="I708" s="137"/>
      <c r="J708" s="15">
        <v>39303</v>
      </c>
      <c r="K708" s="137">
        <v>6.0315467999999999E-3</v>
      </c>
    </row>
    <row r="709" spans="9:11">
      <c r="I709" s="137"/>
      <c r="J709" s="15">
        <v>39310</v>
      </c>
      <c r="K709" s="137">
        <v>5.5510304000000003E-3</v>
      </c>
    </row>
    <row r="710" spans="9:11">
      <c r="I710" s="137"/>
      <c r="J710" s="15">
        <v>39317</v>
      </c>
      <c r="K710" s="137">
        <v>6.7458079000000002E-3</v>
      </c>
    </row>
    <row r="711" spans="9:11">
      <c r="I711" s="137"/>
      <c r="J711" s="15">
        <v>39324</v>
      </c>
      <c r="K711" s="137">
        <v>7.4081816E-3</v>
      </c>
    </row>
    <row r="712" spans="9:11">
      <c r="I712" s="137"/>
      <c r="J712" s="15">
        <v>39331</v>
      </c>
      <c r="K712" s="137">
        <v>1.10319849E-2</v>
      </c>
    </row>
    <row r="713" spans="9:11">
      <c r="I713" s="137"/>
      <c r="J713" s="15">
        <v>39338</v>
      </c>
      <c r="K713" s="137">
        <v>1.7740028800000002E-2</v>
      </c>
    </row>
    <row r="714" spans="9:11">
      <c r="I714" s="137"/>
      <c r="J714" s="15">
        <v>39345</v>
      </c>
      <c r="K714" s="137">
        <v>1.3129956599999999E-2</v>
      </c>
    </row>
    <row r="715" spans="9:11">
      <c r="I715" s="137"/>
      <c r="J715" s="15">
        <v>39352</v>
      </c>
      <c r="K715" s="137">
        <v>1.2104595100000001E-2</v>
      </c>
    </row>
    <row r="716" spans="9:11">
      <c r="I716" s="137"/>
      <c r="J716" s="15">
        <v>39359</v>
      </c>
      <c r="K716" s="137">
        <v>1.7550265200000002E-2</v>
      </c>
    </row>
    <row r="717" spans="9:11">
      <c r="I717" s="137"/>
      <c r="J717" s="15">
        <v>39366</v>
      </c>
      <c r="K717" s="137">
        <v>1.7548401599999999E-2</v>
      </c>
    </row>
    <row r="718" spans="9:11">
      <c r="I718" s="137"/>
      <c r="J718" s="15">
        <v>39373</v>
      </c>
      <c r="K718" s="137">
        <v>1.41763467E-2</v>
      </c>
    </row>
    <row r="719" spans="9:11">
      <c r="I719" s="137"/>
      <c r="J719" s="15">
        <v>39380</v>
      </c>
      <c r="K719" s="137">
        <v>1.8777923799999999E-2</v>
      </c>
    </row>
    <row r="720" spans="9:11">
      <c r="I720" s="137"/>
      <c r="J720" s="15">
        <v>39387</v>
      </c>
      <c r="K720" s="137">
        <v>3.6524472000000002E-2</v>
      </c>
    </row>
    <row r="721" spans="9:11">
      <c r="I721" s="137"/>
      <c r="J721" s="15">
        <v>39394</v>
      </c>
      <c r="K721" s="137">
        <v>4.00590163E-2</v>
      </c>
    </row>
    <row r="722" spans="9:11">
      <c r="I722" s="137"/>
      <c r="J722" s="15">
        <v>39401</v>
      </c>
      <c r="K722" s="137">
        <v>3.4109192900000002E-2</v>
      </c>
    </row>
    <row r="723" spans="9:11">
      <c r="I723" s="137"/>
      <c r="J723" s="15">
        <v>39407</v>
      </c>
      <c r="K723" s="137">
        <v>4.1113970899999998E-2</v>
      </c>
    </row>
    <row r="724" spans="9:11">
      <c r="I724" s="137"/>
      <c r="J724" s="15">
        <v>39415</v>
      </c>
      <c r="K724" s="137">
        <v>0.1382680416</v>
      </c>
    </row>
    <row r="725" spans="9:11">
      <c r="I725" s="137"/>
      <c r="J725" s="15">
        <v>39422</v>
      </c>
      <c r="K725" s="137">
        <v>0.23094823070000001</v>
      </c>
    </row>
    <row r="726" spans="9:11">
      <c r="I726" s="137"/>
      <c r="J726" s="15">
        <v>39429</v>
      </c>
      <c r="K726" s="137">
        <v>0.15010813070000001</v>
      </c>
    </row>
    <row r="727" spans="9:11">
      <c r="I727" s="137"/>
      <c r="J727" s="15">
        <v>39436</v>
      </c>
      <c r="K727" s="137">
        <v>0.15007038789999999</v>
      </c>
    </row>
    <row r="728" spans="9:11">
      <c r="I728" s="137"/>
      <c r="J728" s="15">
        <v>39443</v>
      </c>
      <c r="K728" s="137">
        <v>5.4363377300000001E-2</v>
      </c>
    </row>
    <row r="729" spans="9:11">
      <c r="I729" s="137"/>
      <c r="J729" s="15">
        <v>39450</v>
      </c>
      <c r="K729" s="137">
        <v>0.16352889400000001</v>
      </c>
    </row>
    <row r="730" spans="9:11">
      <c r="I730" s="137"/>
      <c r="J730" s="15">
        <v>39457</v>
      </c>
      <c r="K730" s="137">
        <v>0.26151994560000003</v>
      </c>
    </row>
    <row r="731" spans="9:11">
      <c r="I731" s="137"/>
      <c r="J731" s="15">
        <v>39464</v>
      </c>
      <c r="K731" s="137">
        <v>0.32976146579999999</v>
      </c>
    </row>
    <row r="732" spans="9:11">
      <c r="I732" s="137"/>
      <c r="J732" s="15">
        <v>39471</v>
      </c>
      <c r="K732" s="137">
        <v>0.66163350180000002</v>
      </c>
    </row>
    <row r="733" spans="9:11">
      <c r="I733" s="137"/>
      <c r="J733" s="15">
        <v>39478</v>
      </c>
      <c r="K733" s="137">
        <v>0.38285928120000001</v>
      </c>
    </row>
    <row r="734" spans="9:11">
      <c r="I734" s="137"/>
      <c r="J734" s="15">
        <v>39485</v>
      </c>
      <c r="K734" s="137">
        <v>0.41170641790000001</v>
      </c>
    </row>
    <row r="735" spans="9:11">
      <c r="I735" s="137"/>
      <c r="J735" s="15">
        <v>39492</v>
      </c>
      <c r="K735" s="137">
        <v>0.33635192619999998</v>
      </c>
    </row>
    <row r="736" spans="9:11">
      <c r="I736" s="137"/>
      <c r="J736" s="15">
        <v>39499</v>
      </c>
      <c r="K736" s="137">
        <v>0.17051092370000004</v>
      </c>
    </row>
    <row r="737" spans="9:11">
      <c r="I737" s="137"/>
      <c r="J737" s="15">
        <v>39506</v>
      </c>
      <c r="K737" s="137">
        <v>5.5073624999999998E-3</v>
      </c>
    </row>
    <row r="738" spans="9:11">
      <c r="I738" s="137"/>
      <c r="J738" s="15">
        <v>39513</v>
      </c>
      <c r="K738" s="137">
        <v>0.20492897060000001</v>
      </c>
    </row>
    <row r="739" spans="9:11">
      <c r="I739" s="137"/>
      <c r="J739" s="15">
        <v>39520</v>
      </c>
      <c r="K739" s="137">
        <v>1.49967391E-2</v>
      </c>
    </row>
    <row r="740" spans="9:11">
      <c r="I740" s="137"/>
      <c r="J740" s="15">
        <v>39527</v>
      </c>
      <c r="K740" s="137">
        <v>0.27596594369999999</v>
      </c>
    </row>
    <row r="741" spans="9:11">
      <c r="I741" s="137"/>
      <c r="J741" s="15">
        <v>39534</v>
      </c>
      <c r="K741" s="137">
        <v>0.27855394999999999</v>
      </c>
    </row>
    <row r="742" spans="9:11">
      <c r="I742" s="137"/>
      <c r="J742" s="15">
        <v>39541</v>
      </c>
      <c r="K742" s="137">
        <v>0.24287441949999999</v>
      </c>
    </row>
    <row r="743" spans="9:11">
      <c r="I743" s="137"/>
      <c r="J743" s="15">
        <v>39548</v>
      </c>
      <c r="K743" s="137">
        <v>0.26324610580000002</v>
      </c>
    </row>
    <row r="744" spans="9:11">
      <c r="I744" s="137"/>
      <c r="J744" s="15">
        <v>39555</v>
      </c>
      <c r="K744" s="137">
        <v>0.26324610580000002</v>
      </c>
    </row>
    <row r="745" spans="9:11">
      <c r="I745" s="137"/>
      <c r="J745" s="15">
        <v>39562</v>
      </c>
      <c r="K745" s="137">
        <v>0.20767634430000001</v>
      </c>
    </row>
    <row r="746" spans="9:11">
      <c r="I746" s="137"/>
      <c r="J746" s="15">
        <v>39569</v>
      </c>
      <c r="K746" s="137">
        <v>1.1809742200000001E-2</v>
      </c>
    </row>
    <row r="747" spans="9:11">
      <c r="I747" s="137"/>
      <c r="J747" s="15">
        <v>39576</v>
      </c>
      <c r="K747" s="137">
        <v>2.1851759599999999E-2</v>
      </c>
    </row>
    <row r="748" spans="9:11">
      <c r="I748" s="137"/>
      <c r="J748" s="15">
        <v>39583</v>
      </c>
      <c r="K748" s="137">
        <v>1.1820247799999999E-2</v>
      </c>
    </row>
    <row r="749" spans="9:11">
      <c r="I749" s="137"/>
      <c r="J749" s="15">
        <v>39590</v>
      </c>
      <c r="K749" s="137">
        <v>2.1854756900000001E-2</v>
      </c>
    </row>
    <row r="750" spans="9:11">
      <c r="I750" s="137"/>
      <c r="J750" s="15">
        <v>39597</v>
      </c>
      <c r="K750" s="137">
        <v>3.8501543999999999E-3</v>
      </c>
    </row>
    <row r="751" spans="9:11">
      <c r="I751" s="137"/>
      <c r="J751" s="15">
        <v>39604</v>
      </c>
      <c r="K751" s="137">
        <v>6.5142758999999998E-3</v>
      </c>
    </row>
    <row r="752" spans="9:11">
      <c r="I752" s="137"/>
      <c r="J752" s="15">
        <v>39611</v>
      </c>
      <c r="K752" s="137">
        <v>1.3281057E-3</v>
      </c>
    </row>
    <row r="753" spans="9:11">
      <c r="I753" s="137"/>
      <c r="J753" s="15">
        <v>39618</v>
      </c>
      <c r="K753" s="137">
        <v>1.0355873E-3</v>
      </c>
    </row>
    <row r="754" spans="9:11">
      <c r="I754" s="137"/>
      <c r="J754" s="15">
        <v>39625</v>
      </c>
      <c r="K754" s="137">
        <v>1.0353853999999999E-3</v>
      </c>
    </row>
    <row r="755" spans="9:11">
      <c r="I755" s="137"/>
      <c r="J755" s="15">
        <v>39632</v>
      </c>
      <c r="K755" s="137">
        <v>4.3317863000000003E-3</v>
      </c>
    </row>
    <row r="756" spans="9:11">
      <c r="I756" s="137"/>
      <c r="J756" s="15">
        <v>39639</v>
      </c>
      <c r="K756" s="137">
        <v>4.1558315999999998E-3</v>
      </c>
    </row>
    <row r="757" spans="9:11">
      <c r="I757" s="137"/>
      <c r="J757" s="15">
        <v>39646</v>
      </c>
      <c r="K757" s="137">
        <v>5.1440979000000001E-3</v>
      </c>
    </row>
    <row r="758" spans="9:11">
      <c r="I758" s="137"/>
      <c r="J758" s="15">
        <v>39653</v>
      </c>
      <c r="K758" s="137">
        <v>1.2603665999999999E-3</v>
      </c>
    </row>
    <row r="759" spans="9:11">
      <c r="I759" s="137"/>
      <c r="J759" s="15">
        <v>39660</v>
      </c>
      <c r="K759" s="137">
        <v>1.5464712000000001E-3</v>
      </c>
    </row>
    <row r="760" spans="9:11">
      <c r="I760" s="137"/>
      <c r="J760" s="15">
        <v>39667</v>
      </c>
      <c r="K760" s="137">
        <v>1.1530172E-3</v>
      </c>
    </row>
    <row r="761" spans="9:11">
      <c r="I761" s="137"/>
      <c r="J761" s="15">
        <v>39674</v>
      </c>
      <c r="K761" s="137">
        <v>1.1530172E-3</v>
      </c>
    </row>
    <row r="762" spans="9:11">
      <c r="I762" s="137"/>
      <c r="J762" s="15">
        <v>39681</v>
      </c>
      <c r="K762" s="137">
        <v>3.5366915E-3</v>
      </c>
    </row>
    <row r="763" spans="9:11">
      <c r="I763" s="137"/>
      <c r="J763" s="15">
        <v>39688</v>
      </c>
      <c r="K763" s="137">
        <v>4.3470202000000001E-3</v>
      </c>
    </row>
    <row r="764" spans="9:11">
      <c r="I764" s="137"/>
      <c r="J764" s="15">
        <v>39695</v>
      </c>
      <c r="K764" s="137">
        <v>5.6994957000000004E-3</v>
      </c>
    </row>
    <row r="765" spans="9:11">
      <c r="I765" s="137"/>
      <c r="J765" s="15">
        <v>39702</v>
      </c>
      <c r="K765" s="137">
        <v>0.2034955198</v>
      </c>
    </row>
    <row r="766" spans="9:11">
      <c r="I766" s="137"/>
      <c r="J766" s="15">
        <v>39709</v>
      </c>
      <c r="K766" s="137">
        <v>0.29699088080000002</v>
      </c>
    </row>
    <row r="767" spans="9:11">
      <c r="I767" s="137"/>
      <c r="J767" s="15">
        <v>39716</v>
      </c>
      <c r="K767" s="137">
        <v>1.33154169E-2</v>
      </c>
    </row>
    <row r="768" spans="9:11">
      <c r="I768" s="137"/>
      <c r="J768" s="15">
        <v>39723</v>
      </c>
      <c r="K768" s="137">
        <v>1.6478596700000001E-2</v>
      </c>
    </row>
    <row r="769" spans="9:11">
      <c r="I769" s="137"/>
      <c r="J769" s="15">
        <v>39730</v>
      </c>
      <c r="K769" s="137">
        <v>4.1625742200000003E-2</v>
      </c>
    </row>
    <row r="770" spans="9:11">
      <c r="I770" s="137"/>
      <c r="J770" s="15">
        <v>39737</v>
      </c>
      <c r="K770" s="137">
        <v>2.1092658000000002E-3</v>
      </c>
    </row>
    <row r="771" spans="9:11">
      <c r="I771" s="137"/>
      <c r="J771" s="15">
        <v>39744</v>
      </c>
      <c r="K771" s="137">
        <v>1.7940324800000001E-2</v>
      </c>
    </row>
    <row r="772" spans="9:11">
      <c r="I772" s="137"/>
      <c r="J772" s="15">
        <v>39751</v>
      </c>
      <c r="K772" s="137">
        <v>2.0620106000000002E-3</v>
      </c>
    </row>
    <row r="773" spans="9:11">
      <c r="I773" s="137"/>
      <c r="J773" s="15">
        <v>39758</v>
      </c>
      <c r="K773" s="137">
        <v>1.3662998900000001E-2</v>
      </c>
    </row>
    <row r="774" spans="9:11">
      <c r="I774" s="137"/>
      <c r="J774" s="15">
        <v>39765</v>
      </c>
      <c r="K774" s="137">
        <v>1.49714459E-2</v>
      </c>
    </row>
    <row r="775" spans="9:11">
      <c r="I775" s="137"/>
      <c r="J775" s="15">
        <v>39772</v>
      </c>
      <c r="K775" s="137">
        <v>2.1773385499999999E-2</v>
      </c>
    </row>
    <row r="776" spans="9:11">
      <c r="I776" s="137"/>
      <c r="J776" s="15">
        <v>39778</v>
      </c>
      <c r="K776" s="137">
        <v>2.9545367900000001E-2</v>
      </c>
    </row>
    <row r="777" spans="9:11">
      <c r="I777" s="137"/>
      <c r="J777" s="15">
        <v>39786</v>
      </c>
      <c r="K777" s="137">
        <v>0.4238442993</v>
      </c>
    </row>
    <row r="778" spans="9:11">
      <c r="I778" s="137"/>
      <c r="J778" s="15">
        <v>39793</v>
      </c>
      <c r="K778" s="137">
        <v>0.54517550680000004</v>
      </c>
    </row>
    <row r="779" spans="9:11">
      <c r="I779" s="137"/>
      <c r="J779" s="15">
        <v>39800</v>
      </c>
      <c r="K779" s="137">
        <v>0.78361411790000002</v>
      </c>
    </row>
    <row r="780" spans="9:11">
      <c r="I780" s="137"/>
      <c r="J780" s="15">
        <v>39806</v>
      </c>
      <c r="K780" s="137">
        <v>0.78993674390000002</v>
      </c>
    </row>
    <row r="781" spans="9:11">
      <c r="I781" s="137"/>
      <c r="J781" s="15">
        <v>39813</v>
      </c>
      <c r="K781" s="137">
        <v>0.83225440230000003</v>
      </c>
    </row>
    <row r="782" spans="9:11">
      <c r="I782" s="137"/>
      <c r="J782" s="15">
        <v>39821</v>
      </c>
      <c r="K782" s="137">
        <v>0.89735601710000001</v>
      </c>
    </row>
    <row r="783" spans="9:11">
      <c r="I783" s="137"/>
      <c r="J783" s="15">
        <v>39828</v>
      </c>
      <c r="K783" s="137">
        <v>0.91180757339999996</v>
      </c>
    </row>
    <row r="784" spans="9:11">
      <c r="I784" s="137"/>
      <c r="J784" s="15">
        <v>39835</v>
      </c>
      <c r="K784" s="137">
        <v>0.82580071769999996</v>
      </c>
    </row>
    <row r="785" spans="9:11">
      <c r="I785" s="137"/>
      <c r="J785" s="15">
        <v>39842</v>
      </c>
      <c r="K785" s="137">
        <v>0.83093630070000002</v>
      </c>
    </row>
    <row r="786" spans="9:11">
      <c r="I786" s="137"/>
      <c r="J786" s="15">
        <v>39849</v>
      </c>
      <c r="K786" s="137">
        <v>0.69663565689999996</v>
      </c>
    </row>
    <row r="787" spans="9:11">
      <c r="I787" s="137"/>
      <c r="J787" s="15">
        <v>39856</v>
      </c>
      <c r="K787" s="137">
        <v>0.78832157729999996</v>
      </c>
    </row>
    <row r="788" spans="9:11">
      <c r="I788" s="137"/>
      <c r="J788" s="15">
        <v>39863</v>
      </c>
      <c r="K788" s="137">
        <v>0.86630603630000003</v>
      </c>
    </row>
    <row r="789" spans="9:11">
      <c r="I789" s="137"/>
      <c r="J789" s="15">
        <v>39870</v>
      </c>
      <c r="K789" s="137">
        <v>0.85325570760000002</v>
      </c>
    </row>
    <row r="790" spans="9:11">
      <c r="I790" s="137"/>
      <c r="J790" s="15">
        <v>39877</v>
      </c>
      <c r="K790" s="137">
        <v>0.78969731409999999</v>
      </c>
    </row>
    <row r="791" spans="9:11">
      <c r="I791" s="137"/>
      <c r="J791" s="15">
        <v>39884</v>
      </c>
      <c r="K791" s="137">
        <v>0.86873115099999998</v>
      </c>
    </row>
    <row r="792" spans="9:11">
      <c r="I792" s="137"/>
      <c r="J792" s="15">
        <v>39891</v>
      </c>
      <c r="K792" s="137">
        <v>0.89907836969999999</v>
      </c>
    </row>
    <row r="793" spans="9:11">
      <c r="I793" s="137"/>
      <c r="J793" s="15">
        <v>39898</v>
      </c>
      <c r="K793" s="137">
        <v>0.95662482240000002</v>
      </c>
    </row>
    <row r="794" spans="9:11">
      <c r="I794" s="137"/>
      <c r="J794" s="15">
        <v>39905</v>
      </c>
      <c r="K794" s="137">
        <v>0.96773525760000001</v>
      </c>
    </row>
    <row r="795" spans="9:11">
      <c r="I795" s="137"/>
      <c r="J795" s="15">
        <v>39912</v>
      </c>
      <c r="K795" s="137">
        <v>0.9513298858</v>
      </c>
    </row>
    <row r="796" spans="9:11">
      <c r="I796" s="137"/>
      <c r="J796" s="15">
        <v>39919</v>
      </c>
      <c r="K796" s="137">
        <v>0.96711362749999996</v>
      </c>
    </row>
    <row r="797" spans="9:11">
      <c r="I797" s="137"/>
      <c r="J797" s="15">
        <v>39926</v>
      </c>
      <c r="K797" s="137">
        <v>0.96668307070000004</v>
      </c>
    </row>
    <row r="798" spans="9:11">
      <c r="I798" s="137"/>
      <c r="J798" s="15">
        <v>39933</v>
      </c>
      <c r="K798" s="137">
        <v>0.96773525760000001</v>
      </c>
    </row>
    <row r="799" spans="9:11">
      <c r="I799" s="137"/>
      <c r="J799" s="15">
        <v>39940</v>
      </c>
      <c r="K799" s="137">
        <v>0.93819680849999998</v>
      </c>
    </row>
    <row r="800" spans="9:11">
      <c r="I800" s="137"/>
      <c r="J800" s="15">
        <v>39947</v>
      </c>
      <c r="K800" s="137">
        <v>0.9382895819</v>
      </c>
    </row>
    <row r="801" spans="9:11">
      <c r="I801" s="137"/>
      <c r="J801" s="15">
        <v>39954</v>
      </c>
      <c r="K801" s="137">
        <v>0.95023078650000004</v>
      </c>
    </row>
    <row r="802" spans="9:11">
      <c r="I802" s="137"/>
      <c r="J802" s="15">
        <v>39961</v>
      </c>
      <c r="K802" s="137">
        <v>0.91703471479999998</v>
      </c>
    </row>
    <row r="803" spans="9:11">
      <c r="I803" s="137"/>
      <c r="J803" s="15">
        <v>39968</v>
      </c>
      <c r="K803" s="137">
        <v>6.9875139999999998E-4</v>
      </c>
    </row>
    <row r="804" spans="9:11">
      <c r="I804" s="137"/>
      <c r="J804" s="15">
        <v>39975</v>
      </c>
      <c r="K804" s="137">
        <v>2.6793020000000001E-4</v>
      </c>
    </row>
    <row r="805" spans="9:11">
      <c r="I805" s="137"/>
      <c r="J805" s="15">
        <v>39982</v>
      </c>
      <c r="K805" s="137">
        <v>5.4072379999999995E-4</v>
      </c>
    </row>
    <row r="806" spans="9:11">
      <c r="I806" s="137"/>
      <c r="J806" s="15">
        <v>39989</v>
      </c>
      <c r="K806" s="137">
        <v>4.422645E-4</v>
      </c>
    </row>
    <row r="807" spans="9:11">
      <c r="I807" s="137"/>
      <c r="J807" s="15">
        <v>39996</v>
      </c>
      <c r="K807" s="137">
        <v>1.6449741E-3</v>
      </c>
    </row>
    <row r="808" spans="9:11">
      <c r="I808" s="137"/>
      <c r="J808" s="15">
        <v>40003</v>
      </c>
      <c r="K808" s="137">
        <v>2.4396846999999999E-3</v>
      </c>
    </row>
    <row r="809" spans="9:11">
      <c r="I809" s="137"/>
      <c r="J809" s="15">
        <v>40010</v>
      </c>
      <c r="K809" s="137">
        <v>4.5963966000000002E-3</v>
      </c>
    </row>
    <row r="810" spans="9:11">
      <c r="I810" s="137"/>
      <c r="J810" s="15">
        <v>40017</v>
      </c>
      <c r="K810" s="137">
        <v>2.4396846999999999E-3</v>
      </c>
    </row>
    <row r="811" spans="9:11">
      <c r="I811" s="137"/>
      <c r="J811" s="15">
        <v>40024</v>
      </c>
      <c r="K811" s="137">
        <v>2.0640286000000001E-3</v>
      </c>
    </row>
    <row r="812" spans="9:11">
      <c r="I812" s="137"/>
      <c r="J812" s="15">
        <v>40031</v>
      </c>
      <c r="K812" s="137">
        <v>3.6532496000000001E-3</v>
      </c>
    </row>
    <row r="813" spans="9:11">
      <c r="I813" s="137"/>
      <c r="J813" s="15">
        <v>40038</v>
      </c>
      <c r="K813" s="137">
        <v>1.407658E-3</v>
      </c>
    </row>
    <row r="814" spans="9:11">
      <c r="I814" s="137"/>
      <c r="J814" s="15">
        <v>40045</v>
      </c>
      <c r="K814" s="137">
        <v>6.7441365000000001E-3</v>
      </c>
    </row>
    <row r="815" spans="9:11">
      <c r="I815" s="137"/>
      <c r="J815" s="15">
        <v>40052</v>
      </c>
      <c r="K815" s="137">
        <v>3.8280061000000002E-3</v>
      </c>
    </row>
    <row r="816" spans="9:11">
      <c r="I816" s="137"/>
      <c r="J816" s="15">
        <v>40059</v>
      </c>
      <c r="K816" s="137">
        <v>7.4750987999999997E-3</v>
      </c>
    </row>
    <row r="817" spans="9:11">
      <c r="I817" s="137"/>
      <c r="J817" s="15">
        <v>40066</v>
      </c>
      <c r="K817" s="137">
        <v>9.0105779000000004E-3</v>
      </c>
    </row>
    <row r="818" spans="9:11">
      <c r="I818" s="137"/>
      <c r="J818" s="15">
        <v>40073</v>
      </c>
      <c r="K818" s="137">
        <v>9.0398625000000007E-3</v>
      </c>
    </row>
    <row r="819" spans="9:11">
      <c r="I819" s="137"/>
      <c r="J819" s="15">
        <v>40080</v>
      </c>
      <c r="K819" s="137">
        <v>1.51329173E-2</v>
      </c>
    </row>
    <row r="820" spans="9:11">
      <c r="I820" s="137"/>
      <c r="J820" s="15">
        <v>40087</v>
      </c>
      <c r="K820" s="137">
        <v>0.76420351740000003</v>
      </c>
    </row>
    <row r="821" spans="9:11">
      <c r="I821" s="137"/>
      <c r="J821" s="15">
        <v>40094</v>
      </c>
      <c r="K821" s="137">
        <v>0.79045908549999999</v>
      </c>
    </row>
    <row r="822" spans="9:11">
      <c r="I822" s="137"/>
      <c r="J822" s="15">
        <v>40101</v>
      </c>
      <c r="K822" s="137">
        <v>0.76839137859999995</v>
      </c>
    </row>
    <row r="823" spans="9:11">
      <c r="I823" s="137"/>
      <c r="J823" s="15">
        <v>40108</v>
      </c>
      <c r="K823" s="137">
        <v>8.2292375999999997E-3</v>
      </c>
    </row>
    <row r="824" spans="9:11">
      <c r="I824" s="137"/>
      <c r="J824" s="15">
        <v>40115</v>
      </c>
      <c r="K824" s="137">
        <v>4.9326667000000003E-3</v>
      </c>
    </row>
    <row r="825" spans="9:11">
      <c r="I825" s="137"/>
      <c r="J825" s="15">
        <v>40122</v>
      </c>
      <c r="K825" s="137">
        <v>9.4062940000000008E-3</v>
      </c>
    </row>
    <row r="826" spans="9:11">
      <c r="I826" s="137"/>
      <c r="J826" s="15">
        <v>40129</v>
      </c>
      <c r="K826" s="137">
        <v>0.747663572</v>
      </c>
    </row>
    <row r="827" spans="9:11">
      <c r="I827" s="137"/>
      <c r="J827" s="15">
        <v>40136</v>
      </c>
      <c r="K827" s="137">
        <v>0.77043178379999999</v>
      </c>
    </row>
    <row r="828" spans="9:11">
      <c r="I828" s="137"/>
      <c r="J828" s="15">
        <v>40142</v>
      </c>
      <c r="K828" s="137">
        <v>0.78926948910000005</v>
      </c>
    </row>
    <row r="829" spans="9:11">
      <c r="I829" s="137"/>
      <c r="J829" s="15">
        <v>40150</v>
      </c>
      <c r="K829" s="137">
        <v>0.79182101829999996</v>
      </c>
    </row>
    <row r="830" spans="9:11">
      <c r="I830" s="137"/>
      <c r="J830" s="15">
        <v>40157</v>
      </c>
      <c r="K830" s="137">
        <v>0.77487696129999994</v>
      </c>
    </row>
    <row r="831" spans="9:11">
      <c r="I831" s="137"/>
      <c r="J831" s="15">
        <v>40164</v>
      </c>
      <c r="K831" s="137">
        <v>1.26402865E-2</v>
      </c>
    </row>
    <row r="832" spans="9:11">
      <c r="I832" s="137"/>
      <c r="J832" s="15">
        <v>40171</v>
      </c>
      <c r="K832" s="137">
        <v>7.6324699999999999E-4</v>
      </c>
    </row>
    <row r="833" spans="9:11">
      <c r="I833" s="137"/>
      <c r="J833" s="15">
        <v>40178</v>
      </c>
      <c r="K833" s="137">
        <v>1.3941899999999999E-5</v>
      </c>
    </row>
    <row r="834" spans="9:11">
      <c r="I834" s="137"/>
      <c r="J834" s="15">
        <v>40185</v>
      </c>
      <c r="K834" s="137">
        <v>3.354365E-4</v>
      </c>
    </row>
    <row r="835" spans="9:11">
      <c r="I835" s="137"/>
      <c r="J835" s="15">
        <v>40192</v>
      </c>
      <c r="K835" s="137">
        <v>5.125997E-4</v>
      </c>
    </row>
    <row r="836" spans="9:11">
      <c r="I836" s="137"/>
      <c r="J836" s="15">
        <v>40199</v>
      </c>
      <c r="K836" s="137">
        <v>7.3323073999999999E-3</v>
      </c>
    </row>
    <row r="837" spans="9:11">
      <c r="I837" s="137"/>
      <c r="J837" s="15">
        <v>40206</v>
      </c>
      <c r="K837" s="137">
        <v>7.3673740000000003E-3</v>
      </c>
    </row>
    <row r="838" spans="9:11">
      <c r="I838" s="137"/>
      <c r="J838" s="15">
        <v>40213</v>
      </c>
      <c r="K838" s="137">
        <v>1.5017113999999999E-3</v>
      </c>
    </row>
    <row r="839" spans="9:11">
      <c r="I839" s="137"/>
      <c r="J839" s="15">
        <v>40220</v>
      </c>
      <c r="K839" s="137">
        <v>7.9416000999999996E-3</v>
      </c>
    </row>
    <row r="840" spans="9:11">
      <c r="I840" s="137"/>
      <c r="J840" s="15">
        <v>40227</v>
      </c>
      <c r="K840" s="137">
        <v>1.5519953899999999E-2</v>
      </c>
    </row>
    <row r="841" spans="9:11">
      <c r="I841" s="137"/>
      <c r="J841" s="15">
        <v>40234</v>
      </c>
      <c r="K841" s="137">
        <v>2.6490880000000001E-4</v>
      </c>
    </row>
    <row r="842" spans="9:11">
      <c r="I842" s="137"/>
      <c r="J842" s="15">
        <v>40241</v>
      </c>
      <c r="K842" s="137">
        <v>8.0942342999999993E-3</v>
      </c>
    </row>
    <row r="843" spans="9:11">
      <c r="I843" s="137"/>
      <c r="J843" s="15">
        <v>40248</v>
      </c>
      <c r="K843" s="137">
        <v>1.18532042E-2</v>
      </c>
    </row>
    <row r="844" spans="9:11">
      <c r="I844" s="137"/>
      <c r="J844" s="15">
        <v>40255</v>
      </c>
      <c r="K844" s="137">
        <v>8.1109384E-3</v>
      </c>
    </row>
    <row r="845" spans="9:11">
      <c r="I845" s="137"/>
      <c r="J845" s="15">
        <v>40262</v>
      </c>
      <c r="K845" s="137">
        <v>1.8597026000000002E-3</v>
      </c>
    </row>
    <row r="846" spans="9:11">
      <c r="I846" s="137"/>
      <c r="J846" s="15">
        <v>40269</v>
      </c>
      <c r="K846" s="137">
        <v>1.615617E-4</v>
      </c>
    </row>
    <row r="847" spans="9:11">
      <c r="I847" s="137"/>
      <c r="J847" s="15">
        <v>40276</v>
      </c>
      <c r="K847" s="137">
        <v>3.2240799999999998E-5</v>
      </c>
    </row>
    <row r="848" spans="9:11">
      <c r="I848" s="137"/>
      <c r="J848" s="15">
        <v>40283</v>
      </c>
      <c r="K848" s="137">
        <v>6.7993339999999989E-4</v>
      </c>
    </row>
    <row r="849" spans="9:11">
      <c r="I849" s="137"/>
      <c r="J849" s="15">
        <v>40290</v>
      </c>
      <c r="K849" s="137">
        <v>2.9192680000000003E-4</v>
      </c>
    </row>
    <row r="850" spans="9:11">
      <c r="I850" s="137"/>
      <c r="J850" s="15">
        <v>40297</v>
      </c>
      <c r="K850" s="137">
        <v>2.9468639999999998E-4</v>
      </c>
    </row>
    <row r="851" spans="9:11">
      <c r="I851" s="137"/>
      <c r="J851" s="15">
        <v>40304</v>
      </c>
      <c r="K851" s="137">
        <v>1.2717029000000001E-3</v>
      </c>
    </row>
    <row r="852" spans="9:11">
      <c r="I852" s="137"/>
      <c r="J852" s="15">
        <v>40311</v>
      </c>
      <c r="K852" s="137">
        <v>1.7426468099999998E-2</v>
      </c>
    </row>
    <row r="853" spans="9:11">
      <c r="I853" s="137"/>
      <c r="J853" s="15">
        <v>40318</v>
      </c>
      <c r="K853" s="137">
        <v>0.67392174719999998</v>
      </c>
    </row>
    <row r="854" spans="9:11">
      <c r="I854" s="137"/>
      <c r="J854" s="15">
        <v>40325</v>
      </c>
      <c r="K854" s="137">
        <v>0.69746715989999997</v>
      </c>
    </row>
    <row r="855" spans="9:11">
      <c r="I855" s="137"/>
      <c r="J855" s="15">
        <v>40332</v>
      </c>
      <c r="K855" s="137">
        <v>0.68294508980000002</v>
      </c>
    </row>
    <row r="856" spans="9:11">
      <c r="I856" s="137"/>
      <c r="J856" s="15">
        <v>40339</v>
      </c>
      <c r="K856" s="137">
        <v>0.70511369130000001</v>
      </c>
    </row>
    <row r="857" spans="9:11">
      <c r="I857" s="137"/>
      <c r="J857" s="15">
        <v>40346</v>
      </c>
      <c r="K857" s="137">
        <v>0.7033472181</v>
      </c>
    </row>
    <row r="858" spans="9:11">
      <c r="I858" s="137"/>
      <c r="J858" s="15">
        <v>40353</v>
      </c>
      <c r="K858" s="137">
        <v>0.72360327089999998</v>
      </c>
    </row>
    <row r="859" spans="9:11">
      <c r="I859" s="137"/>
      <c r="J859" s="15">
        <v>40360</v>
      </c>
      <c r="K859" s="137">
        <v>0.74095838449999996</v>
      </c>
    </row>
    <row r="860" spans="9:11">
      <c r="I860" s="137"/>
      <c r="J860" s="15">
        <v>40367</v>
      </c>
      <c r="K860" s="137">
        <v>0.76127916539999996</v>
      </c>
    </row>
    <row r="861" spans="9:11">
      <c r="I861" s="137"/>
      <c r="J861" s="15">
        <v>40374</v>
      </c>
      <c r="K861" s="137">
        <v>0.76127916539999996</v>
      </c>
    </row>
    <row r="862" spans="9:11">
      <c r="I862" s="137"/>
      <c r="J862" s="15">
        <v>40381</v>
      </c>
      <c r="K862" s="137">
        <v>0.76214313</v>
      </c>
    </row>
    <row r="863" spans="9:11">
      <c r="I863" s="137"/>
      <c r="J863" s="15">
        <v>40388</v>
      </c>
      <c r="K863" s="137">
        <v>0.76295205990000003</v>
      </c>
    </row>
    <row r="864" spans="9:11">
      <c r="I864" s="137"/>
      <c r="J864" s="15">
        <v>40395</v>
      </c>
      <c r="K864" s="137">
        <v>0.77103122199999996</v>
      </c>
    </row>
    <row r="865" spans="9:11">
      <c r="I865" s="137"/>
      <c r="J865" s="15">
        <v>40402</v>
      </c>
      <c r="K865" s="137">
        <v>0.80814178439999995</v>
      </c>
    </row>
    <row r="866" spans="9:11">
      <c r="I866" s="137"/>
      <c r="J866" s="15">
        <v>40409</v>
      </c>
      <c r="K866" s="137">
        <v>0.80875793200000001</v>
      </c>
    </row>
    <row r="867" spans="9:11">
      <c r="I867" s="137"/>
      <c r="J867" s="15">
        <v>40416</v>
      </c>
      <c r="K867" s="137">
        <v>0.83767788539999999</v>
      </c>
    </row>
    <row r="868" spans="9:11">
      <c r="I868" s="137"/>
      <c r="J868" s="15">
        <v>40423</v>
      </c>
      <c r="K868" s="137">
        <v>0.8595783092</v>
      </c>
    </row>
    <row r="869" spans="9:11">
      <c r="I869" s="137"/>
      <c r="J869" s="15">
        <v>40430</v>
      </c>
      <c r="K869" s="137">
        <v>0.82249875709999998</v>
      </c>
    </row>
    <row r="870" spans="9:11">
      <c r="I870" s="137"/>
      <c r="J870" s="15">
        <v>40437</v>
      </c>
      <c r="K870" s="137">
        <v>0.82065378529999999</v>
      </c>
    </row>
    <row r="871" spans="9:11">
      <c r="I871" s="137"/>
      <c r="J871" s="15">
        <v>40444</v>
      </c>
      <c r="K871" s="137">
        <v>0.82065378529999999</v>
      </c>
    </row>
    <row r="872" spans="9:11">
      <c r="I872" s="137"/>
      <c r="J872" s="15">
        <v>40451</v>
      </c>
      <c r="K872" s="137">
        <v>0.82255319569999996</v>
      </c>
    </row>
    <row r="873" spans="9:11">
      <c r="I873" s="137"/>
      <c r="J873" s="15">
        <v>40458</v>
      </c>
      <c r="K873" s="137">
        <v>0.84601650620000002</v>
      </c>
    </row>
    <row r="874" spans="9:11">
      <c r="I874" s="137"/>
      <c r="J874" s="15">
        <v>40465</v>
      </c>
      <c r="K874" s="137">
        <v>0.87668126219999998</v>
      </c>
    </row>
    <row r="875" spans="9:11">
      <c r="I875" s="137"/>
      <c r="J875" s="15">
        <v>40472</v>
      </c>
      <c r="K875" s="137">
        <v>0.87405301849999995</v>
      </c>
    </row>
    <row r="876" spans="9:11">
      <c r="I876" s="137"/>
      <c r="J876" s="15">
        <v>40479</v>
      </c>
      <c r="K876" s="137">
        <v>0.87352285470000002</v>
      </c>
    </row>
    <row r="877" spans="9:11">
      <c r="I877" s="137"/>
      <c r="J877" s="15">
        <v>40486</v>
      </c>
      <c r="K877" s="137">
        <v>0.83158081500000003</v>
      </c>
    </row>
    <row r="878" spans="9:11">
      <c r="I878" s="137"/>
      <c r="J878" s="15">
        <v>40493</v>
      </c>
      <c r="K878" s="137">
        <v>0.87849900790000013</v>
      </c>
    </row>
    <row r="879" spans="9:11">
      <c r="I879" s="137"/>
      <c r="J879" s="15">
        <v>40500</v>
      </c>
      <c r="K879" s="137">
        <v>4.1800915000000001E-3</v>
      </c>
    </row>
    <row r="880" spans="9:11">
      <c r="I880" s="137"/>
      <c r="J880" s="15">
        <v>40506</v>
      </c>
      <c r="K880" s="137">
        <v>4.1857947000000003E-3</v>
      </c>
    </row>
    <row r="881" spans="9:11">
      <c r="I881" s="137"/>
      <c r="J881" s="15">
        <v>40514</v>
      </c>
      <c r="K881" s="137">
        <v>1.3575178E-3</v>
      </c>
    </row>
    <row r="882" spans="9:11">
      <c r="I882" s="137"/>
      <c r="J882" s="15">
        <v>40521</v>
      </c>
      <c r="K882" s="137">
        <v>6.9437969999999998E-4</v>
      </c>
    </row>
    <row r="883" spans="9:11">
      <c r="I883" s="137"/>
      <c r="J883" s="15">
        <v>40528</v>
      </c>
      <c r="K883" s="137">
        <v>1.217348E-4</v>
      </c>
    </row>
    <row r="884" spans="9:11">
      <c r="I884" s="137"/>
      <c r="J884" s="15">
        <v>40535</v>
      </c>
      <c r="K884" s="137">
        <v>2.180665E-4</v>
      </c>
    </row>
    <row r="885" spans="9:11">
      <c r="I885" s="137"/>
      <c r="J885" s="15">
        <v>40542</v>
      </c>
      <c r="K885" s="137">
        <v>1.1514540000000001E-4</v>
      </c>
    </row>
    <row r="886" spans="9:11">
      <c r="I886" s="137"/>
      <c r="J886" s="15">
        <v>40549</v>
      </c>
      <c r="K886" s="137">
        <v>2.7164890000000002E-4</v>
      </c>
    </row>
    <row r="887" spans="9:11">
      <c r="I887" s="137"/>
      <c r="J887" s="15">
        <v>40556</v>
      </c>
      <c r="K887" s="137">
        <v>4.067427E-4</v>
      </c>
    </row>
    <row r="888" spans="9:11">
      <c r="I888" s="137"/>
      <c r="J888" s="15">
        <v>40563</v>
      </c>
      <c r="K888" s="137">
        <v>2.7941290000000002E-4</v>
      </c>
    </row>
    <row r="889" spans="9:11">
      <c r="I889" s="137"/>
      <c r="J889" s="15">
        <v>40570</v>
      </c>
      <c r="K889" s="137">
        <v>1.2575109999999999E-4</v>
      </c>
    </row>
    <row r="890" spans="9:11">
      <c r="I890" s="137"/>
      <c r="J890" s="15">
        <v>40577</v>
      </c>
      <c r="K890" s="137">
        <v>1.0595339999999999E-4</v>
      </c>
    </row>
    <row r="891" spans="9:11">
      <c r="I891" s="137"/>
      <c r="J891" s="15">
        <v>40584</v>
      </c>
      <c r="K891" s="137">
        <v>1.7607900000000001E-5</v>
      </c>
    </row>
    <row r="892" spans="9:11">
      <c r="I892" s="137"/>
      <c r="J892" s="15">
        <v>40591</v>
      </c>
      <c r="K892" s="137">
        <v>2.3976100000000002E-5</v>
      </c>
    </row>
    <row r="893" spans="9:11">
      <c r="I893" s="137"/>
      <c r="J893" s="15">
        <v>40598</v>
      </c>
      <c r="K893" s="137">
        <v>3.87933E-5</v>
      </c>
    </row>
    <row r="894" spans="9:11">
      <c r="I894" s="137"/>
      <c r="J894" s="15">
        <v>40605</v>
      </c>
      <c r="K894" s="137">
        <v>6.8061700000000006E-5</v>
      </c>
    </row>
    <row r="895" spans="9:11">
      <c r="I895" s="137"/>
      <c r="J895" s="15">
        <v>40612</v>
      </c>
      <c r="K895" s="137">
        <v>6.7790400000000001E-5</v>
      </c>
    </row>
    <row r="896" spans="9:11">
      <c r="I896" s="137"/>
      <c r="J896" s="15">
        <v>40619</v>
      </c>
      <c r="K896" s="137">
        <v>4.507925E-4</v>
      </c>
    </row>
    <row r="897" spans="9:11">
      <c r="I897" s="137"/>
      <c r="J897" s="15">
        <v>40626</v>
      </c>
      <c r="K897" s="137">
        <v>1.752143E-4</v>
      </c>
    </row>
    <row r="898" spans="9:11">
      <c r="I898" s="137"/>
      <c r="J898" s="15">
        <v>40633</v>
      </c>
      <c r="K898" s="137">
        <v>6.8061700000000006E-5</v>
      </c>
    </row>
    <row r="899" spans="9:11">
      <c r="I899" s="137"/>
      <c r="J899" s="15">
        <v>40640</v>
      </c>
      <c r="K899" s="137">
        <v>6.8381599999999996E-5</v>
      </c>
    </row>
    <row r="900" spans="9:11">
      <c r="I900" s="137"/>
      <c r="J900" s="15">
        <v>40647</v>
      </c>
      <c r="K900" s="137">
        <v>7.0255399999999998E-5</v>
      </c>
    </row>
    <row r="901" spans="9:11">
      <c r="I901" s="137"/>
      <c r="J901" s="15">
        <v>40654</v>
      </c>
      <c r="K901" s="137">
        <v>2.441136E-4</v>
      </c>
    </row>
    <row r="902" spans="9:11">
      <c r="I902" s="137"/>
      <c r="J902" s="15">
        <v>40661</v>
      </c>
      <c r="K902" s="137">
        <v>2.459594E-4</v>
      </c>
    </row>
    <row r="903" spans="9:11">
      <c r="I903" s="137"/>
      <c r="J903" s="15">
        <v>40668</v>
      </c>
      <c r="K903" s="137">
        <v>8.1981839999999996E-4</v>
      </c>
    </row>
    <row r="904" spans="9:11">
      <c r="I904" s="137"/>
      <c r="J904" s="15">
        <v>40675</v>
      </c>
      <c r="K904" s="137">
        <v>1.7191680999999999E-3</v>
      </c>
    </row>
    <row r="905" spans="9:11">
      <c r="I905" s="137"/>
      <c r="J905" s="15">
        <v>40682</v>
      </c>
      <c r="K905" s="137">
        <v>1.7274497000000001E-3</v>
      </c>
    </row>
    <row r="906" spans="9:11">
      <c r="I906" s="137"/>
      <c r="J906" s="15">
        <v>40689</v>
      </c>
      <c r="K906" s="137">
        <v>1.7436814999999999E-3</v>
      </c>
    </row>
    <row r="907" spans="9:11">
      <c r="I907" s="137"/>
      <c r="J907" s="15">
        <v>40696</v>
      </c>
      <c r="K907" s="137">
        <v>4.2099418999999999E-3</v>
      </c>
    </row>
    <row r="908" spans="9:11">
      <c r="I908" s="137"/>
      <c r="J908" s="15">
        <v>40703</v>
      </c>
      <c r="K908" s="137">
        <v>5.4808193000000002E-3</v>
      </c>
    </row>
    <row r="909" spans="9:11">
      <c r="I909" s="137"/>
      <c r="J909" s="15">
        <v>40710</v>
      </c>
      <c r="K909" s="137">
        <v>5.4689739000000001E-3</v>
      </c>
    </row>
    <row r="910" spans="9:11">
      <c r="I910" s="137"/>
      <c r="J910" s="15">
        <v>40717</v>
      </c>
      <c r="K910" s="137">
        <v>4.2508548000000004E-3</v>
      </c>
    </row>
    <row r="911" spans="9:11">
      <c r="I911" s="137"/>
      <c r="J911" s="15">
        <v>40724</v>
      </c>
      <c r="K911" s="137">
        <v>5.4026478000000003E-3</v>
      </c>
    </row>
    <row r="912" spans="9:11">
      <c r="I912" s="137"/>
      <c r="J912" s="15">
        <v>40731</v>
      </c>
      <c r="K912" s="137">
        <v>3.8639739E-3</v>
      </c>
    </row>
    <row r="913" spans="9:11">
      <c r="I913" s="137"/>
      <c r="J913" s="15">
        <v>40738</v>
      </c>
      <c r="K913" s="137">
        <v>7.4002171000000002E-3</v>
      </c>
    </row>
    <row r="914" spans="9:11">
      <c r="I914" s="137"/>
      <c r="J914" s="15">
        <v>40745</v>
      </c>
      <c r="K914" s="137">
        <v>5.2483534999999996E-3</v>
      </c>
    </row>
    <row r="915" spans="9:11">
      <c r="I915" s="137"/>
      <c r="J915" s="15">
        <v>40752</v>
      </c>
      <c r="K915" s="137">
        <v>5.0448213999999998E-3</v>
      </c>
    </row>
    <row r="916" spans="9:11">
      <c r="I916" s="137"/>
      <c r="J916" s="15">
        <v>40759</v>
      </c>
      <c r="K916" s="137">
        <v>0.6369486822</v>
      </c>
    </row>
    <row r="917" spans="9:11">
      <c r="I917" s="137"/>
      <c r="J917" s="15">
        <v>40766</v>
      </c>
      <c r="K917" s="137">
        <v>0.71224306630000001</v>
      </c>
    </row>
    <row r="918" spans="9:11">
      <c r="I918" s="137"/>
      <c r="J918" s="15">
        <v>40773</v>
      </c>
      <c r="K918" s="137">
        <v>0.77916685399999996</v>
      </c>
    </row>
    <row r="919" spans="9:11">
      <c r="I919" s="137"/>
      <c r="J919" s="15">
        <v>40780</v>
      </c>
      <c r="K919" s="137">
        <v>0.74829940930000005</v>
      </c>
    </row>
    <row r="920" spans="9:11">
      <c r="I920" s="137"/>
      <c r="J920" s="15">
        <v>40787</v>
      </c>
      <c r="K920" s="137">
        <v>0.74648771319999996</v>
      </c>
    </row>
    <row r="921" spans="9:11">
      <c r="I921" s="137"/>
      <c r="J921" s="15">
        <v>40794</v>
      </c>
      <c r="K921" s="137">
        <v>0.79336326020000003</v>
      </c>
    </row>
    <row r="922" spans="9:11">
      <c r="I922" s="137"/>
      <c r="J922" s="15">
        <v>40801</v>
      </c>
      <c r="K922" s="137">
        <v>0.79840746299999998</v>
      </c>
    </row>
    <row r="923" spans="9:11">
      <c r="I923" s="137"/>
      <c r="J923" s="15">
        <v>40808</v>
      </c>
      <c r="K923" s="137">
        <v>0.79840746299999998</v>
      </c>
    </row>
    <row r="924" spans="9:11">
      <c r="I924" s="137"/>
      <c r="J924" s="15">
        <v>40815</v>
      </c>
      <c r="K924" s="137">
        <v>0.83290245399999996</v>
      </c>
    </row>
    <row r="925" spans="9:11">
      <c r="I925" s="137"/>
      <c r="J925" s="15">
        <v>40822</v>
      </c>
      <c r="K925" s="137">
        <v>0.83641698470000003</v>
      </c>
    </row>
    <row r="926" spans="9:11">
      <c r="I926" s="137"/>
      <c r="J926" s="15">
        <v>40829</v>
      </c>
      <c r="K926" s="137">
        <v>0.77494347910000005</v>
      </c>
    </row>
    <row r="927" spans="9:11">
      <c r="I927" s="137"/>
      <c r="J927" s="15">
        <v>40836</v>
      </c>
      <c r="K927" s="137">
        <v>0.79023149569999995</v>
      </c>
    </row>
    <row r="928" spans="9:11">
      <c r="I928" s="137"/>
      <c r="J928" s="15">
        <v>40843</v>
      </c>
      <c r="K928" s="137">
        <v>0.79036593970000002</v>
      </c>
    </row>
    <row r="929" spans="9:11">
      <c r="I929" s="137"/>
      <c r="J929" s="15">
        <v>40850</v>
      </c>
      <c r="K929" s="137">
        <v>0.82057806970000002</v>
      </c>
    </row>
    <row r="930" spans="9:11">
      <c r="I930" s="137"/>
      <c r="J930" s="15">
        <v>40857</v>
      </c>
      <c r="K930" s="137">
        <v>0.82124413969999999</v>
      </c>
    </row>
    <row r="931" spans="9:11">
      <c r="I931" s="137"/>
      <c r="J931" s="15">
        <v>40864</v>
      </c>
      <c r="K931" s="137">
        <v>0.82076592839999996</v>
      </c>
    </row>
    <row r="932" spans="9:11">
      <c r="I932" s="137"/>
      <c r="J932" s="15">
        <v>40870</v>
      </c>
      <c r="K932" s="137">
        <v>0.82428877489999997</v>
      </c>
    </row>
    <row r="933" spans="9:11">
      <c r="I933" s="137"/>
      <c r="J933" s="15">
        <v>40878</v>
      </c>
      <c r="K933" s="137">
        <v>0.80600962949999999</v>
      </c>
    </row>
    <row r="934" spans="9:11">
      <c r="I934" s="137"/>
      <c r="J934" s="15">
        <v>40885</v>
      </c>
      <c r="K934" s="137">
        <v>0.80660984030000005</v>
      </c>
    </row>
    <row r="935" spans="9:11">
      <c r="I935" s="137"/>
      <c r="J935" s="15">
        <v>40892</v>
      </c>
      <c r="K935" s="137">
        <v>0.81138436970000005</v>
      </c>
    </row>
    <row r="936" spans="9:11">
      <c r="I936" s="137"/>
      <c r="J936" s="15">
        <v>40899</v>
      </c>
      <c r="K936" s="137">
        <v>0.830488738</v>
      </c>
    </row>
    <row r="937" spans="9:11">
      <c r="I937" s="137"/>
      <c r="J937" s="15">
        <v>40906</v>
      </c>
      <c r="K937" s="137">
        <v>0.82759405100000005</v>
      </c>
    </row>
    <row r="938" spans="9:11">
      <c r="I938" s="137"/>
      <c r="J938" s="15">
        <v>40913</v>
      </c>
      <c r="K938" s="137">
        <v>0.81306843449999999</v>
      </c>
    </row>
    <row r="939" spans="9:11">
      <c r="I939" s="137"/>
      <c r="J939" s="15">
        <v>40920</v>
      </c>
      <c r="K939" s="137">
        <v>0.82555159239999998</v>
      </c>
    </row>
    <row r="940" spans="9:11">
      <c r="I940" s="137"/>
      <c r="J940" s="15">
        <v>40927</v>
      </c>
      <c r="K940" s="137">
        <v>0.81587214029999999</v>
      </c>
    </row>
    <row r="941" spans="9:11">
      <c r="I941" s="137"/>
      <c r="J941" s="15">
        <v>40934</v>
      </c>
      <c r="K941" s="137">
        <v>0.79480169020000002</v>
      </c>
    </row>
    <row r="942" spans="9:11">
      <c r="I942" s="137"/>
      <c r="J942" s="15">
        <v>40941</v>
      </c>
      <c r="K942" s="137">
        <v>0.81672062599999995</v>
      </c>
    </row>
    <row r="943" spans="9:11">
      <c r="I943" s="137"/>
      <c r="J943" s="15">
        <v>40948</v>
      </c>
      <c r="K943" s="137">
        <v>0.81679852819999998</v>
      </c>
    </row>
    <row r="944" spans="9:11">
      <c r="I944" s="137"/>
      <c r="J944" s="15">
        <v>40955</v>
      </c>
      <c r="K944" s="137">
        <v>0.81679852819999998</v>
      </c>
    </row>
    <row r="945" spans="9:11">
      <c r="I945" s="137"/>
      <c r="J945" s="15">
        <v>40962</v>
      </c>
      <c r="K945" s="137">
        <v>0.78675289839999996</v>
      </c>
    </row>
    <row r="946" spans="9:11">
      <c r="I946" s="137"/>
      <c r="J946" s="15">
        <v>40969</v>
      </c>
      <c r="K946" s="137">
        <v>0.79401839910000005</v>
      </c>
    </row>
    <row r="947" spans="9:11">
      <c r="I947" s="137"/>
      <c r="J947" s="15">
        <v>40976</v>
      </c>
      <c r="K947" s="137">
        <v>0.79522232680000005</v>
      </c>
    </row>
    <row r="948" spans="9:11">
      <c r="I948" s="137"/>
      <c r="J948" s="15">
        <v>40983</v>
      </c>
      <c r="K948" s="137">
        <v>0.79234198489999996</v>
      </c>
    </row>
    <row r="949" spans="9:11">
      <c r="I949" s="137"/>
      <c r="J949" s="15">
        <v>40990</v>
      </c>
      <c r="K949" s="137">
        <v>4.8803479999999998E-4</v>
      </c>
    </row>
    <row r="950" spans="9:11">
      <c r="I950" s="137"/>
      <c r="J950" s="15">
        <v>40997</v>
      </c>
      <c r="K950" s="137">
        <v>1.0400513000000001E-3</v>
      </c>
    </row>
    <row r="951" spans="9:11">
      <c r="I951" s="137"/>
      <c r="J951" s="15">
        <v>41004</v>
      </c>
      <c r="K951" s="137">
        <v>1.7660772999999999E-3</v>
      </c>
    </row>
    <row r="952" spans="9:11">
      <c r="I952" s="137"/>
      <c r="J952" s="15">
        <v>41011</v>
      </c>
      <c r="K952" s="137">
        <v>0.80339735970000004</v>
      </c>
    </row>
    <row r="953" spans="9:11">
      <c r="I953" s="137"/>
      <c r="J953" s="15">
        <v>41018</v>
      </c>
      <c r="K953" s="137">
        <v>0.7867426193</v>
      </c>
    </row>
    <row r="954" spans="9:11">
      <c r="I954" s="137"/>
      <c r="J954" s="15">
        <v>41025</v>
      </c>
      <c r="K954" s="137">
        <v>0.80339735970000004</v>
      </c>
    </row>
    <row r="955" spans="9:11">
      <c r="I955" s="137"/>
      <c r="J955" s="15">
        <v>41032</v>
      </c>
      <c r="K955" s="137">
        <v>0.81120579599999998</v>
      </c>
    </row>
    <row r="956" spans="9:11">
      <c r="I956" s="137"/>
      <c r="J956" s="15">
        <v>41039</v>
      </c>
      <c r="K956" s="137">
        <v>0.81730839639999997</v>
      </c>
    </row>
    <row r="957" spans="9:11">
      <c r="I957" s="137"/>
      <c r="J957" s="15">
        <v>41046</v>
      </c>
      <c r="K957" s="137">
        <v>0.83830150820000005</v>
      </c>
    </row>
    <row r="958" spans="9:11">
      <c r="I958" s="137"/>
      <c r="J958" s="15">
        <v>41053</v>
      </c>
      <c r="K958" s="137">
        <v>0.8368782226</v>
      </c>
    </row>
    <row r="959" spans="9:11">
      <c r="I959" s="137"/>
      <c r="J959" s="15">
        <v>41060</v>
      </c>
      <c r="K959" s="137">
        <v>0.83983334480000005</v>
      </c>
    </row>
    <row r="960" spans="9:11">
      <c r="I960" s="137"/>
      <c r="J960" s="15">
        <v>41067</v>
      </c>
      <c r="K960" s="137">
        <v>0.87641126130000013</v>
      </c>
    </row>
    <row r="961" spans="9:11">
      <c r="I961" s="137"/>
      <c r="J961" s="15">
        <v>41074</v>
      </c>
      <c r="K961" s="137">
        <v>0.86089525339999995</v>
      </c>
    </row>
    <row r="962" spans="9:11">
      <c r="I962" s="137"/>
      <c r="J962" s="15">
        <v>41081</v>
      </c>
      <c r="K962" s="137">
        <v>0.87680139130000012</v>
      </c>
    </row>
    <row r="963" spans="9:11">
      <c r="I963" s="137"/>
      <c r="J963" s="15">
        <v>41088</v>
      </c>
      <c r="K963" s="137">
        <v>0.87680139130000012</v>
      </c>
    </row>
    <row r="964" spans="9:11">
      <c r="I964" s="137"/>
      <c r="J964" s="15">
        <v>41095</v>
      </c>
      <c r="K964" s="137">
        <v>0.87826553819999997</v>
      </c>
    </row>
    <row r="965" spans="9:11">
      <c r="I965" s="137"/>
      <c r="J965" s="15">
        <v>41102</v>
      </c>
      <c r="K965" s="137">
        <v>0.90261395929999999</v>
      </c>
    </row>
    <row r="966" spans="9:11">
      <c r="I966" s="137"/>
      <c r="J966" s="15">
        <v>41109</v>
      </c>
      <c r="K966" s="137">
        <v>0.90462039660000004</v>
      </c>
    </row>
    <row r="967" spans="9:11">
      <c r="I967" s="137"/>
      <c r="J967" s="15">
        <v>41116</v>
      </c>
      <c r="K967" s="137">
        <v>0.91595412320000003</v>
      </c>
    </row>
    <row r="968" spans="9:11">
      <c r="I968" s="137"/>
      <c r="J968" s="15">
        <v>41123</v>
      </c>
      <c r="K968" s="137">
        <v>0.89163810899999996</v>
      </c>
    </row>
    <row r="969" spans="9:11">
      <c r="I969" s="137"/>
      <c r="J969" s="15">
        <v>41130</v>
      </c>
      <c r="K969" s="137">
        <v>0.89042659729999996</v>
      </c>
    </row>
    <row r="970" spans="9:11">
      <c r="I970" s="137"/>
      <c r="J970" s="15">
        <v>41137</v>
      </c>
      <c r="K970" s="137">
        <v>0.87699596440000005</v>
      </c>
    </row>
    <row r="971" spans="9:11">
      <c r="I971" s="137"/>
      <c r="J971" s="15">
        <v>41144</v>
      </c>
      <c r="K971" s="137">
        <v>0.86383307760000005</v>
      </c>
    </row>
    <row r="972" spans="9:11">
      <c r="I972" s="137"/>
      <c r="J972" s="15">
        <v>41151</v>
      </c>
      <c r="K972" s="137">
        <v>0.89042659729999996</v>
      </c>
    </row>
    <row r="973" spans="9:11">
      <c r="I973" s="137"/>
      <c r="J973" s="15">
        <v>41158</v>
      </c>
      <c r="K973" s="137">
        <v>0.88326700709999995</v>
      </c>
    </row>
    <row r="974" spans="9:11">
      <c r="I974" s="137"/>
      <c r="J974" s="15">
        <v>41165</v>
      </c>
      <c r="K974" s="137">
        <v>0.88552599899999995</v>
      </c>
    </row>
    <row r="975" spans="9:11">
      <c r="I975" s="137"/>
      <c r="J975" s="15">
        <v>41172</v>
      </c>
      <c r="K975" s="137">
        <v>0.90078150499999998</v>
      </c>
    </row>
    <row r="976" spans="9:11">
      <c r="I976" s="137"/>
      <c r="J976" s="15">
        <v>41179</v>
      </c>
      <c r="K976" s="137">
        <v>0.935348391</v>
      </c>
    </row>
    <row r="977" spans="9:11">
      <c r="I977" s="137"/>
      <c r="J977" s="15">
        <v>41186</v>
      </c>
      <c r="K977" s="137">
        <v>0.92807978840000005</v>
      </c>
    </row>
    <row r="978" spans="9:11">
      <c r="I978" s="137"/>
      <c r="J978" s="15">
        <v>41193</v>
      </c>
      <c r="K978" s="137">
        <v>0.91033834270000002</v>
      </c>
    </row>
    <row r="979" spans="9:11">
      <c r="I979" s="137"/>
      <c r="J979" s="15">
        <v>41200</v>
      </c>
      <c r="K979" s="137">
        <v>0.92467963080000004</v>
      </c>
    </row>
    <row r="980" spans="9:11">
      <c r="I980" s="137"/>
      <c r="J980" s="15">
        <v>41207</v>
      </c>
      <c r="K980" s="137">
        <v>0.90785050069999995</v>
      </c>
    </row>
    <row r="981" spans="9:11">
      <c r="I981" s="137"/>
      <c r="J981" s="15">
        <v>41214</v>
      </c>
      <c r="K981" s="137">
        <v>0.89593566410000003</v>
      </c>
    </row>
    <row r="982" spans="9:11">
      <c r="I982" s="137"/>
      <c r="J982" s="15">
        <v>41221</v>
      </c>
      <c r="K982" s="137">
        <v>0.89563676619999999</v>
      </c>
    </row>
    <row r="983" spans="9:11">
      <c r="I983" s="137"/>
      <c r="J983" s="15">
        <v>41228</v>
      </c>
      <c r="K983" s="137">
        <v>0.9140931699</v>
      </c>
    </row>
    <row r="984" spans="9:11">
      <c r="I984" s="137"/>
      <c r="J984" s="15">
        <v>41234</v>
      </c>
      <c r="K984" s="137">
        <v>0.9281076654</v>
      </c>
    </row>
    <row r="985" spans="9:11">
      <c r="I985" s="137"/>
      <c r="J985" s="15">
        <v>41242</v>
      </c>
      <c r="K985" s="137">
        <v>0.91339134359999996</v>
      </c>
    </row>
    <row r="986" spans="9:11">
      <c r="I986" s="137"/>
      <c r="J986" s="15">
        <v>41249</v>
      </c>
      <c r="K986" s="137">
        <v>0.89290404879999996</v>
      </c>
    </row>
    <row r="987" spans="9:11">
      <c r="I987" s="137"/>
      <c r="J987" s="15">
        <v>41256</v>
      </c>
      <c r="K987" s="137">
        <v>0.90754307509999999</v>
      </c>
    </row>
    <row r="988" spans="9:11">
      <c r="I988" s="137"/>
      <c r="J988" s="15">
        <v>41263</v>
      </c>
      <c r="K988" s="137">
        <v>0.89028689569999997</v>
      </c>
    </row>
    <row r="989" spans="9:11">
      <c r="I989" s="137"/>
      <c r="J989" s="15">
        <v>41270</v>
      </c>
      <c r="K989" s="137">
        <v>0.89223126149999998</v>
      </c>
    </row>
    <row r="990" spans="9:11">
      <c r="I990" s="137"/>
      <c r="J990" s="15">
        <v>41277</v>
      </c>
      <c r="K990" s="137">
        <v>0.86713239769999995</v>
      </c>
    </row>
    <row r="991" spans="9:11">
      <c r="I991" s="137"/>
      <c r="J991" s="15">
        <v>41284</v>
      </c>
      <c r="K991" s="137">
        <v>5.7415477999999999E-3</v>
      </c>
    </row>
    <row r="992" spans="9:11">
      <c r="I992" s="137"/>
      <c r="J992" s="15">
        <v>41291</v>
      </c>
      <c r="K992" s="137">
        <v>0.86332672129999999</v>
      </c>
    </row>
    <row r="993" spans="9:11">
      <c r="I993" s="137"/>
      <c r="J993" s="15">
        <v>41298</v>
      </c>
      <c r="K993" s="137">
        <v>5.6133948999999997E-3</v>
      </c>
    </row>
    <row r="994" spans="9:11">
      <c r="I994" s="137"/>
      <c r="J994" s="15">
        <v>41305</v>
      </c>
      <c r="K994" s="137">
        <v>1.2356666000000001E-3</v>
      </c>
    </row>
    <row r="995" spans="9:11">
      <c r="I995" s="137"/>
      <c r="J995" s="15">
        <v>41312</v>
      </c>
      <c r="K995" s="137">
        <v>1.8016234000000002E-3</v>
      </c>
    </row>
    <row r="996" spans="9:11">
      <c r="I996" s="137"/>
      <c r="J996" s="15">
        <v>41319</v>
      </c>
      <c r="K996" s="137">
        <v>1.8188139000000002E-3</v>
      </c>
    </row>
    <row r="997" spans="9:11">
      <c r="I997" s="137"/>
      <c r="J997" s="15">
        <v>41326</v>
      </c>
      <c r="K997" s="137">
        <v>1.1744309000000001E-3</v>
      </c>
    </row>
    <row r="998" spans="9:11">
      <c r="I998" s="137"/>
      <c r="J998" s="15">
        <v>41333</v>
      </c>
      <c r="K998" s="137">
        <v>1.8279983000000001E-3</v>
      </c>
    </row>
    <row r="999" spans="9:11">
      <c r="I999" s="137"/>
      <c r="J999" s="15">
        <v>41340</v>
      </c>
      <c r="K999" s="137">
        <v>2.7074109999999998E-3</v>
      </c>
    </row>
    <row r="1000" spans="9:11">
      <c r="I1000" s="137"/>
      <c r="J1000" s="15">
        <v>41347</v>
      </c>
      <c r="K1000" s="137">
        <v>5.728234E-4</v>
      </c>
    </row>
    <row r="1001" spans="9:11">
      <c r="I1001" s="137"/>
      <c r="J1001" s="15">
        <v>41354</v>
      </c>
      <c r="K1001" s="137">
        <v>1.1878606E-3</v>
      </c>
    </row>
    <row r="1002" spans="9:11">
      <c r="I1002" s="137"/>
      <c r="J1002" s="15">
        <v>41361</v>
      </c>
      <c r="K1002" s="137">
        <v>8.0177180000000001E-4</v>
      </c>
    </row>
    <row r="1003" spans="9:11">
      <c r="I1003" s="137"/>
      <c r="J1003" s="15">
        <v>41368</v>
      </c>
      <c r="K1003" s="137">
        <v>1.8700698000000001E-3</v>
      </c>
    </row>
    <row r="1004" spans="9:11">
      <c r="I1004" s="137"/>
      <c r="J1004" s="15">
        <v>41375</v>
      </c>
      <c r="K1004" s="137">
        <v>4.8411004999999998E-3</v>
      </c>
    </row>
    <row r="1005" spans="9:11">
      <c r="I1005" s="137"/>
      <c r="J1005" s="15">
        <v>41382</v>
      </c>
      <c r="K1005" s="137">
        <v>1.0720968000000001E-2</v>
      </c>
    </row>
    <row r="1006" spans="9:11">
      <c r="I1006" s="137"/>
      <c r="J1006" s="15">
        <v>41389</v>
      </c>
      <c r="K1006" s="137">
        <v>6.9385708000000001E-3</v>
      </c>
    </row>
    <row r="1007" spans="9:11">
      <c r="I1007" s="137"/>
      <c r="J1007" s="15">
        <v>41396</v>
      </c>
      <c r="K1007" s="137">
        <v>0.79671017649999998</v>
      </c>
    </row>
    <row r="1008" spans="9:11">
      <c r="I1008" s="137"/>
      <c r="J1008" s="15">
        <v>41403</v>
      </c>
      <c r="K1008" s="137">
        <v>9.1322767000000006E-3</v>
      </c>
    </row>
    <row r="1009" spans="9:11">
      <c r="I1009" s="137"/>
      <c r="J1009" s="15">
        <v>41410</v>
      </c>
      <c r="K1009" s="137">
        <v>3.7372027E-3</v>
      </c>
    </row>
    <row r="1010" spans="9:11">
      <c r="I1010" s="137"/>
      <c r="J1010" s="15">
        <v>41417</v>
      </c>
      <c r="K1010" s="137">
        <v>8.693657E-4</v>
      </c>
    </row>
    <row r="1011" spans="9:11">
      <c r="I1011" s="137"/>
      <c r="J1011" s="15">
        <v>41424</v>
      </c>
      <c r="K1011" s="137">
        <v>1.8729679999999999E-4</v>
      </c>
    </row>
    <row r="1012" spans="9:11">
      <c r="I1012" s="137"/>
      <c r="J1012" s="15">
        <v>41431</v>
      </c>
      <c r="K1012" s="137">
        <v>1.4563609999999999E-4</v>
      </c>
    </row>
    <row r="1013" spans="9:11">
      <c r="I1013" s="137"/>
      <c r="J1013" s="15">
        <v>41438</v>
      </c>
      <c r="K1013" s="137">
        <v>1.0584839999999999E-4</v>
      </c>
    </row>
    <row r="1014" spans="9:11">
      <c r="I1014" s="137"/>
      <c r="J1014" s="15">
        <v>41445</v>
      </c>
      <c r="K1014" s="137">
        <v>1.097799E-4</v>
      </c>
    </row>
    <row r="1015" spans="9:11">
      <c r="I1015" s="137"/>
      <c r="J1015" s="15">
        <v>41452</v>
      </c>
      <c r="K1015" s="137">
        <v>1.731E-6</v>
      </c>
    </row>
    <row r="1016" spans="9:11">
      <c r="I1016" s="137"/>
      <c r="J1016" s="15">
        <v>41458</v>
      </c>
      <c r="K1016" s="137">
        <v>2.4788900000000002E-5</v>
      </c>
    </row>
    <row r="1017" spans="9:11">
      <c r="I1017" s="137"/>
      <c r="J1017" s="15">
        <v>41466</v>
      </c>
      <c r="K1017" s="137">
        <v>2.6485999999999999E-6</v>
      </c>
    </row>
    <row r="1018" spans="9:11">
      <c r="I1018" s="137"/>
      <c r="J1018" s="15">
        <v>41473</v>
      </c>
      <c r="K1018" s="137">
        <v>1.1374700000000001E-5</v>
      </c>
    </row>
    <row r="1019" spans="9:11">
      <c r="I1019" s="137"/>
      <c r="J1019" s="15">
        <v>41480</v>
      </c>
      <c r="K1019" s="137">
        <v>1.3372400000000001E-5</v>
      </c>
    </row>
    <row r="1020" spans="9:11">
      <c r="I1020" s="137"/>
      <c r="J1020" s="15">
        <v>41487</v>
      </c>
      <c r="K1020" s="137">
        <v>1.6114199999999999E-5</v>
      </c>
    </row>
    <row r="1021" spans="9:11">
      <c r="I1021" s="137"/>
      <c r="J1021" s="15">
        <v>41494</v>
      </c>
      <c r="K1021" s="137">
        <v>1.6226999999999999E-5</v>
      </c>
    </row>
    <row r="1022" spans="9:11">
      <c r="I1022" s="137"/>
      <c r="J1022" s="15">
        <v>41501</v>
      </c>
      <c r="K1022" s="137">
        <v>9.7079999999999992E-6</v>
      </c>
    </row>
    <row r="1023" spans="9:11">
      <c r="I1023" s="137"/>
      <c r="J1023" s="15">
        <v>41508</v>
      </c>
      <c r="K1023" s="137">
        <v>2.9668000000000001E-6</v>
      </c>
    </row>
    <row r="1024" spans="9:11">
      <c r="I1024" s="137"/>
      <c r="J1024" s="15">
        <v>41515</v>
      </c>
      <c r="K1024" s="137">
        <v>5.6934000000000004E-6</v>
      </c>
    </row>
    <row r="1025" spans="9:11">
      <c r="I1025" s="137"/>
      <c r="J1025" s="15">
        <v>41522</v>
      </c>
      <c r="K1025" s="137">
        <v>6.0324E-6</v>
      </c>
    </row>
    <row r="1026" spans="9:11">
      <c r="I1026" s="137"/>
      <c r="J1026" s="15">
        <v>41529</v>
      </c>
      <c r="K1026" s="137">
        <v>1.6727999999999999E-6</v>
      </c>
    </row>
    <row r="1027" spans="9:11">
      <c r="I1027" s="137"/>
      <c r="J1027" s="15">
        <v>41536</v>
      </c>
      <c r="K1027" s="137">
        <v>7.8880999999999999E-6</v>
      </c>
    </row>
    <row r="1028" spans="9:11">
      <c r="I1028" s="137"/>
      <c r="J1028" s="15">
        <v>41543</v>
      </c>
      <c r="K1028" s="137">
        <v>4.4069100000000008E-5</v>
      </c>
    </row>
    <row r="1029" spans="9:11">
      <c r="I1029" s="137"/>
      <c r="J1029" s="15">
        <v>41550</v>
      </c>
      <c r="K1029" s="137">
        <v>4.1454790000000001E-4</v>
      </c>
    </row>
    <row r="1030" spans="9:11">
      <c r="I1030" s="137"/>
      <c r="J1030" s="15">
        <v>41557</v>
      </c>
      <c r="K1030" s="137">
        <v>4.333532E-4</v>
      </c>
    </row>
    <row r="1031" spans="9:11">
      <c r="I1031" s="137"/>
      <c r="J1031" s="15">
        <v>41564</v>
      </c>
      <c r="K1031" s="137">
        <v>2.6763429999999999E-4</v>
      </c>
    </row>
    <row r="1032" spans="9:11">
      <c r="I1032" s="137"/>
      <c r="J1032" s="15">
        <v>41571</v>
      </c>
      <c r="K1032" s="137">
        <v>7.9651050000000001E-4</v>
      </c>
    </row>
    <row r="1033" spans="9:11">
      <c r="I1033" s="137"/>
      <c r="J1033" s="15">
        <v>41578</v>
      </c>
      <c r="K1033" s="137">
        <v>1.2472223E-3</v>
      </c>
    </row>
    <row r="1034" spans="9:11">
      <c r="I1034" s="137"/>
      <c r="J1034" s="15">
        <v>41585</v>
      </c>
      <c r="K1034" s="137">
        <v>1.9713356E-3</v>
      </c>
    </row>
    <row r="1035" spans="9:11">
      <c r="I1035" s="137"/>
      <c r="J1035" s="15">
        <v>41592</v>
      </c>
      <c r="K1035" s="137">
        <v>4.2373589999999999E-4</v>
      </c>
    </row>
    <row r="1036" spans="9:11">
      <c r="I1036" s="137"/>
      <c r="J1036" s="15">
        <v>41599</v>
      </c>
      <c r="K1036" s="137">
        <v>1.2986059999999999E-3</v>
      </c>
    </row>
    <row r="1037" spans="9:11">
      <c r="I1037" s="137"/>
      <c r="J1037" s="15">
        <v>41605</v>
      </c>
      <c r="K1037" s="137">
        <v>7.5008080000000003E-4</v>
      </c>
    </row>
    <row r="1038" spans="9:11">
      <c r="I1038" s="137"/>
      <c r="J1038" s="15">
        <v>41613</v>
      </c>
      <c r="K1038" s="137">
        <v>5.6739439999999996E-4</v>
      </c>
    </row>
    <row r="1039" spans="9:11">
      <c r="I1039" s="137"/>
      <c r="J1039" s="15">
        <v>41620</v>
      </c>
      <c r="K1039" s="137">
        <v>5.8953909999999996E-4</v>
      </c>
    </row>
    <row r="1040" spans="9:11">
      <c r="I1040" s="137"/>
      <c r="J1040" s="15">
        <v>41627</v>
      </c>
      <c r="K1040" s="137">
        <v>4.0954339999999998E-4</v>
      </c>
    </row>
    <row r="1041" spans="9:11">
      <c r="I1041" s="137"/>
      <c r="J1041" s="15">
        <v>41634</v>
      </c>
      <c r="K1041" s="137">
        <v>3.251269E-4</v>
      </c>
    </row>
    <row r="1042" spans="9:11">
      <c r="I1042" s="137"/>
      <c r="J1042" s="15">
        <v>41641</v>
      </c>
      <c r="K1042" s="137">
        <v>2.8858790000000002E-4</v>
      </c>
    </row>
    <row r="1043" spans="9:11">
      <c r="I1043" s="137"/>
      <c r="J1043" s="15">
        <v>41648</v>
      </c>
      <c r="K1043" s="137">
        <v>4.2450890000000002E-4</v>
      </c>
    </row>
    <row r="1044" spans="9:11">
      <c r="I1044" s="137"/>
      <c r="J1044" s="15">
        <v>41655</v>
      </c>
      <c r="K1044" s="137">
        <v>9.4387099999999999E-4</v>
      </c>
    </row>
    <row r="1045" spans="9:11">
      <c r="I1045" s="137"/>
      <c r="J1045" s="15">
        <v>41662</v>
      </c>
      <c r="K1045" s="137">
        <v>1.0005254999999999E-3</v>
      </c>
    </row>
    <row r="1046" spans="9:11">
      <c r="I1046" s="137"/>
      <c r="J1046" s="15">
        <v>41669</v>
      </c>
      <c r="K1046" s="137">
        <v>2.1653044E-3</v>
      </c>
    </row>
    <row r="1047" spans="9:11">
      <c r="I1047" s="137"/>
      <c r="J1047" s="15">
        <v>41676</v>
      </c>
      <c r="K1047" s="137">
        <v>4.1986916999999999E-3</v>
      </c>
    </row>
    <row r="1048" spans="9:11">
      <c r="I1048" s="137"/>
      <c r="J1048" s="15">
        <v>41683</v>
      </c>
      <c r="K1048" s="137">
        <v>2.7459873999999998E-3</v>
      </c>
    </row>
    <row r="1049" spans="9:11">
      <c r="I1049" s="137"/>
      <c r="J1049" s="15">
        <v>41690</v>
      </c>
      <c r="K1049" s="137">
        <v>1.7492553E-3</v>
      </c>
    </row>
    <row r="1050" spans="9:11">
      <c r="I1050" s="137"/>
      <c r="J1050" s="15">
        <v>41697</v>
      </c>
      <c r="K1050" s="137">
        <v>1.2179790999999999E-3</v>
      </c>
    </row>
    <row r="1051" spans="9:11">
      <c r="I1051" s="137"/>
      <c r="J1051" s="15">
        <v>41704</v>
      </c>
      <c r="K1051" s="137">
        <v>3.1871104000000001E-3</v>
      </c>
    </row>
    <row r="1052" spans="9:11">
      <c r="I1052" s="137"/>
      <c r="J1052" s="15">
        <v>41711</v>
      </c>
      <c r="K1052" s="137">
        <v>1.5497656E-3</v>
      </c>
    </row>
    <row r="1053" spans="9:11">
      <c r="I1053" s="137"/>
      <c r="J1053" s="15">
        <v>41718</v>
      </c>
      <c r="K1053" s="137">
        <v>3.1422589000000001E-3</v>
      </c>
    </row>
    <row r="1054" spans="9:11">
      <c r="I1054" s="137"/>
      <c r="J1054" s="15">
        <v>41725</v>
      </c>
      <c r="K1054" s="137">
        <v>1.5209316000000001E-3</v>
      </c>
    </row>
    <row r="1055" spans="9:11">
      <c r="I1055" s="137"/>
      <c r="J1055" s="15">
        <v>41732</v>
      </c>
      <c r="K1055" s="137">
        <v>8.6125899999999996E-4</v>
      </c>
    </row>
    <row r="1056" spans="9:11">
      <c r="I1056" s="137"/>
      <c r="J1056" s="15">
        <v>41739</v>
      </c>
      <c r="K1056" s="137">
        <v>1.9011290000000001E-3</v>
      </c>
    </row>
    <row r="1057" spans="9:11">
      <c r="I1057" s="137"/>
      <c r="J1057" s="15">
        <v>41746</v>
      </c>
      <c r="K1057" s="137">
        <v>4.0369202999999999E-3</v>
      </c>
    </row>
    <row r="1058" spans="9:11">
      <c r="I1058" s="137"/>
      <c r="J1058" s="15">
        <v>41753</v>
      </c>
      <c r="K1058" s="137">
        <v>2.7504809999999999E-3</v>
      </c>
    </row>
    <row r="1059" spans="9:11">
      <c r="I1059" s="137"/>
      <c r="J1059" s="15">
        <v>41760</v>
      </c>
      <c r="K1059" s="137">
        <v>4.4909529000000002E-3</v>
      </c>
    </row>
    <row r="1060" spans="9:11">
      <c r="I1060" s="137"/>
      <c r="J1060" s="15">
        <v>41767</v>
      </c>
      <c r="K1060" s="137">
        <v>1.0483459699999999E-2</v>
      </c>
    </row>
    <row r="1061" spans="9:11">
      <c r="I1061" s="137"/>
      <c r="J1061" s="15">
        <v>41774</v>
      </c>
      <c r="K1061" s="137">
        <v>1.05214531E-2</v>
      </c>
    </row>
    <row r="1062" spans="9:11">
      <c r="I1062" s="137"/>
      <c r="J1062" s="15">
        <v>41781</v>
      </c>
      <c r="K1062" s="137">
        <v>1.5686025700000002E-2</v>
      </c>
    </row>
    <row r="1063" spans="9:11">
      <c r="I1063" s="137"/>
      <c r="J1063" s="15">
        <v>41788</v>
      </c>
      <c r="K1063" s="137">
        <v>1.60394271E-2</v>
      </c>
    </row>
    <row r="1064" spans="9:11">
      <c r="I1064" s="137"/>
      <c r="J1064" s="15">
        <v>41795</v>
      </c>
      <c r="K1064" s="137">
        <v>1.96890295E-2</v>
      </c>
    </row>
    <row r="1065" spans="9:11">
      <c r="I1065" s="137"/>
      <c r="J1065" s="15">
        <v>41802</v>
      </c>
      <c r="K1065" s="137">
        <v>1.2623503499999999E-2</v>
      </c>
    </row>
    <row r="1066" spans="9:11">
      <c r="I1066" s="137"/>
      <c r="J1066" s="15">
        <v>41809</v>
      </c>
      <c r="K1066" s="137">
        <v>1.32202901E-2</v>
      </c>
    </row>
    <row r="1067" spans="9:11">
      <c r="I1067" s="137"/>
      <c r="J1067" s="15">
        <v>41816</v>
      </c>
      <c r="K1067" s="137">
        <v>1.9671418699999998E-2</v>
      </c>
    </row>
    <row r="1068" spans="9:11">
      <c r="I1068" s="137"/>
      <c r="J1068" s="15">
        <v>41823</v>
      </c>
      <c r="K1068" s="137">
        <v>3.0136103599999998E-2</v>
      </c>
    </row>
    <row r="1069" spans="9:11">
      <c r="I1069" s="137"/>
      <c r="J1069" s="15">
        <v>41830</v>
      </c>
      <c r="K1069" s="137">
        <v>1.53662698E-2</v>
      </c>
    </row>
    <row r="1070" spans="9:11">
      <c r="I1070" s="137"/>
      <c r="J1070" s="15">
        <v>41837</v>
      </c>
      <c r="K1070" s="137">
        <v>2.2488169999999998E-2</v>
      </c>
    </row>
    <row r="1071" spans="9:11">
      <c r="I1071" s="137"/>
      <c r="J1071" s="15">
        <v>41844</v>
      </c>
      <c r="K1071" s="137">
        <v>2.2488169999999998E-2</v>
      </c>
    </row>
    <row r="1072" spans="9:11">
      <c r="I1072" s="137"/>
      <c r="J1072" s="15">
        <v>41851</v>
      </c>
      <c r="K1072" s="137">
        <v>2.30179571E-2</v>
      </c>
    </row>
    <row r="1073" spans="9:11">
      <c r="I1073" s="137"/>
      <c r="J1073" s="15">
        <v>41858</v>
      </c>
      <c r="K1073" s="137">
        <v>1.7283762099999999E-2</v>
      </c>
    </row>
    <row r="1074" spans="9:11">
      <c r="I1074" s="137"/>
      <c r="J1074" s="15">
        <v>41865</v>
      </c>
      <c r="K1074" s="137">
        <v>2.55482595E-2</v>
      </c>
    </row>
    <row r="1075" spans="9:11">
      <c r="I1075" s="137"/>
      <c r="J1075" s="15">
        <v>41872</v>
      </c>
      <c r="K1075" s="137">
        <v>3.4152590300000001E-2</v>
      </c>
    </row>
    <row r="1076" spans="9:11">
      <c r="I1076" s="137"/>
      <c r="J1076" s="15">
        <v>41879</v>
      </c>
      <c r="K1076" s="137">
        <v>3.3991505900000003E-2</v>
      </c>
    </row>
    <row r="1077" spans="9:11">
      <c r="I1077" s="137"/>
      <c r="J1077" s="15">
        <v>41886</v>
      </c>
      <c r="K1077" s="137">
        <v>3.6285921499999998E-2</v>
      </c>
    </row>
    <row r="1078" spans="9:11">
      <c r="I1078" s="137"/>
      <c r="J1078" s="15">
        <v>41893</v>
      </c>
      <c r="K1078" s="137">
        <v>3.5835296099999997E-2</v>
      </c>
    </row>
    <row r="1079" spans="9:11">
      <c r="I1079" s="137"/>
      <c r="J1079" s="15">
        <v>41900</v>
      </c>
      <c r="K1079" s="137">
        <v>1.0672454E-3</v>
      </c>
    </row>
    <row r="1080" spans="9:11">
      <c r="I1080" s="137"/>
      <c r="J1080" s="15">
        <v>41907</v>
      </c>
      <c r="K1080" s="137">
        <v>1.0817228000000001E-3</v>
      </c>
    </row>
    <row r="1081" spans="9:11">
      <c r="I1081" s="137"/>
      <c r="J1081" s="15">
        <v>41914</v>
      </c>
      <c r="K1081" s="137">
        <v>4.4517187000000001E-3</v>
      </c>
    </row>
    <row r="1082" spans="9:11">
      <c r="I1082" s="137"/>
      <c r="J1082" s="15">
        <v>41921</v>
      </c>
      <c r="K1082" s="137">
        <v>3.7750656600000002E-2</v>
      </c>
    </row>
    <row r="1083" spans="9:11">
      <c r="I1083" s="137"/>
      <c r="J1083" s="15">
        <v>41928</v>
      </c>
      <c r="K1083" s="137">
        <v>6.6342163999999995E-2</v>
      </c>
    </row>
    <row r="1084" spans="9:11">
      <c r="I1084" s="137"/>
      <c r="J1084" s="15">
        <v>41935</v>
      </c>
      <c r="K1084" s="137">
        <v>8.0790795400000004E-2</v>
      </c>
    </row>
    <row r="1085" spans="9:11">
      <c r="I1085" s="137"/>
      <c r="J1085" s="15">
        <v>41942</v>
      </c>
      <c r="K1085" s="137">
        <v>6.58072299E-2</v>
      </c>
    </row>
    <row r="1086" spans="9:11">
      <c r="I1086" s="137"/>
      <c r="J1086" s="15">
        <v>41949</v>
      </c>
      <c r="K1086" s="137">
        <v>5.4808828800000001E-2</v>
      </c>
    </row>
    <row r="1087" spans="9:11">
      <c r="I1087" s="137"/>
      <c r="J1087" s="15">
        <v>41956</v>
      </c>
      <c r="K1087" s="137">
        <v>5.5975736900000003E-2</v>
      </c>
    </row>
    <row r="1088" spans="9:11">
      <c r="I1088" s="137"/>
      <c r="J1088" s="15">
        <v>41963</v>
      </c>
      <c r="K1088" s="137">
        <v>6.6589140500000005E-2</v>
      </c>
    </row>
    <row r="1089" spans="9:11">
      <c r="I1089" s="137"/>
      <c r="J1089" s="15">
        <v>41969</v>
      </c>
      <c r="K1089" s="137">
        <v>6.7707112400000005E-2</v>
      </c>
    </row>
    <row r="1090" spans="9:11">
      <c r="I1090" s="137"/>
      <c r="J1090" s="15">
        <v>41977</v>
      </c>
      <c r="K1090" s="137">
        <v>8.6751430899999996E-2</v>
      </c>
    </row>
    <row r="1091" spans="9:11">
      <c r="I1091" s="137"/>
      <c r="J1091" s="15">
        <v>41984</v>
      </c>
      <c r="K1091" s="137">
        <v>8.4487762800000005E-2</v>
      </c>
    </row>
    <row r="1092" spans="9:11">
      <c r="I1092" s="137"/>
      <c r="J1092" s="15">
        <v>41991</v>
      </c>
      <c r="K1092" s="137">
        <v>0.10451944790000001</v>
      </c>
    </row>
    <row r="1093" spans="9:11">
      <c r="I1093" s="137"/>
      <c r="J1093" s="15">
        <v>41997</v>
      </c>
      <c r="K1093" s="137">
        <v>0.10126768060000001</v>
      </c>
    </row>
    <row r="1094" spans="9:11">
      <c r="I1094" s="137"/>
      <c r="J1094" s="15">
        <v>42004</v>
      </c>
      <c r="K1094" s="137">
        <v>8.6651293800000001E-2</v>
      </c>
    </row>
    <row r="1095" spans="9:11">
      <c r="I1095" s="137"/>
      <c r="J1095" s="15">
        <v>42012</v>
      </c>
      <c r="K1095" s="137">
        <v>0.1273646118</v>
      </c>
    </row>
    <row r="1096" spans="9:11">
      <c r="I1096" s="137"/>
      <c r="J1096" s="15">
        <v>42019</v>
      </c>
      <c r="K1096" s="137">
        <v>0.1584462643</v>
      </c>
    </row>
    <row r="1097" spans="9:11">
      <c r="I1097" s="137"/>
      <c r="J1097" s="15">
        <v>42026</v>
      </c>
      <c r="K1097" s="137">
        <v>0.15858242340000001</v>
      </c>
    </row>
    <row r="1098" spans="9:11">
      <c r="I1098" s="137"/>
      <c r="J1098" s="15">
        <v>42033</v>
      </c>
      <c r="K1098" s="137">
        <v>0.1572286852</v>
      </c>
    </row>
    <row r="1099" spans="9:11">
      <c r="I1099" s="137"/>
      <c r="J1099" s="15">
        <v>42040</v>
      </c>
      <c r="K1099" s="137">
        <v>0.18792449059999999</v>
      </c>
    </row>
    <row r="1100" spans="9:11">
      <c r="I1100" s="137"/>
      <c r="J1100" s="15">
        <v>42047</v>
      </c>
      <c r="K1100" s="137">
        <v>0.16619450729999999</v>
      </c>
    </row>
    <row r="1101" spans="9:11">
      <c r="I1101" s="137"/>
      <c r="J1101" s="15">
        <v>42054</v>
      </c>
      <c r="K1101" s="137">
        <v>0.1446313645</v>
      </c>
    </row>
    <row r="1102" spans="9:11">
      <c r="I1102" s="137"/>
      <c r="J1102" s="15">
        <v>42061</v>
      </c>
      <c r="K1102" s="137">
        <v>0.1283141562</v>
      </c>
    </row>
    <row r="1103" spans="9:11">
      <c r="I1103" s="137"/>
      <c r="J1103" s="15">
        <v>42068</v>
      </c>
      <c r="K1103" s="137">
        <v>0.14748581329999999</v>
      </c>
    </row>
    <row r="1104" spans="9:11">
      <c r="I1104" s="137"/>
      <c r="J1104" s="15">
        <v>42075</v>
      </c>
      <c r="K1104" s="137">
        <v>0.1083162191</v>
      </c>
    </row>
    <row r="1105" spans="9:11">
      <c r="I1105" s="137"/>
      <c r="J1105" s="15">
        <v>42082</v>
      </c>
      <c r="K1105" s="137">
        <v>0.1449887732</v>
      </c>
    </row>
    <row r="1106" spans="9:11">
      <c r="I1106" s="137"/>
      <c r="J1106" s="15">
        <v>42089</v>
      </c>
      <c r="K1106" s="137">
        <v>0.16740534970000001</v>
      </c>
    </row>
    <row r="1107" spans="9:11">
      <c r="I1107" s="137"/>
      <c r="J1107" s="15">
        <v>42096</v>
      </c>
      <c r="K1107" s="137">
        <v>0.16610413060000001</v>
      </c>
    </row>
    <row r="1108" spans="9:11">
      <c r="I1108" s="137"/>
      <c r="J1108" s="15">
        <v>42103</v>
      </c>
      <c r="K1108" s="137">
        <v>0.1873139328</v>
      </c>
    </row>
    <row r="1109" spans="9:11">
      <c r="I1109" s="137"/>
      <c r="J1109" s="15">
        <v>42110</v>
      </c>
      <c r="K1109" s="137">
        <v>0.16713277909999999</v>
      </c>
    </row>
    <row r="1110" spans="9:11">
      <c r="I1110" s="137"/>
      <c r="J1110" s="15">
        <v>42117</v>
      </c>
      <c r="K1110" s="137">
        <v>0.18959361860000001</v>
      </c>
    </row>
    <row r="1111" spans="9:11">
      <c r="I1111" s="137"/>
      <c r="J1111" s="15">
        <v>42124</v>
      </c>
      <c r="K1111" s="137">
        <v>0.1684494299</v>
      </c>
    </row>
    <row r="1112" spans="9:11">
      <c r="I1112" s="137"/>
      <c r="J1112" s="15">
        <v>42131</v>
      </c>
      <c r="K1112" s="137">
        <v>3.6102309000000002E-3</v>
      </c>
    </row>
    <row r="1113" spans="9:11">
      <c r="I1113" s="137"/>
      <c r="J1113" s="15">
        <v>42138</v>
      </c>
      <c r="K1113" s="137">
        <v>1.3725467999999999E-3</v>
      </c>
    </row>
    <row r="1114" spans="9:11">
      <c r="I1114" s="137"/>
      <c r="J1114" s="15">
        <v>42145</v>
      </c>
      <c r="K1114" s="137">
        <v>9.9403300000000007E-4</v>
      </c>
    </row>
    <row r="1115" spans="9:11">
      <c r="I1115" s="137"/>
      <c r="J1115" s="15">
        <v>42152</v>
      </c>
      <c r="K1115" s="137">
        <v>9.922666000000001E-4</v>
      </c>
    </row>
    <row r="1116" spans="9:11">
      <c r="I1116" s="137"/>
      <c r="J1116" s="15">
        <v>42159</v>
      </c>
      <c r="K1116" s="137">
        <v>6.7233240000000001E-4</v>
      </c>
    </row>
    <row r="1117" spans="9:11">
      <c r="I1117" s="137"/>
      <c r="J1117" s="15">
        <v>42166</v>
      </c>
      <c r="K1117" s="137">
        <v>2.4672490000000001E-4</v>
      </c>
    </row>
    <row r="1118" spans="9:11">
      <c r="I1118" s="137"/>
      <c r="J1118" s="15">
        <v>42173</v>
      </c>
      <c r="K1118" s="137">
        <v>3.3476369999999999E-4</v>
      </c>
    </row>
    <row r="1119" spans="9:11">
      <c r="I1119" s="137"/>
      <c r="J1119" s="15">
        <v>42180</v>
      </c>
      <c r="K1119" s="137">
        <v>2.4672490000000001E-4</v>
      </c>
    </row>
    <row r="1120" spans="9:11">
      <c r="I1120" s="137"/>
      <c r="J1120" s="15">
        <v>42187</v>
      </c>
      <c r="K1120" s="137">
        <v>2.3109220000000003E-4</v>
      </c>
    </row>
    <row r="1121" spans="9:11">
      <c r="I1121" s="137"/>
      <c r="J1121" s="15">
        <v>42194</v>
      </c>
      <c r="K1121" s="137">
        <v>4.2772040000000001E-4</v>
      </c>
    </row>
    <row r="1122" spans="9:11">
      <c r="I1122" s="137"/>
      <c r="J1122" s="15">
        <v>42201</v>
      </c>
      <c r="K1122" s="137">
        <v>2.279929E-4</v>
      </c>
    </row>
    <row r="1123" spans="9:11">
      <c r="I1123" s="137"/>
      <c r="J1123" s="15">
        <v>42208</v>
      </c>
      <c r="K1123" s="137">
        <v>2.7958969999999998E-4</v>
      </c>
    </row>
    <row r="1124" spans="9:11">
      <c r="I1124" s="137"/>
      <c r="J1124" s="15">
        <v>42215</v>
      </c>
      <c r="K1124" s="137">
        <v>6.1178580000000005E-4</v>
      </c>
    </row>
    <row r="1125" spans="9:11">
      <c r="I1125" s="137"/>
      <c r="J1125" s="15">
        <v>42222</v>
      </c>
      <c r="K1125" s="137">
        <v>1.7238742999999999E-3</v>
      </c>
    </row>
    <row r="1126" spans="9:11">
      <c r="I1126" s="137"/>
      <c r="J1126" s="15">
        <v>42229</v>
      </c>
      <c r="K1126" s="137">
        <v>1.2033200999999999E-3</v>
      </c>
    </row>
    <row r="1127" spans="9:11">
      <c r="I1127" s="137"/>
      <c r="J1127" s="15">
        <v>42236</v>
      </c>
      <c r="K1127" s="137">
        <v>1.2478017E-3</v>
      </c>
    </row>
    <row r="1128" spans="9:11">
      <c r="I1128" s="137"/>
      <c r="J1128" s="15">
        <v>42243</v>
      </c>
      <c r="K1128" s="137">
        <v>3.8897602E-3</v>
      </c>
    </row>
    <row r="1129" spans="9:11">
      <c r="I1129" s="137"/>
      <c r="J1129" s="15">
        <v>42250</v>
      </c>
      <c r="K1129" s="137">
        <v>2.5424555000000001E-3</v>
      </c>
    </row>
    <row r="1130" spans="9:11">
      <c r="I1130" s="137"/>
      <c r="J1130" s="15">
        <v>42257</v>
      </c>
      <c r="K1130" s="137">
        <v>2.6022055E-3</v>
      </c>
    </row>
    <row r="1131" spans="9:11">
      <c r="I1131" s="137"/>
      <c r="J1131" s="15">
        <v>42264</v>
      </c>
      <c r="K1131" s="137">
        <v>2.1280814000000001E-3</v>
      </c>
    </row>
    <row r="1132" spans="9:11">
      <c r="I1132" s="137"/>
      <c r="J1132" s="15">
        <v>42271</v>
      </c>
      <c r="K1132" s="137">
        <v>2.6883557000000002E-3</v>
      </c>
    </row>
    <row r="1133" spans="9:11">
      <c r="I1133" s="137"/>
      <c r="J1133" s="15">
        <v>42278</v>
      </c>
      <c r="K1133" s="137">
        <v>8.5607423000000002E-3</v>
      </c>
    </row>
    <row r="1134" spans="9:11">
      <c r="I1134" s="137"/>
      <c r="J1134" s="15">
        <v>42285</v>
      </c>
      <c r="K1134" s="137">
        <v>1.6887394600000001E-2</v>
      </c>
    </row>
    <row r="1135" spans="9:11">
      <c r="I1135" s="137"/>
      <c r="J1135" s="15">
        <v>42292</v>
      </c>
      <c r="K1135" s="137">
        <v>8.9844881000000001E-3</v>
      </c>
    </row>
    <row r="1136" spans="9:11">
      <c r="I1136" s="137"/>
      <c r="J1136" s="15">
        <v>42299</v>
      </c>
      <c r="K1136" s="137">
        <v>1.2722163599999999E-2</v>
      </c>
    </row>
    <row r="1137" spans="9:11">
      <c r="I1137" s="137"/>
      <c r="J1137" s="15">
        <v>42306</v>
      </c>
      <c r="K1137" s="137">
        <v>1.6887394600000001E-2</v>
      </c>
    </row>
    <row r="1138" spans="9:11">
      <c r="I1138" s="137"/>
      <c r="J1138" s="15">
        <v>42313</v>
      </c>
      <c r="K1138" s="137">
        <v>6.5558735999999996E-3</v>
      </c>
    </row>
    <row r="1139" spans="9:11">
      <c r="I1139" s="137"/>
      <c r="J1139" s="15">
        <v>42320</v>
      </c>
      <c r="K1139" s="137">
        <v>1.9502083E-3</v>
      </c>
    </row>
    <row r="1140" spans="9:11">
      <c r="I1140" s="137"/>
      <c r="J1140" s="15">
        <v>42327</v>
      </c>
      <c r="K1140" s="137">
        <v>2.5053662999999999E-3</v>
      </c>
    </row>
    <row r="1141" spans="9:11">
      <c r="I1141" s="137"/>
      <c r="J1141" s="15">
        <v>42333</v>
      </c>
      <c r="K1141" s="137">
        <v>2.5040428E-3</v>
      </c>
    </row>
    <row r="1142" spans="9:11">
      <c r="I1142" s="137"/>
      <c r="J1142" s="15">
        <v>42341</v>
      </c>
      <c r="K1142" s="137">
        <v>3.8999424000000001E-3</v>
      </c>
    </row>
    <row r="1143" spans="9:11">
      <c r="I1143" s="137"/>
      <c r="J1143" s="15">
        <v>42348</v>
      </c>
      <c r="K1143" s="137">
        <v>3.7282702000000002E-3</v>
      </c>
    </row>
    <row r="1144" spans="9:11">
      <c r="I1144" s="137"/>
      <c r="J1144" s="15">
        <v>42355</v>
      </c>
      <c r="K1144" s="137">
        <v>2.1328380000000002E-3</v>
      </c>
    </row>
    <row r="1145" spans="9:11">
      <c r="I1145" s="137"/>
      <c r="J1145" s="15">
        <v>42362</v>
      </c>
      <c r="K1145" s="137">
        <v>3.7034997000000001E-3</v>
      </c>
    </row>
    <row r="1146" spans="9:11">
      <c r="I1146" s="137"/>
      <c r="J1146" s="15">
        <v>42369</v>
      </c>
      <c r="K1146" s="137">
        <v>4.7134729999999999E-4</v>
      </c>
    </row>
    <row r="1147" spans="9:11">
      <c r="I1147" s="137"/>
      <c r="J1147" s="15">
        <v>42376</v>
      </c>
      <c r="K1147" s="137">
        <v>3.0047211000000002E-3</v>
      </c>
    </row>
    <row r="1148" spans="9:11">
      <c r="I1148" s="137"/>
      <c r="J1148" s="15">
        <v>42383</v>
      </c>
      <c r="K1148" s="137">
        <v>6.2010661000000003E-3</v>
      </c>
    </row>
    <row r="1149" spans="9:11">
      <c r="I1149" s="137"/>
      <c r="J1149" s="15">
        <v>42390</v>
      </c>
      <c r="K1149" s="137">
        <v>1.7296221699999999E-2</v>
      </c>
    </row>
    <row r="1150" spans="9:11">
      <c r="I1150" s="137"/>
      <c r="J1150" s="15">
        <v>42397</v>
      </c>
      <c r="K1150" s="137">
        <v>1.7591301199999999E-2</v>
      </c>
    </row>
    <row r="1151" spans="9:11">
      <c r="I1151" s="137"/>
      <c r="J1151" s="15">
        <v>42404</v>
      </c>
      <c r="K1151" s="137">
        <v>0.1952732136</v>
      </c>
    </row>
    <row r="1152" spans="9:11">
      <c r="I1152" s="137"/>
      <c r="J1152" s="15">
        <v>42411</v>
      </c>
      <c r="K1152" s="137">
        <v>0.23383256720000001</v>
      </c>
    </row>
    <row r="1153" spans="9:11">
      <c r="I1153" s="137"/>
      <c r="J1153" s="15">
        <v>42418</v>
      </c>
      <c r="K1153" s="137">
        <v>0.23187807120000001</v>
      </c>
    </row>
    <row r="1154" spans="9:11">
      <c r="I1154" s="137"/>
      <c r="J1154" s="15">
        <v>42425</v>
      </c>
      <c r="K1154" s="137">
        <v>0.23417131099999999</v>
      </c>
    </row>
    <row r="1155" spans="9:11">
      <c r="I1155" s="137"/>
      <c r="J1155" s="15">
        <v>42432</v>
      </c>
      <c r="K1155" s="137">
        <v>0.23816616020000003</v>
      </c>
    </row>
    <row r="1156" spans="9:11">
      <c r="I1156" s="137"/>
      <c r="J1156" s="15">
        <v>42439</v>
      </c>
      <c r="K1156" s="137">
        <v>0.2267590142</v>
      </c>
    </row>
    <row r="1157" spans="9:11">
      <c r="I1157" s="137"/>
      <c r="J1157" s="15">
        <v>42446</v>
      </c>
      <c r="K1157" s="137">
        <v>4.2037071199999998E-2</v>
      </c>
    </row>
    <row r="1158" spans="9:11">
      <c r="I1158" s="137"/>
      <c r="J1158" s="15">
        <v>42453</v>
      </c>
      <c r="K1158" s="137">
        <v>0.2031771</v>
      </c>
    </row>
    <row r="1159" spans="9:11">
      <c r="I1159" s="137"/>
      <c r="J1159" s="15">
        <v>42460</v>
      </c>
      <c r="K1159" s="137">
        <v>4.9843355999999998E-2</v>
      </c>
    </row>
    <row r="1160" spans="9:11">
      <c r="I1160" s="137"/>
      <c r="J1160" s="15">
        <v>42467</v>
      </c>
      <c r="K1160" s="137">
        <v>0.27836232100000002</v>
      </c>
    </row>
    <row r="1161" spans="9:11">
      <c r="I1161" s="137"/>
      <c r="J1161" s="15">
        <v>42474</v>
      </c>
      <c r="K1161" s="137">
        <v>0.28374614799999998</v>
      </c>
    </row>
    <row r="1162" spans="9:11">
      <c r="I1162" s="137"/>
      <c r="J1162" s="15">
        <v>42481</v>
      </c>
      <c r="K1162" s="137">
        <v>0.27404515070000002</v>
      </c>
    </row>
    <row r="1163" spans="9:11">
      <c r="I1163" s="137"/>
      <c r="J1163" s="15">
        <v>42488</v>
      </c>
      <c r="K1163" s="137">
        <v>6.7427045199999994E-2</v>
      </c>
    </row>
    <row r="1164" spans="9:11">
      <c r="I1164" s="137"/>
      <c r="J1164" s="15">
        <v>42495</v>
      </c>
      <c r="K1164" s="137">
        <v>0.26121759630000002</v>
      </c>
    </row>
    <row r="1165" spans="9:11">
      <c r="I1165" s="137"/>
      <c r="J1165" s="15">
        <v>42502</v>
      </c>
      <c r="K1165" s="137">
        <v>0.29953785770000002</v>
      </c>
    </row>
    <row r="1166" spans="9:11">
      <c r="I1166" s="137"/>
      <c r="J1166" s="15">
        <v>42509</v>
      </c>
      <c r="K1166" s="137">
        <v>0.28823591269999999</v>
      </c>
    </row>
    <row r="1167" spans="9:11">
      <c r="I1167" s="137"/>
      <c r="J1167" s="15">
        <v>42516</v>
      </c>
      <c r="K1167" s="137">
        <v>0.25614855920000001</v>
      </c>
    </row>
    <row r="1168" spans="9:11">
      <c r="I1168" s="137"/>
      <c r="J1168" s="15">
        <v>42523</v>
      </c>
      <c r="K1168" s="137">
        <v>0.24658262720000002</v>
      </c>
    </row>
    <row r="1169" spans="9:11">
      <c r="I1169" s="137"/>
      <c r="J1169" s="15">
        <v>42530</v>
      </c>
      <c r="K1169" s="137">
        <v>0.29154228319999997</v>
      </c>
    </row>
    <row r="1170" spans="9:11">
      <c r="I1170" s="137"/>
      <c r="J1170" s="15">
        <v>42537</v>
      </c>
      <c r="K1170" s="137">
        <v>0.3231848464</v>
      </c>
    </row>
    <row r="1171" spans="9:11">
      <c r="I1171" s="137"/>
      <c r="J1171" s="15">
        <v>42544</v>
      </c>
      <c r="K1171" s="137">
        <v>0.29603398609999998</v>
      </c>
    </row>
    <row r="1172" spans="9:11">
      <c r="I1172" s="51"/>
      <c r="J1172" s="160">
        <v>42551</v>
      </c>
      <c r="K1172" s="161">
        <v>0.36450145699999997</v>
      </c>
    </row>
    <row r="1173" spans="9:11">
      <c r="I1173" s="51"/>
      <c r="J1173" s="160">
        <v>42558</v>
      </c>
      <c r="K1173" s="161">
        <v>0.74659079689999996</v>
      </c>
    </row>
    <row r="1174" spans="9:11">
      <c r="I1174" s="51"/>
      <c r="J1174" s="160">
        <v>42565</v>
      </c>
      <c r="K1174" s="161">
        <v>0.73452463619999997</v>
      </c>
    </row>
    <row r="1175" spans="9:11">
      <c r="I1175" s="51"/>
      <c r="J1175" s="160">
        <v>42572</v>
      </c>
      <c r="K1175" s="161">
        <v>0.3641181121</v>
      </c>
    </row>
    <row r="1176" spans="9:11">
      <c r="J1176" s="160">
        <v>42579</v>
      </c>
      <c r="K1176" s="161">
        <v>0.35342993379999998</v>
      </c>
    </row>
    <row r="1177" spans="9:11">
      <c r="J1177" s="164">
        <v>42586</v>
      </c>
      <c r="K1177" s="165">
        <v>0.39867826690000002</v>
      </c>
    </row>
    <row r="1178" spans="9:11">
      <c r="J1178" s="164">
        <v>42593</v>
      </c>
      <c r="K1178" s="165">
        <v>0.36346232249999999</v>
      </c>
    </row>
    <row r="1179" spans="9:11">
      <c r="J1179" s="164">
        <v>42600</v>
      </c>
      <c r="K1179" s="165">
        <v>0.38668737850000001</v>
      </c>
    </row>
    <row r="1180" spans="9:11">
      <c r="J1180" s="168">
        <v>42606</v>
      </c>
      <c r="K1180" s="169">
        <v>0.35762316199999999</v>
      </c>
    </row>
    <row r="1181" spans="9:11">
      <c r="J1181" s="172">
        <v>42614</v>
      </c>
      <c r="K1181" s="173">
        <v>0.36009890300000003</v>
      </c>
    </row>
    <row r="1182" spans="9:11">
      <c r="J1182" s="172">
        <v>42621</v>
      </c>
      <c r="K1182" s="173">
        <v>0.34740422609999999</v>
      </c>
    </row>
    <row r="1183" spans="9:11">
      <c r="J1183" s="172">
        <v>42628</v>
      </c>
      <c r="K1183" s="173">
        <v>0.32322800000000002</v>
      </c>
    </row>
    <row r="1184" spans="9:11">
      <c r="J1184" s="172">
        <v>42635</v>
      </c>
      <c r="K1184" s="173">
        <v>0.30217912299999999</v>
      </c>
    </row>
    <row r="1185" spans="10:11">
      <c r="J1185" s="172">
        <v>42642</v>
      </c>
      <c r="K1185" s="173">
        <v>0.39018605709999998</v>
      </c>
    </row>
    <row r="1186" spans="10:11">
      <c r="J1186" s="177">
        <v>42649</v>
      </c>
      <c r="K1186" s="178">
        <v>0.41034721800000001</v>
      </c>
    </row>
    <row r="1187" spans="10:11">
      <c r="J1187" s="177">
        <v>42663</v>
      </c>
      <c r="K1187" s="178">
        <v>6.2051012000000003E-3</v>
      </c>
    </row>
    <row r="1188" spans="10:11">
      <c r="J1188" s="177">
        <v>42670</v>
      </c>
      <c r="K1188" s="178">
        <v>7.8617854999999993E-3</v>
      </c>
    </row>
    <row r="1189" spans="10:11">
      <c r="J1189" s="177">
        <v>42677</v>
      </c>
      <c r="K1189" s="178">
        <v>4.2075057000000001E-3</v>
      </c>
    </row>
    <row r="1190" spans="10:11">
      <c r="J1190" s="177">
        <v>42684</v>
      </c>
      <c r="K1190" s="178">
        <v>0</v>
      </c>
    </row>
    <row r="1191" spans="10:11">
      <c r="J1191" s="177">
        <v>42691</v>
      </c>
      <c r="K1191" s="178">
        <v>0</v>
      </c>
    </row>
    <row r="1192" spans="10:11">
      <c r="J1192"/>
    </row>
    <row r="1193" spans="10:11">
      <c r="J1193"/>
    </row>
    <row r="1194" spans="10:11">
      <c r="J1194"/>
    </row>
    <row r="1195" spans="10:11">
      <c r="J1195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540"/>
  <sheetViews>
    <sheetView tabSelected="1" topLeftCell="A490" workbookViewId="0">
      <selection activeCell="B516" sqref="B516:C540"/>
    </sheetView>
  </sheetViews>
  <sheetFormatPr defaultRowHeight="15"/>
  <cols>
    <col min="2" max="2" width="16.28515625" customWidth="1"/>
  </cols>
  <sheetData>
    <row r="1" spans="2:3">
      <c r="C1" t="s">
        <v>15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>
        <v>42188</v>
      </c>
      <c r="C414">
        <v>1299.9000000000001</v>
      </c>
    </row>
    <row r="415" spans="2:3">
      <c r="B415" s="1">
        <v>42195</v>
      </c>
      <c r="C415">
        <v>1332.4</v>
      </c>
    </row>
    <row r="416" spans="2:3">
      <c r="B416" s="1">
        <v>42202</v>
      </c>
      <c r="C416">
        <v>1305.5999999999999</v>
      </c>
    </row>
    <row r="417" spans="2:13">
      <c r="B417" s="1">
        <v>42209</v>
      </c>
      <c r="C417">
        <v>1339.9</v>
      </c>
      <c r="J417" s="1"/>
      <c r="K417" s="49"/>
      <c r="L417" s="49"/>
      <c r="M417" s="50"/>
    </row>
    <row r="418" spans="2:13">
      <c r="B418" s="1">
        <v>42216</v>
      </c>
      <c r="C418">
        <v>1418</v>
      </c>
    </row>
    <row r="419" spans="2:13">
      <c r="B419" s="1">
        <v>42223</v>
      </c>
      <c r="C419">
        <v>1455.2</v>
      </c>
    </row>
    <row r="420" spans="2:13">
      <c r="B420" s="1">
        <v>42230</v>
      </c>
      <c r="C420">
        <v>1561.2</v>
      </c>
    </row>
    <row r="421" spans="2:13">
      <c r="B421" s="1">
        <v>42237</v>
      </c>
      <c r="C421">
        <v>1545.5</v>
      </c>
    </row>
    <row r="422" spans="2:13">
      <c r="B422" s="1">
        <v>42244</v>
      </c>
      <c r="C422">
        <v>1857.7</v>
      </c>
    </row>
    <row r="423" spans="2:13">
      <c r="B423" s="1">
        <v>42251</v>
      </c>
      <c r="C423">
        <v>1626.9</v>
      </c>
    </row>
    <row r="424" spans="2:13">
      <c r="B424" s="1">
        <v>42258</v>
      </c>
      <c r="C424">
        <v>1473.7</v>
      </c>
    </row>
    <row r="425" spans="2:13">
      <c r="B425" s="1">
        <v>42265</v>
      </c>
      <c r="C425">
        <v>1759.9</v>
      </c>
    </row>
    <row r="426" spans="2:13">
      <c r="B426" s="1">
        <v>42272</v>
      </c>
      <c r="C426">
        <v>1589.5</v>
      </c>
    </row>
    <row r="427" spans="2:13">
      <c r="B427" s="1">
        <v>42279</v>
      </c>
      <c r="C427">
        <v>2071.6</v>
      </c>
    </row>
    <row r="428" spans="2:13">
      <c r="B428" s="1">
        <v>42286</v>
      </c>
      <c r="C428">
        <v>1534.5</v>
      </c>
    </row>
    <row r="429" spans="2:13">
      <c r="B429" s="1">
        <v>42293</v>
      </c>
      <c r="C429">
        <v>1575.3</v>
      </c>
    </row>
    <row r="430" spans="2:13">
      <c r="B430" s="1">
        <v>42300</v>
      </c>
      <c r="C430">
        <v>1544.8</v>
      </c>
    </row>
    <row r="431" spans="2:13">
      <c r="B431" s="1">
        <v>42307</v>
      </c>
      <c r="C431">
        <v>1548.6</v>
      </c>
    </row>
    <row r="432" spans="2:13">
      <c r="B432" s="1">
        <v>42314</v>
      </c>
      <c r="C432">
        <v>1514.1</v>
      </c>
    </row>
    <row r="433" spans="2:3">
      <c r="B433" s="1">
        <v>42321</v>
      </c>
      <c r="C433">
        <v>1528.7</v>
      </c>
    </row>
    <row r="434" spans="2:3">
      <c r="B434" s="1">
        <v>42328</v>
      </c>
      <c r="C434">
        <v>1489</v>
      </c>
    </row>
    <row r="435" spans="2:3">
      <c r="B435" s="1">
        <v>42334</v>
      </c>
      <c r="C435">
        <v>1410.2</v>
      </c>
    </row>
    <row r="436" spans="2:3">
      <c r="B436" s="1">
        <v>42342</v>
      </c>
      <c r="C436">
        <v>1451.5</v>
      </c>
    </row>
    <row r="437" spans="2:3">
      <c r="B437" s="1">
        <v>42349</v>
      </c>
      <c r="C437">
        <v>1470.6</v>
      </c>
    </row>
    <row r="438" spans="2:3">
      <c r="B438" s="1">
        <v>42356</v>
      </c>
      <c r="C438">
        <v>1667.4</v>
      </c>
    </row>
    <row r="439" spans="2:3">
      <c r="B439" s="1">
        <v>42363</v>
      </c>
      <c r="C439">
        <v>1174.0999999999999</v>
      </c>
    </row>
    <row r="440" spans="2:3">
      <c r="B440" s="1">
        <v>42370</v>
      </c>
      <c r="C440">
        <v>1020.5</v>
      </c>
    </row>
    <row r="441" spans="2:3">
      <c r="B441" s="1">
        <v>42377</v>
      </c>
      <c r="C441">
        <v>1273.8</v>
      </c>
    </row>
    <row r="442" spans="2:3">
      <c r="B442" s="1">
        <v>42384</v>
      </c>
      <c r="C442">
        <v>1544.6</v>
      </c>
    </row>
    <row r="443" spans="2:3">
      <c r="B443" s="1">
        <v>42391</v>
      </c>
      <c r="C443">
        <v>1734.4</v>
      </c>
    </row>
    <row r="444" spans="2:3">
      <c r="B444" s="1">
        <v>42398</v>
      </c>
      <c r="C444">
        <v>1726.6</v>
      </c>
    </row>
    <row r="445" spans="2:3">
      <c r="B445" s="1">
        <v>42405</v>
      </c>
      <c r="C445">
        <v>2015.4</v>
      </c>
    </row>
    <row r="446" spans="2:3">
      <c r="B446" s="1">
        <v>42412</v>
      </c>
      <c r="C446">
        <v>2341.5</v>
      </c>
    </row>
    <row r="447" spans="2:3">
      <c r="B447" s="1">
        <v>42419</v>
      </c>
      <c r="C447">
        <v>2099.9</v>
      </c>
    </row>
    <row r="448" spans="2:3">
      <c r="B448" s="1">
        <v>42426</v>
      </c>
      <c r="C448">
        <v>1992.9</v>
      </c>
    </row>
    <row r="449" spans="2:3">
      <c r="B449" s="1">
        <v>42433</v>
      </c>
      <c r="C449">
        <v>1928</v>
      </c>
    </row>
    <row r="450" spans="2:3">
      <c r="B450" s="1">
        <v>42440</v>
      </c>
      <c r="C450">
        <v>1841.2</v>
      </c>
    </row>
    <row r="451" spans="2:3">
      <c r="B451" s="1">
        <v>42447</v>
      </c>
      <c r="C451">
        <v>1743.3</v>
      </c>
    </row>
    <row r="452" spans="2:3">
      <c r="B452" s="1">
        <v>42454</v>
      </c>
      <c r="C452">
        <v>1671.6</v>
      </c>
    </row>
    <row r="453" spans="2:3">
      <c r="B453" s="1">
        <v>42461</v>
      </c>
      <c r="C453">
        <v>1815.4</v>
      </c>
    </row>
    <row r="454" spans="2:3">
      <c r="B454" s="1">
        <v>42468</v>
      </c>
      <c r="C454">
        <v>2061.1</v>
      </c>
    </row>
    <row r="455" spans="2:3">
      <c r="B455" s="1">
        <v>42475</v>
      </c>
      <c r="C455">
        <v>2072.6</v>
      </c>
    </row>
    <row r="456" spans="2:3">
      <c r="B456" s="1">
        <v>42482</v>
      </c>
      <c r="C456">
        <v>1910.1</v>
      </c>
    </row>
    <row r="457" spans="2:3">
      <c r="B457" s="1">
        <v>42489</v>
      </c>
      <c r="C457">
        <v>1791.9</v>
      </c>
    </row>
    <row r="458" spans="2:3">
      <c r="B458" s="1">
        <v>42496</v>
      </c>
      <c r="C458">
        <v>1812</v>
      </c>
    </row>
    <row r="459" spans="2:3">
      <c r="B459" s="1">
        <v>42503</v>
      </c>
      <c r="C459">
        <v>1849.7</v>
      </c>
    </row>
    <row r="460" spans="2:3">
      <c r="B460" s="1">
        <v>42510</v>
      </c>
      <c r="C460">
        <v>1866.3</v>
      </c>
    </row>
    <row r="461" spans="2:3">
      <c r="B461" s="1">
        <v>42517</v>
      </c>
      <c r="C461">
        <v>1770.1</v>
      </c>
    </row>
    <row r="462" spans="2:3">
      <c r="B462" s="1">
        <v>42524</v>
      </c>
      <c r="C462">
        <v>1922.8</v>
      </c>
    </row>
    <row r="463" spans="2:3">
      <c r="B463" s="1">
        <v>42531</v>
      </c>
      <c r="C463">
        <v>1967.5</v>
      </c>
    </row>
    <row r="464" spans="2:3">
      <c r="B464" s="1">
        <v>42538</v>
      </c>
      <c r="C464">
        <v>2081.1999999999998</v>
      </c>
    </row>
    <row r="465" spans="2:3">
      <c r="B465" s="1">
        <v>42545</v>
      </c>
      <c r="C465">
        <v>2037</v>
      </c>
    </row>
    <row r="466" spans="2:3">
      <c r="B466" s="1">
        <v>42552</v>
      </c>
      <c r="C466">
        <v>2474.3000000000002</v>
      </c>
    </row>
    <row r="467" spans="2:3">
      <c r="B467" s="1">
        <v>42559</v>
      </c>
      <c r="C467">
        <v>2771.6</v>
      </c>
    </row>
    <row r="468" spans="2:3">
      <c r="B468" s="1">
        <v>42566</v>
      </c>
      <c r="C468">
        <v>2783.1</v>
      </c>
    </row>
    <row r="469" spans="2:3">
      <c r="B469" s="1">
        <v>42573</v>
      </c>
      <c r="C469">
        <v>2333.1999999999998</v>
      </c>
    </row>
    <row r="470" spans="2:3">
      <c r="B470" s="1">
        <v>42580</v>
      </c>
      <c r="C470">
        <v>2254.9</v>
      </c>
    </row>
    <row r="471" spans="2:3">
      <c r="B471" s="1">
        <v>42587</v>
      </c>
      <c r="C471">
        <v>2386.3000000000002</v>
      </c>
    </row>
    <row r="472" spans="2:3">
      <c r="B472" s="1">
        <v>42594</v>
      </c>
      <c r="C472">
        <v>2302.4</v>
      </c>
    </row>
    <row r="473" spans="2:3">
      <c r="B473" s="1">
        <v>42601</v>
      </c>
      <c r="C473">
        <v>2296.5</v>
      </c>
    </row>
    <row r="474" spans="2:3">
      <c r="B474" s="1">
        <v>42608</v>
      </c>
      <c r="C474">
        <v>2329.9</v>
      </c>
    </row>
    <row r="475" spans="2:3">
      <c r="B475" s="1">
        <v>42615</v>
      </c>
      <c r="C475">
        <v>2382.1999999999998</v>
      </c>
    </row>
    <row r="476" spans="2:3">
      <c r="B476" s="1">
        <v>42622</v>
      </c>
      <c r="C476">
        <v>2424.5</v>
      </c>
    </row>
    <row r="477" spans="2:3">
      <c r="B477" s="1">
        <v>42629</v>
      </c>
      <c r="C477">
        <v>2217.4</v>
      </c>
    </row>
    <row r="478" spans="2:3">
      <c r="B478" s="1">
        <v>42636</v>
      </c>
      <c r="C478">
        <v>2170.3000000000002</v>
      </c>
    </row>
    <row r="479" spans="2:3">
      <c r="B479" s="1">
        <v>42643</v>
      </c>
      <c r="C479">
        <v>2301.9</v>
      </c>
    </row>
    <row r="480" spans="2:3">
      <c r="B480" s="1">
        <v>42650</v>
      </c>
      <c r="C480">
        <v>2075.9</v>
      </c>
    </row>
    <row r="481" spans="2:3">
      <c r="B481" s="1">
        <v>42657</v>
      </c>
      <c r="C481">
        <v>2006.9</v>
      </c>
    </row>
    <row r="482" spans="2:3">
      <c r="B482" s="1">
        <v>42664</v>
      </c>
      <c r="C482">
        <v>1972.5</v>
      </c>
    </row>
    <row r="483" spans="2:3">
      <c r="B483" s="1">
        <v>42671</v>
      </c>
      <c r="C483">
        <v>1937.8</v>
      </c>
    </row>
    <row r="484" spans="2:3">
      <c r="B484" s="1">
        <v>42678</v>
      </c>
      <c r="C484">
        <v>1883</v>
      </c>
    </row>
    <row r="485" spans="2:3">
      <c r="B485" s="1">
        <v>42685</v>
      </c>
      <c r="C485">
        <v>1648</v>
      </c>
    </row>
    <row r="486" spans="2:3">
      <c r="B486" s="1">
        <v>42692</v>
      </c>
      <c r="C486">
        <v>1620.2</v>
      </c>
    </row>
    <row r="487" spans="2:3">
      <c r="B487" s="1">
        <v>42699</v>
      </c>
      <c r="C487" s="49">
        <v>1422.7</v>
      </c>
    </row>
    <row r="488" spans="2:3">
      <c r="B488" s="1">
        <v>42706</v>
      </c>
      <c r="C488" s="49">
        <v>1380.8</v>
      </c>
    </row>
    <row r="489" spans="2:3">
      <c r="B489" s="1">
        <v>42713</v>
      </c>
      <c r="C489" s="49">
        <v>1328.9</v>
      </c>
    </row>
    <row r="490" spans="2:3">
      <c r="B490" s="1">
        <v>42720</v>
      </c>
      <c r="C490" s="49">
        <v>1361.1</v>
      </c>
    </row>
    <row r="491" spans="2:3">
      <c r="B491" s="1">
        <v>42727</v>
      </c>
      <c r="C491" s="49">
        <v>1074.7</v>
      </c>
    </row>
    <row r="492" spans="2:3">
      <c r="B492" s="1">
        <v>42734</v>
      </c>
      <c r="C492" s="49">
        <v>1098</v>
      </c>
    </row>
    <row r="493" spans="2:3">
      <c r="B493" s="1">
        <v>42741</v>
      </c>
      <c r="C493" s="49">
        <v>1127.5999999999999</v>
      </c>
    </row>
    <row r="494" spans="2:3">
      <c r="B494" s="1">
        <v>42748</v>
      </c>
      <c r="C494" s="49">
        <v>1169.8</v>
      </c>
    </row>
    <row r="495" spans="2:3">
      <c r="B495" s="1">
        <v>42755</v>
      </c>
      <c r="C495" s="49">
        <v>1154.3</v>
      </c>
    </row>
    <row r="496" spans="2:3">
      <c r="B496" s="1">
        <v>42762</v>
      </c>
      <c r="C496" s="49">
        <v>1169.2</v>
      </c>
    </row>
    <row r="497" spans="2:3">
      <c r="B497" s="1">
        <v>42769</v>
      </c>
      <c r="C497" s="49">
        <v>1192.5</v>
      </c>
    </row>
    <row r="498" spans="2:3">
      <c r="B498" s="1">
        <v>42776</v>
      </c>
      <c r="C498" s="49">
        <v>1184.0999999999999</v>
      </c>
    </row>
    <row r="499" spans="2:3">
      <c r="B499" s="1">
        <v>42783</v>
      </c>
      <c r="C499" s="49">
        <v>1172.9000000000001</v>
      </c>
    </row>
    <row r="500" spans="2:3">
      <c r="B500" s="1">
        <v>42790</v>
      </c>
      <c r="C500" s="49">
        <v>1229.3</v>
      </c>
    </row>
    <row r="501" spans="2:3">
      <c r="B501" s="1">
        <v>42797</v>
      </c>
      <c r="C501" s="49">
        <v>1310</v>
      </c>
    </row>
    <row r="502" spans="2:3">
      <c r="B502" s="1">
        <v>42804</v>
      </c>
      <c r="C502" s="49">
        <v>1401.1</v>
      </c>
    </row>
    <row r="503" spans="2:3">
      <c r="B503" s="1">
        <v>42811</v>
      </c>
      <c r="C503" s="49">
        <v>1380</v>
      </c>
    </row>
    <row r="504" spans="2:3">
      <c r="B504" s="1">
        <v>42818</v>
      </c>
      <c r="C504" s="49">
        <v>1324.1</v>
      </c>
    </row>
    <row r="505" spans="2:3">
      <c r="B505" s="1">
        <v>42825</v>
      </c>
      <c r="C505" s="49">
        <v>1259.5</v>
      </c>
    </row>
    <row r="506" spans="2:3">
      <c r="B506" s="1">
        <v>42832</v>
      </c>
      <c r="C506" s="49">
        <v>1262.8</v>
      </c>
    </row>
    <row r="507" spans="2:3">
      <c r="B507" s="1">
        <v>42839</v>
      </c>
      <c r="C507" s="49">
        <v>1258.0999999999999</v>
      </c>
    </row>
    <row r="508" spans="2:3">
      <c r="B508" s="1">
        <v>42846</v>
      </c>
      <c r="C508" s="49">
        <v>1354</v>
      </c>
    </row>
    <row r="509" spans="2:3">
      <c r="B509" s="1">
        <v>42853</v>
      </c>
      <c r="C509" s="49">
        <v>1284.4000000000001</v>
      </c>
    </row>
    <row r="510" spans="2:3">
      <c r="B510" s="1">
        <v>42860</v>
      </c>
      <c r="C510" s="49">
        <v>1324.5</v>
      </c>
    </row>
    <row r="511" spans="2:3">
      <c r="B511" s="1">
        <v>42867</v>
      </c>
      <c r="C511" s="49">
        <v>1244.5999999999999</v>
      </c>
    </row>
    <row r="512" spans="2:3">
      <c r="B512" s="1">
        <v>42874</v>
      </c>
      <c r="C512" s="49">
        <v>1366.1</v>
      </c>
    </row>
    <row r="513" spans="2:3">
      <c r="B513" s="1">
        <v>42881</v>
      </c>
      <c r="C513" s="49">
        <v>1292.7</v>
      </c>
    </row>
    <row r="514" spans="2:3">
      <c r="B514" s="1">
        <v>42888</v>
      </c>
      <c r="C514" s="49">
        <v>1332.6</v>
      </c>
    </row>
    <row r="515" spans="2:3">
      <c r="B515" s="1">
        <v>42895</v>
      </c>
      <c r="C515" s="49">
        <v>1420.3</v>
      </c>
    </row>
    <row r="516" spans="2:3">
      <c r="B516" s="1">
        <v>42902</v>
      </c>
      <c r="C516" s="49">
        <v>1488.8</v>
      </c>
    </row>
    <row r="517" spans="2:3">
      <c r="B517" s="1">
        <v>42909</v>
      </c>
      <c r="C517" s="49">
        <v>1371.7</v>
      </c>
    </row>
    <row r="518" spans="2:3">
      <c r="B518" s="1">
        <v>42916</v>
      </c>
      <c r="C518" s="49">
        <v>1371.7</v>
      </c>
    </row>
    <row r="519" spans="2:3">
      <c r="B519" s="1">
        <v>42923</v>
      </c>
      <c r="C519" s="49">
        <v>1182.7</v>
      </c>
    </row>
    <row r="520" spans="2:3">
      <c r="B520" s="1">
        <v>42930</v>
      </c>
      <c r="C520" s="49">
        <v>1333.5</v>
      </c>
    </row>
    <row r="521" spans="2:3">
      <c r="B521" s="1">
        <v>42937</v>
      </c>
      <c r="C521" s="49">
        <v>1395.7</v>
      </c>
    </row>
    <row r="522" spans="2:3">
      <c r="B522" s="1">
        <v>42944</v>
      </c>
      <c r="C522" s="49">
        <v>1349.5</v>
      </c>
    </row>
    <row r="523" spans="2:3">
      <c r="B523" s="1">
        <v>42951</v>
      </c>
      <c r="C523" s="49">
        <v>1395.5</v>
      </c>
    </row>
    <row r="524" spans="2:3">
      <c r="B524" s="1">
        <v>42958</v>
      </c>
      <c r="C524" s="49">
        <v>1428.7</v>
      </c>
    </row>
    <row r="525" spans="2:3">
      <c r="B525" s="1">
        <v>42965</v>
      </c>
      <c r="C525" s="49">
        <v>1441</v>
      </c>
    </row>
    <row r="526" spans="2:3">
      <c r="B526" s="1">
        <v>42972</v>
      </c>
      <c r="C526" s="49">
        <v>1425.8</v>
      </c>
    </row>
    <row r="527" spans="2:3">
      <c r="B527" s="1">
        <v>42979</v>
      </c>
      <c r="C527" s="49">
        <v>1499.8</v>
      </c>
    </row>
    <row r="528" spans="2:3">
      <c r="B528" s="1">
        <v>42986</v>
      </c>
      <c r="C528" s="49">
        <v>1612.6</v>
      </c>
    </row>
    <row r="529" spans="2:3">
      <c r="B529" s="1">
        <v>42993</v>
      </c>
      <c r="C529" s="49">
        <v>1472.2</v>
      </c>
    </row>
    <row r="530" spans="2:3">
      <c r="B530" s="1">
        <v>43000</v>
      </c>
      <c r="C530" s="49">
        <v>1431.2</v>
      </c>
    </row>
    <row r="531" spans="2:3">
      <c r="B531" s="1">
        <v>43007</v>
      </c>
      <c r="C531" s="49">
        <v>1409.8</v>
      </c>
    </row>
    <row r="532" spans="2:3">
      <c r="B532" s="1">
        <v>43014</v>
      </c>
      <c r="C532" s="49">
        <v>1309.3</v>
      </c>
    </row>
    <row r="533" spans="2:3">
      <c r="B533" s="1">
        <v>43021</v>
      </c>
      <c r="C533" s="49">
        <v>1358.9</v>
      </c>
    </row>
    <row r="534" spans="2:3">
      <c r="B534" s="1">
        <v>43028</v>
      </c>
      <c r="C534" s="49">
        <v>1337.3</v>
      </c>
    </row>
    <row r="535" spans="2:3">
      <c r="B535" s="1">
        <v>43035</v>
      </c>
      <c r="C535" s="49">
        <v>1268</v>
      </c>
    </row>
    <row r="536" spans="2:3">
      <c r="B536" s="1">
        <v>43042</v>
      </c>
      <c r="C536" s="49">
        <v>1254.0999999999999</v>
      </c>
    </row>
    <row r="537" spans="2:3">
      <c r="B537" s="1">
        <v>43049</v>
      </c>
      <c r="C537" s="49">
        <v>1330.2</v>
      </c>
    </row>
    <row r="538" spans="2:3">
      <c r="B538" s="1">
        <v>43056</v>
      </c>
      <c r="C538" s="49">
        <v>1252</v>
      </c>
    </row>
    <row r="539" spans="2:3">
      <c r="B539" s="1">
        <v>43063</v>
      </c>
      <c r="C539" s="49">
        <v>1148.4000000000001</v>
      </c>
    </row>
    <row r="540" spans="2:3">
      <c r="B540" s="1">
        <v>43070</v>
      </c>
      <c r="C540" s="49">
        <v>1247.2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6"/>
  <sheetViews>
    <sheetView workbookViewId="0">
      <selection activeCell="O28" sqref="O28"/>
    </sheetView>
  </sheetViews>
  <sheetFormatPr defaultRowHeight="15"/>
  <cols>
    <col min="2" max="2" width="10.140625" bestFit="1" customWidth="1"/>
    <col min="18" max="28" width="12" bestFit="1" customWidth="1"/>
  </cols>
  <sheetData>
    <row r="1" spans="1:16">
      <c r="F1" t="s">
        <v>12</v>
      </c>
    </row>
    <row r="2" spans="1:16">
      <c r="B2" s="6" t="s">
        <v>21</v>
      </c>
      <c r="C2" s="6" t="s">
        <v>22</v>
      </c>
      <c r="F2" s="6" t="s">
        <v>23</v>
      </c>
      <c r="G2" s="6" t="s">
        <v>24</v>
      </c>
      <c r="H2" s="6" t="s">
        <v>25</v>
      </c>
      <c r="I2" s="6" t="s">
        <v>26</v>
      </c>
      <c r="J2" s="6" t="s">
        <v>27</v>
      </c>
      <c r="K2" s="6" t="s">
        <v>28</v>
      </c>
      <c r="L2" s="6" t="s">
        <v>29</v>
      </c>
      <c r="M2" s="6" t="s">
        <v>30</v>
      </c>
      <c r="N2" s="6" t="s">
        <v>31</v>
      </c>
      <c r="O2" s="6" t="s">
        <v>32</v>
      </c>
      <c r="P2" s="6" t="s">
        <v>33</v>
      </c>
    </row>
    <row r="3" spans="1:16">
      <c r="B3" s="15">
        <v>42697</v>
      </c>
      <c r="C3" s="23">
        <v>3.9050000000000002</v>
      </c>
      <c r="F3" s="21">
        <v>0.67887315047298136</v>
      </c>
      <c r="G3" s="21">
        <v>0.58695367066502324</v>
      </c>
      <c r="H3" s="21">
        <v>0.51691917619026739</v>
      </c>
      <c r="I3" s="21">
        <v>0.4510613731800453</v>
      </c>
      <c r="J3" s="21">
        <v>0.40558164364754506</v>
      </c>
      <c r="K3" s="21">
        <v>0.35058378656462608</v>
      </c>
      <c r="L3" s="21">
        <v>0.28901547109491404</v>
      </c>
      <c r="M3" s="21">
        <v>0.24352051730748486</v>
      </c>
      <c r="N3" s="21">
        <v>0.20600342257907078</v>
      </c>
      <c r="O3" s="21">
        <v>0.1895763950041858</v>
      </c>
      <c r="P3" s="21">
        <v>0.14417610502386966</v>
      </c>
    </row>
    <row r="5" spans="1:16">
      <c r="B5" s="1">
        <f>CurrentMtgRatesDataTable82523[AsOfDate]</f>
        <v>42697</v>
      </c>
      <c r="C5">
        <f>CurrentMtgRatesDataTable82523[SeriesNumValue]</f>
        <v>3.9050000000000002</v>
      </c>
    </row>
    <row r="6" spans="1:16">
      <c r="F6" t="s">
        <v>13</v>
      </c>
    </row>
    <row r="7" spans="1:16">
      <c r="F7" s="6" t="s">
        <v>23</v>
      </c>
      <c r="G7" s="6" t="s">
        <v>24</v>
      </c>
      <c r="H7" s="6" t="s">
        <v>25</v>
      </c>
      <c r="I7" s="6" t="s">
        <v>26</v>
      </c>
      <c r="J7" s="6" t="s">
        <v>27</v>
      </c>
      <c r="K7" s="6" t="s">
        <v>28</v>
      </c>
      <c r="L7" s="6" t="s">
        <v>29</v>
      </c>
      <c r="M7" s="6" t="s">
        <v>30</v>
      </c>
      <c r="N7" s="6" t="s">
        <v>31</v>
      </c>
      <c r="O7" s="6" t="s">
        <v>32</v>
      </c>
      <c r="P7" s="6" t="s">
        <v>33</v>
      </c>
    </row>
    <row r="8" spans="1:16">
      <c r="A8" s="6" t="s">
        <v>51</v>
      </c>
      <c r="B8" s="67" t="str">
        <f>TEXT(CurrentCloseDate,"yyyy-mm-dd")</f>
        <v>2016-11-28</v>
      </c>
      <c r="C8" s="6">
        <f>VLOOKUP(B8,'Current Coupon'!S:T,2,0)</f>
        <v>3.0232721749517699</v>
      </c>
      <c r="F8">
        <v>2.5608275911288818E-5</v>
      </c>
      <c r="G8">
        <v>2.5608275911288818E-5</v>
      </c>
      <c r="H8">
        <v>2.5608102100367355E-5</v>
      </c>
      <c r="I8">
        <v>2.5608102100367355E-5</v>
      </c>
      <c r="J8">
        <v>2.5605494807286032E-5</v>
      </c>
      <c r="K8">
        <v>2.5425071897228041E-5</v>
      </c>
      <c r="L8">
        <v>2.5414284433000005E-5</v>
      </c>
      <c r="M8">
        <v>2.5402368858734509E-5</v>
      </c>
      <c r="N8">
        <v>2.5216589085161077E-5</v>
      </c>
      <c r="O8">
        <v>2.5169456390573302E-5</v>
      </c>
      <c r="P8">
        <v>2.4371659207705666E-5</v>
      </c>
    </row>
    <row r="9" spans="1:16">
      <c r="A9" s="6" t="s">
        <v>52</v>
      </c>
      <c r="B9" s="6" t="str">
        <f>TEXT(B5-1,"yyyy-mm-dd")</f>
        <v>2016-11-22</v>
      </c>
      <c r="C9" s="6">
        <f>VLOOKUP(B9,'Current Coupon'!A:M,11,0)</f>
        <v>0.90773422124067249</v>
      </c>
    </row>
    <row r="10" spans="1:16">
      <c r="A10" s="6" t="s">
        <v>53</v>
      </c>
      <c r="B10" s="6"/>
      <c r="C10" s="6">
        <f>C8+C9</f>
        <v>3.9310063961924424</v>
      </c>
      <c r="F10" t="s">
        <v>46</v>
      </c>
    </row>
    <row r="11" spans="1:16">
      <c r="F11" s="6" t="s">
        <v>23</v>
      </c>
      <c r="G11" s="6" t="s">
        <v>24</v>
      </c>
      <c r="H11" s="6" t="s">
        <v>25</v>
      </c>
      <c r="I11" s="6" t="s">
        <v>26</v>
      </c>
      <c r="J11" s="6" t="s">
        <v>27</v>
      </c>
      <c r="K11" s="6" t="s">
        <v>28</v>
      </c>
      <c r="L11" s="6" t="s">
        <v>29</v>
      </c>
      <c r="M11" s="6" t="s">
        <v>30</v>
      </c>
      <c r="N11" s="6" t="s">
        <v>31</v>
      </c>
      <c r="O11" s="6" t="s">
        <v>32</v>
      </c>
      <c r="P11" s="6" t="s">
        <v>33</v>
      </c>
    </row>
    <row r="12" spans="1:16"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4" spans="1:16">
      <c r="F14" t="s">
        <v>47</v>
      </c>
    </row>
    <row r="15" spans="1:16">
      <c r="F15" s="6" t="s">
        <v>23</v>
      </c>
      <c r="G15" s="6" t="s">
        <v>24</v>
      </c>
      <c r="H15" s="6" t="s">
        <v>25</v>
      </c>
      <c r="I15" s="6" t="s">
        <v>26</v>
      </c>
      <c r="J15" s="6" t="s">
        <v>27</v>
      </c>
      <c r="K15" s="6" t="s">
        <v>28</v>
      </c>
      <c r="L15" s="6" t="s">
        <v>29</v>
      </c>
      <c r="M15" s="6" t="s">
        <v>30</v>
      </c>
      <c r="N15" s="6" t="s">
        <v>31</v>
      </c>
      <c r="O15" s="6" t="s">
        <v>32</v>
      </c>
      <c r="P15" s="6" t="s">
        <v>33</v>
      </c>
    </row>
    <row r="16" spans="1:16"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</row>
    <row r="18" spans="5:16">
      <c r="E18" s="18"/>
      <c r="F18" s="18" t="s">
        <v>117</v>
      </c>
      <c r="G18" s="18" t="s">
        <v>118</v>
      </c>
      <c r="H18" s="18" t="s">
        <v>119</v>
      </c>
      <c r="I18" s="18" t="s">
        <v>35</v>
      </c>
      <c r="J18" s="18" t="s">
        <v>34</v>
      </c>
      <c r="K18" s="28">
        <f>C10</f>
        <v>3.9310063961924424</v>
      </c>
      <c r="L18" s="18" t="s">
        <v>36</v>
      </c>
      <c r="M18" s="18" t="s">
        <v>37</v>
      </c>
      <c r="N18" s="18" t="s">
        <v>120</v>
      </c>
      <c r="O18" s="18" t="s">
        <v>121</v>
      </c>
      <c r="P18" s="18" t="s">
        <v>122</v>
      </c>
    </row>
    <row r="19" spans="5:16">
      <c r="E19" s="26" t="s">
        <v>14</v>
      </c>
      <c r="F19" s="27">
        <f>CurrentMtgRatesDataTable825234[refinancible1]</f>
        <v>0.67887315047298136</v>
      </c>
      <c r="G19" s="27">
        <f>CurrentMtgRatesDataTable825234[refinancible2]</f>
        <v>0.58695367066502324</v>
      </c>
      <c r="H19" s="27">
        <f>CurrentMtgRatesDataTable825234[refinancible3]</f>
        <v>0.51691917619026739</v>
      </c>
      <c r="I19" s="27">
        <f>CurrentMtgRatesDataTable825234[refinancible4]</f>
        <v>0.4510613731800453</v>
      </c>
      <c r="J19" s="27">
        <f>CurrentMtgRatesDataTable825234[refinancible5]</f>
        <v>0.40558164364754506</v>
      </c>
      <c r="K19" s="27">
        <f>CurrentMtgRatesDataTable825234[refinancible6]</f>
        <v>0.35058378656462608</v>
      </c>
      <c r="L19" s="27">
        <f>CurrentMtgRatesDataTable825234[refinancible7]</f>
        <v>0.28901547109491404</v>
      </c>
      <c r="M19" s="27">
        <f>CurrentMtgRatesDataTable825234[refinancible8]</f>
        <v>0.24352051730748486</v>
      </c>
      <c r="N19" s="27">
        <f>CurrentMtgRatesDataTable825234[refinancible9]</f>
        <v>0.20600342257907078</v>
      </c>
      <c r="O19" s="27">
        <f>CurrentMtgRatesDataTable825234[refinancible10]</f>
        <v>0.1895763950041858</v>
      </c>
      <c r="P19" s="27">
        <f>CurrentMtgRatesDataTable825234[refinancible11]</f>
        <v>0.14417610502386966</v>
      </c>
    </row>
    <row r="20" spans="5:16">
      <c r="E20" s="26" t="s">
        <v>11</v>
      </c>
      <c r="F20" s="27">
        <f>CurrentMtgRatesDataTable8252346[refinancible1]</f>
        <v>2.5608275911288818E-5</v>
      </c>
      <c r="G20" s="27">
        <f>CurrentMtgRatesDataTable8252346[refinancible2]</f>
        <v>2.5608275911288818E-5</v>
      </c>
      <c r="H20" s="27">
        <f>CurrentMtgRatesDataTable8252346[refinancible3]</f>
        <v>2.5608102100367355E-5</v>
      </c>
      <c r="I20" s="27">
        <f>CurrentMtgRatesDataTable8252346[refinancible4]</f>
        <v>2.5608102100367355E-5</v>
      </c>
      <c r="J20" s="27">
        <f>CurrentMtgRatesDataTable8252346[refinancible5]</f>
        <v>2.5605494807286032E-5</v>
      </c>
      <c r="K20" s="27">
        <f>CurrentMtgRatesDataTable8252346[refinancible6]</f>
        <v>2.5425071897228041E-5</v>
      </c>
      <c r="L20" s="27">
        <f>CurrentMtgRatesDataTable8252346[refinancible7]</f>
        <v>2.5414284433000005E-5</v>
      </c>
      <c r="M20" s="27">
        <f>CurrentMtgRatesDataTable8252346[refinancible8]</f>
        <v>2.5402368858734509E-5</v>
      </c>
      <c r="N20" s="27">
        <f>CurrentMtgRatesDataTable8252346[refinancible9]</f>
        <v>2.5216589085161077E-5</v>
      </c>
      <c r="O20" s="27">
        <f>CurrentMtgRatesDataTable8252346[refinancible10]</f>
        <v>2.5169456390573302E-5</v>
      </c>
      <c r="P20" s="27">
        <f>CurrentMtgRatesDataTable8252346[refinancible11]</f>
        <v>2.4371659207705666E-5</v>
      </c>
    </row>
    <row r="21" spans="5:16">
      <c r="E21" s="26" t="s">
        <v>45</v>
      </c>
      <c r="F21" s="27">
        <f>CurrentMtgRatesDataTable82523468[refinancible1]</f>
        <v>0</v>
      </c>
      <c r="G21" s="27">
        <f>CurrentMtgRatesDataTable82523468[refinancible2]</f>
        <v>0</v>
      </c>
      <c r="H21" s="27">
        <f>CurrentMtgRatesDataTable82523468[refinancible3]</f>
        <v>0</v>
      </c>
      <c r="I21" s="27">
        <f>CurrentMtgRatesDataTable82523468[refinancible4]</f>
        <v>0</v>
      </c>
      <c r="J21" s="27">
        <f>CurrentMtgRatesDataTable82523468[refinancible5]</f>
        <v>0</v>
      </c>
      <c r="K21" s="27">
        <f>CurrentMtgRatesDataTable82523468[refinancible6]</f>
        <v>0</v>
      </c>
      <c r="L21" s="27">
        <f>CurrentMtgRatesDataTable82523468[refinancible7]</f>
        <v>0</v>
      </c>
      <c r="M21" s="27">
        <f>CurrentMtgRatesDataTable82523468[refinancible8]</f>
        <v>0</v>
      </c>
      <c r="N21" s="27">
        <f>CurrentMtgRatesDataTable82523468[refinancible9]</f>
        <v>0</v>
      </c>
      <c r="O21" s="27">
        <f>CurrentMtgRatesDataTable82523468[refinancible10]</f>
        <v>0</v>
      </c>
      <c r="P21" s="27">
        <f>CurrentMtgRatesDataTable82523468[refinancible11]</f>
        <v>0</v>
      </c>
    </row>
    <row r="22" spans="5:16">
      <c r="E22" s="26" t="s">
        <v>47</v>
      </c>
      <c r="F22" s="27">
        <f>CurrentMtgRatesDataTable825234682[refinancible1]</f>
        <v>0</v>
      </c>
      <c r="G22" s="27">
        <f>CurrentMtgRatesDataTable825234682[refinancible2]</f>
        <v>0</v>
      </c>
      <c r="H22" s="27">
        <f>CurrentMtgRatesDataTable825234682[refinancible3]</f>
        <v>0</v>
      </c>
      <c r="I22" s="27">
        <f>CurrentMtgRatesDataTable825234682[refinancible4]</f>
        <v>0</v>
      </c>
      <c r="J22" s="27">
        <f>CurrentMtgRatesDataTable825234682[refinancible5]</f>
        <v>0</v>
      </c>
      <c r="K22" s="27">
        <f>CurrentMtgRatesDataTable825234682[refinancible6]</f>
        <v>0</v>
      </c>
      <c r="L22" s="27">
        <f>CurrentMtgRatesDataTable825234682[refinancible7]</f>
        <v>0</v>
      </c>
      <c r="M22" s="27">
        <f>CurrentMtgRatesDataTable825234682[refinancible8]</f>
        <v>0</v>
      </c>
      <c r="N22" s="27">
        <f>CurrentMtgRatesDataTable825234682[refinancible9]</f>
        <v>0</v>
      </c>
      <c r="O22" s="27">
        <f>CurrentMtgRatesDataTable825234682[refinancible10]</f>
        <v>0</v>
      </c>
      <c r="P22" s="27">
        <f>CurrentMtgRatesDataTable825234682[refinancible11]</f>
        <v>0</v>
      </c>
    </row>
    <row r="36" spans="18:28">
      <c r="R36">
        <v>0.65322653599256497</v>
      </c>
      <c r="S36">
        <v>0.58817160497848098</v>
      </c>
      <c r="T36">
        <v>0.548416396742615</v>
      </c>
      <c r="U36">
        <v>0.48349480558501801</v>
      </c>
      <c r="V36">
        <v>0.42269168928954398</v>
      </c>
      <c r="W36">
        <v>0.39179497286707898</v>
      </c>
      <c r="X36">
        <v>0.34065979567663701</v>
      </c>
      <c r="Y36">
        <v>0.31567540065294802</v>
      </c>
      <c r="Z36">
        <v>0.265722103379672</v>
      </c>
      <c r="AA36">
        <v>0.21407060564034699</v>
      </c>
      <c r="AB36">
        <v>0.19725974763203899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D72" sqref="D72"/>
    </sheetView>
  </sheetViews>
  <sheetFormatPr defaultRowHeight="12.75"/>
  <cols>
    <col min="1" max="1" width="16.7109375" style="69" customWidth="1"/>
    <col min="2" max="2" width="10.140625" style="69" bestFit="1" customWidth="1"/>
    <col min="3" max="6" width="10.140625" style="69" customWidth="1"/>
    <col min="7" max="7" width="14.140625" style="69" bestFit="1" customWidth="1"/>
    <col min="8" max="8" width="13.85546875" style="69" bestFit="1" customWidth="1"/>
    <col min="9" max="9" width="21.85546875" style="69" bestFit="1" customWidth="1"/>
    <col min="10" max="10" width="16.7109375" style="69" bestFit="1" customWidth="1"/>
    <col min="11" max="11" width="15.7109375" style="69" bestFit="1" customWidth="1"/>
    <col min="12" max="12" width="13.85546875" style="69" bestFit="1" customWidth="1"/>
    <col min="13" max="13" width="22" style="69" bestFit="1" customWidth="1"/>
    <col min="14" max="14" width="13.85546875" style="69" bestFit="1" customWidth="1"/>
    <col min="15" max="15" width="12.5703125" style="69" bestFit="1" customWidth="1"/>
    <col min="16" max="16" width="12" style="69" bestFit="1" customWidth="1"/>
    <col min="17" max="17" width="15.140625" style="69" bestFit="1" customWidth="1"/>
    <col min="18" max="18" width="15.140625" style="69" customWidth="1"/>
    <col min="19" max="19" width="14.140625" style="69" bestFit="1" customWidth="1"/>
    <col min="20" max="20" width="14.140625" style="69" customWidth="1"/>
    <col min="21" max="21" width="12" style="69" bestFit="1" customWidth="1"/>
    <col min="22" max="22" width="12" style="69" customWidth="1"/>
    <col min="23" max="23" width="12" style="69" bestFit="1" customWidth="1"/>
    <col min="24" max="24" width="16" style="69" bestFit="1" customWidth="1"/>
    <col min="25" max="25" width="14.7109375" style="69" bestFit="1" customWidth="1"/>
    <col min="26" max="26" width="16" style="69" bestFit="1" customWidth="1"/>
    <col min="27" max="27" width="17.5703125" style="69" bestFit="1" customWidth="1"/>
    <col min="28" max="28" width="12.140625" style="69" bestFit="1" customWidth="1"/>
    <col min="29" max="29" width="8.5703125" style="69" bestFit="1" customWidth="1"/>
    <col min="30" max="30" width="15.28515625" style="69" customWidth="1"/>
    <col min="31" max="31" width="11.7109375" style="69" bestFit="1" customWidth="1"/>
    <col min="32" max="32" width="10.28515625" style="69" bestFit="1" customWidth="1"/>
    <col min="33" max="33" width="12" style="69" bestFit="1" customWidth="1"/>
    <col min="34" max="34" width="14.42578125" style="69" customWidth="1"/>
    <col min="35" max="35" width="18.5703125" style="69" bestFit="1" customWidth="1"/>
    <col min="36" max="36" width="10.7109375" style="69" bestFit="1" customWidth="1"/>
    <col min="37" max="37" width="16.42578125" style="69" bestFit="1" customWidth="1"/>
    <col min="38" max="38" width="16.140625" style="69" bestFit="1" customWidth="1"/>
    <col min="39" max="39" width="14.42578125" style="69" customWidth="1"/>
    <col min="40" max="40" width="12.28515625" style="69" customWidth="1"/>
    <col min="41" max="16384" width="9.140625" style="69"/>
  </cols>
  <sheetData>
    <row r="3" spans="1:22" ht="23.25">
      <c r="A3" s="68" t="s">
        <v>54</v>
      </c>
      <c r="U3" s="68" t="s">
        <v>54</v>
      </c>
      <c r="V3" s="68"/>
    </row>
    <row r="4" spans="1:22" s="70" customFormat="1">
      <c r="A4" s="70" t="s">
        <v>21</v>
      </c>
      <c r="B4" s="70" t="s">
        <v>22</v>
      </c>
      <c r="C4" s="70" t="s">
        <v>55</v>
      </c>
      <c r="D4" s="70" t="s">
        <v>56</v>
      </c>
      <c r="E4" s="70" t="s">
        <v>57</v>
      </c>
      <c r="F4" s="70" t="s">
        <v>58</v>
      </c>
      <c r="G4" s="70" t="s">
        <v>59</v>
      </c>
      <c r="H4" s="70" t="s">
        <v>60</v>
      </c>
      <c r="I4" s="70" t="s">
        <v>61</v>
      </c>
      <c r="J4" s="70" t="s">
        <v>52</v>
      </c>
      <c r="K4" s="70" t="s">
        <v>62</v>
      </c>
      <c r="L4" s="70" t="s">
        <v>63</v>
      </c>
      <c r="M4" s="70" t="s">
        <v>64</v>
      </c>
      <c r="S4" s="70" t="s">
        <v>21</v>
      </c>
      <c r="T4" s="70" t="s">
        <v>22</v>
      </c>
      <c r="U4" s="70" t="s">
        <v>65</v>
      </c>
    </row>
    <row r="5" spans="1:22" s="73" customFormat="1">
      <c r="A5" s="71" t="s">
        <v>78</v>
      </c>
      <c r="B5" s="72">
        <v>2.3593230360377899</v>
      </c>
      <c r="C5" s="72">
        <v>3.2949999999999999</v>
      </c>
      <c r="D5" s="73">
        <f t="shared" ref="D5:D40" si="0">WEEKDAY(A5,14)</f>
        <v>5</v>
      </c>
      <c r="E5" s="73">
        <f t="shared" ref="E5:E40" si="1">VLOOKUP(D5,P$5:Q$11,2,FALSE)</f>
        <v>0.2</v>
      </c>
      <c r="F5" s="73">
        <f t="shared" ref="F5:F40" si="2">IF(AND(D5&gt;D4,F4&lt;6),F4+1,1)</f>
        <v>1</v>
      </c>
      <c r="G5" s="73">
        <f t="shared" ref="G5:G40" si="3">IF(F5&gt;F4,G4+B5*E5,B5*E5)</f>
        <v>0.47186460720755802</v>
      </c>
      <c r="H5" s="73">
        <f t="shared" ref="H5:H40" si="4">IF(AND(F5&lt;6,F5&gt;F4),E5+H4,E5)</f>
        <v>0.2</v>
      </c>
      <c r="I5" s="73">
        <f t="shared" ref="I5:I40" si="5">IF(F5&gt;F6,G5/H5,0)</f>
        <v>0</v>
      </c>
      <c r="J5" s="72">
        <f>IF(CurrentMtgRatesDataTable811[[#This Row],[WA CC]]&lt;&gt;0,C4-CurrentMtgRatesDataTable811[[#This Row],[WA CC]],0)</f>
        <v>0</v>
      </c>
      <c r="K5" s="72" t="str">
        <f>IF(CurrentMtgRatesDataTable811[[#This Row],[Servicing Spread]]&lt;=0,K4,CurrentMtgRatesDataTable811[[#This Row],[Servicing Spread]])</f>
        <v>Servicing Spread Non-Zero</v>
      </c>
      <c r="L5" s="72" t="e">
        <f>CurrentMtgRatesDataTable811[[#This Row],[Servicing Spread Non-Zero]]-K4</f>
        <v>#VALUE!</v>
      </c>
      <c r="M5" s="72" t="e">
        <f>IF(I4&lt;&gt;0,CurrentMtgRatesDataTable811[[#This Row],[Rate]]-C4,M4)</f>
        <v>#VALUE!</v>
      </c>
      <c r="O5" s="73" t="s">
        <v>66</v>
      </c>
      <c r="P5" s="73">
        <v>5</v>
      </c>
      <c r="Q5" s="73">
        <v>0.2</v>
      </c>
      <c r="S5" s="71" t="s">
        <v>114</v>
      </c>
      <c r="T5" s="72">
        <v>3.0811413392722198</v>
      </c>
      <c r="U5" s="72" t="s">
        <v>67</v>
      </c>
    </row>
    <row r="6" spans="1:22" s="73" customFormat="1">
      <c r="A6" s="71" t="s">
        <v>79</v>
      </c>
      <c r="B6" s="6">
        <v>2.4007367882510802</v>
      </c>
      <c r="C6" s="6">
        <v>3.2949999999999999</v>
      </c>
      <c r="D6" s="73">
        <f t="shared" si="0"/>
        <v>6</v>
      </c>
      <c r="E6" s="73">
        <f t="shared" si="1"/>
        <v>0.2</v>
      </c>
      <c r="F6" s="73">
        <f t="shared" si="2"/>
        <v>2</v>
      </c>
      <c r="G6" s="73">
        <f t="shared" si="3"/>
        <v>0.95201196485777406</v>
      </c>
      <c r="H6" s="73">
        <f t="shared" si="4"/>
        <v>0.4</v>
      </c>
      <c r="I6" s="73">
        <f t="shared" si="5"/>
        <v>0</v>
      </c>
      <c r="J6" s="72">
        <f>IF(CurrentMtgRatesDataTable811[[#This Row],[WA CC]]&lt;&gt;0,C5-CurrentMtgRatesDataTable811[[#This Row],[WA CC]],0)</f>
        <v>0</v>
      </c>
      <c r="K6" s="72" t="str">
        <f>IF(CurrentMtgRatesDataTable811[[#This Row],[Servicing Spread]]&lt;=0,K5,CurrentMtgRatesDataTable811[[#This Row],[Servicing Spread]])</f>
        <v>Servicing Spread Non-Zero</v>
      </c>
      <c r="L6" s="72" t="e">
        <f>CurrentMtgRatesDataTable811[[#This Row],[Servicing Spread Non-Zero]]-K5</f>
        <v>#VALUE!</v>
      </c>
      <c r="M6" s="72" t="e">
        <f>IF(I5&lt;&gt;0,CurrentMtgRatesDataTable811[[#This Row],[Rate]]-C5,M5)</f>
        <v>#VALUE!</v>
      </c>
      <c r="O6" s="73" t="s">
        <v>68</v>
      </c>
      <c r="P6" s="73">
        <v>6</v>
      </c>
      <c r="Q6" s="73">
        <v>0.2</v>
      </c>
      <c r="S6" s="184" t="s">
        <v>115</v>
      </c>
      <c r="T6" s="176">
        <v>3.1125235634348298</v>
      </c>
      <c r="U6" s="176" t="s">
        <v>67</v>
      </c>
    </row>
    <row r="7" spans="1:22" s="73" customFormat="1">
      <c r="A7" s="71" t="s">
        <v>80</v>
      </c>
      <c r="B7" s="6">
        <v>2.4230964984502701</v>
      </c>
      <c r="C7" s="6">
        <v>3.2949999999999999</v>
      </c>
      <c r="D7" s="73">
        <f t="shared" si="0"/>
        <v>7</v>
      </c>
      <c r="E7" s="73">
        <f t="shared" si="1"/>
        <v>0.2</v>
      </c>
      <c r="F7" s="73">
        <f t="shared" si="2"/>
        <v>3</v>
      </c>
      <c r="G7" s="73">
        <f t="shared" si="3"/>
        <v>1.4366312645478281</v>
      </c>
      <c r="H7" s="73">
        <f t="shared" si="4"/>
        <v>0.60000000000000009</v>
      </c>
      <c r="I7" s="73">
        <f t="shared" si="5"/>
        <v>2.3943854409130463</v>
      </c>
      <c r="J7" s="72">
        <f>IF(CurrentMtgRatesDataTable811[[#This Row],[WA CC]]&lt;&gt;0,C6-CurrentMtgRatesDataTable811[[#This Row],[WA CC]],0)</f>
        <v>0.90061455908695365</v>
      </c>
      <c r="K7" s="72">
        <f>IF(CurrentMtgRatesDataTable811[[#This Row],[Servicing Spread]]&lt;=0,K6,CurrentMtgRatesDataTable811[[#This Row],[Servicing Spread]])</f>
        <v>0.90061455908695365</v>
      </c>
      <c r="L7" s="72" t="e">
        <f>CurrentMtgRatesDataTable811[[#This Row],[Servicing Spread Non-Zero]]-K6</f>
        <v>#VALUE!</v>
      </c>
      <c r="M7" s="72" t="e">
        <f>IF(I6&lt;&gt;0,CurrentMtgRatesDataTable811[[#This Row],[Rate]]-C6,M6)</f>
        <v>#VALUE!</v>
      </c>
      <c r="O7" s="73" t="s">
        <v>69</v>
      </c>
      <c r="P7" s="73">
        <v>7</v>
      </c>
      <c r="Q7" s="73">
        <v>0.2</v>
      </c>
      <c r="S7" s="185" t="s">
        <v>116</v>
      </c>
      <c r="T7" s="186">
        <v>3.0232721749517699</v>
      </c>
      <c r="U7" s="186" t="s">
        <v>67</v>
      </c>
    </row>
    <row r="8" spans="1:22" s="73" customFormat="1">
      <c r="A8" s="71" t="s">
        <v>81</v>
      </c>
      <c r="B8" s="6">
        <v>2.4425561319038702</v>
      </c>
      <c r="C8" s="6">
        <v>3.37</v>
      </c>
      <c r="D8" s="73">
        <f t="shared" si="0"/>
        <v>1</v>
      </c>
      <c r="E8" s="73">
        <f t="shared" si="1"/>
        <v>0.2</v>
      </c>
      <c r="F8" s="73">
        <f t="shared" si="2"/>
        <v>1</v>
      </c>
      <c r="G8" s="73">
        <f t="shared" si="3"/>
        <v>0.48851122638077404</v>
      </c>
      <c r="H8" s="73">
        <f t="shared" si="4"/>
        <v>0.2</v>
      </c>
      <c r="I8" s="73">
        <f t="shared" si="5"/>
        <v>0</v>
      </c>
      <c r="J8" s="72">
        <f>IF(CurrentMtgRatesDataTable811[[#This Row],[WA CC]]&lt;&gt;0,C7-CurrentMtgRatesDataTable811[[#This Row],[WA CC]],0)</f>
        <v>0</v>
      </c>
      <c r="K8" s="72">
        <f>IF(CurrentMtgRatesDataTable811[[#This Row],[Servicing Spread]]&lt;=0,K7,CurrentMtgRatesDataTable811[[#This Row],[Servicing Spread]])</f>
        <v>0.90061455908695365</v>
      </c>
      <c r="L8" s="72">
        <f>CurrentMtgRatesDataTable811[[#This Row],[Servicing Spread Non-Zero]]-K7</f>
        <v>0</v>
      </c>
      <c r="M8" s="72">
        <f>IF(I7&lt;&gt;0,CurrentMtgRatesDataTable811[[#This Row],[Rate]]-C7,M7)</f>
        <v>7.5000000000000178E-2</v>
      </c>
      <c r="O8" s="73" t="s">
        <v>70</v>
      </c>
      <c r="P8" s="73">
        <v>1</v>
      </c>
      <c r="Q8" s="73">
        <v>0.2</v>
      </c>
    </row>
    <row r="9" spans="1:22" s="73" customFormat="1">
      <c r="A9" s="71" t="s">
        <v>82</v>
      </c>
      <c r="B9" s="6">
        <v>2.4494735846374298</v>
      </c>
      <c r="C9" s="6">
        <v>3.37</v>
      </c>
      <c r="D9" s="73">
        <f t="shared" si="0"/>
        <v>2</v>
      </c>
      <c r="E9" s="73">
        <f t="shared" si="1"/>
        <v>0.2</v>
      </c>
      <c r="F9" s="73">
        <f t="shared" si="2"/>
        <v>2</v>
      </c>
      <c r="G9" s="73">
        <f t="shared" si="3"/>
        <v>0.97840594330826003</v>
      </c>
      <c r="H9" s="73">
        <f t="shared" si="4"/>
        <v>0.4</v>
      </c>
      <c r="I9" s="73">
        <f t="shared" si="5"/>
        <v>0</v>
      </c>
      <c r="J9" s="72">
        <f>IF(CurrentMtgRatesDataTable811[[#This Row],[WA CC]]&lt;&gt;0,C8-CurrentMtgRatesDataTable811[[#This Row],[WA CC]],0)</f>
        <v>0</v>
      </c>
      <c r="K9" s="72">
        <f>IF(CurrentMtgRatesDataTable811[[#This Row],[Servicing Spread]]&lt;=0,K8,CurrentMtgRatesDataTable811[[#This Row],[Servicing Spread]])</f>
        <v>0.90061455908695365</v>
      </c>
      <c r="L9" s="72">
        <f>CurrentMtgRatesDataTable811[[#This Row],[Servicing Spread Non-Zero]]-K8</f>
        <v>0</v>
      </c>
      <c r="M9" s="72">
        <f>IF(I8&lt;&gt;0,CurrentMtgRatesDataTable811[[#This Row],[Rate]]-C8,M8)</f>
        <v>7.5000000000000178E-2</v>
      </c>
      <c r="O9" s="73" t="s">
        <v>71</v>
      </c>
      <c r="P9" s="73">
        <v>2</v>
      </c>
      <c r="Q9" s="73">
        <v>0.2</v>
      </c>
    </row>
    <row r="10" spans="1:22" s="73" customFormat="1">
      <c r="A10" s="71" t="s">
        <v>83</v>
      </c>
      <c r="B10" s="6">
        <v>2.4735241202306701</v>
      </c>
      <c r="C10" s="6">
        <v>3.37</v>
      </c>
      <c r="D10" s="73">
        <f t="shared" si="0"/>
        <v>6</v>
      </c>
      <c r="E10" s="73">
        <f t="shared" si="1"/>
        <v>0.2</v>
      </c>
      <c r="F10" s="73">
        <f t="shared" si="2"/>
        <v>3</v>
      </c>
      <c r="G10" s="73">
        <f t="shared" si="3"/>
        <v>1.4731107673543939</v>
      </c>
      <c r="H10" s="73">
        <f t="shared" si="4"/>
        <v>0.60000000000000009</v>
      </c>
      <c r="I10" s="73">
        <f t="shared" si="5"/>
        <v>0</v>
      </c>
      <c r="J10" s="72">
        <f>IF(CurrentMtgRatesDataTable811[[#This Row],[WA CC]]&lt;&gt;0,C9-CurrentMtgRatesDataTable811[[#This Row],[WA CC]],0)</f>
        <v>0</v>
      </c>
      <c r="K10" s="72">
        <f>IF(CurrentMtgRatesDataTable811[[#This Row],[Servicing Spread]]&lt;=0,K9,CurrentMtgRatesDataTable811[[#This Row],[Servicing Spread]])</f>
        <v>0.90061455908695365</v>
      </c>
      <c r="L10" s="72">
        <f>CurrentMtgRatesDataTable811[[#This Row],[Servicing Spread Non-Zero]]-K9</f>
        <v>0</v>
      </c>
      <c r="M10" s="72">
        <f>IF(I9&lt;&gt;0,CurrentMtgRatesDataTable811[[#This Row],[Rate]]-C9,M9)</f>
        <v>7.5000000000000178E-2</v>
      </c>
      <c r="O10" s="73" t="s">
        <v>72</v>
      </c>
      <c r="P10" s="73">
        <v>3</v>
      </c>
      <c r="Q10" s="73">
        <v>0</v>
      </c>
    </row>
    <row r="11" spans="1:22" s="73" customFormat="1">
      <c r="A11" s="71" t="s">
        <v>84</v>
      </c>
      <c r="B11" s="6">
        <v>2.49089475229058</v>
      </c>
      <c r="C11" s="6">
        <v>3.37</v>
      </c>
      <c r="D11" s="73">
        <f t="shared" si="0"/>
        <v>7</v>
      </c>
      <c r="E11" s="73">
        <f t="shared" si="1"/>
        <v>0.2</v>
      </c>
      <c r="F11" s="73">
        <f t="shared" si="2"/>
        <v>4</v>
      </c>
      <c r="G11" s="73">
        <f t="shared" si="3"/>
        <v>1.9712897178125099</v>
      </c>
      <c r="H11" s="73">
        <f t="shared" si="4"/>
        <v>0.8</v>
      </c>
      <c r="I11" s="73">
        <f t="shared" si="5"/>
        <v>2.4641121472656371</v>
      </c>
      <c r="J11" s="72">
        <f>IF(CurrentMtgRatesDataTable811[[#This Row],[WA CC]]&lt;&gt;0,C10-CurrentMtgRatesDataTable811[[#This Row],[WA CC]],0)</f>
        <v>0.90588785273436301</v>
      </c>
      <c r="K11" s="72">
        <f>IF(CurrentMtgRatesDataTable811[[#This Row],[Servicing Spread]]&lt;=0,K10,CurrentMtgRatesDataTable811[[#This Row],[Servicing Spread]])</f>
        <v>0.90588785273436301</v>
      </c>
      <c r="L11" s="72">
        <f>CurrentMtgRatesDataTable811[[#This Row],[Servicing Spread Non-Zero]]-K10</f>
        <v>5.2732936474093606E-3</v>
      </c>
      <c r="M11" s="72">
        <f>IF(I10&lt;&gt;0,CurrentMtgRatesDataTable811[[#This Row],[Rate]]-C10,M10)</f>
        <v>7.5000000000000178E-2</v>
      </c>
      <c r="O11" s="73" t="s">
        <v>73</v>
      </c>
      <c r="P11" s="73">
        <v>4</v>
      </c>
      <c r="Q11" s="73">
        <v>0</v>
      </c>
    </row>
    <row r="12" spans="1:22" s="73" customFormat="1">
      <c r="A12" s="71" t="s">
        <v>85</v>
      </c>
      <c r="B12" s="6">
        <v>2.4566708605099099</v>
      </c>
      <c r="C12" s="6">
        <v>3.395</v>
      </c>
      <c r="D12" s="73">
        <f t="shared" si="0"/>
        <v>1</v>
      </c>
      <c r="E12" s="73">
        <f t="shared" si="1"/>
        <v>0.2</v>
      </c>
      <c r="F12" s="73">
        <f t="shared" si="2"/>
        <v>1</v>
      </c>
      <c r="G12" s="73">
        <f t="shared" si="3"/>
        <v>0.49133417210198199</v>
      </c>
      <c r="H12" s="73">
        <f t="shared" si="4"/>
        <v>0.2</v>
      </c>
      <c r="I12" s="73">
        <f t="shared" si="5"/>
        <v>0</v>
      </c>
      <c r="J12" s="72">
        <f>IF(CurrentMtgRatesDataTable811[[#This Row],[WA CC]]&lt;&gt;0,C11-CurrentMtgRatesDataTable811[[#This Row],[WA CC]],0)</f>
        <v>0</v>
      </c>
      <c r="K12" s="72">
        <f>IF(CurrentMtgRatesDataTable811[[#This Row],[Servicing Spread]]&lt;=0,K11,CurrentMtgRatesDataTable811[[#This Row],[Servicing Spread]])</f>
        <v>0.90588785273436301</v>
      </c>
      <c r="L12" s="72">
        <f>CurrentMtgRatesDataTable811[[#This Row],[Servicing Spread Non-Zero]]-K11</f>
        <v>0</v>
      </c>
      <c r="M12" s="72">
        <f>IF(I11&lt;&gt;0,CurrentMtgRatesDataTable811[[#This Row],[Rate]]-C11,M11)</f>
        <v>2.4999999999999911E-2</v>
      </c>
    </row>
    <row r="13" spans="1:22" s="73" customFormat="1">
      <c r="A13" s="71" t="s">
        <v>86</v>
      </c>
      <c r="B13" s="6">
        <v>2.5031538447013899</v>
      </c>
      <c r="C13" s="6">
        <v>3.395</v>
      </c>
      <c r="D13" s="73">
        <f t="shared" si="0"/>
        <v>2</v>
      </c>
      <c r="E13" s="73">
        <f t="shared" si="1"/>
        <v>0.2</v>
      </c>
      <c r="F13" s="73">
        <f t="shared" si="2"/>
        <v>2</v>
      </c>
      <c r="G13" s="73">
        <f t="shared" si="3"/>
        <v>0.99196494104225996</v>
      </c>
      <c r="H13" s="73">
        <f t="shared" si="4"/>
        <v>0.4</v>
      </c>
      <c r="I13" s="73">
        <f t="shared" si="5"/>
        <v>0</v>
      </c>
      <c r="J13" s="72">
        <f>IF(CurrentMtgRatesDataTable811[[#This Row],[WA CC]]&lt;&gt;0,C12-CurrentMtgRatesDataTable811[[#This Row],[WA CC]],0)</f>
        <v>0</v>
      </c>
      <c r="K13" s="72">
        <f>IF(CurrentMtgRatesDataTable811[[#This Row],[Servicing Spread]]&lt;=0,K12,CurrentMtgRatesDataTable811[[#This Row],[Servicing Spread]])</f>
        <v>0.90588785273436301</v>
      </c>
      <c r="L13" s="72">
        <f>CurrentMtgRatesDataTable811[[#This Row],[Servicing Spread Non-Zero]]-K12</f>
        <v>0</v>
      </c>
      <c r="M13" s="72">
        <f>IF(I12&lt;&gt;0,CurrentMtgRatesDataTable811[[#This Row],[Rate]]-C12,M12)</f>
        <v>2.4999999999999911E-2</v>
      </c>
    </row>
    <row r="14" spans="1:22" s="73" customFormat="1">
      <c r="A14" s="71" t="s">
        <v>87</v>
      </c>
      <c r="B14" s="6">
        <v>2.48665049817154</v>
      </c>
      <c r="C14" s="6">
        <v>3.395</v>
      </c>
      <c r="D14" s="73">
        <f t="shared" si="0"/>
        <v>5</v>
      </c>
      <c r="E14" s="73">
        <f t="shared" si="1"/>
        <v>0.2</v>
      </c>
      <c r="F14" s="73">
        <f t="shared" si="2"/>
        <v>3</v>
      </c>
      <c r="G14" s="73">
        <f t="shared" si="3"/>
        <v>1.4892950406765679</v>
      </c>
      <c r="H14" s="73">
        <f t="shared" si="4"/>
        <v>0.60000000000000009</v>
      </c>
      <c r="I14" s="73">
        <f t="shared" si="5"/>
        <v>0</v>
      </c>
      <c r="J14" s="72">
        <f>IF(CurrentMtgRatesDataTable811[[#This Row],[WA CC]]&lt;&gt;0,C13-CurrentMtgRatesDataTable811[[#This Row],[WA CC]],0)</f>
        <v>0</v>
      </c>
      <c r="K14" s="72">
        <f>IF(CurrentMtgRatesDataTable811[[#This Row],[Servicing Spread]]&lt;=0,K13,CurrentMtgRatesDataTable811[[#This Row],[Servicing Spread]])</f>
        <v>0.90588785273436301</v>
      </c>
      <c r="L14" s="72">
        <f>CurrentMtgRatesDataTable811[[#This Row],[Servicing Spread Non-Zero]]-K13</f>
        <v>0</v>
      </c>
      <c r="M14" s="72">
        <f>IF(I13&lt;&gt;0,CurrentMtgRatesDataTable811[[#This Row],[Rate]]-C13,M13)</f>
        <v>2.4999999999999911E-2</v>
      </c>
    </row>
    <row r="15" spans="1:22" s="73" customFormat="1">
      <c r="A15" s="71" t="s">
        <v>88</v>
      </c>
      <c r="B15" s="6">
        <v>2.46551867128733</v>
      </c>
      <c r="C15" s="6">
        <v>3.395</v>
      </c>
      <c r="D15" s="73">
        <f t="shared" si="0"/>
        <v>6</v>
      </c>
      <c r="E15" s="73">
        <f t="shared" si="1"/>
        <v>0.2</v>
      </c>
      <c r="F15" s="73">
        <f t="shared" si="2"/>
        <v>4</v>
      </c>
      <c r="G15" s="73">
        <f t="shared" si="3"/>
        <v>1.9823987749340339</v>
      </c>
      <c r="H15" s="73">
        <f t="shared" si="4"/>
        <v>0.8</v>
      </c>
      <c r="I15" s="73">
        <f t="shared" si="5"/>
        <v>0</v>
      </c>
      <c r="J15" s="72">
        <f>IF(CurrentMtgRatesDataTable811[[#This Row],[WA CC]]&lt;&gt;0,C14-CurrentMtgRatesDataTable811[[#This Row],[WA CC]],0)</f>
        <v>0</v>
      </c>
      <c r="K15" s="72">
        <f>IF(CurrentMtgRatesDataTable811[[#This Row],[Servicing Spread]]&lt;=0,K14,CurrentMtgRatesDataTable811[[#This Row],[Servicing Spread]])</f>
        <v>0.90588785273436301</v>
      </c>
      <c r="L15" s="72">
        <f>CurrentMtgRatesDataTable811[[#This Row],[Servicing Spread Non-Zero]]-K14</f>
        <v>0</v>
      </c>
      <c r="M15" s="72">
        <f>IF(I14&lt;&gt;0,CurrentMtgRatesDataTable811[[#This Row],[Rate]]-C14,M14)</f>
        <v>2.4999999999999911E-2</v>
      </c>
    </row>
    <row r="16" spans="1:22" s="73" customFormat="1">
      <c r="A16" s="71" t="s">
        <v>89</v>
      </c>
      <c r="B16" s="6">
        <v>2.4639577006004401</v>
      </c>
      <c r="C16" s="6">
        <v>3.395</v>
      </c>
      <c r="D16" s="73">
        <f t="shared" si="0"/>
        <v>7</v>
      </c>
      <c r="E16" s="73">
        <f t="shared" si="1"/>
        <v>0.2</v>
      </c>
      <c r="F16" s="73">
        <f t="shared" si="2"/>
        <v>5</v>
      </c>
      <c r="G16" s="73">
        <f t="shared" si="3"/>
        <v>2.4751903150541219</v>
      </c>
      <c r="H16" s="73">
        <f t="shared" si="4"/>
        <v>1</v>
      </c>
      <c r="I16" s="73">
        <f t="shared" si="5"/>
        <v>2.4751903150541219</v>
      </c>
      <c r="J16" s="72">
        <f>IF(CurrentMtgRatesDataTable811[[#This Row],[WA CC]]&lt;&gt;0,C15-CurrentMtgRatesDataTable811[[#This Row],[WA CC]],0)</f>
        <v>0.91980968494587811</v>
      </c>
      <c r="K16" s="72">
        <f>IF(CurrentMtgRatesDataTable811[[#This Row],[Servicing Spread]]&lt;=0,K15,CurrentMtgRatesDataTable811[[#This Row],[Servicing Spread]])</f>
        <v>0.91980968494587811</v>
      </c>
      <c r="L16" s="72">
        <f>CurrentMtgRatesDataTable811[[#This Row],[Servicing Spread Non-Zero]]-K15</f>
        <v>1.3921832211515106E-2</v>
      </c>
      <c r="M16" s="72">
        <f>IF(I15&lt;&gt;0,CurrentMtgRatesDataTable811[[#This Row],[Rate]]-C15,M15)</f>
        <v>2.4999999999999911E-2</v>
      </c>
    </row>
    <row r="17" spans="1:13" s="73" customFormat="1">
      <c r="A17" s="71" t="s">
        <v>90</v>
      </c>
      <c r="B17" s="6">
        <v>2.45827138639036</v>
      </c>
      <c r="C17" s="6">
        <v>3.37</v>
      </c>
      <c r="D17" s="73">
        <f t="shared" si="0"/>
        <v>1</v>
      </c>
      <c r="E17" s="73">
        <f t="shared" si="1"/>
        <v>0.2</v>
      </c>
      <c r="F17" s="73">
        <f t="shared" si="2"/>
        <v>1</v>
      </c>
      <c r="G17" s="73">
        <f t="shared" si="3"/>
        <v>0.49165427727807204</v>
      </c>
      <c r="H17" s="73">
        <f t="shared" si="4"/>
        <v>0.2</v>
      </c>
      <c r="I17" s="73">
        <f t="shared" si="5"/>
        <v>0</v>
      </c>
      <c r="J17" s="72">
        <f>IF(CurrentMtgRatesDataTable811[[#This Row],[WA CC]]&lt;&gt;0,C16-CurrentMtgRatesDataTable811[[#This Row],[WA CC]],0)</f>
        <v>0</v>
      </c>
      <c r="K17" s="72">
        <f>IF(CurrentMtgRatesDataTable811[[#This Row],[Servicing Spread]]&lt;=0,K16,CurrentMtgRatesDataTable811[[#This Row],[Servicing Spread]])</f>
        <v>0.91980968494587811</v>
      </c>
      <c r="L17" s="72">
        <f>CurrentMtgRatesDataTable811[[#This Row],[Servicing Spread Non-Zero]]-K16</f>
        <v>0</v>
      </c>
      <c r="M17" s="72">
        <f>IF(I16&lt;&gt;0,CurrentMtgRatesDataTable811[[#This Row],[Rate]]-C16,M16)</f>
        <v>-2.4999999999999911E-2</v>
      </c>
    </row>
    <row r="18" spans="1:13" s="73" customFormat="1">
      <c r="A18" s="71" t="s">
        <v>91</v>
      </c>
      <c r="B18" s="6">
        <v>2.4486777045586599</v>
      </c>
      <c r="C18" s="6">
        <v>3.37</v>
      </c>
      <c r="D18" s="73">
        <f t="shared" si="0"/>
        <v>2</v>
      </c>
      <c r="E18" s="73">
        <f t="shared" si="1"/>
        <v>0.2</v>
      </c>
      <c r="F18" s="73">
        <f t="shared" si="2"/>
        <v>2</v>
      </c>
      <c r="G18" s="73">
        <f t="shared" si="3"/>
        <v>0.98138981818980398</v>
      </c>
      <c r="H18" s="73">
        <f t="shared" si="4"/>
        <v>0.4</v>
      </c>
      <c r="I18" s="73">
        <f t="shared" si="5"/>
        <v>0</v>
      </c>
      <c r="J18" s="72">
        <f>IF(CurrentMtgRatesDataTable811[[#This Row],[WA CC]]&lt;&gt;0,C17-CurrentMtgRatesDataTable811[[#This Row],[WA CC]],0)</f>
        <v>0</v>
      </c>
      <c r="K18" s="72">
        <f>IF(CurrentMtgRatesDataTable811[[#This Row],[Servicing Spread]]&lt;=0,K17,CurrentMtgRatesDataTable811[[#This Row],[Servicing Spread]])</f>
        <v>0.91980968494587811</v>
      </c>
      <c r="L18" s="72">
        <f>CurrentMtgRatesDataTable811[[#This Row],[Servicing Spread Non-Zero]]-K17</f>
        <v>0</v>
      </c>
      <c r="M18" s="72">
        <f>IF(I17&lt;&gt;0,CurrentMtgRatesDataTable811[[#This Row],[Rate]]-C17,M17)</f>
        <v>-2.4999999999999911E-2</v>
      </c>
    </row>
    <row r="19" spans="1:13" s="73" customFormat="1">
      <c r="A19" s="71" t="s">
        <v>92</v>
      </c>
      <c r="B19" s="6">
        <v>2.46526496945889</v>
      </c>
      <c r="C19" s="6">
        <v>3.37</v>
      </c>
      <c r="D19" s="73">
        <f t="shared" si="0"/>
        <v>5</v>
      </c>
      <c r="E19" s="73">
        <f t="shared" si="1"/>
        <v>0.2</v>
      </c>
      <c r="F19" s="73">
        <f t="shared" si="2"/>
        <v>3</v>
      </c>
      <c r="G19" s="73">
        <f t="shared" si="3"/>
        <v>1.474442812081582</v>
      </c>
      <c r="H19" s="73">
        <f t="shared" si="4"/>
        <v>0.60000000000000009</v>
      </c>
      <c r="I19" s="73">
        <f t="shared" si="5"/>
        <v>0</v>
      </c>
      <c r="J19" s="72">
        <f>IF(CurrentMtgRatesDataTable811[[#This Row],[WA CC]]&lt;&gt;0,C18-CurrentMtgRatesDataTable811[[#This Row],[WA CC]],0)</f>
        <v>0</v>
      </c>
      <c r="K19" s="72">
        <f>IF(CurrentMtgRatesDataTable811[[#This Row],[Servicing Spread]]&lt;=0,K18,CurrentMtgRatesDataTable811[[#This Row],[Servicing Spread]])</f>
        <v>0.91980968494587811</v>
      </c>
      <c r="L19" s="72">
        <f>CurrentMtgRatesDataTable811[[#This Row],[Servicing Spread Non-Zero]]-K18</f>
        <v>0</v>
      </c>
      <c r="M19" s="72">
        <f>IF(I18&lt;&gt;0,CurrentMtgRatesDataTable811[[#This Row],[Rate]]-C18,M18)</f>
        <v>-2.4999999999999911E-2</v>
      </c>
    </row>
    <row r="20" spans="1:13" s="73" customFormat="1">
      <c r="A20" s="71" t="s">
        <v>93</v>
      </c>
      <c r="B20" s="6">
        <v>2.4661306434007502</v>
      </c>
      <c r="C20" s="6">
        <v>3.37</v>
      </c>
      <c r="D20" s="73">
        <f t="shared" si="0"/>
        <v>6</v>
      </c>
      <c r="E20" s="73">
        <f t="shared" si="1"/>
        <v>0.2</v>
      </c>
      <c r="F20" s="73">
        <f t="shared" si="2"/>
        <v>4</v>
      </c>
      <c r="G20" s="73">
        <f t="shared" si="3"/>
        <v>1.967668940761732</v>
      </c>
      <c r="H20" s="73">
        <f t="shared" si="4"/>
        <v>0.8</v>
      </c>
      <c r="I20" s="73">
        <f t="shared" si="5"/>
        <v>0</v>
      </c>
      <c r="J20" s="72">
        <f>IF(CurrentMtgRatesDataTable811[[#This Row],[WA CC]]&lt;&gt;0,C19-CurrentMtgRatesDataTable811[[#This Row],[WA CC]],0)</f>
        <v>0</v>
      </c>
      <c r="K20" s="72">
        <f>IF(CurrentMtgRatesDataTable811[[#This Row],[Servicing Spread]]&lt;=0,K19,CurrentMtgRatesDataTable811[[#This Row],[Servicing Spread]])</f>
        <v>0.91980968494587811</v>
      </c>
      <c r="L20" s="72">
        <f>CurrentMtgRatesDataTable811[[#This Row],[Servicing Spread Non-Zero]]-K19</f>
        <v>0</v>
      </c>
      <c r="M20" s="72">
        <f>IF(I19&lt;&gt;0,CurrentMtgRatesDataTable811[[#This Row],[Rate]]-C19,M19)</f>
        <v>-2.4999999999999911E-2</v>
      </c>
    </row>
    <row r="21" spans="1:13" s="73" customFormat="1">
      <c r="A21" s="71" t="s">
        <v>94</v>
      </c>
      <c r="B21" s="6">
        <v>2.4860574973773799</v>
      </c>
      <c r="C21" s="6">
        <v>3.37</v>
      </c>
      <c r="D21" s="73">
        <f t="shared" si="0"/>
        <v>7</v>
      </c>
      <c r="E21" s="73">
        <f t="shared" si="1"/>
        <v>0.2</v>
      </c>
      <c r="F21" s="73">
        <f t="shared" si="2"/>
        <v>5</v>
      </c>
      <c r="G21" s="73">
        <f t="shared" si="3"/>
        <v>2.464880440237208</v>
      </c>
      <c r="H21" s="73">
        <f t="shared" si="4"/>
        <v>1</v>
      </c>
      <c r="I21" s="73">
        <f t="shared" si="5"/>
        <v>2.464880440237208</v>
      </c>
      <c r="J21" s="72">
        <f>IF(CurrentMtgRatesDataTable811[[#This Row],[WA CC]]&lt;&gt;0,C20-CurrentMtgRatesDataTable811[[#This Row],[WA CC]],0)</f>
        <v>0.90511955976279213</v>
      </c>
      <c r="K21" s="72">
        <f>IF(CurrentMtgRatesDataTable811[[#This Row],[Servicing Spread]]&lt;=0,K20,CurrentMtgRatesDataTable811[[#This Row],[Servicing Spread]])</f>
        <v>0.90511955976279213</v>
      </c>
      <c r="L21" s="72">
        <f>CurrentMtgRatesDataTable811[[#This Row],[Servicing Spread Non-Zero]]-K20</f>
        <v>-1.4690125183085989E-2</v>
      </c>
      <c r="M21" s="72">
        <f>IF(I20&lt;&gt;0,CurrentMtgRatesDataTable811[[#This Row],[Rate]]-C20,M20)</f>
        <v>-2.4999999999999911E-2</v>
      </c>
    </row>
    <row r="22" spans="1:13" s="73" customFormat="1">
      <c r="A22" s="181" t="s">
        <v>95</v>
      </c>
      <c r="B22" s="182">
        <v>2.5299104688545802</v>
      </c>
      <c r="C22" s="183">
        <v>3.415</v>
      </c>
      <c r="D22" s="176">
        <f t="shared" si="0"/>
        <v>1</v>
      </c>
      <c r="E22" s="176">
        <f t="shared" si="1"/>
        <v>0.2</v>
      </c>
      <c r="F22" s="176">
        <f t="shared" si="2"/>
        <v>1</v>
      </c>
      <c r="G22" s="176">
        <f t="shared" si="3"/>
        <v>0.50598209377091607</v>
      </c>
      <c r="H22" s="176">
        <f t="shared" si="4"/>
        <v>0.2</v>
      </c>
      <c r="I22" s="176">
        <f t="shared" si="5"/>
        <v>0</v>
      </c>
      <c r="J22" s="176">
        <f>IF(CurrentMtgRatesDataTable811[[#This Row],[WA CC]]&lt;&gt;0,C21-CurrentMtgRatesDataTable811[[#This Row],[WA CC]],0)</f>
        <v>0</v>
      </c>
      <c r="K22" s="176">
        <f>IF(CurrentMtgRatesDataTable811[[#This Row],[Servicing Spread]]&lt;=0,K21,CurrentMtgRatesDataTable811[[#This Row],[Servicing Spread]])</f>
        <v>0.90511955976279213</v>
      </c>
      <c r="L22" s="176">
        <f>CurrentMtgRatesDataTable811[[#This Row],[Servicing Spread Non-Zero]]-K21</f>
        <v>0</v>
      </c>
      <c r="M22" s="176">
        <f>IF(I21&lt;&gt;0,CurrentMtgRatesDataTable811[[#This Row],[Rate]]-C21,M21)</f>
        <v>4.4999999999999929E-2</v>
      </c>
    </row>
    <row r="23" spans="1:13" s="73" customFormat="1">
      <c r="A23" s="181" t="s">
        <v>96</v>
      </c>
      <c r="B23" s="182">
        <v>2.53316437266355</v>
      </c>
      <c r="C23" s="183">
        <v>3.415</v>
      </c>
      <c r="D23" s="176">
        <f t="shared" si="0"/>
        <v>2</v>
      </c>
      <c r="E23" s="176">
        <f t="shared" si="1"/>
        <v>0.2</v>
      </c>
      <c r="F23" s="176">
        <f t="shared" si="2"/>
        <v>2</v>
      </c>
      <c r="G23" s="176">
        <f t="shared" si="3"/>
        <v>1.0126149683036261</v>
      </c>
      <c r="H23" s="176">
        <f t="shared" si="4"/>
        <v>0.4</v>
      </c>
      <c r="I23" s="176">
        <f t="shared" si="5"/>
        <v>0</v>
      </c>
      <c r="J23" s="176">
        <f>IF(CurrentMtgRatesDataTable811[[#This Row],[WA CC]]&lt;&gt;0,C22-CurrentMtgRatesDataTable811[[#This Row],[WA CC]],0)</f>
        <v>0</v>
      </c>
      <c r="K23" s="176">
        <f>IF(CurrentMtgRatesDataTable811[[#This Row],[Servicing Spread]]&lt;=0,K22,CurrentMtgRatesDataTable811[[#This Row],[Servicing Spread]])</f>
        <v>0.90511955976279213</v>
      </c>
      <c r="L23" s="176">
        <f>CurrentMtgRatesDataTable811[[#This Row],[Servicing Spread Non-Zero]]-K22</f>
        <v>0</v>
      </c>
      <c r="M23" s="176">
        <f>IF(I22&lt;&gt;0,CurrentMtgRatesDataTable811[[#This Row],[Rate]]-C22,M22)</f>
        <v>4.4999999999999929E-2</v>
      </c>
    </row>
    <row r="24" spans="1:13" s="73" customFormat="1">
      <c r="A24" s="181" t="s">
        <v>97</v>
      </c>
      <c r="B24" s="182">
        <v>2.5336094696522</v>
      </c>
      <c r="C24" s="183">
        <v>3.415</v>
      </c>
      <c r="D24" s="176">
        <f t="shared" si="0"/>
        <v>5</v>
      </c>
      <c r="E24" s="176">
        <f t="shared" si="1"/>
        <v>0.2</v>
      </c>
      <c r="F24" s="176">
        <f t="shared" si="2"/>
        <v>3</v>
      </c>
      <c r="G24" s="176">
        <f t="shared" si="3"/>
        <v>1.5193368622340659</v>
      </c>
      <c r="H24" s="176">
        <f t="shared" si="4"/>
        <v>0.60000000000000009</v>
      </c>
      <c r="I24" s="176">
        <f t="shared" si="5"/>
        <v>0</v>
      </c>
      <c r="J24" s="176">
        <f>IF(CurrentMtgRatesDataTable811[[#This Row],[WA CC]]&lt;&gt;0,C23-CurrentMtgRatesDataTable811[[#This Row],[WA CC]],0)</f>
        <v>0</v>
      </c>
      <c r="K24" s="176">
        <f>IF(CurrentMtgRatesDataTable811[[#This Row],[Servicing Spread]]&lt;=0,K23,CurrentMtgRatesDataTable811[[#This Row],[Servicing Spread]])</f>
        <v>0.90511955976279213</v>
      </c>
      <c r="L24" s="176">
        <f>CurrentMtgRatesDataTable811[[#This Row],[Servicing Spread Non-Zero]]-K23</f>
        <v>0</v>
      </c>
      <c r="M24" s="176">
        <f>IF(I23&lt;&gt;0,CurrentMtgRatesDataTable811[[#This Row],[Rate]]-C23,M23)</f>
        <v>4.4999999999999929E-2</v>
      </c>
    </row>
    <row r="25" spans="1:13" s="73" customFormat="1">
      <c r="A25" s="181" t="s">
        <v>99</v>
      </c>
      <c r="B25" s="182">
        <v>2.5296440225789101</v>
      </c>
      <c r="C25" s="183">
        <v>3.415</v>
      </c>
      <c r="D25" s="176">
        <f t="shared" si="0"/>
        <v>6</v>
      </c>
      <c r="E25" s="176">
        <f t="shared" si="1"/>
        <v>0.2</v>
      </c>
      <c r="F25" s="176">
        <f t="shared" si="2"/>
        <v>4</v>
      </c>
      <c r="G25" s="176">
        <f t="shared" si="3"/>
        <v>2.0252656667498479</v>
      </c>
      <c r="H25" s="176">
        <f t="shared" si="4"/>
        <v>0.8</v>
      </c>
      <c r="I25" s="176">
        <f t="shared" si="5"/>
        <v>0</v>
      </c>
      <c r="J25" s="176">
        <f>IF(CurrentMtgRatesDataTable811[[#This Row],[WA CC]]&lt;&gt;0,C24-CurrentMtgRatesDataTable811[[#This Row],[WA CC]],0)</f>
        <v>0</v>
      </c>
      <c r="K25" s="176">
        <f>IF(CurrentMtgRatesDataTable811[[#This Row],[Servicing Spread]]&lt;=0,K24,CurrentMtgRatesDataTable811[[#This Row],[Servicing Spread]])</f>
        <v>0.90511955976279213</v>
      </c>
      <c r="L25" s="176">
        <f>CurrentMtgRatesDataTable811[[#This Row],[Servicing Spread Non-Zero]]-K24</f>
        <v>0</v>
      </c>
      <c r="M25" s="176">
        <f>IF(I24&lt;&gt;0,CurrentMtgRatesDataTable811[[#This Row],[Rate]]-C24,M24)</f>
        <v>4.4999999999999929E-2</v>
      </c>
    </row>
    <row r="26" spans="1:13" s="73" customFormat="1">
      <c r="A26" s="181" t="s">
        <v>100</v>
      </c>
      <c r="B26" s="182">
        <v>2.52426864553397</v>
      </c>
      <c r="C26" s="183">
        <v>3.415</v>
      </c>
      <c r="D26" s="176">
        <f t="shared" si="0"/>
        <v>7</v>
      </c>
      <c r="E26" s="176">
        <f t="shared" si="1"/>
        <v>0.2</v>
      </c>
      <c r="F26" s="176">
        <f t="shared" si="2"/>
        <v>5</v>
      </c>
      <c r="G26" s="176">
        <f t="shared" si="3"/>
        <v>2.5301193958566417</v>
      </c>
      <c r="H26" s="176">
        <f t="shared" si="4"/>
        <v>1</v>
      </c>
      <c r="I26" s="176">
        <f t="shared" si="5"/>
        <v>2.5301193958566417</v>
      </c>
      <c r="J26" s="176">
        <f>IF(CurrentMtgRatesDataTable811[[#This Row],[WA CC]]&lt;&gt;0,C25-CurrentMtgRatesDataTable811[[#This Row],[WA CC]],0)</f>
        <v>0.88488060414335834</v>
      </c>
      <c r="K26" s="176">
        <f>IF(CurrentMtgRatesDataTable811[[#This Row],[Servicing Spread]]&lt;=0,K25,CurrentMtgRatesDataTable811[[#This Row],[Servicing Spread]])</f>
        <v>0.88488060414335834</v>
      </c>
      <c r="L26" s="176">
        <f>CurrentMtgRatesDataTable811[[#This Row],[Servicing Spread Non-Zero]]-K25</f>
        <v>-2.0238955619433785E-2</v>
      </c>
      <c r="M26" s="176">
        <f>IF(I25&lt;&gt;0,CurrentMtgRatesDataTable811[[#This Row],[Rate]]-C25,M25)</f>
        <v>4.4999999999999929E-2</v>
      </c>
    </row>
    <row r="27" spans="1:13" s="73" customFormat="1">
      <c r="A27" s="181" t="s">
        <v>101</v>
      </c>
      <c r="B27" s="182">
        <v>2.53251832650023</v>
      </c>
      <c r="C27" s="183">
        <v>3.4449999999999998</v>
      </c>
      <c r="D27" s="176">
        <f t="shared" si="0"/>
        <v>1</v>
      </c>
      <c r="E27" s="176">
        <f t="shared" si="1"/>
        <v>0.2</v>
      </c>
      <c r="F27" s="176">
        <f t="shared" si="2"/>
        <v>1</v>
      </c>
      <c r="G27" s="176">
        <f t="shared" si="3"/>
        <v>0.50650366530004598</v>
      </c>
      <c r="H27" s="176">
        <f t="shared" si="4"/>
        <v>0.2</v>
      </c>
      <c r="I27" s="176">
        <f t="shared" si="5"/>
        <v>0</v>
      </c>
      <c r="J27" s="176">
        <f>IF(CurrentMtgRatesDataTable811[[#This Row],[WA CC]]&lt;&gt;0,C26-CurrentMtgRatesDataTable811[[#This Row],[WA CC]],0)</f>
        <v>0</v>
      </c>
      <c r="K27" s="176">
        <f>IF(CurrentMtgRatesDataTable811[[#This Row],[Servicing Spread]]&lt;=0,K26,CurrentMtgRatesDataTable811[[#This Row],[Servicing Spread]])</f>
        <v>0.88488060414335834</v>
      </c>
      <c r="L27" s="176">
        <f>CurrentMtgRatesDataTable811[[#This Row],[Servicing Spread Non-Zero]]-K26</f>
        <v>0</v>
      </c>
      <c r="M27" s="176">
        <f>IF(I26&lt;&gt;0,CurrentMtgRatesDataTable811[[#This Row],[Rate]]-C26,M26)</f>
        <v>2.9999999999999805E-2</v>
      </c>
    </row>
    <row r="28" spans="1:13" s="73" customFormat="1">
      <c r="A28" s="181" t="s">
        <v>102</v>
      </c>
      <c r="B28" s="182">
        <v>2.5169810735830902</v>
      </c>
      <c r="C28" s="183">
        <v>3.4449999999999998</v>
      </c>
      <c r="D28" s="176">
        <f t="shared" si="0"/>
        <v>2</v>
      </c>
      <c r="E28" s="176">
        <f t="shared" si="1"/>
        <v>0.2</v>
      </c>
      <c r="F28" s="176">
        <f t="shared" si="2"/>
        <v>2</v>
      </c>
      <c r="G28" s="176">
        <f t="shared" si="3"/>
        <v>1.0098998800166641</v>
      </c>
      <c r="H28" s="176">
        <f t="shared" si="4"/>
        <v>0.4</v>
      </c>
      <c r="I28" s="176">
        <f t="shared" si="5"/>
        <v>0</v>
      </c>
      <c r="J28" s="176">
        <f>IF(CurrentMtgRatesDataTable811[[#This Row],[WA CC]]&lt;&gt;0,C27-CurrentMtgRatesDataTable811[[#This Row],[WA CC]],0)</f>
        <v>0</v>
      </c>
      <c r="K28" s="176">
        <f>IF(CurrentMtgRatesDataTable811[[#This Row],[Servicing Spread]]&lt;=0,K27,CurrentMtgRatesDataTable811[[#This Row],[Servicing Spread]])</f>
        <v>0.88488060414335834</v>
      </c>
      <c r="L28" s="176">
        <f>CurrentMtgRatesDataTable811[[#This Row],[Servicing Spread Non-Zero]]-K27</f>
        <v>0</v>
      </c>
      <c r="M28" s="176">
        <f>IF(I27&lt;&gt;0,CurrentMtgRatesDataTable811[[#This Row],[Rate]]-C27,M27)</f>
        <v>2.9999999999999805E-2</v>
      </c>
    </row>
    <row r="29" spans="1:13" s="73" customFormat="1">
      <c r="A29" s="181" t="s">
        <v>103</v>
      </c>
      <c r="B29" s="182">
        <v>2.5437510721177499</v>
      </c>
      <c r="C29" s="183">
        <v>3.4449999999999998</v>
      </c>
      <c r="D29" s="176">
        <f t="shared" si="0"/>
        <v>5</v>
      </c>
      <c r="E29" s="176">
        <f t="shared" si="1"/>
        <v>0.2</v>
      </c>
      <c r="F29" s="176">
        <f t="shared" si="2"/>
        <v>3</v>
      </c>
      <c r="G29" s="176">
        <f t="shared" si="3"/>
        <v>1.5186500944402139</v>
      </c>
      <c r="H29" s="176">
        <f t="shared" si="4"/>
        <v>0.60000000000000009</v>
      </c>
      <c r="I29" s="176">
        <f t="shared" si="5"/>
        <v>0</v>
      </c>
      <c r="J29" s="176">
        <f>IF(CurrentMtgRatesDataTable811[[#This Row],[WA CC]]&lt;&gt;0,C28-CurrentMtgRatesDataTable811[[#This Row],[WA CC]],0)</f>
        <v>0</v>
      </c>
      <c r="K29" s="176">
        <f>IF(CurrentMtgRatesDataTable811[[#This Row],[Servicing Spread]]&lt;=0,K28,CurrentMtgRatesDataTable811[[#This Row],[Servicing Spread]])</f>
        <v>0.88488060414335834</v>
      </c>
      <c r="L29" s="176">
        <f>CurrentMtgRatesDataTable811[[#This Row],[Servicing Spread Non-Zero]]-K28</f>
        <v>0</v>
      </c>
      <c r="M29" s="176">
        <f>IF(I28&lt;&gt;0,CurrentMtgRatesDataTable811[[#This Row],[Rate]]-C28,M28)</f>
        <v>2.9999999999999805E-2</v>
      </c>
    </row>
    <row r="30" spans="1:13" s="73" customFormat="1">
      <c r="A30" s="181" t="s">
        <v>104</v>
      </c>
      <c r="B30" s="182">
        <v>2.5815492501069399</v>
      </c>
      <c r="C30" s="183">
        <v>3.4449999999999998</v>
      </c>
      <c r="D30" s="176">
        <f t="shared" si="0"/>
        <v>6</v>
      </c>
      <c r="E30" s="176">
        <f t="shared" si="1"/>
        <v>0.2</v>
      </c>
      <c r="F30" s="176">
        <f t="shared" si="2"/>
        <v>4</v>
      </c>
      <c r="G30" s="176">
        <f t="shared" si="3"/>
        <v>2.034959944461602</v>
      </c>
      <c r="H30" s="176">
        <f t="shared" si="4"/>
        <v>0.8</v>
      </c>
      <c r="I30" s="176">
        <f t="shared" si="5"/>
        <v>0</v>
      </c>
      <c r="J30" s="176">
        <f>IF(CurrentMtgRatesDataTable811[[#This Row],[WA CC]]&lt;&gt;0,C29-CurrentMtgRatesDataTable811[[#This Row],[WA CC]],0)</f>
        <v>0</v>
      </c>
      <c r="K30" s="176">
        <f>IF(CurrentMtgRatesDataTable811[[#This Row],[Servicing Spread]]&lt;=0,K29,CurrentMtgRatesDataTable811[[#This Row],[Servicing Spread]])</f>
        <v>0.88488060414335834</v>
      </c>
      <c r="L30" s="176">
        <f>CurrentMtgRatesDataTable811[[#This Row],[Servicing Spread Non-Zero]]-K29</f>
        <v>0</v>
      </c>
      <c r="M30" s="176">
        <f>IF(I29&lt;&gt;0,CurrentMtgRatesDataTable811[[#This Row],[Rate]]-C29,M29)</f>
        <v>2.9999999999999805E-2</v>
      </c>
    </row>
    <row r="31" spans="1:13" s="73" customFormat="1">
      <c r="A31" s="181" t="s">
        <v>105</v>
      </c>
      <c r="B31" s="182">
        <v>2.7578334689679198</v>
      </c>
      <c r="C31" s="183">
        <v>3.4449999999999998</v>
      </c>
      <c r="D31" s="176">
        <f t="shared" si="0"/>
        <v>7</v>
      </c>
      <c r="E31" s="176">
        <f t="shared" si="1"/>
        <v>0.2</v>
      </c>
      <c r="F31" s="176">
        <f t="shared" si="2"/>
        <v>5</v>
      </c>
      <c r="G31" s="176">
        <f t="shared" si="3"/>
        <v>2.5865266382551861</v>
      </c>
      <c r="H31" s="176">
        <f t="shared" si="4"/>
        <v>1</v>
      </c>
      <c r="I31" s="176">
        <f t="shared" si="5"/>
        <v>2.5865266382551861</v>
      </c>
      <c r="J31" s="176">
        <f>IF(CurrentMtgRatesDataTable811[[#This Row],[WA CC]]&lt;&gt;0,C30-CurrentMtgRatesDataTable811[[#This Row],[WA CC]],0)</f>
        <v>0.8584733617448137</v>
      </c>
      <c r="K31" s="176">
        <f>IF(CurrentMtgRatesDataTable811[[#This Row],[Servicing Spread]]&lt;=0,K30,CurrentMtgRatesDataTable811[[#This Row],[Servicing Spread]])</f>
        <v>0.8584733617448137</v>
      </c>
      <c r="L31" s="176">
        <f>CurrentMtgRatesDataTable811[[#This Row],[Servicing Spread Non-Zero]]-K30</f>
        <v>-2.6407242398544639E-2</v>
      </c>
      <c r="M31" s="176">
        <f>IF(I30&lt;&gt;0,CurrentMtgRatesDataTable811[[#This Row],[Rate]]-C30,M30)</f>
        <v>2.9999999999999805E-2</v>
      </c>
    </row>
    <row r="32" spans="1:13" s="73" customFormat="1">
      <c r="A32" s="181" t="s">
        <v>106</v>
      </c>
      <c r="B32" s="182">
        <v>2.8203429128505602</v>
      </c>
      <c r="C32" s="183">
        <v>3.8149999999999999</v>
      </c>
      <c r="D32" s="176">
        <f t="shared" si="0"/>
        <v>1</v>
      </c>
      <c r="E32" s="176">
        <f t="shared" si="1"/>
        <v>0.2</v>
      </c>
      <c r="F32" s="176">
        <f t="shared" si="2"/>
        <v>1</v>
      </c>
      <c r="G32" s="176">
        <f t="shared" si="3"/>
        <v>0.56406858257011205</v>
      </c>
      <c r="H32" s="176">
        <f t="shared" si="4"/>
        <v>0.2</v>
      </c>
      <c r="I32" s="176">
        <f t="shared" si="5"/>
        <v>0</v>
      </c>
      <c r="J32" s="176">
        <f>IF(CurrentMtgRatesDataTable811[[#This Row],[WA CC]]&lt;&gt;0,C31-CurrentMtgRatesDataTable811[[#This Row],[WA CC]],0)</f>
        <v>0</v>
      </c>
      <c r="K32" s="176">
        <f>IF(CurrentMtgRatesDataTable811[[#This Row],[Servicing Spread]]&lt;=0,K31,CurrentMtgRatesDataTable811[[#This Row],[Servicing Spread]])</f>
        <v>0.8584733617448137</v>
      </c>
      <c r="L32" s="176">
        <f>CurrentMtgRatesDataTable811[[#This Row],[Servicing Spread Non-Zero]]-K31</f>
        <v>0</v>
      </c>
      <c r="M32" s="176">
        <f>IF(I31&lt;&gt;0,CurrentMtgRatesDataTable811[[#This Row],[Rate]]-C31,M31)</f>
        <v>0.37000000000000011</v>
      </c>
    </row>
    <row r="33" spans="1:22" s="73" customFormat="1">
      <c r="A33" s="181" t="s">
        <v>107</v>
      </c>
      <c r="B33" s="182">
        <v>2.9518507510638798</v>
      </c>
      <c r="C33" s="183">
        <v>3.8149999999999999</v>
      </c>
      <c r="D33" s="176">
        <f t="shared" si="0"/>
        <v>5</v>
      </c>
      <c r="E33" s="176">
        <f t="shared" si="1"/>
        <v>0.2</v>
      </c>
      <c r="F33" s="176">
        <f t="shared" si="2"/>
        <v>2</v>
      </c>
      <c r="G33" s="176">
        <f t="shared" si="3"/>
        <v>1.154438732782888</v>
      </c>
      <c r="H33" s="176">
        <f t="shared" si="4"/>
        <v>0.4</v>
      </c>
      <c r="I33" s="176">
        <f t="shared" si="5"/>
        <v>0</v>
      </c>
      <c r="J33" s="176">
        <f>IF(CurrentMtgRatesDataTable811[[#This Row],[WA CC]]&lt;&gt;0,C32-CurrentMtgRatesDataTable811[[#This Row],[WA CC]],0)</f>
        <v>0</v>
      </c>
      <c r="K33" s="176">
        <f>IF(CurrentMtgRatesDataTable811[[#This Row],[Servicing Spread]]&lt;=0,K32,CurrentMtgRatesDataTable811[[#This Row],[Servicing Spread]])</f>
        <v>0.8584733617448137</v>
      </c>
      <c r="L33" s="176">
        <f>CurrentMtgRatesDataTable811[[#This Row],[Servicing Spread Non-Zero]]-K32</f>
        <v>0</v>
      </c>
      <c r="M33" s="176">
        <f>IF(I32&lt;&gt;0,CurrentMtgRatesDataTable811[[#This Row],[Rate]]-C32,M32)</f>
        <v>0.37000000000000011</v>
      </c>
    </row>
    <row r="34" spans="1:22" s="73" customFormat="1">
      <c r="A34" s="181" t="s">
        <v>108</v>
      </c>
      <c r="B34" s="182">
        <v>2.938815281358</v>
      </c>
      <c r="C34" s="183">
        <v>3.8149999999999999</v>
      </c>
      <c r="D34" s="176">
        <f t="shared" si="0"/>
        <v>6</v>
      </c>
      <c r="E34" s="176">
        <f t="shared" si="1"/>
        <v>0.2</v>
      </c>
      <c r="F34" s="176">
        <f t="shared" si="2"/>
        <v>3</v>
      </c>
      <c r="G34" s="176">
        <f t="shared" si="3"/>
        <v>1.7422017890544881</v>
      </c>
      <c r="H34" s="176">
        <f t="shared" si="4"/>
        <v>0.60000000000000009</v>
      </c>
      <c r="I34" s="176">
        <f t="shared" si="5"/>
        <v>0</v>
      </c>
      <c r="J34" s="176">
        <f>IF(CurrentMtgRatesDataTable811[[#This Row],[WA CC]]&lt;&gt;0,C33-CurrentMtgRatesDataTable811[[#This Row],[WA CC]],0)</f>
        <v>0</v>
      </c>
      <c r="K34" s="176">
        <f>IF(CurrentMtgRatesDataTable811[[#This Row],[Servicing Spread]]&lt;=0,K33,CurrentMtgRatesDataTable811[[#This Row],[Servicing Spread]])</f>
        <v>0.8584733617448137</v>
      </c>
      <c r="L34" s="176">
        <f>CurrentMtgRatesDataTable811[[#This Row],[Servicing Spread Non-Zero]]-K33</f>
        <v>0</v>
      </c>
      <c r="M34" s="176">
        <f>IF(I33&lt;&gt;0,CurrentMtgRatesDataTable811[[#This Row],[Rate]]-C33,M33)</f>
        <v>0.37000000000000011</v>
      </c>
    </row>
    <row r="35" spans="1:22" s="73" customFormat="1">
      <c r="A35" s="181" t="s">
        <v>109</v>
      </c>
      <c r="B35" s="182">
        <v>2.9180541697648699</v>
      </c>
      <c r="C35" s="183">
        <v>3.8149999999999999</v>
      </c>
      <c r="D35" s="176">
        <f t="shared" si="0"/>
        <v>7</v>
      </c>
      <c r="E35" s="176">
        <f t="shared" si="1"/>
        <v>0.2</v>
      </c>
      <c r="F35" s="176">
        <f t="shared" si="2"/>
        <v>4</v>
      </c>
      <c r="G35" s="176">
        <f t="shared" si="3"/>
        <v>2.3258126230074621</v>
      </c>
      <c r="H35" s="176">
        <f t="shared" si="4"/>
        <v>0.8</v>
      </c>
      <c r="I35" s="176">
        <f t="shared" si="5"/>
        <v>2.9072657787593275</v>
      </c>
      <c r="J35" s="176">
        <f>IF(CurrentMtgRatesDataTable811[[#This Row],[WA CC]]&lt;&gt;0,C34-CurrentMtgRatesDataTable811[[#This Row],[WA CC]],0)</f>
        <v>0.90773422124067249</v>
      </c>
      <c r="K35" s="176">
        <f>IF(CurrentMtgRatesDataTable811[[#This Row],[Servicing Spread]]&lt;=0,K34,CurrentMtgRatesDataTable811[[#This Row],[Servicing Spread]])</f>
        <v>0.90773422124067249</v>
      </c>
      <c r="L35" s="176">
        <f>CurrentMtgRatesDataTable811[[#This Row],[Servicing Spread Non-Zero]]-K34</f>
        <v>4.9260859495858789E-2</v>
      </c>
      <c r="M35" s="176">
        <f>IF(I34&lt;&gt;0,CurrentMtgRatesDataTable811[[#This Row],[Rate]]-C34,M34)</f>
        <v>0.37000000000000011</v>
      </c>
    </row>
    <row r="36" spans="1:22" s="73" customFormat="1">
      <c r="A36" s="181" t="s">
        <v>110</v>
      </c>
      <c r="B36" s="182">
        <v>2.9579353811966902</v>
      </c>
      <c r="C36" s="183">
        <v>3.9050000000000002</v>
      </c>
      <c r="D36" s="176">
        <f t="shared" si="0"/>
        <v>1</v>
      </c>
      <c r="E36" s="176">
        <f t="shared" si="1"/>
        <v>0.2</v>
      </c>
      <c r="F36" s="176">
        <f t="shared" si="2"/>
        <v>1</v>
      </c>
      <c r="G36" s="176">
        <f t="shared" si="3"/>
        <v>0.59158707623933804</v>
      </c>
      <c r="H36" s="176">
        <f t="shared" si="4"/>
        <v>0.2</v>
      </c>
      <c r="I36" s="176">
        <f t="shared" si="5"/>
        <v>0</v>
      </c>
      <c r="J36" s="176">
        <f>IF(CurrentMtgRatesDataTable811[[#This Row],[WA CC]]&lt;&gt;0,C35-CurrentMtgRatesDataTable811[[#This Row],[WA CC]],0)</f>
        <v>0</v>
      </c>
      <c r="K36" s="176">
        <f>IF(CurrentMtgRatesDataTable811[[#This Row],[Servicing Spread]]&lt;=0,K35,CurrentMtgRatesDataTable811[[#This Row],[Servicing Spread]])</f>
        <v>0.90773422124067249</v>
      </c>
      <c r="L36" s="176">
        <f>CurrentMtgRatesDataTable811[[#This Row],[Servicing Spread Non-Zero]]-K35</f>
        <v>0</v>
      </c>
      <c r="M36" s="176">
        <f>IF(I35&lt;&gt;0,CurrentMtgRatesDataTable811[[#This Row],[Rate]]-C35,M35)</f>
        <v>9.0000000000000302E-2</v>
      </c>
    </row>
    <row r="37" spans="1:22" s="73" customFormat="1">
      <c r="A37" s="181" t="s">
        <v>111</v>
      </c>
      <c r="B37" s="182">
        <v>3.03169131774919</v>
      </c>
      <c r="C37" s="183">
        <v>3.9050000000000002</v>
      </c>
      <c r="D37" s="176">
        <f t="shared" si="0"/>
        <v>2</v>
      </c>
      <c r="E37" s="176">
        <f t="shared" si="1"/>
        <v>0.2</v>
      </c>
      <c r="F37" s="176">
        <f t="shared" si="2"/>
        <v>2</v>
      </c>
      <c r="G37" s="176">
        <f t="shared" si="3"/>
        <v>1.197925339789176</v>
      </c>
      <c r="H37" s="176">
        <f t="shared" si="4"/>
        <v>0.4</v>
      </c>
      <c r="I37" s="176">
        <f t="shared" si="5"/>
        <v>0</v>
      </c>
      <c r="J37" s="176">
        <f>IF(CurrentMtgRatesDataTable811[[#This Row],[WA CC]]&lt;&gt;0,C36-CurrentMtgRatesDataTable811[[#This Row],[WA CC]],0)</f>
        <v>0</v>
      </c>
      <c r="K37" s="176">
        <f>IF(CurrentMtgRatesDataTable811[[#This Row],[Servicing Spread]]&lt;=0,K36,CurrentMtgRatesDataTable811[[#This Row],[Servicing Spread]])</f>
        <v>0.90773422124067249</v>
      </c>
      <c r="L37" s="176">
        <f>CurrentMtgRatesDataTable811[[#This Row],[Servicing Spread Non-Zero]]-K36</f>
        <v>0</v>
      </c>
      <c r="M37" s="176">
        <f>IF(I36&lt;&gt;0,CurrentMtgRatesDataTable811[[#This Row],[Rate]]-C36,M36)</f>
        <v>9.0000000000000302E-2</v>
      </c>
    </row>
    <row r="38" spans="1:22" s="73" customFormat="1">
      <c r="A38" s="181" t="s">
        <v>112</v>
      </c>
      <c r="B38" s="182">
        <v>3.0422928996340901</v>
      </c>
      <c r="C38" s="183">
        <v>3.9050000000000002</v>
      </c>
      <c r="D38" s="176">
        <f t="shared" si="0"/>
        <v>5</v>
      </c>
      <c r="E38" s="176">
        <f t="shared" si="1"/>
        <v>0.2</v>
      </c>
      <c r="F38" s="176">
        <f t="shared" si="2"/>
        <v>3</v>
      </c>
      <c r="G38" s="176">
        <f t="shared" si="3"/>
        <v>1.8063839197159941</v>
      </c>
      <c r="H38" s="176">
        <f t="shared" si="4"/>
        <v>0.60000000000000009</v>
      </c>
      <c r="I38" s="176">
        <f t="shared" si="5"/>
        <v>0</v>
      </c>
      <c r="J38" s="176">
        <f>IF(CurrentMtgRatesDataTable811[[#This Row],[WA CC]]&lt;&gt;0,C37-CurrentMtgRatesDataTable811[[#This Row],[WA CC]],0)</f>
        <v>0</v>
      </c>
      <c r="K38" s="176">
        <f>IF(CurrentMtgRatesDataTable811[[#This Row],[Servicing Spread]]&lt;=0,K37,CurrentMtgRatesDataTable811[[#This Row],[Servicing Spread]])</f>
        <v>0.90773422124067249</v>
      </c>
      <c r="L38" s="176">
        <f>CurrentMtgRatesDataTable811[[#This Row],[Servicing Spread Non-Zero]]-K37</f>
        <v>0</v>
      </c>
      <c r="M38" s="176">
        <f>IF(I37&lt;&gt;0,CurrentMtgRatesDataTable811[[#This Row],[Rate]]-C37,M37)</f>
        <v>9.0000000000000302E-2</v>
      </c>
    </row>
    <row r="39" spans="1:22" s="73" customFormat="1">
      <c r="A39" s="181" t="s">
        <v>113</v>
      </c>
      <c r="B39" s="182">
        <v>3.0253759468796799</v>
      </c>
      <c r="C39" s="183">
        <v>3.9050000000000002</v>
      </c>
      <c r="D39" s="176">
        <f t="shared" si="0"/>
        <v>6</v>
      </c>
      <c r="E39" s="176">
        <f t="shared" si="1"/>
        <v>0.2</v>
      </c>
      <c r="F39" s="176">
        <f t="shared" si="2"/>
        <v>4</v>
      </c>
      <c r="G39" s="176">
        <f t="shared" si="3"/>
        <v>2.41145910909193</v>
      </c>
      <c r="H39" s="176">
        <f t="shared" si="4"/>
        <v>0.8</v>
      </c>
      <c r="I39" s="176">
        <f t="shared" si="5"/>
        <v>0</v>
      </c>
      <c r="J39" s="176">
        <f>IF(CurrentMtgRatesDataTable811[[#This Row],[WA CC]]&lt;&gt;0,C38-CurrentMtgRatesDataTable811[[#This Row],[WA CC]],0)</f>
        <v>0</v>
      </c>
      <c r="K39" s="176">
        <f>IF(CurrentMtgRatesDataTable811[[#This Row],[Servicing Spread]]&lt;=0,K38,CurrentMtgRatesDataTable811[[#This Row],[Servicing Spread]])</f>
        <v>0.90773422124067249</v>
      </c>
      <c r="L39" s="176">
        <f>CurrentMtgRatesDataTable811[[#This Row],[Servicing Spread Non-Zero]]-K38</f>
        <v>0</v>
      </c>
      <c r="M39" s="176">
        <f>IF(I38&lt;&gt;0,CurrentMtgRatesDataTable811[[#This Row],[Rate]]-C38,M38)</f>
        <v>9.0000000000000302E-2</v>
      </c>
    </row>
    <row r="40" spans="1:22" s="73" customFormat="1">
      <c r="A40" s="181" t="s">
        <v>114</v>
      </c>
      <c r="B40" s="182">
        <v>3.0811413392722198</v>
      </c>
      <c r="C40" s="183">
        <v>3.9050000000000002</v>
      </c>
      <c r="D40" s="176">
        <f t="shared" si="0"/>
        <v>7</v>
      </c>
      <c r="E40" s="176">
        <f t="shared" si="1"/>
        <v>0.2</v>
      </c>
      <c r="F40" s="176">
        <f t="shared" si="2"/>
        <v>5</v>
      </c>
      <c r="G40" s="176">
        <f t="shared" si="3"/>
        <v>3.0276873769463739</v>
      </c>
      <c r="H40" s="176">
        <f t="shared" si="4"/>
        <v>1</v>
      </c>
      <c r="I40" s="176">
        <f t="shared" si="5"/>
        <v>3.0276873769463739</v>
      </c>
      <c r="J40" s="176">
        <f>IF(CurrentMtgRatesDataTable811[[#This Row],[WA CC]]&lt;&gt;0,C39-CurrentMtgRatesDataTable811[[#This Row],[WA CC]],0)</f>
        <v>0.87731262305362634</v>
      </c>
      <c r="K40" s="176">
        <f>IF(CurrentMtgRatesDataTable811[[#This Row],[Servicing Spread]]&lt;=0,K39,CurrentMtgRatesDataTable811[[#This Row],[Servicing Spread]])</f>
        <v>0.87731262305362634</v>
      </c>
      <c r="L40" s="176">
        <f>CurrentMtgRatesDataTable811[[#This Row],[Servicing Spread Non-Zero]]-K39</f>
        <v>-3.042159818704615E-2</v>
      </c>
      <c r="M40" s="176">
        <f>IF(I39&lt;&gt;0,CurrentMtgRatesDataTable811[[#This Row],[Rate]]-C39,M39)</f>
        <v>9.0000000000000302E-2</v>
      </c>
    </row>
    <row r="41" spans="1:22" s="73" customFormat="1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</row>
    <row r="42" spans="1:22" s="73" customFormat="1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</row>
    <row r="43" spans="1:22" s="73" customFormat="1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</row>
    <row r="44" spans="1:22" s="73" customFormat="1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</row>
    <row r="45" spans="1:22" s="73" customFormat="1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  <c r="M45" s="69"/>
    </row>
    <row r="46" spans="1:22" s="73" customFormat="1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</row>
    <row r="47" spans="1:22" s="73" customFormat="1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</row>
    <row r="48" spans="1:22" s="73" customFormat="1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  <c r="M48" s="69"/>
      <c r="T48" s="69"/>
      <c r="U48" s="69"/>
      <c r="V48" s="69"/>
    </row>
    <row r="49" spans="1:22" s="73" customFormat="1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T49" s="69"/>
      <c r="U49" s="69"/>
      <c r="V49" s="69"/>
    </row>
    <row r="50" spans="1:22" s="73" customFormat="1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T50" s="69"/>
      <c r="U50" s="69"/>
      <c r="V50" s="69"/>
    </row>
    <row r="51" spans="1:22" s="73" customFormat="1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T51" s="69"/>
      <c r="U51" s="69"/>
      <c r="V51" s="69"/>
    </row>
    <row r="52" spans="1:22" s="73" customFormat="1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  <c r="M52" s="69"/>
      <c r="T52" s="69"/>
      <c r="U52" s="69"/>
      <c r="V52" s="69"/>
    </row>
    <row r="53" spans="1:22" s="73" customFormat="1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  <c r="M53" s="69"/>
      <c r="T53" s="69"/>
      <c r="U53" s="69"/>
      <c r="V53" s="69"/>
    </row>
    <row r="54" spans="1:22" s="73" customFormat="1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  <c r="M54" s="69"/>
      <c r="T54" s="69"/>
      <c r="U54" s="69"/>
      <c r="V54" s="69"/>
    </row>
    <row r="55" spans="1:22" s="73" customFormat="1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  <c r="M55" s="69"/>
      <c r="T55" s="69"/>
      <c r="U55" s="69"/>
      <c r="V55" s="69"/>
    </row>
    <row r="56" spans="1:22" s="73" customFormat="1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T56" s="69"/>
      <c r="U56" s="69"/>
      <c r="V56" s="69"/>
    </row>
    <row r="57" spans="1:22" s="73" customFormat="1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  <c r="M57" s="69"/>
      <c r="T57" s="69"/>
      <c r="U57" s="69"/>
      <c r="V57" s="69"/>
    </row>
    <row r="58" spans="1:22" s="73" customFormat="1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  <c r="M58" s="69"/>
      <c r="T58" s="69"/>
      <c r="U58" s="69"/>
      <c r="V58" s="69"/>
    </row>
    <row r="59" spans="1:22" s="73" customFormat="1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T59" s="69"/>
      <c r="U59" s="69"/>
      <c r="V59" s="69"/>
    </row>
    <row r="60" spans="1:22" s="73" customFormat="1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  <c r="M60" s="69"/>
      <c r="T60" s="69"/>
      <c r="U60" s="69"/>
      <c r="V60" s="69"/>
    </row>
    <row r="61" spans="1:22" s="73" customFormat="1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  <c r="M61" s="69"/>
      <c r="T61" s="69"/>
      <c r="U61" s="69"/>
      <c r="V61" s="69"/>
    </row>
    <row r="62" spans="1:22" s="73" customFormat="1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  <c r="M62" s="69"/>
      <c r="T62" s="69"/>
      <c r="U62" s="69"/>
      <c r="V62" s="69"/>
    </row>
    <row r="63" spans="1:22" s="73" customFormat="1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  <c r="M63" s="69"/>
      <c r="T63" s="69"/>
      <c r="U63" s="69"/>
      <c r="V63" s="69"/>
    </row>
    <row r="64" spans="1:22" s="73" customFormat="1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T64" s="69"/>
      <c r="U64" s="69"/>
      <c r="V64" s="69"/>
    </row>
    <row r="65" spans="1:22" s="73" customFormat="1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T65" s="69"/>
      <c r="U65" s="69"/>
      <c r="V65" s="69"/>
    </row>
    <row r="66" spans="1:22" s="73" customFormat="1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T66" s="69"/>
      <c r="U66" s="69"/>
      <c r="V66" s="69"/>
    </row>
    <row r="67" spans="1:22" s="73" customFormat="1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  <c r="M67" s="69"/>
      <c r="T67" s="69"/>
      <c r="U67" s="69"/>
      <c r="V67" s="69"/>
    </row>
    <row r="68" spans="1:22">
      <c r="N68" s="73"/>
      <c r="O68" s="73"/>
      <c r="P68" s="73"/>
      <c r="Q68" s="73"/>
      <c r="R68" s="73"/>
    </row>
    <row r="69" spans="1:22">
      <c r="N69" s="73"/>
      <c r="O69" s="73"/>
      <c r="P69" s="73"/>
      <c r="Q69" s="73"/>
      <c r="R69" s="73"/>
    </row>
    <row r="70" spans="1:22">
      <c r="N70" s="73"/>
      <c r="O70" s="73"/>
      <c r="P70" s="73"/>
      <c r="Q70" s="73"/>
      <c r="R70" s="73"/>
    </row>
    <row r="71" spans="1:22">
      <c r="N71" s="73"/>
      <c r="O71" s="73"/>
      <c r="P71" s="73"/>
      <c r="Q71" s="73"/>
      <c r="R71" s="73"/>
    </row>
    <row r="72" spans="1:22">
      <c r="N72" s="73"/>
      <c r="O72" s="73"/>
      <c r="P72" s="73"/>
      <c r="Q72" s="73"/>
      <c r="R72" s="73"/>
    </row>
    <row r="73" spans="1:22">
      <c r="N73" s="73"/>
      <c r="O73" s="73"/>
      <c r="P73" s="73"/>
      <c r="Q73" s="73"/>
      <c r="R73" s="73"/>
    </row>
    <row r="74" spans="1:22">
      <c r="N74" s="73"/>
      <c r="O74" s="73"/>
      <c r="P74" s="73"/>
      <c r="Q74" s="73"/>
      <c r="R74" s="73"/>
    </row>
    <row r="75" spans="1:22">
      <c r="N75" s="73"/>
      <c r="O75" s="73"/>
      <c r="P75" s="73"/>
      <c r="Q75" s="73"/>
      <c r="R75" s="73"/>
    </row>
    <row r="76" spans="1:22">
      <c r="N76" s="73"/>
      <c r="O76" s="73"/>
      <c r="P76" s="73"/>
      <c r="Q76" s="73"/>
      <c r="R76" s="73"/>
    </row>
    <row r="77" spans="1:22">
      <c r="N77" s="73"/>
      <c r="O77" s="73"/>
      <c r="P77" s="73"/>
      <c r="Q77" s="73"/>
      <c r="R77" s="73"/>
    </row>
    <row r="78" spans="1:22">
      <c r="N78" s="73"/>
      <c r="O78" s="73"/>
      <c r="P78" s="73"/>
      <c r="Q78" s="73"/>
      <c r="R78" s="73"/>
    </row>
    <row r="79" spans="1:22">
      <c r="N79" s="74"/>
      <c r="O79" s="74"/>
      <c r="P79" s="74"/>
      <c r="Q79" s="74"/>
      <c r="R79" s="74"/>
    </row>
    <row r="80" spans="1:22">
      <c r="N80" s="74"/>
      <c r="O80" s="74"/>
      <c r="P80" s="74"/>
      <c r="Q80" s="74"/>
      <c r="R80" s="74"/>
    </row>
    <row r="81" spans="14:18">
      <c r="N81" s="74"/>
      <c r="O81" s="74"/>
      <c r="P81" s="74"/>
      <c r="Q81" s="74"/>
      <c r="R81" s="74"/>
    </row>
    <row r="82" spans="14:18">
      <c r="N82" s="74"/>
      <c r="O82" s="74"/>
      <c r="P82" s="74"/>
      <c r="Q82" s="74"/>
      <c r="R82" s="74"/>
    </row>
    <row r="83" spans="14:18">
      <c r="N83" s="74"/>
      <c r="O83" s="74"/>
      <c r="P83" s="74"/>
      <c r="Q83" s="74"/>
      <c r="R83" s="74"/>
    </row>
    <row r="84" spans="14:18">
      <c r="N84" s="74"/>
      <c r="O84" s="74"/>
      <c r="P84" s="74"/>
      <c r="Q84" s="74"/>
      <c r="R84" s="74"/>
    </row>
    <row r="85" spans="14:18">
      <c r="N85" s="74"/>
      <c r="O85" s="74"/>
      <c r="P85" s="74"/>
      <c r="Q85" s="74"/>
      <c r="R85" s="74"/>
    </row>
    <row r="86" spans="14:18">
      <c r="N86" s="74"/>
      <c r="O86" s="74"/>
      <c r="P86" s="74"/>
      <c r="Q86" s="74"/>
      <c r="R86" s="74"/>
    </row>
    <row r="87" spans="14:18">
      <c r="N87" s="74"/>
      <c r="O87" s="74"/>
      <c r="P87" s="74"/>
      <c r="Q87" s="74"/>
      <c r="R87" s="74"/>
    </row>
    <row r="88" spans="14:18">
      <c r="N88" s="74"/>
      <c r="O88" s="74"/>
      <c r="P88" s="74"/>
      <c r="Q88" s="74"/>
      <c r="R88" s="74"/>
    </row>
    <row r="89" spans="14:18">
      <c r="N89" s="74"/>
      <c r="O89" s="74"/>
      <c r="P89" s="74"/>
      <c r="Q89" s="74"/>
      <c r="R89" s="74"/>
    </row>
    <row r="90" spans="14:18">
      <c r="N90" s="74"/>
      <c r="O90" s="74"/>
      <c r="P90" s="74"/>
      <c r="Q90" s="74"/>
      <c r="R90" s="74"/>
    </row>
    <row r="91" spans="14:18">
      <c r="N91" s="74"/>
      <c r="O91" s="74"/>
      <c r="P91" s="74"/>
      <c r="Q91" s="74"/>
      <c r="R91" s="74"/>
    </row>
    <row r="92" spans="14:18">
      <c r="N92" s="74"/>
      <c r="O92" s="74"/>
      <c r="P92" s="74"/>
      <c r="Q92" s="74"/>
      <c r="R92" s="74"/>
    </row>
    <row r="93" spans="14:18">
      <c r="N93" s="74"/>
      <c r="O93" s="74"/>
      <c r="P93" s="74"/>
      <c r="Q93" s="74"/>
      <c r="R93" s="74"/>
    </row>
    <row r="94" spans="14:18">
      <c r="N94" s="74"/>
      <c r="O94" s="74"/>
      <c r="P94" s="74"/>
      <c r="Q94" s="74"/>
      <c r="R94" s="74"/>
    </row>
    <row r="95" spans="14:18">
      <c r="N95" s="74"/>
      <c r="O95" s="74"/>
      <c r="P95" s="74"/>
      <c r="Q95" s="74"/>
      <c r="R95" s="74"/>
    </row>
    <row r="96" spans="14:18">
      <c r="N96" s="74"/>
      <c r="O96" s="74"/>
      <c r="P96" s="74"/>
      <c r="Q96" s="74"/>
      <c r="R96" s="74"/>
    </row>
    <row r="97" spans="14:18">
      <c r="N97" s="74"/>
      <c r="O97" s="74"/>
      <c r="P97" s="74"/>
      <c r="Q97" s="74"/>
      <c r="R97" s="74"/>
    </row>
    <row r="98" spans="14:18">
      <c r="N98" s="74"/>
      <c r="O98" s="74"/>
      <c r="P98" s="74"/>
      <c r="Q98" s="74"/>
      <c r="R98" s="74"/>
    </row>
    <row r="99" spans="14:18">
      <c r="N99" s="74"/>
      <c r="O99" s="74"/>
      <c r="P99" s="74"/>
      <c r="Q99" s="74"/>
      <c r="R99" s="74"/>
    </row>
    <row r="100" spans="14:18">
      <c r="N100" s="74"/>
      <c r="O100" s="74"/>
      <c r="P100" s="74"/>
      <c r="Q100" s="74"/>
      <c r="R100" s="74"/>
    </row>
    <row r="101" spans="14:18">
      <c r="N101" s="74"/>
      <c r="O101" s="74"/>
      <c r="P101" s="74"/>
      <c r="Q101" s="74"/>
      <c r="R101" s="74"/>
    </row>
    <row r="102" spans="14:18">
      <c r="N102" s="74"/>
      <c r="O102" s="74"/>
      <c r="P102" s="74"/>
      <c r="Q102" s="74"/>
      <c r="R102" s="74"/>
    </row>
    <row r="103" spans="14:18">
      <c r="N103" s="74"/>
      <c r="O103" s="74"/>
      <c r="P103" s="74"/>
      <c r="Q103" s="74"/>
      <c r="R103" s="74"/>
    </row>
    <row r="104" spans="14:18">
      <c r="N104" s="74"/>
      <c r="O104" s="74"/>
      <c r="P104" s="74"/>
      <c r="Q104" s="74"/>
      <c r="R104" s="74"/>
    </row>
    <row r="105" spans="14:18">
      <c r="N105" s="74"/>
      <c r="O105" s="74"/>
      <c r="P105" s="74"/>
      <c r="Q105" s="74"/>
      <c r="R105" s="74"/>
    </row>
    <row r="106" spans="14:18">
      <c r="N106" s="74"/>
      <c r="O106" s="74"/>
      <c r="P106" s="74"/>
      <c r="Q106" s="74"/>
      <c r="R106" s="74"/>
    </row>
    <row r="107" spans="14:18">
      <c r="N107" s="74"/>
      <c r="O107" s="74"/>
      <c r="P107" s="74"/>
      <c r="Q107" s="74"/>
      <c r="R107" s="74"/>
    </row>
    <row r="108" spans="14:18">
      <c r="N108" s="74"/>
      <c r="O108" s="74"/>
      <c r="P108" s="74"/>
      <c r="Q108" s="74"/>
      <c r="R108" s="74"/>
    </row>
    <row r="109" spans="14:18">
      <c r="N109" s="74"/>
      <c r="O109" s="74"/>
      <c r="P109" s="74"/>
      <c r="Q109" s="74"/>
      <c r="R109" s="74"/>
    </row>
    <row r="110" spans="14:18">
      <c r="N110" s="74"/>
      <c r="O110" s="74"/>
      <c r="P110" s="74"/>
      <c r="Q110" s="74"/>
      <c r="R110" s="74"/>
    </row>
    <row r="111" spans="14:18">
      <c r="N111" s="74"/>
      <c r="O111" s="74"/>
      <c r="P111" s="74"/>
      <c r="Q111" s="74"/>
      <c r="R111" s="74"/>
    </row>
    <row r="112" spans="14:18">
      <c r="N112" s="74"/>
      <c r="O112" s="74"/>
      <c r="P112" s="74"/>
      <c r="Q112" s="74"/>
      <c r="R112" s="74"/>
    </row>
    <row r="113" spans="14:18">
      <c r="N113" s="74"/>
      <c r="O113" s="74"/>
      <c r="P113" s="74"/>
      <c r="Q113" s="74"/>
      <c r="R113" s="74"/>
    </row>
    <row r="114" spans="14:18">
      <c r="N114" s="74"/>
      <c r="O114" s="74"/>
      <c r="P114" s="74"/>
      <c r="Q114" s="74"/>
      <c r="R114" s="74"/>
    </row>
    <row r="115" spans="14:18">
      <c r="N115" s="74"/>
      <c r="O115" s="74"/>
      <c r="P115" s="74"/>
      <c r="Q115" s="74"/>
      <c r="R115" s="74"/>
    </row>
    <row r="116" spans="14:18">
      <c r="N116" s="74"/>
      <c r="O116" s="74"/>
      <c r="P116" s="74"/>
      <c r="Q116" s="74"/>
      <c r="R116" s="74"/>
    </row>
    <row r="117" spans="14:18">
      <c r="N117" s="74"/>
      <c r="O117" s="74"/>
      <c r="P117" s="74"/>
      <c r="Q117" s="74"/>
      <c r="R117" s="74"/>
    </row>
    <row r="118" spans="14:18">
      <c r="N118" s="74"/>
      <c r="O118" s="74"/>
      <c r="P118" s="74"/>
      <c r="Q118" s="74"/>
      <c r="R118" s="74"/>
    </row>
    <row r="119" spans="14:18">
      <c r="N119" s="74"/>
      <c r="O119" s="74"/>
      <c r="P119" s="74"/>
      <c r="Q119" s="74"/>
      <c r="R119" s="74"/>
    </row>
    <row r="120" spans="14:18">
      <c r="N120" s="74"/>
      <c r="O120" s="74"/>
      <c r="P120" s="74"/>
      <c r="Q120" s="74"/>
      <c r="R120" s="74"/>
    </row>
    <row r="121" spans="14:18">
      <c r="N121" s="74"/>
      <c r="O121" s="74"/>
      <c r="P121" s="74"/>
      <c r="Q121" s="74"/>
      <c r="R121" s="74"/>
    </row>
    <row r="122" spans="14:18">
      <c r="N122" s="74"/>
      <c r="O122" s="74"/>
      <c r="P122" s="74"/>
      <c r="Q122" s="74"/>
      <c r="R122" s="74"/>
    </row>
    <row r="123" spans="14:18">
      <c r="N123" s="74"/>
      <c r="O123" s="74"/>
      <c r="P123" s="74"/>
      <c r="Q123" s="74"/>
      <c r="R123" s="74"/>
    </row>
    <row r="124" spans="14:18">
      <c r="N124" s="74"/>
      <c r="O124" s="74"/>
      <c r="P124" s="74"/>
      <c r="Q124" s="74"/>
      <c r="R124" s="74"/>
    </row>
    <row r="125" spans="14:18">
      <c r="N125" s="74"/>
      <c r="O125" s="74"/>
      <c r="P125" s="74"/>
      <c r="Q125" s="74"/>
      <c r="R125" s="74"/>
    </row>
    <row r="126" spans="14:18">
      <c r="N126" s="74"/>
      <c r="O126" s="74"/>
      <c r="P126" s="74"/>
      <c r="Q126" s="74"/>
      <c r="R126" s="74"/>
    </row>
    <row r="127" spans="14:18">
      <c r="N127" s="74"/>
      <c r="O127" s="74"/>
      <c r="P127" s="74"/>
      <c r="Q127" s="74"/>
      <c r="R127" s="74"/>
    </row>
    <row r="128" spans="14:18">
      <c r="N128" s="74"/>
      <c r="O128" s="74"/>
      <c r="P128" s="74"/>
      <c r="Q128" s="74"/>
      <c r="R128" s="74"/>
    </row>
    <row r="129" spans="14:18">
      <c r="N129" s="74"/>
      <c r="O129" s="74"/>
      <c r="P129" s="74"/>
      <c r="Q129" s="74"/>
      <c r="R129" s="74"/>
    </row>
    <row r="130" spans="14:18">
      <c r="N130" s="74"/>
      <c r="O130" s="74"/>
      <c r="P130" s="74"/>
      <c r="Q130" s="74"/>
      <c r="R130" s="74"/>
    </row>
    <row r="131" spans="14:18">
      <c r="N131" s="74"/>
      <c r="O131" s="74"/>
      <c r="P131" s="74"/>
      <c r="Q131" s="74"/>
      <c r="R131" s="74"/>
    </row>
    <row r="132" spans="14:18">
      <c r="N132" s="74"/>
      <c r="O132" s="74"/>
      <c r="P132" s="74"/>
      <c r="Q132" s="74"/>
      <c r="R132" s="74"/>
    </row>
    <row r="133" spans="14:18">
      <c r="N133" s="74"/>
      <c r="O133" s="74"/>
      <c r="P133" s="74"/>
      <c r="Q133" s="74"/>
      <c r="R133" s="74"/>
    </row>
    <row r="134" spans="14:18">
      <c r="N134" s="74"/>
      <c r="O134" s="74"/>
      <c r="P134" s="74"/>
      <c r="Q134" s="74"/>
      <c r="R134" s="74"/>
    </row>
    <row r="135" spans="14:18">
      <c r="N135" s="74"/>
      <c r="O135" s="74"/>
      <c r="P135" s="74"/>
      <c r="Q135" s="74"/>
      <c r="R135" s="74"/>
    </row>
    <row r="136" spans="14:18">
      <c r="N136" s="74"/>
      <c r="O136" s="74"/>
      <c r="P136" s="74"/>
      <c r="Q136" s="74"/>
      <c r="R136" s="74"/>
    </row>
    <row r="137" spans="14:18">
      <c r="N137" s="74"/>
      <c r="O137" s="74"/>
      <c r="P137" s="74"/>
      <c r="Q137" s="74"/>
      <c r="R137" s="74"/>
    </row>
    <row r="138" spans="14:18">
      <c r="N138" s="74"/>
      <c r="O138" s="74"/>
      <c r="P138" s="74"/>
      <c r="Q138" s="74"/>
      <c r="R138" s="74"/>
    </row>
    <row r="139" spans="14:18">
      <c r="N139" s="74"/>
      <c r="O139" s="74"/>
      <c r="P139" s="74"/>
      <c r="Q139" s="74"/>
      <c r="R139" s="74"/>
    </row>
    <row r="140" spans="14:18">
      <c r="N140" s="74"/>
      <c r="O140" s="74"/>
      <c r="P140" s="74"/>
      <c r="Q140" s="74"/>
      <c r="R140" s="74"/>
    </row>
    <row r="141" spans="14:18">
      <c r="N141" s="74"/>
      <c r="O141" s="74"/>
      <c r="P141" s="74"/>
      <c r="Q141" s="74"/>
      <c r="R141" s="74"/>
    </row>
    <row r="142" spans="14:18">
      <c r="N142" s="74"/>
      <c r="O142" s="74"/>
      <c r="P142" s="74"/>
      <c r="Q142" s="74"/>
      <c r="R142" s="74"/>
    </row>
    <row r="143" spans="14:18">
      <c r="N143" s="74"/>
      <c r="O143" s="74"/>
      <c r="P143" s="74"/>
      <c r="Q143" s="74"/>
      <c r="R143" s="74"/>
    </row>
    <row r="144" spans="14:18">
      <c r="N144" s="74"/>
      <c r="O144" s="74"/>
      <c r="P144" s="74"/>
      <c r="Q144" s="74"/>
      <c r="R144" s="74"/>
    </row>
    <row r="145" spans="14:18">
      <c r="N145" s="74"/>
      <c r="O145" s="74"/>
      <c r="P145" s="74"/>
      <c r="Q145" s="74"/>
      <c r="R145" s="74"/>
    </row>
    <row r="146" spans="14:18">
      <c r="N146" s="74"/>
      <c r="O146" s="74"/>
      <c r="P146" s="74"/>
      <c r="Q146" s="74"/>
      <c r="R146" s="74"/>
    </row>
    <row r="147" spans="14:18">
      <c r="N147" s="74"/>
      <c r="O147" s="74"/>
      <c r="P147" s="74"/>
      <c r="Q147" s="74"/>
      <c r="R147" s="74"/>
    </row>
    <row r="148" spans="14:18">
      <c r="N148" s="74"/>
      <c r="O148" s="74"/>
      <c r="P148" s="74"/>
      <c r="Q148" s="74"/>
      <c r="R148" s="74"/>
    </row>
    <row r="149" spans="14:18">
      <c r="N149" s="74"/>
      <c r="O149" s="74"/>
      <c r="P149" s="74"/>
      <c r="Q149" s="74"/>
      <c r="R149" s="74"/>
    </row>
    <row r="150" spans="14:18">
      <c r="N150" s="74"/>
      <c r="O150" s="74"/>
      <c r="P150" s="74"/>
      <c r="Q150" s="74"/>
      <c r="R150" s="74"/>
    </row>
    <row r="151" spans="14:18">
      <c r="N151" s="74"/>
      <c r="O151" s="74"/>
      <c r="P151" s="74"/>
      <c r="Q151" s="74"/>
      <c r="R151" s="74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ImpliedRate</vt:lpstr>
      <vt:lpstr>LastMonth</vt:lpstr>
      <vt:lpstr>LastThursday</vt:lpstr>
      <vt:lpstr>PDFReportDir</vt:lpstr>
      <vt:lpstr>PDFReportName</vt:lpstr>
      <vt:lpstr>Report!Print_Area</vt:lpstr>
      <vt:lpstr>SaveRatesToDB</vt:lpstr>
      <vt:lpstr>'Function Of Rate'!temp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2016-11-29T14:32:06Z</cp:lastPrinted>
  <dcterms:created xsi:type="dcterms:W3CDTF">2006-09-16T00:00:00Z</dcterms:created>
  <dcterms:modified xsi:type="dcterms:W3CDTF">2017-12-12T14:10:51Z</dcterms:modified>
</cp:coreProperties>
</file>