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Daily Reports\Primary Market\"/>
    </mc:Choice>
  </mc:AlternateContent>
  <bookViews>
    <workbookView xWindow="240" yWindow="60" windowWidth="27795" windowHeight="17175"/>
  </bookViews>
  <sheets>
    <sheet name="Report" sheetId="4" r:id="rId1"/>
    <sheet name="Input" sheetId="1" r:id="rId2"/>
    <sheet name="Short Term" sheetId="3" r:id="rId3"/>
  </sheets>
  <functionGroups builtInGroupCount="18"/>
  <externalReferences>
    <externalReference r:id="rId4"/>
    <externalReference r:id="rId5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DatabaseEnv">Report!$AA$1</definedName>
    <definedName name="HistoricalMtgRatesDataTable">[1]!OneWeekMtgRatesDataTable9[#Data]</definedName>
    <definedName name="IR">#REF!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>Report!$AA$3</definedName>
    <definedName name="PDFReportName">Report!$AA$4</definedName>
    <definedName name="_xlnm.Print_Area" localSheetId="0">Report!$C$1:$Y$55</definedName>
    <definedName name="SaveRatesToDB">Report!$AC$1</definedName>
  </definedNames>
  <calcPr calcId="152511"/>
  <fileRecoveryPr repairLoad="1"/>
</workbook>
</file>

<file path=xl/calcChain.xml><?xml version="1.0" encoding="utf-8"?>
<calcChain xmlns="http://schemas.openxmlformats.org/spreadsheetml/2006/main">
  <c r="E51" i="4" l="1"/>
  <c r="F51" i="4"/>
  <c r="E52" i="4"/>
  <c r="F52" i="4"/>
  <c r="E53" i="4"/>
  <c r="F53" i="4"/>
  <c r="E54" i="4"/>
  <c r="F54" i="4"/>
  <c r="AA4" i="4"/>
  <c r="G5" i="3"/>
  <c r="F5" i="3"/>
  <c r="E5" i="3"/>
  <c r="D5" i="3"/>
  <c r="C8" i="3" l="1"/>
  <c r="C9" i="3"/>
  <c r="C10" i="3"/>
  <c r="C11" i="3"/>
  <c r="C12" i="3"/>
  <c r="C13" i="3"/>
  <c r="C14" i="3"/>
  <c r="C15" i="3"/>
  <c r="C16" i="3"/>
  <c r="C7" i="3"/>
  <c r="D6" i="3" l="1"/>
  <c r="G6" i="3"/>
  <c r="F6" i="3"/>
  <c r="F7" i="3"/>
  <c r="E6" i="3"/>
  <c r="K51" i="4"/>
  <c r="L51" i="4"/>
  <c r="M51" i="4"/>
  <c r="N51" i="4"/>
  <c r="O51" i="4"/>
  <c r="P51" i="4"/>
  <c r="Q51" i="4"/>
  <c r="R51" i="4"/>
  <c r="S51" i="4"/>
  <c r="T51" i="4"/>
  <c r="K52" i="4"/>
  <c r="L52" i="4"/>
  <c r="M52" i="4"/>
  <c r="N52" i="4"/>
  <c r="O52" i="4"/>
  <c r="P52" i="4"/>
  <c r="Q52" i="4"/>
  <c r="R52" i="4"/>
  <c r="S52" i="4"/>
  <c r="T52" i="4"/>
  <c r="K53" i="4"/>
  <c r="L53" i="4"/>
  <c r="M53" i="4"/>
  <c r="N53" i="4"/>
  <c r="O53" i="4"/>
  <c r="P53" i="4"/>
  <c r="Q53" i="4"/>
  <c r="R53" i="4"/>
  <c r="S53" i="4"/>
  <c r="T53" i="4"/>
  <c r="K54" i="4"/>
  <c r="L54" i="4"/>
  <c r="M54" i="4"/>
  <c r="N54" i="4"/>
  <c r="O54" i="4"/>
  <c r="P54" i="4"/>
  <c r="Q54" i="4"/>
  <c r="R54" i="4"/>
  <c r="S54" i="4"/>
  <c r="T54" i="4"/>
  <c r="H54" i="4" l="1"/>
  <c r="G54" i="4"/>
  <c r="H53" i="4"/>
  <c r="G53" i="4"/>
  <c r="H52" i="4"/>
  <c r="G52" i="4"/>
  <c r="H51" i="4"/>
  <c r="G51" i="4"/>
  <c r="J54" i="4"/>
  <c r="J53" i="4"/>
  <c r="J52" i="4"/>
  <c r="J51" i="4"/>
  <c r="I54" i="4" l="1"/>
  <c r="I53" i="4"/>
  <c r="I52" i="4"/>
  <c r="I51" i="4"/>
  <c r="G7" i="3" l="1"/>
  <c r="E7" i="3"/>
  <c r="D7" i="3"/>
  <c r="F10" i="3"/>
  <c r="G10" i="3"/>
  <c r="D11" i="3"/>
  <c r="E12" i="3"/>
  <c r="F12" i="3"/>
  <c r="G12" i="3"/>
  <c r="D13" i="3"/>
  <c r="G14" i="3"/>
  <c r="D9" i="3"/>
  <c r="D10" i="3"/>
  <c r="E11" i="3"/>
  <c r="E13" i="3"/>
  <c r="F13" i="3"/>
  <c r="F8" i="3"/>
  <c r="E8" i="3" l="1"/>
  <c r="E10" i="3"/>
  <c r="G8" i="3"/>
  <c r="D14" i="3"/>
  <c r="D12" i="3"/>
  <c r="G13" i="3"/>
  <c r="G11" i="3"/>
  <c r="G9" i="3"/>
  <c r="D8" i="3"/>
  <c r="F14" i="3"/>
  <c r="E14" i="3"/>
  <c r="F11" i="3"/>
  <c r="F9" i="3"/>
  <c r="E9" i="3"/>
  <c r="D15" i="3"/>
  <c r="F15" i="3" l="1"/>
  <c r="G15" i="3"/>
  <c r="E15" i="3"/>
</calcChain>
</file>

<file path=xl/sharedStrings.xml><?xml version="1.0" encoding="utf-8"?>
<sst xmlns="http://schemas.openxmlformats.org/spreadsheetml/2006/main" count="94" uniqueCount="34">
  <si>
    <t>TIME TO
CLOSE ALL
(DAYS)</t>
  </si>
  <si>
    <t>Jan</t>
  </si>
  <si>
    <t>AVG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</si>
  <si>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</si>
  <si>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</si>
  <si>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</si>
  <si>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</si>
  <si>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</si>
  <si>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</si>
  <si>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</si>
  <si>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</si>
  <si>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</si>
  <si>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</si>
  <si>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</si>
  <si>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REFI</t>
  </si>
  <si>
    <t>TIME TO
CLOSE FHA
(DAYS)</t>
  </si>
  <si>
    <t>TIME TO
CLOSE CONV
(DAYS)</t>
  </si>
  <si>
    <t>TIME TO
CLOSE VA
(DAYS)</t>
  </si>
  <si>
    <t>–</t>
  </si>
  <si>
    <t>FHA</t>
  </si>
  <si>
    <t>VA</t>
  </si>
  <si>
    <t>TIME TO CLOSE (DAYS)</t>
  </si>
  <si>
    <t>Database Env</t>
  </si>
  <si>
    <t>Save Data to DB</t>
  </si>
  <si>
    <t>As of Date</t>
  </si>
  <si>
    <t>Report Name</t>
  </si>
  <si>
    <t>No</t>
  </si>
  <si>
    <t>All</t>
  </si>
  <si>
    <t>Conventional</t>
  </si>
  <si>
    <t>Time To Close (Days)</t>
  </si>
  <si>
    <t>One Month Changes (Days)</t>
  </si>
  <si>
    <t>Report Folder</t>
  </si>
  <si>
    <t>PROD</t>
  </si>
  <si>
    <t>S:\IT\Production\Daily Reports\Primary Market\tmp\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</si>
</sst>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yyyy\-mm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sz val="11"/>
      <color theme="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indexed="64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 style="thin">
        <color indexed="64"/>
      </left>
      <right/>
      <top/>
      <bottom/>
      <diagonal/>
    </border>
    <border>
      <left style="thin">
        <color rgb="FF2E398A"/>
      </left>
      <right/>
      <top style="thin">
        <color rgb="FF2E398A"/>
      </top>
      <bottom/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25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0" fillId="11" borderId="0" applyNumberFormat="0" applyBorder="0" applyAlignment="0" applyProtection="0"/>
    <xf numFmtId="0" fontId="11" fillId="10" borderId="0" applyNumberFormat="0" applyBorder="0" applyAlignment="0" applyProtection="0"/>
    <xf numFmtId="0" fontId="12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3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19" borderId="0" applyNumberFormat="0" applyBorder="0" applyAlignment="0" applyProtection="0"/>
    <xf numFmtId="0" fontId="10" fillId="15" borderId="0" applyNumberFormat="0" applyBorder="0" applyAlignment="0" applyProtection="0"/>
    <xf numFmtId="0" fontId="11" fillId="20" borderId="0" applyNumberFormat="0" applyBorder="0" applyAlignment="0" applyProtection="0"/>
    <xf numFmtId="0" fontId="12" fillId="12" borderId="0" applyNumberFormat="0" applyBorder="0" applyAlignment="0" applyProtection="0"/>
    <xf numFmtId="0" fontId="10" fillId="17" borderId="0" applyNumberFormat="0" applyBorder="0" applyAlignment="0" applyProtection="0"/>
    <xf numFmtId="0" fontId="11" fillId="14" borderId="0" applyNumberFormat="0" applyBorder="0" applyAlignment="0" applyProtection="0"/>
    <xf numFmtId="0" fontId="12" fillId="17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2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7" borderId="0" applyNumberFormat="0" applyBorder="0" applyAlignment="0" applyProtection="0"/>
    <xf numFmtId="0" fontId="13" fillId="22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0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28" borderId="0" applyNumberFormat="0" applyBorder="0" applyAlignment="0" applyProtection="0"/>
    <xf numFmtId="0" fontId="14" fillId="28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32" borderId="0" applyNumberFormat="0" applyBorder="0" applyAlignment="0" applyProtection="0"/>
    <xf numFmtId="0" fontId="15" fillId="22" borderId="0" applyNumberFormat="0" applyBorder="0" applyAlignment="0" applyProtection="0"/>
    <xf numFmtId="0" fontId="13" fillId="33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8" borderId="0" applyNumberFormat="0" applyBorder="0" applyAlignment="0" applyProtection="0"/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38" fontId="19" fillId="11" borderId="0"/>
    <xf numFmtId="0" fontId="20" fillId="0" borderId="0" applyNumberFormat="0" applyFill="0" applyBorder="0" applyAlignment="0" applyProtection="0"/>
    <xf numFmtId="0" fontId="21" fillId="34" borderId="0">
      <alignment horizontal="left"/>
    </xf>
    <xf numFmtId="2" fontId="22" fillId="35" borderId="6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8" fillId="36" borderId="0"/>
    <xf numFmtId="167" fontId="9" fillId="0" borderId="0" applyFont="0" applyFill="0" applyBorder="0" applyAlignment="0" applyProtection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68" fontId="26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7" fillId="11" borderId="7" applyNumberFormat="0" applyAlignment="0" applyProtection="0"/>
    <xf numFmtId="0" fontId="28" fillId="13" borderId="7" applyNumberFormat="0" applyAlignment="0" applyProtection="0"/>
    <xf numFmtId="0" fontId="29" fillId="15" borderId="7" applyNumberFormat="0" applyAlignment="0" applyProtection="0"/>
    <xf numFmtId="0" fontId="30" fillId="37" borderId="8" applyNumberFormat="0"/>
    <xf numFmtId="0" fontId="31" fillId="38" borderId="9" applyBorder="0">
      <alignment horizontal="center" wrapText="1"/>
    </xf>
    <xf numFmtId="0" fontId="31" fillId="39" borderId="9" applyBorder="0">
      <alignment horizontal="center" wrapText="1"/>
    </xf>
    <xf numFmtId="0" fontId="32" fillId="40" borderId="8" applyNumberFormat="0"/>
    <xf numFmtId="0" fontId="33" fillId="41" borderId="8" applyNumberFormat="0"/>
    <xf numFmtId="0" fontId="3" fillId="41" borderId="8" applyNumberFormat="0"/>
    <xf numFmtId="0" fontId="32" fillId="40" borderId="8" applyNumberFormat="0"/>
    <xf numFmtId="0" fontId="33" fillId="40" borderId="8" applyNumberFormat="0"/>
    <xf numFmtId="0" fontId="32" fillId="37" borderId="8" applyNumberFormat="0"/>
    <xf numFmtId="0" fontId="30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4" fillId="40" borderId="10" applyNumberFormat="0" applyAlignment="0"/>
    <xf numFmtId="14" fontId="34" fillId="41" borderId="10" applyNumberFormat="0" applyAlignment="0"/>
    <xf numFmtId="14" fontId="35" fillId="41" borderId="10" applyNumberFormat="0" applyAlignment="0"/>
    <xf numFmtId="0" fontId="36" fillId="42" borderId="11" applyNumberFormat="0" applyAlignment="0" applyProtection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0" borderId="0" applyNumberFormat="0" applyFill="0" applyBorder="0" applyAlignment="0" applyProtection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0" fontId="25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8" fontId="45" fillId="0" borderId="12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3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4" fontId="8" fillId="0" borderId="0" applyFont="0" applyFill="0" applyBorder="0" applyProtection="0"/>
    <xf numFmtId="175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5" fontId="11" fillId="11" borderId="0"/>
    <xf numFmtId="14" fontId="11" fillId="0" borderId="0" applyFill="0" applyBorder="0" applyAlignment="0"/>
    <xf numFmtId="0" fontId="44" fillId="35" borderId="0">
      <alignment horizontal="left"/>
    </xf>
    <xf numFmtId="176" fontId="8" fillId="0" borderId="0" applyFill="0" applyBorder="0" applyAlignment="0" applyProtection="0"/>
    <xf numFmtId="14" fontId="8" fillId="0" borderId="0"/>
    <xf numFmtId="0" fontId="47" fillId="18" borderId="0">
      <alignment horizontal="left"/>
    </xf>
    <xf numFmtId="0" fontId="48" fillId="0" borderId="0">
      <alignment horizontal="left"/>
    </xf>
    <xf numFmtId="38" fontId="49" fillId="0" borderId="13">
      <alignment vertical="center"/>
    </xf>
    <xf numFmtId="177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8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3" applyNumberFormat="0" applyBorder="0" applyAlignment="0">
      <protection locked="0"/>
    </xf>
    <xf numFmtId="179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0" fontId="8" fillId="0" borderId="0" applyFont="0" applyFill="0" applyBorder="0" applyAlignment="0" applyProtection="0"/>
    <xf numFmtId="0" fontId="11" fillId="11" borderId="0"/>
    <xf numFmtId="0" fontId="55" fillId="10" borderId="0" applyNumberFormat="0" applyBorder="0" applyAlignment="0" applyProtection="0"/>
    <xf numFmtId="0" fontId="56" fillId="14" borderId="0" applyNumberFormat="0" applyBorder="0" applyAlignment="0" applyProtection="0"/>
    <xf numFmtId="0" fontId="57" fillId="10" borderId="0" applyNumberFormat="0" applyBorder="0" applyAlignment="0" applyProtection="0"/>
    <xf numFmtId="2" fontId="58" fillId="35" borderId="6" applyProtection="0">
      <alignment horizontal="left"/>
      <protection locked="0"/>
    </xf>
    <xf numFmtId="38" fontId="39" fillId="43" borderId="0" applyNumberFormat="0" applyBorder="0" applyAlignment="0" applyProtection="0"/>
    <xf numFmtId="0" fontId="59" fillId="0" borderId="14" applyNumberFormat="0" applyAlignment="0" applyProtection="0">
      <alignment horizontal="left" vertical="center"/>
    </xf>
    <xf numFmtId="0" fontId="59" fillId="0" borderId="15">
      <alignment horizontal="left" vertical="center"/>
    </xf>
    <xf numFmtId="0" fontId="60" fillId="15" borderId="3">
      <alignment horizontal="centerContinuous"/>
    </xf>
    <xf numFmtId="0" fontId="61" fillId="0" borderId="16" applyNumberFormat="0" applyFill="0" applyAlignment="0" applyProtection="0"/>
    <xf numFmtId="0" fontId="62" fillId="0" borderId="17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8" applyNumberFormat="0" applyFill="0" applyAlignment="0" applyProtection="0"/>
    <xf numFmtId="0" fontId="66" fillId="0" borderId="19" applyNumberFormat="0" applyFill="0" applyAlignment="0" applyProtection="0"/>
    <xf numFmtId="0" fontId="67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19" applyNumberFormat="0" applyFill="0" applyAlignment="0" applyProtection="0"/>
    <xf numFmtId="0" fontId="69" fillId="0" borderId="21" applyNumberFormat="0" applyFill="0" applyAlignment="0" applyProtection="0"/>
    <xf numFmtId="0" fontId="70" fillId="0" borderId="22" applyNumberFormat="0" applyFill="0" applyAlignment="0" applyProtection="0"/>
    <xf numFmtId="0" fontId="71" fillId="0" borderId="23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1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4" borderId="3" applyNumberFormat="0" applyBorder="0" applyAlignment="0" applyProtection="0"/>
    <xf numFmtId="2" fontId="74" fillId="0" borderId="24" applyNumberFormat="0" applyFill="0" applyBorder="0" applyAlignment="0">
      <alignment horizontal="center"/>
      <protection locked="0"/>
    </xf>
    <xf numFmtId="2" fontId="74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78" fillId="0" borderId="25" applyNumberFormat="0" applyFill="0" applyAlignment="0" applyProtection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" fillId="43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1" borderId="0"/>
    <xf numFmtId="0" fontId="81" fillId="7" borderId="0" applyNumberFormat="0" applyBorder="0" applyAlignment="0" applyProtection="0"/>
    <xf numFmtId="0" fontId="82" fillId="12" borderId="0" applyNumberFormat="0" applyBorder="0" applyAlignment="0" applyProtection="0"/>
    <xf numFmtId="0" fontId="83" fillId="36" borderId="0" applyNumberFormat="0" applyBorder="0" applyAlignment="0" applyProtection="0"/>
    <xf numFmtId="37" fontId="84" fillId="0" borderId="0"/>
    <xf numFmtId="0" fontId="47" fillId="11" borderId="0" applyNumberFormat="0" applyFont="0" applyFill="0" applyBorder="0" applyAlignment="0"/>
    <xf numFmtId="10" fontId="11" fillId="11" borderId="0"/>
    <xf numFmtId="181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1" borderId="0"/>
    <xf numFmtId="0" fontId="8" fillId="41" borderId="0"/>
    <xf numFmtId="0" fontId="8" fillId="0" borderId="0"/>
    <xf numFmtId="0" fontId="8" fillId="0" borderId="0"/>
    <xf numFmtId="0" fontId="32" fillId="40" borderId="0"/>
    <xf numFmtId="0" fontId="32" fillId="40" borderId="0"/>
    <xf numFmtId="0" fontId="32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32" fillId="40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3" borderId="2" applyNumberFormat="0" applyFont="0" applyAlignment="0" applyProtection="0"/>
    <xf numFmtId="0" fontId="11" fillId="9" borderId="26" applyNumberFormat="0" applyFont="0" applyAlignment="0" applyProtection="0"/>
    <xf numFmtId="0" fontId="87" fillId="9" borderId="26" applyNumberFormat="0" applyFont="0" applyAlignment="0" applyProtection="0"/>
    <xf numFmtId="0" fontId="32" fillId="3" borderId="2" applyNumberFormat="0" applyFont="0" applyAlignment="0" applyProtection="0"/>
    <xf numFmtId="0" fontId="88" fillId="0" borderId="0"/>
    <xf numFmtId="0" fontId="12" fillId="9" borderId="26" applyNumberFormat="0" applyFont="0" applyAlignment="0" applyProtection="0"/>
    <xf numFmtId="0" fontId="32" fillId="3" borderId="2" applyNumberFormat="0" applyFont="0" applyAlignment="0" applyProtection="0"/>
    <xf numFmtId="0" fontId="32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5" fillId="0" borderId="0">
      <alignment horizontal="center"/>
    </xf>
    <xf numFmtId="37" fontId="8" fillId="0" borderId="0"/>
    <xf numFmtId="183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4" fontId="89" fillId="0" borderId="0" applyNumberFormat="0" applyFill="0" applyBorder="0" applyAlignment="0" applyProtection="0"/>
    <xf numFmtId="164" fontId="25" fillId="0" borderId="0">
      <alignment horizontal="center"/>
    </xf>
    <xf numFmtId="0" fontId="32" fillId="6" borderId="0" applyNumberFormat="0" applyFont="0" applyBorder="0" applyAlignment="0" applyProtection="0"/>
    <xf numFmtId="0" fontId="89" fillId="0" borderId="27"/>
    <xf numFmtId="2" fontId="90" fillId="35" borderId="6">
      <alignment horizontal="left"/>
    </xf>
    <xf numFmtId="0" fontId="91" fillId="11" borderId="28" applyNumberFormat="0" applyAlignment="0" applyProtection="0"/>
    <xf numFmtId="0" fontId="92" fillId="13" borderId="28" applyNumberFormat="0" applyAlignment="0" applyProtection="0"/>
    <xf numFmtId="0" fontId="93" fillId="15" borderId="28" applyNumberFormat="0" applyAlignment="0" applyProtection="0"/>
    <xf numFmtId="40" fontId="11" fillId="35" borderId="0">
      <alignment horizontal="right"/>
    </xf>
    <xf numFmtId="0" fontId="94" fillId="44" borderId="0">
      <alignment horizontal="center"/>
    </xf>
    <xf numFmtId="0" fontId="37" fillId="45" borderId="6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5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186" fontId="25" fillId="0" borderId="0">
      <alignment horizontal="center"/>
    </xf>
    <xf numFmtId="187" fontId="25" fillId="0" borderId="3">
      <alignment horizontal="center"/>
    </xf>
    <xf numFmtId="0" fontId="98" fillId="0" borderId="29" applyAlignment="0">
      <alignment horizontal="center"/>
    </xf>
    <xf numFmtId="0" fontId="99" fillId="43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30">
      <alignment horizontal="center"/>
    </xf>
    <xf numFmtId="0" fontId="46" fillId="0" borderId="0">
      <alignment vertical="top"/>
    </xf>
    <xf numFmtId="188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6" applyNumberFormat="0" applyBorder="0" applyAlignment="0"/>
    <xf numFmtId="189" fontId="101" fillId="0" borderId="0" applyNumberFormat="0" applyFill="0" applyBorder="0" applyAlignment="0" applyProtection="0">
      <alignment horizontal="left"/>
    </xf>
    <xf numFmtId="0" fontId="47" fillId="32" borderId="0">
      <alignment horizontal="left"/>
    </xf>
    <xf numFmtId="0" fontId="102" fillId="0" borderId="31"/>
    <xf numFmtId="187" fontId="22" fillId="9" borderId="0">
      <alignment horizontal="center"/>
    </xf>
    <xf numFmtId="187" fontId="103" fillId="9" borderId="0">
      <alignment horizontal="center"/>
    </xf>
    <xf numFmtId="187" fontId="22" fillId="10" borderId="0">
      <alignment horizontal="center"/>
    </xf>
    <xf numFmtId="0" fontId="22" fillId="9" borderId="0">
      <alignment horizontal="left"/>
    </xf>
    <xf numFmtId="0" fontId="104" fillId="0" borderId="0" applyFont="0" applyFill="0" applyBorder="0" applyAlignment="0" applyProtection="0"/>
    <xf numFmtId="190" fontId="26" fillId="0" borderId="0" applyFont="0" applyFill="0" applyBorder="0" applyAlignment="0" applyProtection="0"/>
    <xf numFmtId="191" fontId="8" fillId="0" borderId="0"/>
    <xf numFmtId="0" fontId="8" fillId="0" borderId="0"/>
    <xf numFmtId="0" fontId="8" fillId="0" borderId="0">
      <alignment horizontal="left" wrapText="1"/>
    </xf>
    <xf numFmtId="0" fontId="22" fillId="9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5" borderId="26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2" fontId="25" fillId="0" borderId="0">
      <alignment horizontal="center"/>
    </xf>
    <xf numFmtId="187" fontId="25" fillId="0" borderId="0">
      <alignment horizontal="center"/>
    </xf>
    <xf numFmtId="0" fontId="108" fillId="46" borderId="0"/>
    <xf numFmtId="193" fontId="25" fillId="0" borderId="0">
      <alignment horizontal="center"/>
    </xf>
    <xf numFmtId="193" fontId="25" fillId="0" borderId="32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1" borderId="0"/>
    <xf numFmtId="49" fontId="11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1" borderId="0"/>
    <xf numFmtId="0" fontId="32" fillId="47" borderId="33" applyBorder="0">
      <alignment horizontal="center" wrapText="1"/>
    </xf>
    <xf numFmtId="0" fontId="31" fillId="38" borderId="9" applyBorder="0">
      <alignment horizontal="center" wrapText="1"/>
    </xf>
    <xf numFmtId="0" fontId="32" fillId="48" borderId="9" applyBorder="0">
      <alignment horizontal="center" wrapText="1"/>
    </xf>
    <xf numFmtId="0" fontId="31" fillId="39" borderId="9" applyBorder="0">
      <alignment horizontal="center" wrapText="1"/>
    </xf>
    <xf numFmtId="0" fontId="7" fillId="49" borderId="9" applyBorder="0">
      <alignment horizontal="center" wrapText="1"/>
    </xf>
    <xf numFmtId="0" fontId="31" fillId="50" borderId="9" applyBorder="0">
      <alignment horizontal="center" wrapText="1"/>
    </xf>
    <xf numFmtId="0" fontId="31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34" applyNumberFormat="0" applyFill="0" applyAlignment="0" applyProtection="0"/>
    <xf numFmtId="0" fontId="19" fillId="0" borderId="35" applyNumberFormat="0" applyFill="0" applyAlignment="0" applyProtection="0"/>
    <xf numFmtId="0" fontId="8" fillId="0" borderId="36" applyNumberFormat="0" applyFill="0" applyAlignment="0" applyProtection="0"/>
    <xf numFmtId="0" fontId="117" fillId="0" borderId="37" applyNumberFormat="0" applyFill="0" applyAlignment="0" applyProtection="0"/>
    <xf numFmtId="0" fontId="118" fillId="11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0" borderId="10"/>
    <xf numFmtId="1" fontId="122" fillId="41" borderId="10"/>
    <xf numFmtId="2" fontId="123" fillId="41" borderId="10"/>
    <xf numFmtId="0" fontId="124" fillId="40" borderId="4" applyNumberFormat="0" applyAlignment="0"/>
    <xf numFmtId="0" fontId="125" fillId="41" borderId="4" applyNumberFormat="0" applyAlignment="0"/>
    <xf numFmtId="1" fontId="126" fillId="41" borderId="10" applyNumberFormat="0"/>
    <xf numFmtId="177" fontId="127" fillId="41" borderId="10" applyNumberFormat="0"/>
    <xf numFmtId="0" fontId="8" fillId="0" borderId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14" fontId="7" fillId="0" borderId="0" xfId="0" applyNumberFormat="1" applyFont="1"/>
    <xf numFmtId="14" fontId="7" fillId="0" borderId="38" xfId="0" applyNumberFormat="1" applyFont="1" applyBorder="1" applyAlignment="1">
      <alignment horizontal="center"/>
    </xf>
    <xf numFmtId="0" fontId="4" fillId="0" borderId="38" xfId="0" applyFont="1" applyBorder="1"/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128" fillId="0" borderId="0" xfId="0" applyFont="1"/>
    <xf numFmtId="0" fontId="4" fillId="0" borderId="41" xfId="0" applyFont="1" applyBorder="1" applyAlignment="1">
      <alignment horizontal="center"/>
    </xf>
    <xf numFmtId="0" fontId="129" fillId="0" borderId="0" xfId="0" applyFont="1"/>
    <xf numFmtId="0" fontId="7" fillId="0" borderId="0" xfId="0" applyFont="1"/>
    <xf numFmtId="0" fontId="7" fillId="0" borderId="0" xfId="0" applyFont="1" applyBorder="1" applyAlignment="1">
      <alignment horizontal="center"/>
    </xf>
    <xf numFmtId="0" fontId="7" fillId="6" borderId="43" xfId="0" applyFont="1" applyFill="1" applyBorder="1"/>
    <xf numFmtId="0" fontId="6" fillId="5" borderId="3" xfId="1" applyFont="1" applyBorder="1" applyAlignment="1">
      <alignment horizontal="left"/>
    </xf>
    <xf numFmtId="0" fontId="7" fillId="6" borderId="44" xfId="0" applyFont="1" applyFill="1" applyBorder="1"/>
    <xf numFmtId="0" fontId="7" fillId="0" borderId="42" xfId="0" applyFont="1" applyBorder="1"/>
    <xf numFmtId="0" fontId="0" fillId="0" borderId="0" xfId="0" applyBorder="1"/>
    <xf numFmtId="194" fontId="0" fillId="0" borderId="0" xfId="0" applyNumberFormat="1"/>
    <xf numFmtId="0" fontId="130" fillId="0" borderId="0" xfId="0" applyFont="1" applyAlignment="1"/>
    <xf numFmtId="0" fontId="130" fillId="0" borderId="0" xfId="0" applyFont="1"/>
    <xf numFmtId="0" fontId="7" fillId="0" borderId="46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6" borderId="47" xfId="0" applyFont="1" applyFill="1" applyBorder="1"/>
    <xf numFmtId="0" fontId="7" fillId="6" borderId="48" xfId="0" applyFont="1" applyFill="1" applyBorder="1"/>
    <xf numFmtId="0" fontId="7" fillId="6" borderId="49" xfId="0" applyFont="1" applyFill="1" applyBorder="1"/>
    <xf numFmtId="0" fontId="7" fillId="0" borderId="51" xfId="0" applyFont="1" applyBorder="1" applyAlignment="1">
      <alignment horizontal="center"/>
    </xf>
    <xf numFmtId="0" fontId="7" fillId="6" borderId="50" xfId="0" applyFont="1" applyFill="1" applyBorder="1" applyAlignment="1">
      <alignment horizontal="center"/>
    </xf>
    <xf numFmtId="0" fontId="7" fillId="6" borderId="39" xfId="0" applyFont="1" applyFill="1" applyBorder="1" applyAlignment="1">
      <alignment horizontal="center"/>
    </xf>
    <xf numFmtId="0" fontId="130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7" fillId="6" borderId="52" xfId="0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53" xfId="0" applyFont="1" applyBorder="1" applyAlignment="1">
      <alignment horizontal="center"/>
    </xf>
    <xf numFmtId="0" fontId="7" fillId="0" borderId="52" xfId="0" applyFont="1" applyBorder="1" applyAlignment="1">
      <alignment horizontal="center"/>
    </xf>
    <xf numFmtId="0" fontId="7" fillId="0" borderId="54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7" fillId="6" borderId="56" xfId="0" applyFont="1" applyFill="1" applyBorder="1" applyAlignment="1">
      <alignment horizontal="center"/>
    </xf>
    <xf numFmtId="0" fontId="7" fillId="6" borderId="53" xfId="0" applyFont="1" applyFill="1" applyBorder="1" applyAlignment="1">
      <alignment horizontal="center"/>
    </xf>
    <xf numFmtId="0" fontId="7" fillId="6" borderId="54" xfId="0" applyFont="1" applyFill="1" applyBorder="1" applyAlignment="1">
      <alignment horizontal="center"/>
    </xf>
    <xf numFmtId="0" fontId="7" fillId="0" borderId="45" xfId="0" applyFont="1" applyBorder="1"/>
  </cellXfs>
  <cellStyles count="525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7" xfId="324"/>
    <cellStyle name="Normal 11" xfId="325"/>
    <cellStyle name="Normal 11 2" xfId="326"/>
    <cellStyle name="Normal 12" xfId="327"/>
    <cellStyle name="Normal 13" xfId="32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5" xfId="384"/>
    <cellStyle name="Normal 6" xfId="385"/>
    <cellStyle name="Normal 6 2" xfId="386"/>
    <cellStyle name="Normal 7" xfId="387"/>
    <cellStyle name="Normal 7 2" xfId="388"/>
    <cellStyle name="Normal 8" xfId="389"/>
    <cellStyle name="Normal 88" xfId="390"/>
    <cellStyle name="Normal 9" xfId="391"/>
    <cellStyle name="Normal 9 2" xfId="392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303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numFmt numFmtId="194" formatCode="yyyy\-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B7A76"/>
      <color rgb="FF2E398A"/>
      <color rgb="FFC7732D"/>
      <color rgb="FF74B629"/>
      <color rgb="FFB3275C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ysClr val="windowText" lastClr="000000"/>
                </a:solidFill>
              </a:defRPr>
            </a:pPr>
            <a:r>
              <a:rPr lang="en-US" sz="1200">
                <a:solidFill>
                  <a:sysClr val="windowText" lastClr="000000"/>
                </a:solidFill>
              </a:rPr>
              <a:t>Time To Close - Long term</a:t>
            </a:r>
            <a:r>
              <a:rPr lang="en-US" sz="1200" baseline="0">
                <a:solidFill>
                  <a:sysClr val="windowText" lastClr="000000"/>
                </a:solidFill>
              </a:rPr>
              <a:t> Trend</a:t>
            </a:r>
            <a:endParaRPr lang="en-US" sz="1200">
              <a:solidFill>
                <a:sysClr val="windowText" lastClr="000000"/>
              </a:solidFill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Input!$D$18</c:f>
              <c:strCache>
                <c:ptCount val="1"/>
                <c:pt idx="0">
                  <c:v>All</c:v>
                </c:pt>
              </c:strCache>
            </c:strRef>
          </c:tx>
          <c:spPr>
            <a:ln w="19050" cmpd="sng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Input!$C$18:$C$100</c:f>
              <c:numCache>
                <c:formatCode>yyyy\-mm</c:formatCode>
                <c:ptCount val="83"/>
                <c:pt idx="1">
                  <c:v>43221</c:v>
                </c:pt>
                <c:pt idx="2">
                  <c:v>43191</c:v>
                </c:pt>
                <c:pt idx="3">
                  <c:v>43160</c:v>
                </c:pt>
                <c:pt idx="4">
                  <c:v>43132</c:v>
                </c:pt>
                <c:pt idx="5">
                  <c:v>43101</c:v>
                </c:pt>
                <c:pt idx="6">
                  <c:v>43070</c:v>
                </c:pt>
                <c:pt idx="7">
                  <c:v>43040</c:v>
                </c:pt>
                <c:pt idx="8">
                  <c:v>43009</c:v>
                </c:pt>
                <c:pt idx="9">
                  <c:v>42979</c:v>
                </c:pt>
                <c:pt idx="10">
                  <c:v>42948</c:v>
                </c:pt>
                <c:pt idx="11">
                  <c:v>42917</c:v>
                </c:pt>
                <c:pt idx="12">
                  <c:v>42887</c:v>
                </c:pt>
                <c:pt idx="13">
                  <c:v>42856</c:v>
                </c:pt>
                <c:pt idx="14">
                  <c:v>42826</c:v>
                </c:pt>
                <c:pt idx="15">
                  <c:v>42795</c:v>
                </c:pt>
                <c:pt idx="16">
                  <c:v>42767</c:v>
                </c:pt>
                <c:pt idx="17">
                  <c:v>42736</c:v>
                </c:pt>
                <c:pt idx="18">
                  <c:v>42705</c:v>
                </c:pt>
                <c:pt idx="19">
                  <c:v>42675</c:v>
                </c:pt>
                <c:pt idx="20">
                  <c:v>42644</c:v>
                </c:pt>
                <c:pt idx="21">
                  <c:v>42614</c:v>
                </c:pt>
                <c:pt idx="22">
                  <c:v>42583</c:v>
                </c:pt>
                <c:pt idx="23">
                  <c:v>42552</c:v>
                </c:pt>
                <c:pt idx="24">
                  <c:v>42522</c:v>
                </c:pt>
                <c:pt idx="25">
                  <c:v>42491</c:v>
                </c:pt>
                <c:pt idx="26">
                  <c:v>42461</c:v>
                </c:pt>
                <c:pt idx="27">
                  <c:v>42430</c:v>
                </c:pt>
                <c:pt idx="28">
                  <c:v>42401</c:v>
                </c:pt>
                <c:pt idx="29">
                  <c:v>42370</c:v>
                </c:pt>
                <c:pt idx="30">
                  <c:v>42339</c:v>
                </c:pt>
                <c:pt idx="31">
                  <c:v>42309</c:v>
                </c:pt>
                <c:pt idx="32">
                  <c:v>42278</c:v>
                </c:pt>
                <c:pt idx="33">
                  <c:v>42248</c:v>
                </c:pt>
                <c:pt idx="34">
                  <c:v>42217</c:v>
                </c:pt>
                <c:pt idx="35">
                  <c:v>42186</c:v>
                </c:pt>
                <c:pt idx="36">
                  <c:v>42156</c:v>
                </c:pt>
                <c:pt idx="37">
                  <c:v>42125</c:v>
                </c:pt>
                <c:pt idx="38">
                  <c:v>42095</c:v>
                </c:pt>
                <c:pt idx="39">
                  <c:v>42064</c:v>
                </c:pt>
                <c:pt idx="40">
                  <c:v>42036</c:v>
                </c:pt>
                <c:pt idx="41">
                  <c:v>42005</c:v>
                </c:pt>
                <c:pt idx="42">
                  <c:v>41974</c:v>
                </c:pt>
                <c:pt idx="43">
                  <c:v>41944</c:v>
                </c:pt>
                <c:pt idx="44">
                  <c:v>41913</c:v>
                </c:pt>
                <c:pt idx="45">
                  <c:v>41883</c:v>
                </c:pt>
                <c:pt idx="46">
                  <c:v>41852</c:v>
                </c:pt>
                <c:pt idx="47">
                  <c:v>41821</c:v>
                </c:pt>
                <c:pt idx="48">
                  <c:v>41791</c:v>
                </c:pt>
                <c:pt idx="49">
                  <c:v>41760</c:v>
                </c:pt>
                <c:pt idx="50">
                  <c:v>41730</c:v>
                </c:pt>
                <c:pt idx="51">
                  <c:v>41699</c:v>
                </c:pt>
                <c:pt idx="52">
                  <c:v>41671</c:v>
                </c:pt>
                <c:pt idx="53">
                  <c:v>41640</c:v>
                </c:pt>
                <c:pt idx="54">
                  <c:v>41609</c:v>
                </c:pt>
                <c:pt idx="55">
                  <c:v>41579</c:v>
                </c:pt>
                <c:pt idx="56">
                  <c:v>41548</c:v>
                </c:pt>
                <c:pt idx="57">
                  <c:v>41518</c:v>
                </c:pt>
                <c:pt idx="58">
                  <c:v>41487</c:v>
                </c:pt>
                <c:pt idx="59">
                  <c:v>41456</c:v>
                </c:pt>
                <c:pt idx="60">
                  <c:v>41426</c:v>
                </c:pt>
                <c:pt idx="61">
                  <c:v>41395</c:v>
                </c:pt>
                <c:pt idx="62">
                  <c:v>41365</c:v>
                </c:pt>
                <c:pt idx="63">
                  <c:v>41334</c:v>
                </c:pt>
                <c:pt idx="64">
                  <c:v>41306</c:v>
                </c:pt>
                <c:pt idx="65">
                  <c:v>41275</c:v>
                </c:pt>
                <c:pt idx="66">
                  <c:v>41244</c:v>
                </c:pt>
                <c:pt idx="67">
                  <c:v>41214</c:v>
                </c:pt>
                <c:pt idx="68">
                  <c:v>41183</c:v>
                </c:pt>
                <c:pt idx="69">
                  <c:v>41153</c:v>
                </c:pt>
                <c:pt idx="70">
                  <c:v>41122</c:v>
                </c:pt>
                <c:pt idx="71">
                  <c:v>41091</c:v>
                </c:pt>
                <c:pt idx="72">
                  <c:v>41061</c:v>
                </c:pt>
                <c:pt idx="73">
                  <c:v>41030</c:v>
                </c:pt>
                <c:pt idx="74">
                  <c:v>41000</c:v>
                </c:pt>
                <c:pt idx="75">
                  <c:v>40969</c:v>
                </c:pt>
                <c:pt idx="76">
                  <c:v>40940</c:v>
                </c:pt>
                <c:pt idx="77">
                  <c:v>40909</c:v>
                </c:pt>
                <c:pt idx="78">
                  <c:v>40878</c:v>
                </c:pt>
                <c:pt idx="79">
                  <c:v>40848</c:v>
                </c:pt>
                <c:pt idx="80">
                  <c:v>40817</c:v>
                </c:pt>
                <c:pt idx="81">
                  <c:v>40787</c:v>
                </c:pt>
                <c:pt idx="82">
                  <c:v>40756</c:v>
                </c:pt>
              </c:numCache>
            </c:numRef>
          </c:cat>
          <c:val>
            <c:numRef>
              <c:f>Input!$D$18:$D$100</c:f>
              <c:numCache>
                <c:formatCode>General</c:formatCode>
                <c:ptCount val="83"/>
                <c:pt idx="0">
                  <c:v>0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40</c:v>
                </c:pt>
                <c:pt idx="6">
                  <c:v>41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41</c:v>
                </c:pt>
                <c:pt idx="13">
                  <c:v>41</c:v>
                </c:pt>
                <c:pt idx="14">
                  <c:v>41</c:v>
                </c:pt>
                <c:pt idx="15">
                  <c:v>43</c:v>
                </c:pt>
                <c:pt idx="16">
                  <c:v>47</c:v>
                </c:pt>
                <c:pt idx="17">
                  <c:v>53</c:v>
                </c:pt>
                <c:pt idx="18">
                  <c:v>52</c:v>
                </c:pt>
                <c:pt idx="19">
                  <c:v>51</c:v>
                </c:pt>
                <c:pt idx="20">
                  <c:v>50</c:v>
                </c:pt>
                <c:pt idx="21">
                  <c:v>50</c:v>
                </c:pt>
                <c:pt idx="22">
                  <c:v>46</c:v>
                </c:pt>
                <c:pt idx="23">
                  <c:v>48</c:v>
                </c:pt>
                <c:pt idx="24">
                  <c:v>47</c:v>
                </c:pt>
                <c:pt idx="25">
                  <c:v>44</c:v>
                </c:pt>
                <c:pt idx="26">
                  <c:v>44</c:v>
                </c:pt>
                <c:pt idx="27">
                  <c:v>41</c:v>
                </c:pt>
                <c:pt idx="28">
                  <c:v>44</c:v>
                </c:pt>
                <c:pt idx="29">
                  <c:v>48</c:v>
                </c:pt>
                <c:pt idx="30">
                  <c:v>47</c:v>
                </c:pt>
                <c:pt idx="31">
                  <c:v>49</c:v>
                </c:pt>
                <c:pt idx="32">
                  <c:v>45</c:v>
                </c:pt>
                <c:pt idx="33">
                  <c:v>46</c:v>
                </c:pt>
                <c:pt idx="34">
                  <c:v>50</c:v>
                </c:pt>
                <c:pt idx="35">
                  <c:v>52</c:v>
                </c:pt>
                <c:pt idx="36">
                  <c:v>52</c:v>
                </c:pt>
                <c:pt idx="37">
                  <c:v>49</c:v>
                </c:pt>
                <c:pt idx="38">
                  <c:v>48</c:v>
                </c:pt>
                <c:pt idx="39">
                  <c:v>45</c:v>
                </c:pt>
                <c:pt idx="40">
                  <c:v>36</c:v>
                </c:pt>
                <c:pt idx="41">
                  <c:v>39</c:v>
                </c:pt>
                <c:pt idx="42">
                  <c:v>42</c:v>
                </c:pt>
                <c:pt idx="43">
                  <c:v>37</c:v>
                </c:pt>
                <c:pt idx="44">
                  <c:v>39</c:v>
                </c:pt>
                <c:pt idx="45">
                  <c:v>40</c:v>
                </c:pt>
                <c:pt idx="46">
                  <c:v>39</c:v>
                </c:pt>
                <c:pt idx="47">
                  <c:v>37</c:v>
                </c:pt>
                <c:pt idx="48">
                  <c:v>39</c:v>
                </c:pt>
                <c:pt idx="49">
                  <c:v>39</c:v>
                </c:pt>
                <c:pt idx="50">
                  <c:v>37</c:v>
                </c:pt>
                <c:pt idx="51">
                  <c:v>37</c:v>
                </c:pt>
                <c:pt idx="52">
                  <c:v>40</c:v>
                </c:pt>
                <c:pt idx="53">
                  <c:v>44</c:v>
                </c:pt>
                <c:pt idx="54">
                  <c:v>40</c:v>
                </c:pt>
                <c:pt idx="55">
                  <c:v>37</c:v>
                </c:pt>
                <c:pt idx="56">
                  <c:v>43</c:v>
                </c:pt>
                <c:pt idx="57">
                  <c:v>40</c:v>
                </c:pt>
                <c:pt idx="58">
                  <c:v>41</c:v>
                </c:pt>
                <c:pt idx="59">
                  <c:v>48</c:v>
                </c:pt>
                <c:pt idx="60">
                  <c:v>47</c:v>
                </c:pt>
                <c:pt idx="61">
                  <c:v>44</c:v>
                </c:pt>
                <c:pt idx="62">
                  <c:v>47</c:v>
                </c:pt>
                <c:pt idx="63">
                  <c:v>47</c:v>
                </c:pt>
                <c:pt idx="64">
                  <c:v>51</c:v>
                </c:pt>
                <c:pt idx="65">
                  <c:v>55</c:v>
                </c:pt>
                <c:pt idx="66">
                  <c:v>57</c:v>
                </c:pt>
                <c:pt idx="67">
                  <c:v>51</c:v>
                </c:pt>
                <c:pt idx="68">
                  <c:v>57</c:v>
                </c:pt>
                <c:pt idx="69">
                  <c:v>53</c:v>
                </c:pt>
                <c:pt idx="70">
                  <c:v>51</c:v>
                </c:pt>
                <c:pt idx="71">
                  <c:v>48</c:v>
                </c:pt>
                <c:pt idx="72">
                  <c:v>47</c:v>
                </c:pt>
                <c:pt idx="73">
                  <c:v>48</c:v>
                </c:pt>
                <c:pt idx="74">
                  <c:v>47</c:v>
                </c:pt>
                <c:pt idx="75">
                  <c:v>42</c:v>
                </c:pt>
                <c:pt idx="76">
                  <c:v>43</c:v>
                </c:pt>
                <c:pt idx="77">
                  <c:v>48</c:v>
                </c:pt>
                <c:pt idx="78">
                  <c:v>48</c:v>
                </c:pt>
                <c:pt idx="79">
                  <c:v>46</c:v>
                </c:pt>
                <c:pt idx="80">
                  <c:v>42</c:v>
                </c:pt>
                <c:pt idx="81">
                  <c:v>39</c:v>
                </c:pt>
                <c:pt idx="82">
                  <c:v>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Input!$E$18</c:f>
              <c:strCache>
                <c:ptCount val="1"/>
                <c:pt idx="0">
                  <c:v>Conventional</c:v>
                </c:pt>
              </c:strCache>
            </c:strRef>
          </c:tx>
          <c:spPr>
            <a:ln w="19050">
              <a:prstDash val="solid"/>
            </a:ln>
          </c:spPr>
          <c:marker>
            <c:symbol val="none"/>
          </c:marker>
          <c:cat>
            <c:numRef>
              <c:f>Input!$C$18:$C$100</c:f>
              <c:numCache>
                <c:formatCode>yyyy\-mm</c:formatCode>
                <c:ptCount val="83"/>
                <c:pt idx="1">
                  <c:v>43221</c:v>
                </c:pt>
                <c:pt idx="2">
                  <c:v>43191</c:v>
                </c:pt>
                <c:pt idx="3">
                  <c:v>43160</c:v>
                </c:pt>
                <c:pt idx="4">
                  <c:v>43132</c:v>
                </c:pt>
                <c:pt idx="5">
                  <c:v>43101</c:v>
                </c:pt>
                <c:pt idx="6">
                  <c:v>43070</c:v>
                </c:pt>
                <c:pt idx="7">
                  <c:v>43040</c:v>
                </c:pt>
                <c:pt idx="8">
                  <c:v>43009</c:v>
                </c:pt>
                <c:pt idx="9">
                  <c:v>42979</c:v>
                </c:pt>
                <c:pt idx="10">
                  <c:v>42948</c:v>
                </c:pt>
                <c:pt idx="11">
                  <c:v>42917</c:v>
                </c:pt>
                <c:pt idx="12">
                  <c:v>42887</c:v>
                </c:pt>
                <c:pt idx="13">
                  <c:v>42856</c:v>
                </c:pt>
                <c:pt idx="14">
                  <c:v>42826</c:v>
                </c:pt>
                <c:pt idx="15">
                  <c:v>42795</c:v>
                </c:pt>
                <c:pt idx="16">
                  <c:v>42767</c:v>
                </c:pt>
                <c:pt idx="17">
                  <c:v>42736</c:v>
                </c:pt>
                <c:pt idx="18">
                  <c:v>42705</c:v>
                </c:pt>
                <c:pt idx="19">
                  <c:v>42675</c:v>
                </c:pt>
                <c:pt idx="20">
                  <c:v>42644</c:v>
                </c:pt>
                <c:pt idx="21">
                  <c:v>42614</c:v>
                </c:pt>
                <c:pt idx="22">
                  <c:v>42583</c:v>
                </c:pt>
                <c:pt idx="23">
                  <c:v>42552</c:v>
                </c:pt>
                <c:pt idx="24">
                  <c:v>42522</c:v>
                </c:pt>
                <c:pt idx="25">
                  <c:v>42491</c:v>
                </c:pt>
                <c:pt idx="26">
                  <c:v>42461</c:v>
                </c:pt>
                <c:pt idx="27">
                  <c:v>42430</c:v>
                </c:pt>
                <c:pt idx="28">
                  <c:v>42401</c:v>
                </c:pt>
                <c:pt idx="29">
                  <c:v>42370</c:v>
                </c:pt>
                <c:pt idx="30">
                  <c:v>42339</c:v>
                </c:pt>
                <c:pt idx="31">
                  <c:v>42309</c:v>
                </c:pt>
                <c:pt idx="32">
                  <c:v>42278</c:v>
                </c:pt>
                <c:pt idx="33">
                  <c:v>42248</c:v>
                </c:pt>
                <c:pt idx="34">
                  <c:v>42217</c:v>
                </c:pt>
                <c:pt idx="35">
                  <c:v>42186</c:v>
                </c:pt>
                <c:pt idx="36">
                  <c:v>42156</c:v>
                </c:pt>
                <c:pt idx="37">
                  <c:v>42125</c:v>
                </c:pt>
                <c:pt idx="38">
                  <c:v>42095</c:v>
                </c:pt>
                <c:pt idx="39">
                  <c:v>42064</c:v>
                </c:pt>
                <c:pt idx="40">
                  <c:v>42036</c:v>
                </c:pt>
                <c:pt idx="41">
                  <c:v>42005</c:v>
                </c:pt>
                <c:pt idx="42">
                  <c:v>41974</c:v>
                </c:pt>
                <c:pt idx="43">
                  <c:v>41944</c:v>
                </c:pt>
                <c:pt idx="44">
                  <c:v>41913</c:v>
                </c:pt>
                <c:pt idx="45">
                  <c:v>41883</c:v>
                </c:pt>
                <c:pt idx="46">
                  <c:v>41852</c:v>
                </c:pt>
                <c:pt idx="47">
                  <c:v>41821</c:v>
                </c:pt>
                <c:pt idx="48">
                  <c:v>41791</c:v>
                </c:pt>
                <c:pt idx="49">
                  <c:v>41760</c:v>
                </c:pt>
                <c:pt idx="50">
                  <c:v>41730</c:v>
                </c:pt>
                <c:pt idx="51">
                  <c:v>41699</c:v>
                </c:pt>
                <c:pt idx="52">
                  <c:v>41671</c:v>
                </c:pt>
                <c:pt idx="53">
                  <c:v>41640</c:v>
                </c:pt>
                <c:pt idx="54">
                  <c:v>41609</c:v>
                </c:pt>
                <c:pt idx="55">
                  <c:v>41579</c:v>
                </c:pt>
                <c:pt idx="56">
                  <c:v>41548</c:v>
                </c:pt>
                <c:pt idx="57">
                  <c:v>41518</c:v>
                </c:pt>
                <c:pt idx="58">
                  <c:v>41487</c:v>
                </c:pt>
                <c:pt idx="59">
                  <c:v>41456</c:v>
                </c:pt>
                <c:pt idx="60">
                  <c:v>41426</c:v>
                </c:pt>
                <c:pt idx="61">
                  <c:v>41395</c:v>
                </c:pt>
                <c:pt idx="62">
                  <c:v>41365</c:v>
                </c:pt>
                <c:pt idx="63">
                  <c:v>41334</c:v>
                </c:pt>
                <c:pt idx="64">
                  <c:v>41306</c:v>
                </c:pt>
                <c:pt idx="65">
                  <c:v>41275</c:v>
                </c:pt>
                <c:pt idx="66">
                  <c:v>41244</c:v>
                </c:pt>
                <c:pt idx="67">
                  <c:v>41214</c:v>
                </c:pt>
                <c:pt idx="68">
                  <c:v>41183</c:v>
                </c:pt>
                <c:pt idx="69">
                  <c:v>41153</c:v>
                </c:pt>
                <c:pt idx="70">
                  <c:v>41122</c:v>
                </c:pt>
                <c:pt idx="71">
                  <c:v>41091</c:v>
                </c:pt>
                <c:pt idx="72">
                  <c:v>41061</c:v>
                </c:pt>
                <c:pt idx="73">
                  <c:v>41030</c:v>
                </c:pt>
                <c:pt idx="74">
                  <c:v>41000</c:v>
                </c:pt>
                <c:pt idx="75">
                  <c:v>40969</c:v>
                </c:pt>
                <c:pt idx="76">
                  <c:v>40940</c:v>
                </c:pt>
                <c:pt idx="77">
                  <c:v>40909</c:v>
                </c:pt>
                <c:pt idx="78">
                  <c:v>40878</c:v>
                </c:pt>
                <c:pt idx="79">
                  <c:v>40848</c:v>
                </c:pt>
                <c:pt idx="80">
                  <c:v>40817</c:v>
                </c:pt>
                <c:pt idx="81">
                  <c:v>40787</c:v>
                </c:pt>
                <c:pt idx="82">
                  <c:v>40756</c:v>
                </c:pt>
              </c:numCache>
            </c:numRef>
          </c:cat>
          <c:val>
            <c:numRef>
              <c:f>Input!$E$18:$E$100</c:f>
              <c:numCache>
                <c:formatCode>General</c:formatCode>
                <c:ptCount val="83"/>
                <c:pt idx="0">
                  <c:v>0</c:v>
                </c:pt>
                <c:pt idx="1">
                  <c:v>37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39</c:v>
                </c:pt>
                <c:pt idx="10">
                  <c:v>40</c:v>
                </c:pt>
                <c:pt idx="11">
                  <c:v>42</c:v>
                </c:pt>
                <c:pt idx="12">
                  <c:v>41</c:v>
                </c:pt>
                <c:pt idx="13">
                  <c:v>40</c:v>
                </c:pt>
                <c:pt idx="14">
                  <c:v>40</c:v>
                </c:pt>
                <c:pt idx="15">
                  <c:v>43</c:v>
                </c:pt>
                <c:pt idx="16">
                  <c:v>47</c:v>
                </c:pt>
                <c:pt idx="17">
                  <c:v>53</c:v>
                </c:pt>
                <c:pt idx="18">
                  <c:v>52</c:v>
                </c:pt>
                <c:pt idx="19">
                  <c:v>50</c:v>
                </c:pt>
                <c:pt idx="20">
                  <c:v>50</c:v>
                </c:pt>
                <c:pt idx="21">
                  <c:v>49</c:v>
                </c:pt>
                <c:pt idx="22">
                  <c:v>46</c:v>
                </c:pt>
                <c:pt idx="23">
                  <c:v>45</c:v>
                </c:pt>
                <c:pt idx="24">
                  <c:v>46</c:v>
                </c:pt>
                <c:pt idx="25">
                  <c:v>44</c:v>
                </c:pt>
                <c:pt idx="26">
                  <c:v>43</c:v>
                </c:pt>
                <c:pt idx="27">
                  <c:v>41</c:v>
                </c:pt>
                <c:pt idx="28">
                  <c:v>44</c:v>
                </c:pt>
                <c:pt idx="29">
                  <c:v>48</c:v>
                </c:pt>
                <c:pt idx="30">
                  <c:v>47</c:v>
                </c:pt>
                <c:pt idx="31">
                  <c:v>49</c:v>
                </c:pt>
                <c:pt idx="32">
                  <c:v>44</c:v>
                </c:pt>
                <c:pt idx="33">
                  <c:v>46</c:v>
                </c:pt>
                <c:pt idx="34">
                  <c:v>50</c:v>
                </c:pt>
                <c:pt idx="35">
                  <c:v>52</c:v>
                </c:pt>
                <c:pt idx="36">
                  <c:v>52</c:v>
                </c:pt>
                <c:pt idx="37">
                  <c:v>49</c:v>
                </c:pt>
                <c:pt idx="38">
                  <c:v>48</c:v>
                </c:pt>
                <c:pt idx="39">
                  <c:v>45</c:v>
                </c:pt>
                <c:pt idx="40">
                  <c:v>36</c:v>
                </c:pt>
                <c:pt idx="41">
                  <c:v>39</c:v>
                </c:pt>
                <c:pt idx="42">
                  <c:v>42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39</c:v>
                </c:pt>
                <c:pt idx="47">
                  <c:v>37</c:v>
                </c:pt>
                <c:pt idx="48">
                  <c:v>39</c:v>
                </c:pt>
                <c:pt idx="49">
                  <c:v>39</c:v>
                </c:pt>
                <c:pt idx="50">
                  <c:v>37</c:v>
                </c:pt>
                <c:pt idx="51">
                  <c:v>37</c:v>
                </c:pt>
                <c:pt idx="52">
                  <c:v>41</c:v>
                </c:pt>
                <c:pt idx="53">
                  <c:v>44</c:v>
                </c:pt>
                <c:pt idx="54">
                  <c:v>40</c:v>
                </c:pt>
                <c:pt idx="55">
                  <c:v>37</c:v>
                </c:pt>
                <c:pt idx="56">
                  <c:v>43</c:v>
                </c:pt>
                <c:pt idx="57">
                  <c:v>40</c:v>
                </c:pt>
                <c:pt idx="58">
                  <c:v>40</c:v>
                </c:pt>
                <c:pt idx="59">
                  <c:v>47</c:v>
                </c:pt>
                <c:pt idx="60">
                  <c:v>47</c:v>
                </c:pt>
                <c:pt idx="61">
                  <c:v>43</c:v>
                </c:pt>
                <c:pt idx="62">
                  <c:v>47</c:v>
                </c:pt>
                <c:pt idx="63">
                  <c:v>47</c:v>
                </c:pt>
                <c:pt idx="64">
                  <c:v>51</c:v>
                </c:pt>
                <c:pt idx="65">
                  <c:v>56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Input!$F$18</c:f>
              <c:strCache>
                <c:ptCount val="1"/>
                <c:pt idx="0">
                  <c:v>FHA</c:v>
                </c:pt>
              </c:strCache>
            </c:strRef>
          </c:tx>
          <c:spPr>
            <a:ln w="19050">
              <a:solidFill>
                <a:srgbClr val="1B7A76"/>
              </a:solidFill>
              <a:prstDash val="solid"/>
            </a:ln>
          </c:spPr>
          <c:marker>
            <c:symbol val="none"/>
          </c:marker>
          <c:cat>
            <c:numRef>
              <c:f>Input!$C$18:$C$100</c:f>
              <c:numCache>
                <c:formatCode>yyyy\-mm</c:formatCode>
                <c:ptCount val="83"/>
                <c:pt idx="1">
                  <c:v>43221</c:v>
                </c:pt>
                <c:pt idx="2">
                  <c:v>43191</c:v>
                </c:pt>
                <c:pt idx="3">
                  <c:v>43160</c:v>
                </c:pt>
                <c:pt idx="4">
                  <c:v>43132</c:v>
                </c:pt>
                <c:pt idx="5">
                  <c:v>43101</c:v>
                </c:pt>
                <c:pt idx="6">
                  <c:v>43070</c:v>
                </c:pt>
                <c:pt idx="7">
                  <c:v>43040</c:v>
                </c:pt>
                <c:pt idx="8">
                  <c:v>43009</c:v>
                </c:pt>
                <c:pt idx="9">
                  <c:v>42979</c:v>
                </c:pt>
                <c:pt idx="10">
                  <c:v>42948</c:v>
                </c:pt>
                <c:pt idx="11">
                  <c:v>42917</c:v>
                </c:pt>
                <c:pt idx="12">
                  <c:v>42887</c:v>
                </c:pt>
                <c:pt idx="13">
                  <c:v>42856</c:v>
                </c:pt>
                <c:pt idx="14">
                  <c:v>42826</c:v>
                </c:pt>
                <c:pt idx="15">
                  <c:v>42795</c:v>
                </c:pt>
                <c:pt idx="16">
                  <c:v>42767</c:v>
                </c:pt>
                <c:pt idx="17">
                  <c:v>42736</c:v>
                </c:pt>
                <c:pt idx="18">
                  <c:v>42705</c:v>
                </c:pt>
                <c:pt idx="19">
                  <c:v>42675</c:v>
                </c:pt>
                <c:pt idx="20">
                  <c:v>42644</c:v>
                </c:pt>
                <c:pt idx="21">
                  <c:v>42614</c:v>
                </c:pt>
                <c:pt idx="22">
                  <c:v>42583</c:v>
                </c:pt>
                <c:pt idx="23">
                  <c:v>42552</c:v>
                </c:pt>
                <c:pt idx="24">
                  <c:v>42522</c:v>
                </c:pt>
                <c:pt idx="25">
                  <c:v>42491</c:v>
                </c:pt>
                <c:pt idx="26">
                  <c:v>42461</c:v>
                </c:pt>
                <c:pt idx="27">
                  <c:v>42430</c:v>
                </c:pt>
                <c:pt idx="28">
                  <c:v>42401</c:v>
                </c:pt>
                <c:pt idx="29">
                  <c:v>42370</c:v>
                </c:pt>
                <c:pt idx="30">
                  <c:v>42339</c:v>
                </c:pt>
                <c:pt idx="31">
                  <c:v>42309</c:v>
                </c:pt>
                <c:pt idx="32">
                  <c:v>42278</c:v>
                </c:pt>
                <c:pt idx="33">
                  <c:v>42248</c:v>
                </c:pt>
                <c:pt idx="34">
                  <c:v>42217</c:v>
                </c:pt>
                <c:pt idx="35">
                  <c:v>42186</c:v>
                </c:pt>
                <c:pt idx="36">
                  <c:v>42156</c:v>
                </c:pt>
                <c:pt idx="37">
                  <c:v>42125</c:v>
                </c:pt>
                <c:pt idx="38">
                  <c:v>42095</c:v>
                </c:pt>
                <c:pt idx="39">
                  <c:v>42064</c:v>
                </c:pt>
                <c:pt idx="40">
                  <c:v>42036</c:v>
                </c:pt>
                <c:pt idx="41">
                  <c:v>42005</c:v>
                </c:pt>
                <c:pt idx="42">
                  <c:v>41974</c:v>
                </c:pt>
                <c:pt idx="43">
                  <c:v>41944</c:v>
                </c:pt>
                <c:pt idx="44">
                  <c:v>41913</c:v>
                </c:pt>
                <c:pt idx="45">
                  <c:v>41883</c:v>
                </c:pt>
                <c:pt idx="46">
                  <c:v>41852</c:v>
                </c:pt>
                <c:pt idx="47">
                  <c:v>41821</c:v>
                </c:pt>
                <c:pt idx="48">
                  <c:v>41791</c:v>
                </c:pt>
                <c:pt idx="49">
                  <c:v>41760</c:v>
                </c:pt>
                <c:pt idx="50">
                  <c:v>41730</c:v>
                </c:pt>
                <c:pt idx="51">
                  <c:v>41699</c:v>
                </c:pt>
                <c:pt idx="52">
                  <c:v>41671</c:v>
                </c:pt>
                <c:pt idx="53">
                  <c:v>41640</c:v>
                </c:pt>
                <c:pt idx="54">
                  <c:v>41609</c:v>
                </c:pt>
                <c:pt idx="55">
                  <c:v>41579</c:v>
                </c:pt>
                <c:pt idx="56">
                  <c:v>41548</c:v>
                </c:pt>
                <c:pt idx="57">
                  <c:v>41518</c:v>
                </c:pt>
                <c:pt idx="58">
                  <c:v>41487</c:v>
                </c:pt>
                <c:pt idx="59">
                  <c:v>41456</c:v>
                </c:pt>
                <c:pt idx="60">
                  <c:v>41426</c:v>
                </c:pt>
                <c:pt idx="61">
                  <c:v>41395</c:v>
                </c:pt>
                <c:pt idx="62">
                  <c:v>41365</c:v>
                </c:pt>
                <c:pt idx="63">
                  <c:v>41334</c:v>
                </c:pt>
                <c:pt idx="64">
                  <c:v>41306</c:v>
                </c:pt>
                <c:pt idx="65">
                  <c:v>41275</c:v>
                </c:pt>
                <c:pt idx="66">
                  <c:v>41244</c:v>
                </c:pt>
                <c:pt idx="67">
                  <c:v>41214</c:v>
                </c:pt>
                <c:pt idx="68">
                  <c:v>41183</c:v>
                </c:pt>
                <c:pt idx="69">
                  <c:v>41153</c:v>
                </c:pt>
                <c:pt idx="70">
                  <c:v>41122</c:v>
                </c:pt>
                <c:pt idx="71">
                  <c:v>41091</c:v>
                </c:pt>
                <c:pt idx="72">
                  <c:v>41061</c:v>
                </c:pt>
                <c:pt idx="73">
                  <c:v>41030</c:v>
                </c:pt>
                <c:pt idx="74">
                  <c:v>41000</c:v>
                </c:pt>
                <c:pt idx="75">
                  <c:v>40969</c:v>
                </c:pt>
                <c:pt idx="76">
                  <c:v>40940</c:v>
                </c:pt>
                <c:pt idx="77">
                  <c:v>40909</c:v>
                </c:pt>
                <c:pt idx="78">
                  <c:v>40878</c:v>
                </c:pt>
                <c:pt idx="79">
                  <c:v>40848</c:v>
                </c:pt>
                <c:pt idx="80">
                  <c:v>40817</c:v>
                </c:pt>
                <c:pt idx="81">
                  <c:v>40787</c:v>
                </c:pt>
                <c:pt idx="82">
                  <c:v>40756</c:v>
                </c:pt>
              </c:numCache>
            </c:numRef>
          </c:cat>
          <c:val>
            <c:numRef>
              <c:f>Input!$F$18:$F$100</c:f>
              <c:numCache>
                <c:formatCode>General</c:formatCode>
                <c:ptCount val="83"/>
                <c:pt idx="0">
                  <c:v>0</c:v>
                </c:pt>
                <c:pt idx="1">
                  <c:v>37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42</c:v>
                </c:pt>
                <c:pt idx="6">
                  <c:v>43</c:v>
                </c:pt>
                <c:pt idx="7">
                  <c:v>41</c:v>
                </c:pt>
                <c:pt idx="8">
                  <c:v>42</c:v>
                </c:pt>
                <c:pt idx="9">
                  <c:v>41</c:v>
                </c:pt>
                <c:pt idx="10">
                  <c:v>41</c:v>
                </c:pt>
                <c:pt idx="11">
                  <c:v>43</c:v>
                </c:pt>
                <c:pt idx="12">
                  <c:v>41</c:v>
                </c:pt>
                <c:pt idx="13">
                  <c:v>42</c:v>
                </c:pt>
                <c:pt idx="14">
                  <c:v>42</c:v>
                </c:pt>
                <c:pt idx="15">
                  <c:v>44</c:v>
                </c:pt>
                <c:pt idx="16">
                  <c:v>46</c:v>
                </c:pt>
                <c:pt idx="17">
                  <c:v>58</c:v>
                </c:pt>
                <c:pt idx="18">
                  <c:v>51</c:v>
                </c:pt>
                <c:pt idx="19">
                  <c:v>52</c:v>
                </c:pt>
                <c:pt idx="20">
                  <c:v>51</c:v>
                </c:pt>
                <c:pt idx="21">
                  <c:v>51</c:v>
                </c:pt>
                <c:pt idx="22">
                  <c:v>49</c:v>
                </c:pt>
                <c:pt idx="23">
                  <c:v>49</c:v>
                </c:pt>
                <c:pt idx="24">
                  <c:v>47</c:v>
                </c:pt>
                <c:pt idx="25">
                  <c:v>45</c:v>
                </c:pt>
                <c:pt idx="26">
                  <c:v>44</c:v>
                </c:pt>
                <c:pt idx="27">
                  <c:v>42</c:v>
                </c:pt>
                <c:pt idx="28">
                  <c:v>43</c:v>
                </c:pt>
                <c:pt idx="29">
                  <c:v>47</c:v>
                </c:pt>
                <c:pt idx="30">
                  <c:v>45</c:v>
                </c:pt>
                <c:pt idx="31">
                  <c:v>47</c:v>
                </c:pt>
                <c:pt idx="32">
                  <c:v>45</c:v>
                </c:pt>
                <c:pt idx="33">
                  <c:v>48</c:v>
                </c:pt>
                <c:pt idx="34">
                  <c:v>50</c:v>
                </c:pt>
                <c:pt idx="35">
                  <c:v>53</c:v>
                </c:pt>
                <c:pt idx="36">
                  <c:v>53</c:v>
                </c:pt>
                <c:pt idx="37">
                  <c:v>49</c:v>
                </c:pt>
                <c:pt idx="38">
                  <c:v>47</c:v>
                </c:pt>
                <c:pt idx="39">
                  <c:v>43</c:v>
                </c:pt>
                <c:pt idx="40">
                  <c:v>33</c:v>
                </c:pt>
                <c:pt idx="41">
                  <c:v>42</c:v>
                </c:pt>
                <c:pt idx="42">
                  <c:v>44</c:v>
                </c:pt>
                <c:pt idx="43">
                  <c:v>37</c:v>
                </c:pt>
                <c:pt idx="44">
                  <c:v>44</c:v>
                </c:pt>
                <c:pt idx="45">
                  <c:v>44</c:v>
                </c:pt>
                <c:pt idx="46">
                  <c:v>40</c:v>
                </c:pt>
                <c:pt idx="47">
                  <c:v>39</c:v>
                </c:pt>
                <c:pt idx="48">
                  <c:v>42</c:v>
                </c:pt>
                <c:pt idx="49">
                  <c:v>39</c:v>
                </c:pt>
                <c:pt idx="50">
                  <c:v>37</c:v>
                </c:pt>
                <c:pt idx="51">
                  <c:v>37</c:v>
                </c:pt>
                <c:pt idx="52">
                  <c:v>39</c:v>
                </c:pt>
                <c:pt idx="53">
                  <c:v>43</c:v>
                </c:pt>
                <c:pt idx="54">
                  <c:v>39</c:v>
                </c:pt>
                <c:pt idx="55">
                  <c:v>38</c:v>
                </c:pt>
                <c:pt idx="56">
                  <c:v>55</c:v>
                </c:pt>
                <c:pt idx="57">
                  <c:v>49</c:v>
                </c:pt>
                <c:pt idx="58">
                  <c:v>51</c:v>
                </c:pt>
                <c:pt idx="59">
                  <c:v>58</c:v>
                </c:pt>
                <c:pt idx="60">
                  <c:v>53</c:v>
                </c:pt>
                <c:pt idx="61">
                  <c:v>50</c:v>
                </c:pt>
                <c:pt idx="62">
                  <c:v>49</c:v>
                </c:pt>
                <c:pt idx="63">
                  <c:v>49</c:v>
                </c:pt>
                <c:pt idx="64">
                  <c:v>51</c:v>
                </c:pt>
                <c:pt idx="65">
                  <c:v>55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Input!$G$18</c:f>
              <c:strCache>
                <c:ptCount val="1"/>
                <c:pt idx="0">
                  <c:v>VA</c:v>
                </c:pt>
              </c:strCache>
            </c:strRef>
          </c:tx>
          <c:spPr>
            <a:ln w="19050">
              <a:solidFill>
                <a:srgbClr val="C7732D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</c:dPt>
          <c:dPt>
            <c:idx val="6"/>
            <c:bubble3D val="0"/>
          </c:dPt>
          <c:cat>
            <c:numRef>
              <c:f>Input!$C$18:$C$100</c:f>
              <c:numCache>
                <c:formatCode>yyyy\-mm</c:formatCode>
                <c:ptCount val="83"/>
                <c:pt idx="1">
                  <c:v>43221</c:v>
                </c:pt>
                <c:pt idx="2">
                  <c:v>43191</c:v>
                </c:pt>
                <c:pt idx="3">
                  <c:v>43160</c:v>
                </c:pt>
                <c:pt idx="4">
                  <c:v>43132</c:v>
                </c:pt>
                <c:pt idx="5">
                  <c:v>43101</c:v>
                </c:pt>
                <c:pt idx="6">
                  <c:v>43070</c:v>
                </c:pt>
                <c:pt idx="7">
                  <c:v>43040</c:v>
                </c:pt>
                <c:pt idx="8">
                  <c:v>43009</c:v>
                </c:pt>
                <c:pt idx="9">
                  <c:v>42979</c:v>
                </c:pt>
                <c:pt idx="10">
                  <c:v>42948</c:v>
                </c:pt>
                <c:pt idx="11">
                  <c:v>42917</c:v>
                </c:pt>
                <c:pt idx="12">
                  <c:v>42887</c:v>
                </c:pt>
                <c:pt idx="13">
                  <c:v>42856</c:v>
                </c:pt>
                <c:pt idx="14">
                  <c:v>42826</c:v>
                </c:pt>
                <c:pt idx="15">
                  <c:v>42795</c:v>
                </c:pt>
                <c:pt idx="16">
                  <c:v>42767</c:v>
                </c:pt>
                <c:pt idx="17">
                  <c:v>42736</c:v>
                </c:pt>
                <c:pt idx="18">
                  <c:v>42705</c:v>
                </c:pt>
                <c:pt idx="19">
                  <c:v>42675</c:v>
                </c:pt>
                <c:pt idx="20">
                  <c:v>42644</c:v>
                </c:pt>
                <c:pt idx="21">
                  <c:v>42614</c:v>
                </c:pt>
                <c:pt idx="22">
                  <c:v>42583</c:v>
                </c:pt>
                <c:pt idx="23">
                  <c:v>42552</c:v>
                </c:pt>
                <c:pt idx="24">
                  <c:v>42522</c:v>
                </c:pt>
                <c:pt idx="25">
                  <c:v>42491</c:v>
                </c:pt>
                <c:pt idx="26">
                  <c:v>42461</c:v>
                </c:pt>
                <c:pt idx="27">
                  <c:v>42430</c:v>
                </c:pt>
                <c:pt idx="28">
                  <c:v>42401</c:v>
                </c:pt>
                <c:pt idx="29">
                  <c:v>42370</c:v>
                </c:pt>
                <c:pt idx="30">
                  <c:v>42339</c:v>
                </c:pt>
                <c:pt idx="31">
                  <c:v>42309</c:v>
                </c:pt>
                <c:pt idx="32">
                  <c:v>42278</c:v>
                </c:pt>
                <c:pt idx="33">
                  <c:v>42248</c:v>
                </c:pt>
                <c:pt idx="34">
                  <c:v>42217</c:v>
                </c:pt>
                <c:pt idx="35">
                  <c:v>42186</c:v>
                </c:pt>
                <c:pt idx="36">
                  <c:v>42156</c:v>
                </c:pt>
                <c:pt idx="37">
                  <c:v>42125</c:v>
                </c:pt>
                <c:pt idx="38">
                  <c:v>42095</c:v>
                </c:pt>
                <c:pt idx="39">
                  <c:v>42064</c:v>
                </c:pt>
                <c:pt idx="40">
                  <c:v>42036</c:v>
                </c:pt>
                <c:pt idx="41">
                  <c:v>42005</c:v>
                </c:pt>
                <c:pt idx="42">
                  <c:v>41974</c:v>
                </c:pt>
                <c:pt idx="43">
                  <c:v>41944</c:v>
                </c:pt>
                <c:pt idx="44">
                  <c:v>41913</c:v>
                </c:pt>
                <c:pt idx="45">
                  <c:v>41883</c:v>
                </c:pt>
                <c:pt idx="46">
                  <c:v>41852</c:v>
                </c:pt>
                <c:pt idx="47">
                  <c:v>41821</c:v>
                </c:pt>
                <c:pt idx="48">
                  <c:v>41791</c:v>
                </c:pt>
                <c:pt idx="49">
                  <c:v>41760</c:v>
                </c:pt>
                <c:pt idx="50">
                  <c:v>41730</c:v>
                </c:pt>
                <c:pt idx="51">
                  <c:v>41699</c:v>
                </c:pt>
                <c:pt idx="52">
                  <c:v>41671</c:v>
                </c:pt>
                <c:pt idx="53">
                  <c:v>41640</c:v>
                </c:pt>
                <c:pt idx="54">
                  <c:v>41609</c:v>
                </c:pt>
                <c:pt idx="55">
                  <c:v>41579</c:v>
                </c:pt>
                <c:pt idx="56">
                  <c:v>41548</c:v>
                </c:pt>
                <c:pt idx="57">
                  <c:v>41518</c:v>
                </c:pt>
                <c:pt idx="58">
                  <c:v>41487</c:v>
                </c:pt>
                <c:pt idx="59">
                  <c:v>41456</c:v>
                </c:pt>
                <c:pt idx="60">
                  <c:v>41426</c:v>
                </c:pt>
                <c:pt idx="61">
                  <c:v>41395</c:v>
                </c:pt>
                <c:pt idx="62">
                  <c:v>41365</c:v>
                </c:pt>
                <c:pt idx="63">
                  <c:v>41334</c:v>
                </c:pt>
                <c:pt idx="64">
                  <c:v>41306</c:v>
                </c:pt>
                <c:pt idx="65">
                  <c:v>41275</c:v>
                </c:pt>
                <c:pt idx="66">
                  <c:v>41244</c:v>
                </c:pt>
                <c:pt idx="67">
                  <c:v>41214</c:v>
                </c:pt>
                <c:pt idx="68">
                  <c:v>41183</c:v>
                </c:pt>
                <c:pt idx="69">
                  <c:v>41153</c:v>
                </c:pt>
                <c:pt idx="70">
                  <c:v>41122</c:v>
                </c:pt>
                <c:pt idx="71">
                  <c:v>41091</c:v>
                </c:pt>
                <c:pt idx="72">
                  <c:v>41061</c:v>
                </c:pt>
                <c:pt idx="73">
                  <c:v>41030</c:v>
                </c:pt>
                <c:pt idx="74">
                  <c:v>41000</c:v>
                </c:pt>
                <c:pt idx="75">
                  <c:v>40969</c:v>
                </c:pt>
                <c:pt idx="76">
                  <c:v>40940</c:v>
                </c:pt>
                <c:pt idx="77">
                  <c:v>40909</c:v>
                </c:pt>
                <c:pt idx="78">
                  <c:v>40878</c:v>
                </c:pt>
                <c:pt idx="79">
                  <c:v>40848</c:v>
                </c:pt>
                <c:pt idx="80">
                  <c:v>40817</c:v>
                </c:pt>
                <c:pt idx="81">
                  <c:v>40787</c:v>
                </c:pt>
                <c:pt idx="82">
                  <c:v>40756</c:v>
                </c:pt>
              </c:numCache>
            </c:numRef>
          </c:cat>
          <c:val>
            <c:numRef>
              <c:f>Input!$G$18:$G$100</c:f>
              <c:numCache>
                <c:formatCode>General</c:formatCode>
                <c:ptCount val="83"/>
                <c:pt idx="0">
                  <c:v>0</c:v>
                </c:pt>
                <c:pt idx="1">
                  <c:v>43</c:v>
                </c:pt>
                <c:pt idx="2">
                  <c:v>44</c:v>
                </c:pt>
                <c:pt idx="3">
                  <c:v>45</c:v>
                </c:pt>
                <c:pt idx="4">
                  <c:v>46</c:v>
                </c:pt>
                <c:pt idx="5">
                  <c:v>49</c:v>
                </c:pt>
                <c:pt idx="6">
                  <c:v>49</c:v>
                </c:pt>
                <c:pt idx="7">
                  <c:v>47</c:v>
                </c:pt>
                <c:pt idx="8">
                  <c:v>47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  <c:pt idx="12">
                  <c:v>48</c:v>
                </c:pt>
                <c:pt idx="13">
                  <c:v>45</c:v>
                </c:pt>
                <c:pt idx="14">
                  <c:v>45</c:v>
                </c:pt>
                <c:pt idx="15">
                  <c:v>46</c:v>
                </c:pt>
                <c:pt idx="16">
                  <c:v>50</c:v>
                </c:pt>
                <c:pt idx="17">
                  <c:v>58</c:v>
                </c:pt>
                <c:pt idx="18">
                  <c:v>58</c:v>
                </c:pt>
                <c:pt idx="19">
                  <c:v>57</c:v>
                </c:pt>
                <c:pt idx="20">
                  <c:v>57</c:v>
                </c:pt>
                <c:pt idx="21">
                  <c:v>56</c:v>
                </c:pt>
                <c:pt idx="22">
                  <c:v>56</c:v>
                </c:pt>
                <c:pt idx="23">
                  <c:v>54</c:v>
                </c:pt>
                <c:pt idx="24">
                  <c:v>57</c:v>
                </c:pt>
                <c:pt idx="25">
                  <c:v>56</c:v>
                </c:pt>
                <c:pt idx="26">
                  <c:v>54</c:v>
                </c:pt>
                <c:pt idx="27">
                  <c:v>51</c:v>
                </c:pt>
                <c:pt idx="28">
                  <c:v>53</c:v>
                </c:pt>
                <c:pt idx="29">
                  <c:v>58</c:v>
                </c:pt>
                <c:pt idx="30">
                  <c:v>56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54</c:v>
                </c:pt>
                <c:pt idx="35">
                  <c:v>56</c:v>
                </c:pt>
                <c:pt idx="36">
                  <c:v>54</c:v>
                </c:pt>
                <c:pt idx="37">
                  <c:v>51</c:v>
                </c:pt>
                <c:pt idx="38">
                  <c:v>49</c:v>
                </c:pt>
                <c:pt idx="39">
                  <c:v>48</c:v>
                </c:pt>
                <c:pt idx="40">
                  <c:v>37</c:v>
                </c:pt>
                <c:pt idx="41">
                  <c:v>38</c:v>
                </c:pt>
                <c:pt idx="42">
                  <c:v>42</c:v>
                </c:pt>
                <c:pt idx="43">
                  <c:v>39</c:v>
                </c:pt>
                <c:pt idx="44">
                  <c:v>46</c:v>
                </c:pt>
                <c:pt idx="45">
                  <c:v>44</c:v>
                </c:pt>
                <c:pt idx="46">
                  <c:v>41</c:v>
                </c:pt>
                <c:pt idx="47">
                  <c:v>36</c:v>
                </c:pt>
                <c:pt idx="48">
                  <c:v>41</c:v>
                </c:pt>
                <c:pt idx="49">
                  <c:v>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984648"/>
        <c:axId val="294985040"/>
      </c:lineChart>
      <c:dateAx>
        <c:axId val="294984648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294985040"/>
        <c:crossesAt val="30"/>
        <c:auto val="1"/>
        <c:lblOffset val="100"/>
        <c:baseTimeUnit val="months"/>
        <c:majorUnit val="6"/>
      </c:dateAx>
      <c:valAx>
        <c:axId val="294985040"/>
        <c:scaling>
          <c:orientation val="minMax"/>
          <c:min val="3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4984648"/>
        <c:crossesAt val="1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Time To Close - One Month Changes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'Short Term'!$D$4</c:f>
              <c:strCache>
                <c:ptCount val="1"/>
                <c:pt idx="0">
                  <c:v>All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'Short Term'!$C$5:$C$15</c:f>
              <c:numCache>
                <c:formatCode>m/d/yyyy</c:formatCode>
                <c:ptCount val="11"/>
                <c:pt idx="0">
                  <c:v>43101</c:v>
                </c:pt>
                <c:pt idx="1">
                  <c:v>43070</c:v>
                </c:pt>
                <c:pt idx="2">
                  <c:v>43040</c:v>
                </c:pt>
                <c:pt idx="3">
                  <c:v>43009</c:v>
                </c:pt>
                <c:pt idx="4">
                  <c:v>42979</c:v>
                </c:pt>
                <c:pt idx="5">
                  <c:v>42948</c:v>
                </c:pt>
                <c:pt idx="6">
                  <c:v>42917</c:v>
                </c:pt>
                <c:pt idx="7">
                  <c:v>42887</c:v>
                </c:pt>
                <c:pt idx="8">
                  <c:v>42856</c:v>
                </c:pt>
                <c:pt idx="9">
                  <c:v>42826</c:v>
                </c:pt>
                <c:pt idx="10">
                  <c:v>42795</c:v>
                </c:pt>
              </c:numCache>
            </c:numRef>
          </c:cat>
          <c:val>
            <c:numRef>
              <c:f>'Short Term'!$D$5:$D$15</c:f>
              <c:numCache>
                <c:formatCode>General</c:formatCode>
                <c:ptCount val="11"/>
                <c:pt idx="0">
                  <c:v>-1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-2</c:v>
                </c:pt>
                <c:pt idx="10">
                  <c:v>-4</c:v>
                </c:pt>
              </c:numCache>
            </c:numRef>
          </c:val>
        </c:ser>
        <c:ser>
          <c:idx val="1"/>
          <c:order val="1"/>
          <c:tx>
            <c:strRef>
              <c:f>'Short Term'!$E$4</c:f>
              <c:strCache>
                <c:ptCount val="1"/>
                <c:pt idx="0">
                  <c:v>Conventional</c:v>
                </c:pt>
              </c:strCache>
            </c:strRef>
          </c:tx>
          <c:spPr>
            <a:solidFill>
              <a:srgbClr val="B3275C"/>
            </a:solidFill>
          </c:spPr>
          <c:invertIfNegative val="0"/>
          <c:cat>
            <c:numRef>
              <c:f>'Short Term'!$C$5:$C$15</c:f>
              <c:numCache>
                <c:formatCode>m/d/yyyy</c:formatCode>
                <c:ptCount val="11"/>
                <c:pt idx="0">
                  <c:v>43101</c:v>
                </c:pt>
                <c:pt idx="1">
                  <c:v>43070</c:v>
                </c:pt>
                <c:pt idx="2">
                  <c:v>43040</c:v>
                </c:pt>
                <c:pt idx="3">
                  <c:v>43009</c:v>
                </c:pt>
                <c:pt idx="4">
                  <c:v>42979</c:v>
                </c:pt>
                <c:pt idx="5">
                  <c:v>42948</c:v>
                </c:pt>
                <c:pt idx="6">
                  <c:v>42917</c:v>
                </c:pt>
                <c:pt idx="7">
                  <c:v>42887</c:v>
                </c:pt>
                <c:pt idx="8">
                  <c:v>42856</c:v>
                </c:pt>
                <c:pt idx="9">
                  <c:v>42826</c:v>
                </c:pt>
                <c:pt idx="10">
                  <c:v>42795</c:v>
                </c:pt>
              </c:numCache>
            </c:numRef>
          </c:cat>
          <c:val>
            <c:numRef>
              <c:f>'Short Term'!$E$5:$E$15</c:f>
              <c:numCache>
                <c:formatCode>General</c:formatCode>
                <c:ptCount val="11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-1</c:v>
                </c:pt>
                <c:pt idx="5">
                  <c:v>-2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</c:v>
                </c:pt>
                <c:pt idx="10">
                  <c:v>-4</c:v>
                </c:pt>
              </c:numCache>
            </c:numRef>
          </c:val>
        </c:ser>
        <c:ser>
          <c:idx val="2"/>
          <c:order val="2"/>
          <c:tx>
            <c:strRef>
              <c:f>'Short Term'!$F$4</c:f>
              <c:strCache>
                <c:ptCount val="1"/>
                <c:pt idx="0">
                  <c:v>FHA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'Short Term'!$C$5:$C$15</c:f>
              <c:numCache>
                <c:formatCode>m/d/yyyy</c:formatCode>
                <c:ptCount val="11"/>
                <c:pt idx="0">
                  <c:v>43101</c:v>
                </c:pt>
                <c:pt idx="1">
                  <c:v>43070</c:v>
                </c:pt>
                <c:pt idx="2">
                  <c:v>43040</c:v>
                </c:pt>
                <c:pt idx="3">
                  <c:v>43009</c:v>
                </c:pt>
                <c:pt idx="4">
                  <c:v>42979</c:v>
                </c:pt>
                <c:pt idx="5">
                  <c:v>42948</c:v>
                </c:pt>
                <c:pt idx="6">
                  <c:v>42917</c:v>
                </c:pt>
                <c:pt idx="7">
                  <c:v>42887</c:v>
                </c:pt>
                <c:pt idx="8">
                  <c:v>42856</c:v>
                </c:pt>
                <c:pt idx="9">
                  <c:v>42826</c:v>
                </c:pt>
                <c:pt idx="10">
                  <c:v>42795</c:v>
                </c:pt>
              </c:numCache>
            </c:numRef>
          </c:cat>
          <c:val>
            <c:numRef>
              <c:f>'Short Term'!$F$5:$F$15</c:f>
              <c:numCache>
                <c:formatCode>General</c:formatCode>
                <c:ptCount val="11"/>
                <c:pt idx="0">
                  <c:v>-1</c:v>
                </c:pt>
                <c:pt idx="1">
                  <c:v>2</c:v>
                </c:pt>
                <c:pt idx="2">
                  <c:v>-1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2</c:v>
                </c:pt>
                <c:pt idx="7">
                  <c:v>-1</c:v>
                </c:pt>
                <c:pt idx="8">
                  <c:v>0</c:v>
                </c:pt>
                <c:pt idx="9">
                  <c:v>-2</c:v>
                </c:pt>
                <c:pt idx="10">
                  <c:v>-2</c:v>
                </c:pt>
              </c:numCache>
            </c:numRef>
          </c:val>
        </c:ser>
        <c:ser>
          <c:idx val="3"/>
          <c:order val="3"/>
          <c:tx>
            <c:strRef>
              <c:f>'Short Term'!$G$4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C7732D"/>
            </a:solidFill>
          </c:spPr>
          <c:invertIfNegative val="0"/>
          <c:cat>
            <c:numRef>
              <c:f>'Short Term'!$C$5:$C$15</c:f>
              <c:numCache>
                <c:formatCode>m/d/yyyy</c:formatCode>
                <c:ptCount val="11"/>
                <c:pt idx="0">
                  <c:v>43101</c:v>
                </c:pt>
                <c:pt idx="1">
                  <c:v>43070</c:v>
                </c:pt>
                <c:pt idx="2">
                  <c:v>43040</c:v>
                </c:pt>
                <c:pt idx="3">
                  <c:v>43009</c:v>
                </c:pt>
                <c:pt idx="4">
                  <c:v>42979</c:v>
                </c:pt>
                <c:pt idx="5">
                  <c:v>42948</c:v>
                </c:pt>
                <c:pt idx="6">
                  <c:v>42917</c:v>
                </c:pt>
                <c:pt idx="7">
                  <c:v>42887</c:v>
                </c:pt>
                <c:pt idx="8">
                  <c:v>42856</c:v>
                </c:pt>
                <c:pt idx="9">
                  <c:v>42826</c:v>
                </c:pt>
                <c:pt idx="10">
                  <c:v>42795</c:v>
                </c:pt>
              </c:numCache>
            </c:numRef>
          </c:cat>
          <c:val>
            <c:numRef>
              <c:f>'Short Term'!$G$5:$G$15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-1</c:v>
                </c:pt>
                <c:pt idx="10">
                  <c:v>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985824"/>
        <c:axId val="294986216"/>
      </c:barChart>
      <c:dateAx>
        <c:axId val="29498582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294986216"/>
        <c:crosses val="autoZero"/>
        <c:auto val="1"/>
        <c:lblOffset val="100"/>
        <c:baseTimeUnit val="months"/>
      </c:dateAx>
      <c:valAx>
        <c:axId val="294986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498582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28576</xdr:rowOff>
    </xdr:from>
    <xdr:to>
      <xdr:col>27</xdr:col>
      <xdr:colOff>0</xdr:colOff>
      <xdr:row>7</xdr:row>
      <xdr:rowOff>13336</xdr:rowOff>
    </xdr:to>
    <xdr:sp macro="[0]!RunFundingTimeWeekly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276226</xdr:colOff>
      <xdr:row>5</xdr:row>
      <xdr:rowOff>28576</xdr:rowOff>
    </xdr:from>
    <xdr:to>
      <xdr:col>29</xdr:col>
      <xdr:colOff>47626</xdr:colOff>
      <xdr:row>7</xdr:row>
      <xdr:rowOff>13336</xdr:rowOff>
    </xdr:to>
    <xdr:sp macro="[0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3</xdr:col>
      <xdr:colOff>47627</xdr:colOff>
      <xdr:row>9</xdr:row>
      <xdr:rowOff>177538</xdr:rowOff>
    </xdr:from>
    <xdr:to>
      <xdr:col>16</xdr:col>
      <xdr:colOff>613834</xdr:colOff>
      <xdr:row>36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306917</xdr:colOff>
      <xdr:row>9</xdr:row>
      <xdr:rowOff>142875</xdr:rowOff>
    </xdr:from>
    <xdr:to>
      <xdr:col>24</xdr:col>
      <xdr:colOff>174624</xdr:colOff>
      <xdr:row>36</xdr:row>
      <xdr:rowOff>133350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522834</xdr:colOff>
      <xdr:row>35</xdr:row>
      <xdr:rowOff>33867</xdr:rowOff>
    </xdr:from>
    <xdr:to>
      <xdr:col>16</xdr:col>
      <xdr:colOff>532358</xdr:colOff>
      <xdr:row>36</xdr:row>
      <xdr:rowOff>24342</xdr:rowOff>
    </xdr:to>
    <xdr:sp macro="" textlink="">
      <xdr:nvSpPr>
        <xdr:cNvPr id="4" name="TextBox 3"/>
        <xdr:cNvSpPr txBox="1"/>
      </xdr:nvSpPr>
      <xdr:spPr>
        <a:xfrm>
          <a:off x="8661417" y="6775450"/>
          <a:ext cx="125835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 ELLIE MAE</a:t>
          </a:r>
        </a:p>
      </xdr:txBody>
    </xdr:sp>
    <xdr:clientData/>
  </xdr:twoCellAnchor>
  <xdr:twoCellAnchor>
    <xdr:from>
      <xdr:col>25</xdr:col>
      <xdr:colOff>438150</xdr:colOff>
      <xdr:row>9</xdr:row>
      <xdr:rowOff>66674</xdr:rowOff>
    </xdr:from>
    <xdr:to>
      <xdr:col>28</xdr:col>
      <xdr:colOff>304800</xdr:colOff>
      <xdr:row>26</xdr:row>
      <xdr:rowOff>180975</xdr:rowOff>
    </xdr:to>
    <xdr:sp macro="" textlink="">
      <xdr:nvSpPr>
        <xdr:cNvPr id="8" name="TextBox 7"/>
        <xdr:cNvSpPr txBox="1"/>
      </xdr:nvSpPr>
      <xdr:spPr>
        <a:xfrm>
          <a:off x="16240125" y="1781174"/>
          <a:ext cx="4686300" cy="3429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Time from Refinancing Application to Funding</a:t>
          </a:r>
          <a:r>
            <a:rPr lang="en-US"/>
            <a:t/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Data Source: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Ellie Mae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https://www.elliemae.com/resources/origination-insight-reports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need to be updated monthly.</a:t>
          </a:r>
        </a:p>
        <a:p>
          <a:r>
            <a:rPr lang="en-US"/>
            <a:t/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Generate Report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Market\Time from Refinancing Application to Funding Master.xlsm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See the spreadsheet for the model calculation.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 RunTimeFromRefinancingApplicationToFundingReport.bat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 RunTimeFromRefinancingApplicationToFundingReport.vbs</a:t>
          </a:r>
        </a:p>
        <a:p>
          <a:r>
            <a:rPr lang="en-US"/>
            <a:t/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Output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Market\yyyy-mm\Time from Refinancing Application to Funding yyyy-mm-dd.pdf</a:t>
          </a:r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e1" displayName="Table1" ref="C59:G100" headerRowCount="0" totalsRowShown="0">
  <tableColumns count="5">
    <tableColumn id="1" name="Column1" headerRowDxfId="302" dataDxfId="301"/>
    <tableColumn id="2" name="ALL" headerRowDxfId="300"/>
    <tableColumn id="4" name="CONV" headerRowDxfId="299"/>
    <tableColumn id="3" name="FHA" headerRowDxfId="298"/>
    <tableColumn id="5" name="VA" headerRowDxfId="297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D1:AC66"/>
  <sheetViews>
    <sheetView showGridLines="0" tabSelected="1" zoomScale="90" zoomScaleNormal="90" workbookViewId="0">
      <selection activeCell="AB39" sqref="AB39"/>
    </sheetView>
  </sheetViews>
  <sheetFormatPr defaultRowHeight="15"/>
  <cols>
    <col min="1" max="1" width="9.140625" customWidth="1"/>
    <col min="3" max="3" width="9.140625" customWidth="1"/>
    <col min="4" max="4" width="19.5703125" bestFit="1" customWidth="1"/>
    <col min="5" max="5" width="12.85546875" customWidth="1"/>
    <col min="6" max="6" width="9.28515625" customWidth="1"/>
    <col min="7" max="24" width="9.42578125" customWidth="1"/>
    <col min="25" max="25" width="7.7109375" customWidth="1"/>
    <col min="26" max="26" width="11.85546875" bestFit="1" customWidth="1"/>
    <col min="27" max="27" width="19.5703125" customWidth="1"/>
    <col min="28" max="28" width="40.85546875" bestFit="1" customWidth="1"/>
    <col min="29" max="29" width="14.85546875" bestFit="1" customWidth="1"/>
  </cols>
  <sheetData>
    <row r="1" spans="17:29">
      <c r="Z1" s="3" t="s">
        <v>22</v>
      </c>
      <c r="AA1" s="18" t="s">
        <v>32</v>
      </c>
      <c r="AB1" t="s">
        <v>23</v>
      </c>
      <c r="AC1" s="4" t="s">
        <v>26</v>
      </c>
    </row>
    <row r="2" spans="17:29">
      <c r="Z2" s="3" t="s">
        <v>24</v>
      </c>
      <c r="AA2" s="5">
        <v>43110</v>
      </c>
    </row>
    <row r="3" spans="17:29">
      <c r="Z3" s="3" t="s">
        <v>31</v>
      </c>
      <c r="AA3" s="18" t="s">
        <v>33</v>
      </c>
    </row>
    <row r="4" spans="17:29">
      <c r="Z4" s="3" t="s">
        <v>25</v>
      </c>
      <c r="AA4" s="18" t="str">
        <f>PDFReportDir &amp; "\Time from Refinancing Application to Funding " &amp; TEXT(CurrentCloseDate, "yyyy-mm-dd") &amp; ".pdf"</f>
        <v>S:\IT\Production\Daily Reports\Primary Market\tmp\\Time from Refinancing Application to Funding 2018-01-10.pdf</v>
      </c>
    </row>
    <row r="5" spans="17:29">
      <c r="Z5" s="6"/>
    </row>
    <row r="6" spans="17:29">
      <c r="Z6" s="6"/>
    </row>
    <row r="7" spans="17:29">
      <c r="Z7" s="6"/>
    </row>
    <row r="8" spans="17:29">
      <c r="Z8" s="6"/>
    </row>
    <row r="9" spans="17:29">
      <c r="Z9" s="6"/>
    </row>
    <row r="10" spans="17:29">
      <c r="Z10" s="6"/>
    </row>
    <row r="12" spans="17:29" ht="13.5" customHeight="1"/>
    <row r="14" spans="17:29" s="1" customFormat="1" ht="18" customHeight="1">
      <c r="Q14"/>
      <c r="R14"/>
      <c r="S14"/>
      <c r="T14"/>
      <c r="U14"/>
      <c r="V14"/>
      <c r="W14"/>
    </row>
    <row r="15" spans="17:29" s="2" customFormat="1" ht="19.5" customHeight="1">
      <c r="Q15"/>
      <c r="R15"/>
      <c r="S15"/>
      <c r="T15"/>
      <c r="U15"/>
      <c r="V15"/>
      <c r="W15"/>
    </row>
    <row r="16" spans="17:29" s="2" customFormat="1">
      <c r="Q16"/>
      <c r="R16"/>
      <c r="S16"/>
      <c r="T16"/>
      <c r="U16"/>
      <c r="V16"/>
      <c r="W16"/>
    </row>
    <row r="17" spans="17:23" s="2" customFormat="1">
      <c r="Q17"/>
      <c r="R17"/>
      <c r="S17"/>
      <c r="T17"/>
      <c r="U17"/>
      <c r="V17"/>
      <c r="W17"/>
    </row>
    <row r="18" spans="17:23" s="2" customFormat="1">
      <c r="Q18"/>
      <c r="R18"/>
      <c r="S18"/>
      <c r="T18"/>
      <c r="U18"/>
      <c r="V18"/>
      <c r="W18"/>
    </row>
    <row r="19" spans="17:23" s="2" customFormat="1">
      <c r="Q19"/>
      <c r="R19"/>
      <c r="S19"/>
      <c r="T19"/>
      <c r="U19"/>
      <c r="V19"/>
      <c r="W19"/>
    </row>
    <row r="20" spans="17:23" s="2" customFormat="1">
      <c r="Q20"/>
      <c r="R20"/>
      <c r="S20"/>
      <c r="T20"/>
      <c r="U20"/>
      <c r="V20"/>
      <c r="W20"/>
    </row>
    <row r="21" spans="17:23" s="2" customFormat="1">
      <c r="Q21"/>
      <c r="R21"/>
      <c r="S21"/>
      <c r="T21"/>
      <c r="U21"/>
      <c r="V21"/>
      <c r="W21"/>
    </row>
    <row r="22" spans="17:23" s="2" customFormat="1">
      <c r="Q22"/>
      <c r="R22"/>
      <c r="S22"/>
      <c r="T22"/>
      <c r="U22"/>
      <c r="V22"/>
      <c r="W22"/>
    </row>
    <row r="23" spans="17:23" s="2" customFormat="1">
      <c r="Q23"/>
      <c r="R23"/>
      <c r="S23"/>
      <c r="T23"/>
      <c r="U23"/>
      <c r="V23"/>
      <c r="W23"/>
    </row>
    <row r="24" spans="17:23" s="2" customFormat="1">
      <c r="Q24"/>
      <c r="R24"/>
      <c r="S24"/>
      <c r="T24"/>
      <c r="U24"/>
      <c r="V24"/>
      <c r="W24"/>
    </row>
    <row r="25" spans="17:23" s="2" customFormat="1">
      <c r="Q25"/>
      <c r="R25"/>
      <c r="S25"/>
      <c r="T25"/>
      <c r="U25"/>
      <c r="V25"/>
      <c r="W25"/>
    </row>
    <row r="38" spans="4:24">
      <c r="S38" s="12"/>
    </row>
    <row r="40" spans="4:24" ht="15.75" customHeight="1">
      <c r="D40" s="14" t="s">
        <v>29</v>
      </c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5"/>
      <c r="R40" s="15"/>
      <c r="S40" s="15"/>
      <c r="T40" s="15"/>
      <c r="U40" s="15"/>
      <c r="V40" s="15"/>
      <c r="W40" s="15"/>
      <c r="X40" s="15"/>
    </row>
    <row r="41" spans="4:24">
      <c r="D41" s="17"/>
      <c r="E41" s="31">
        <v>2018</v>
      </c>
      <c r="F41" s="32"/>
      <c r="G41" s="32"/>
      <c r="H41" s="32"/>
      <c r="I41" s="32"/>
      <c r="J41" s="31">
        <v>2017</v>
      </c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</row>
    <row r="42" spans="4:24">
      <c r="D42" s="20"/>
      <c r="E42" s="37" t="s">
        <v>10</v>
      </c>
      <c r="F42" s="37" t="s">
        <v>11</v>
      </c>
      <c r="G42" s="37" t="s">
        <v>12</v>
      </c>
      <c r="H42" s="37" t="s">
        <v>13</v>
      </c>
      <c r="I42" s="37" t="s">
        <v>1</v>
      </c>
      <c r="J42" s="42" t="s">
        <v>3</v>
      </c>
      <c r="K42" s="43" t="s">
        <v>4</v>
      </c>
      <c r="L42" s="43" t="s">
        <v>5</v>
      </c>
      <c r="M42" s="43" t="s">
        <v>6</v>
      </c>
      <c r="N42" s="43" t="s">
        <v>7</v>
      </c>
      <c r="O42" s="43" t="s">
        <v>8</v>
      </c>
      <c r="P42" s="43" t="s">
        <v>9</v>
      </c>
      <c r="Q42" s="43" t="s">
        <v>10</v>
      </c>
      <c r="R42" s="43" t="s">
        <v>11</v>
      </c>
      <c r="S42" s="43" t="s">
        <v>12</v>
      </c>
      <c r="T42" s="43" t="s">
        <v>13</v>
      </c>
      <c r="U42" s="44" t="s">
        <v>1</v>
      </c>
    </row>
    <row r="43" spans="4:24">
      <c r="D43" s="27" t="s">
        <v>27</v>
      </c>
      <c r="E43" s="38">
        <v>40</v>
      </c>
      <c r="F43" s="39">
        <v>41</v>
      </c>
      <c r="G43" s="39">
        <v>40</v>
      </c>
      <c r="H43" s="39">
        <v>40</v>
      </c>
      <c r="I43" s="40">
        <v>40</v>
      </c>
      <c r="J43" s="38">
        <v>41</v>
      </c>
      <c r="K43" s="39">
        <v>40</v>
      </c>
      <c r="L43" s="39">
        <v>40</v>
      </c>
      <c r="M43" s="39">
        <v>40</v>
      </c>
      <c r="N43" s="39">
        <v>41</v>
      </c>
      <c r="O43" s="39">
        <v>42</v>
      </c>
      <c r="P43" s="39">
        <v>41</v>
      </c>
      <c r="Q43" s="39">
        <v>41</v>
      </c>
      <c r="R43" s="39">
        <v>41</v>
      </c>
      <c r="S43" s="39">
        <v>43</v>
      </c>
      <c r="T43" s="39">
        <v>47</v>
      </c>
      <c r="U43" s="40">
        <v>53</v>
      </c>
    </row>
    <row r="44" spans="4:24">
      <c r="D44" s="28" t="s">
        <v>28</v>
      </c>
      <c r="E44" s="25">
        <v>39</v>
      </c>
      <c r="F44" s="16">
        <v>40</v>
      </c>
      <c r="G44" s="16">
        <v>40</v>
      </c>
      <c r="H44" s="16">
        <v>40</v>
      </c>
      <c r="I44" s="26">
        <v>39</v>
      </c>
      <c r="J44" s="25">
        <v>40</v>
      </c>
      <c r="K44" s="16">
        <v>40</v>
      </c>
      <c r="L44" s="16">
        <v>40</v>
      </c>
      <c r="M44" s="16">
        <v>39</v>
      </c>
      <c r="N44" s="16">
        <v>40</v>
      </c>
      <c r="O44" s="16">
        <v>42</v>
      </c>
      <c r="P44" s="16">
        <v>41</v>
      </c>
      <c r="Q44" s="16">
        <v>40</v>
      </c>
      <c r="R44" s="16">
        <v>40</v>
      </c>
      <c r="S44" s="16">
        <v>43</v>
      </c>
      <c r="T44" s="16">
        <v>47</v>
      </c>
      <c r="U44" s="26">
        <v>53</v>
      </c>
    </row>
    <row r="45" spans="4:24">
      <c r="D45" s="28" t="s">
        <v>19</v>
      </c>
      <c r="E45" s="25">
        <v>42</v>
      </c>
      <c r="F45" s="16">
        <v>43</v>
      </c>
      <c r="G45" s="16">
        <v>41</v>
      </c>
      <c r="H45" s="16">
        <v>42</v>
      </c>
      <c r="I45" s="26">
        <v>42</v>
      </c>
      <c r="J45" s="25">
        <v>43</v>
      </c>
      <c r="K45" s="16">
        <v>41</v>
      </c>
      <c r="L45" s="16">
        <v>42</v>
      </c>
      <c r="M45" s="16">
        <v>41</v>
      </c>
      <c r="N45" s="16">
        <v>41</v>
      </c>
      <c r="O45" s="16">
        <v>43</v>
      </c>
      <c r="P45" s="16">
        <v>41</v>
      </c>
      <c r="Q45" s="16">
        <v>42</v>
      </c>
      <c r="R45" s="16">
        <v>42</v>
      </c>
      <c r="S45" s="16">
        <v>44</v>
      </c>
      <c r="T45" s="16">
        <v>46</v>
      </c>
      <c r="U45" s="26">
        <v>58</v>
      </c>
    </row>
    <row r="46" spans="4:24">
      <c r="D46" s="29" t="s">
        <v>20</v>
      </c>
      <c r="E46" s="30">
        <v>49</v>
      </c>
      <c r="F46" s="36">
        <v>49</v>
      </c>
      <c r="G46" s="36">
        <v>47</v>
      </c>
      <c r="H46" s="36">
        <v>47</v>
      </c>
      <c r="I46" s="41">
        <v>49</v>
      </c>
      <c r="J46" s="30">
        <v>49</v>
      </c>
      <c r="K46" s="36">
        <v>47</v>
      </c>
      <c r="L46" s="36">
        <v>47</v>
      </c>
      <c r="M46" s="36">
        <v>46</v>
      </c>
      <c r="N46" s="36">
        <v>47</v>
      </c>
      <c r="O46" s="36">
        <v>48</v>
      </c>
      <c r="P46" s="36">
        <v>48</v>
      </c>
      <c r="Q46" s="36">
        <v>45</v>
      </c>
      <c r="R46" s="36">
        <v>45</v>
      </c>
      <c r="S46" s="36">
        <v>46</v>
      </c>
      <c r="T46" s="36">
        <v>50</v>
      </c>
      <c r="U46" s="41">
        <v>58</v>
      </c>
    </row>
    <row r="48" spans="4:24">
      <c r="D48" s="14" t="s">
        <v>30</v>
      </c>
      <c r="E48" s="14"/>
      <c r="F48" s="14"/>
    </row>
    <row r="49" spans="4:21">
      <c r="D49" s="19"/>
      <c r="E49" s="47">
        <v>2018</v>
      </c>
      <c r="F49" s="35"/>
      <c r="G49" s="35"/>
      <c r="H49" s="35"/>
      <c r="I49" s="35"/>
      <c r="J49" s="47">
        <v>2017</v>
      </c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48"/>
    </row>
    <row r="50" spans="4:21">
      <c r="D50" s="49"/>
      <c r="E50" s="42" t="s">
        <v>10</v>
      </c>
      <c r="F50" s="43" t="s">
        <v>11</v>
      </c>
      <c r="G50" s="43" t="s">
        <v>12</v>
      </c>
      <c r="H50" s="43" t="s">
        <v>13</v>
      </c>
      <c r="I50" s="44" t="s">
        <v>1</v>
      </c>
      <c r="J50" s="43" t="s">
        <v>3</v>
      </c>
      <c r="K50" s="43" t="s">
        <v>4</v>
      </c>
      <c r="L50" s="43" t="s">
        <v>5</v>
      </c>
      <c r="M50" s="43" t="s">
        <v>6</v>
      </c>
      <c r="N50" s="43" t="s">
        <v>7</v>
      </c>
      <c r="O50" s="43" t="s">
        <v>8</v>
      </c>
      <c r="P50" s="43" t="s">
        <v>9</v>
      </c>
      <c r="Q50" s="43" t="s">
        <v>10</v>
      </c>
      <c r="R50" s="43" t="s">
        <v>11</v>
      </c>
      <c r="S50" s="43" t="s">
        <v>12</v>
      </c>
      <c r="T50" s="43" t="s">
        <v>13</v>
      </c>
      <c r="U50" s="44" t="s">
        <v>1</v>
      </c>
    </row>
    <row r="51" spans="4:21">
      <c r="D51" s="28" t="s">
        <v>27</v>
      </c>
      <c r="E51" s="25">
        <f>E43-F43</f>
        <v>-1</v>
      </c>
      <c r="F51" s="16">
        <f t="shared" ref="F51:F54" si="0">F43-G43</f>
        <v>1</v>
      </c>
      <c r="G51" s="16">
        <f t="shared" ref="G51:G54" si="1">G43-H43</f>
        <v>0</v>
      </c>
      <c r="H51" s="16">
        <f t="shared" ref="H51:H54" si="2">H43-I43</f>
        <v>0</v>
      </c>
      <c r="I51" s="26">
        <f t="shared" ref="I51:J51" si="3">I43-J43</f>
        <v>-1</v>
      </c>
      <c r="J51" s="16">
        <f t="shared" si="3"/>
        <v>1</v>
      </c>
      <c r="K51" s="16">
        <f t="shared" ref="K51:K54" si="4">K43-L43</f>
        <v>0</v>
      </c>
      <c r="L51" s="16">
        <f t="shared" ref="L51:L54" si="5">L43-M43</f>
        <v>0</v>
      </c>
      <c r="M51" s="16">
        <f t="shared" ref="M51:M54" si="6">M43-N43</f>
        <v>-1</v>
      </c>
      <c r="N51" s="16">
        <f t="shared" ref="N51:N54" si="7">N43-O43</f>
        <v>-1</v>
      </c>
      <c r="O51" s="16">
        <f t="shared" ref="O51:O54" si="8">O43-P43</f>
        <v>1</v>
      </c>
      <c r="P51" s="16">
        <f t="shared" ref="P51:P54" si="9">P43-Q43</f>
        <v>0</v>
      </c>
      <c r="Q51" s="16">
        <f t="shared" ref="Q51:Q54" si="10">Q43-R43</f>
        <v>0</v>
      </c>
      <c r="R51" s="16">
        <f t="shared" ref="R51:R54" si="11">R43-S43</f>
        <v>-2</v>
      </c>
      <c r="S51" s="16">
        <f t="shared" ref="S51:S54" si="12">S43-T43</f>
        <v>-4</v>
      </c>
      <c r="T51" s="16">
        <f t="shared" ref="T51:T54" si="13">T43-U43</f>
        <v>-6</v>
      </c>
      <c r="U51" s="26">
        <v>-2</v>
      </c>
    </row>
    <row r="52" spans="4:21">
      <c r="D52" s="28" t="s">
        <v>28</v>
      </c>
      <c r="E52" s="25">
        <f t="shared" ref="E52:E54" si="14">E44-F44</f>
        <v>-1</v>
      </c>
      <c r="F52" s="16">
        <f t="shared" si="0"/>
        <v>0</v>
      </c>
      <c r="G52" s="16">
        <f t="shared" si="1"/>
        <v>0</v>
      </c>
      <c r="H52" s="16">
        <f t="shared" si="2"/>
        <v>1</v>
      </c>
      <c r="I52" s="26">
        <f t="shared" ref="I52:J52" si="15">I44-J44</f>
        <v>-1</v>
      </c>
      <c r="J52" s="16">
        <f t="shared" si="15"/>
        <v>0</v>
      </c>
      <c r="K52" s="16">
        <f t="shared" si="4"/>
        <v>0</v>
      </c>
      <c r="L52" s="16">
        <f t="shared" si="5"/>
        <v>1</v>
      </c>
      <c r="M52" s="16">
        <f t="shared" si="6"/>
        <v>-1</v>
      </c>
      <c r="N52" s="16">
        <f t="shared" si="7"/>
        <v>-2</v>
      </c>
      <c r="O52" s="16">
        <f t="shared" si="8"/>
        <v>1</v>
      </c>
      <c r="P52" s="16">
        <f t="shared" si="9"/>
        <v>1</v>
      </c>
      <c r="Q52" s="16">
        <f t="shared" si="10"/>
        <v>0</v>
      </c>
      <c r="R52" s="16">
        <f t="shared" si="11"/>
        <v>-3</v>
      </c>
      <c r="S52" s="16">
        <f t="shared" si="12"/>
        <v>-4</v>
      </c>
      <c r="T52" s="16">
        <f t="shared" si="13"/>
        <v>-6</v>
      </c>
      <c r="U52" s="26">
        <v>-4</v>
      </c>
    </row>
    <row r="53" spans="4:21">
      <c r="D53" s="28" t="s">
        <v>19</v>
      </c>
      <c r="E53" s="25">
        <f t="shared" si="14"/>
        <v>-1</v>
      </c>
      <c r="F53" s="16">
        <f t="shared" si="0"/>
        <v>2</v>
      </c>
      <c r="G53" s="16">
        <f t="shared" si="1"/>
        <v>-1</v>
      </c>
      <c r="H53" s="16">
        <f t="shared" si="2"/>
        <v>0</v>
      </c>
      <c r="I53" s="26">
        <f t="shared" ref="I53:J53" si="16">I45-J45</f>
        <v>-1</v>
      </c>
      <c r="J53" s="16">
        <f t="shared" si="16"/>
        <v>2</v>
      </c>
      <c r="K53" s="16">
        <f t="shared" si="4"/>
        <v>-1</v>
      </c>
      <c r="L53" s="16">
        <f t="shared" si="5"/>
        <v>1</v>
      </c>
      <c r="M53" s="16">
        <f t="shared" si="6"/>
        <v>0</v>
      </c>
      <c r="N53" s="16">
        <f t="shared" si="7"/>
        <v>-2</v>
      </c>
      <c r="O53" s="16">
        <f t="shared" si="8"/>
        <v>2</v>
      </c>
      <c r="P53" s="16">
        <f t="shared" si="9"/>
        <v>-1</v>
      </c>
      <c r="Q53" s="16">
        <f t="shared" si="10"/>
        <v>0</v>
      </c>
      <c r="R53" s="16">
        <f t="shared" si="11"/>
        <v>-2</v>
      </c>
      <c r="S53" s="16">
        <f t="shared" si="12"/>
        <v>-2</v>
      </c>
      <c r="T53" s="16">
        <f t="shared" si="13"/>
        <v>-12</v>
      </c>
      <c r="U53" s="26">
        <v>-4</v>
      </c>
    </row>
    <row r="54" spans="4:21">
      <c r="D54" s="29" t="s">
        <v>20</v>
      </c>
      <c r="E54" s="30">
        <f t="shared" si="14"/>
        <v>0</v>
      </c>
      <c r="F54" s="36">
        <f t="shared" si="0"/>
        <v>2</v>
      </c>
      <c r="G54" s="36">
        <f t="shared" si="1"/>
        <v>0</v>
      </c>
      <c r="H54" s="36">
        <f t="shared" si="2"/>
        <v>-2</v>
      </c>
      <c r="I54" s="41">
        <f t="shared" ref="I54:J54" si="17">I46-J46</f>
        <v>0</v>
      </c>
      <c r="J54" s="36">
        <f t="shared" si="17"/>
        <v>2</v>
      </c>
      <c r="K54" s="36">
        <f t="shared" si="4"/>
        <v>0</v>
      </c>
      <c r="L54" s="36">
        <f t="shared" si="5"/>
        <v>1</v>
      </c>
      <c r="M54" s="36">
        <f t="shared" si="6"/>
        <v>-1</v>
      </c>
      <c r="N54" s="36">
        <f t="shared" si="7"/>
        <v>-1</v>
      </c>
      <c r="O54" s="36">
        <f t="shared" si="8"/>
        <v>0</v>
      </c>
      <c r="P54" s="36">
        <f t="shared" si="9"/>
        <v>3</v>
      </c>
      <c r="Q54" s="36">
        <f t="shared" si="10"/>
        <v>0</v>
      </c>
      <c r="R54" s="36">
        <f t="shared" si="11"/>
        <v>-1</v>
      </c>
      <c r="S54" s="36">
        <f t="shared" si="12"/>
        <v>-4</v>
      </c>
      <c r="T54" s="36">
        <f t="shared" si="13"/>
        <v>-8</v>
      </c>
      <c r="U54" s="41">
        <v>-4</v>
      </c>
    </row>
    <row r="55" spans="4:21">
      <c r="L55" s="21"/>
    </row>
    <row r="66" spans="9:10">
      <c r="I66" s="14"/>
      <c r="J66" s="14"/>
    </row>
  </sheetData>
  <mergeCells count="4">
    <mergeCell ref="J41:U41"/>
    <mergeCell ref="E41:I41"/>
    <mergeCell ref="E49:I49"/>
    <mergeCell ref="J49:U49"/>
  </mergeCells>
  <conditionalFormatting sqref="P51:P54 S51:U54">
    <cfRule type="cellIs" dxfId="223" priority="334" operator="lessThan">
      <formula>0</formula>
    </cfRule>
  </conditionalFormatting>
  <conditionalFormatting sqref="N51:P54 S51:U54">
    <cfRule type="cellIs" dxfId="222" priority="330" operator="lessThan">
      <formula>0</formula>
    </cfRule>
  </conditionalFormatting>
  <conditionalFormatting sqref="P43:P46">
    <cfRule type="cellIs" dxfId="221" priority="329" operator="lessThan">
      <formula>0</formula>
    </cfRule>
  </conditionalFormatting>
  <conditionalFormatting sqref="O43:O46">
    <cfRule type="cellIs" dxfId="220" priority="328" operator="lessThan">
      <formula>0</formula>
    </cfRule>
  </conditionalFormatting>
  <conditionalFormatting sqref="N43:N46">
    <cfRule type="cellIs" dxfId="219" priority="327" operator="lessThan">
      <formula>0</formula>
    </cfRule>
  </conditionalFormatting>
  <conditionalFormatting sqref="N51:P54 S51:T54">
    <cfRule type="cellIs" dxfId="218" priority="323" operator="lessThan">
      <formula>0</formula>
    </cfRule>
  </conditionalFormatting>
  <conditionalFormatting sqref="S51:U54">
    <cfRule type="cellIs" dxfId="217" priority="320" operator="lessThan">
      <formula>0</formula>
    </cfRule>
  </conditionalFormatting>
  <conditionalFormatting sqref="S43:S46">
    <cfRule type="cellIs" dxfId="216" priority="319" operator="lessThan">
      <formula>0</formula>
    </cfRule>
  </conditionalFormatting>
  <conditionalFormatting sqref="R43:R46">
    <cfRule type="cellIs" dxfId="215" priority="318" operator="lessThan">
      <formula>0</formula>
    </cfRule>
  </conditionalFormatting>
  <conditionalFormatting sqref="Q43:Q46">
    <cfRule type="cellIs" dxfId="214" priority="317" operator="lessThan">
      <formula>0</formula>
    </cfRule>
  </conditionalFormatting>
  <conditionalFormatting sqref="O43:O46">
    <cfRule type="cellIs" dxfId="213" priority="316" operator="lessThan">
      <formula>0</formula>
    </cfRule>
  </conditionalFormatting>
  <conditionalFormatting sqref="N51:P54 S51:U54">
    <cfRule type="cellIs" dxfId="212" priority="315" operator="lessThan">
      <formula>0</formula>
    </cfRule>
  </conditionalFormatting>
  <conditionalFormatting sqref="Q43:Q46">
    <cfRule type="cellIs" dxfId="211" priority="310" operator="lessThan">
      <formula>0</formula>
    </cfRule>
  </conditionalFormatting>
  <conditionalFormatting sqref="P43:P46">
    <cfRule type="cellIs" dxfId="210" priority="309" operator="lessThan">
      <formula>0</formula>
    </cfRule>
  </conditionalFormatting>
  <conditionalFormatting sqref="O43:O46">
    <cfRule type="cellIs" dxfId="209" priority="308" operator="lessThan">
      <formula>0</formula>
    </cfRule>
  </conditionalFormatting>
  <conditionalFormatting sqref="T43:T46">
    <cfRule type="cellIs" dxfId="208" priority="306" operator="lessThan">
      <formula>0</formula>
    </cfRule>
  </conditionalFormatting>
  <conditionalFormatting sqref="S43:S46">
    <cfRule type="cellIs" dxfId="207" priority="305" operator="lessThan">
      <formula>0</formula>
    </cfRule>
  </conditionalFormatting>
  <conditionalFormatting sqref="R43:R46">
    <cfRule type="cellIs" dxfId="206" priority="304" operator="lessThan">
      <formula>0</formula>
    </cfRule>
  </conditionalFormatting>
  <conditionalFormatting sqref="P43:P46">
    <cfRule type="cellIs" dxfId="205" priority="303" operator="lessThan">
      <formula>0</formula>
    </cfRule>
  </conditionalFormatting>
  <conditionalFormatting sqref="N43:N46">
    <cfRule type="cellIs" dxfId="204" priority="302" operator="lessThan">
      <formula>0</formula>
    </cfRule>
  </conditionalFormatting>
  <conditionalFormatting sqref="N43:N46">
    <cfRule type="cellIs" dxfId="203" priority="300" operator="lessThan">
      <formula>0</formula>
    </cfRule>
  </conditionalFormatting>
  <conditionalFormatting sqref="R43:R46">
    <cfRule type="cellIs" dxfId="202" priority="295" operator="lessThan">
      <formula>0</formula>
    </cfRule>
  </conditionalFormatting>
  <conditionalFormatting sqref="Q43:Q46">
    <cfRule type="cellIs" dxfId="201" priority="294" operator="lessThan">
      <formula>0</formula>
    </cfRule>
  </conditionalFormatting>
  <conditionalFormatting sqref="P43:P46">
    <cfRule type="cellIs" dxfId="200" priority="293" operator="lessThan">
      <formula>0</formula>
    </cfRule>
  </conditionalFormatting>
  <conditionalFormatting sqref="U43:U46">
    <cfRule type="cellIs" dxfId="199" priority="292" operator="lessThan">
      <formula>0</formula>
    </cfRule>
  </conditionalFormatting>
  <conditionalFormatting sqref="T43:T46">
    <cfRule type="cellIs" dxfId="198" priority="291" operator="lessThan">
      <formula>0</formula>
    </cfRule>
  </conditionalFormatting>
  <conditionalFormatting sqref="S43:S46">
    <cfRule type="cellIs" dxfId="197" priority="290" operator="lessThan">
      <formula>0</formula>
    </cfRule>
  </conditionalFormatting>
  <conditionalFormatting sqref="Q43:Q46">
    <cfRule type="cellIs" dxfId="196" priority="289" operator="lessThan">
      <formula>0</formula>
    </cfRule>
  </conditionalFormatting>
  <conditionalFormatting sqref="O43:O46">
    <cfRule type="cellIs" dxfId="195" priority="288" operator="lessThan">
      <formula>0</formula>
    </cfRule>
  </conditionalFormatting>
  <conditionalFormatting sqref="N43:N46">
    <cfRule type="cellIs" dxfId="194" priority="287" operator="lessThan">
      <formula>0</formula>
    </cfRule>
  </conditionalFormatting>
  <conditionalFormatting sqref="O43:O46">
    <cfRule type="cellIs" dxfId="193" priority="286" operator="lessThan">
      <formula>0</formula>
    </cfRule>
  </conditionalFormatting>
  <conditionalFormatting sqref="S43:S46">
    <cfRule type="cellIs" dxfId="192" priority="285" operator="lessThan">
      <formula>0</formula>
    </cfRule>
  </conditionalFormatting>
  <conditionalFormatting sqref="R43:R46">
    <cfRule type="cellIs" dxfId="191" priority="284" operator="lessThan">
      <formula>0</formula>
    </cfRule>
  </conditionalFormatting>
  <conditionalFormatting sqref="Q43:Q46">
    <cfRule type="cellIs" dxfId="190" priority="283" operator="lessThan">
      <formula>0</formula>
    </cfRule>
  </conditionalFormatting>
  <conditionalFormatting sqref="U43:U46">
    <cfRule type="cellIs" dxfId="189" priority="281" operator="lessThan">
      <formula>0</formula>
    </cfRule>
  </conditionalFormatting>
  <conditionalFormatting sqref="T43:T46">
    <cfRule type="cellIs" dxfId="188" priority="280" operator="lessThan">
      <formula>0</formula>
    </cfRule>
  </conditionalFormatting>
  <conditionalFormatting sqref="R43:R46">
    <cfRule type="cellIs" dxfId="187" priority="279" operator="lessThan">
      <formula>0</formula>
    </cfRule>
  </conditionalFormatting>
  <conditionalFormatting sqref="P43:P46">
    <cfRule type="cellIs" dxfId="186" priority="278" operator="lessThan">
      <formula>0</formula>
    </cfRule>
  </conditionalFormatting>
  <conditionalFormatting sqref="O43:O46">
    <cfRule type="cellIs" dxfId="185" priority="277" operator="lessThan">
      <formula>0</formula>
    </cfRule>
  </conditionalFormatting>
  <conditionalFormatting sqref="P43:P46">
    <cfRule type="cellIs" dxfId="184" priority="276" operator="lessThan">
      <formula>0</formula>
    </cfRule>
  </conditionalFormatting>
  <conditionalFormatting sqref="J43:J46">
    <cfRule type="cellIs" dxfId="183" priority="267" operator="lessThan">
      <formula>0</formula>
    </cfRule>
  </conditionalFormatting>
  <conditionalFormatting sqref="H43:J46">
    <cfRule type="cellIs" dxfId="182" priority="258" operator="lessThan">
      <formula>0</formula>
    </cfRule>
  </conditionalFormatting>
  <conditionalFormatting sqref="G43:G46">
    <cfRule type="cellIs" dxfId="181" priority="266" operator="lessThan">
      <formula>0</formula>
    </cfRule>
  </conditionalFormatting>
  <conditionalFormatting sqref="G43:G46">
    <cfRule type="cellIs" dxfId="180" priority="265" operator="lessThan">
      <formula>0</formula>
    </cfRule>
  </conditionalFormatting>
  <conditionalFormatting sqref="E51:G54">
    <cfRule type="cellIs" dxfId="179" priority="264" operator="lessThan">
      <formula>0</formula>
    </cfRule>
  </conditionalFormatting>
  <conditionalFormatting sqref="H43:H46">
    <cfRule type="cellIs" dxfId="178" priority="261" operator="lessThan">
      <formula>0</formula>
    </cfRule>
  </conditionalFormatting>
  <conditionalFormatting sqref="H43:H46">
    <cfRule type="cellIs" dxfId="177" priority="260" operator="lessThan">
      <formula>0</formula>
    </cfRule>
  </conditionalFormatting>
  <conditionalFormatting sqref="T43:T46">
    <cfRule type="cellIs" dxfId="176" priority="257" operator="lessThan">
      <formula>0</formula>
    </cfRule>
  </conditionalFormatting>
  <conditionalFormatting sqref="S43:S46">
    <cfRule type="cellIs" dxfId="175" priority="256" operator="lessThan">
      <formula>0</formula>
    </cfRule>
  </conditionalFormatting>
  <conditionalFormatting sqref="R43:R46">
    <cfRule type="cellIs" dxfId="174" priority="255" operator="lessThan">
      <formula>0</formula>
    </cfRule>
  </conditionalFormatting>
  <conditionalFormatting sqref="U43:U46">
    <cfRule type="cellIs" dxfId="173" priority="253" operator="lessThan">
      <formula>0</formula>
    </cfRule>
  </conditionalFormatting>
  <conditionalFormatting sqref="S43:S46">
    <cfRule type="cellIs" dxfId="172" priority="252" operator="lessThan">
      <formula>0</formula>
    </cfRule>
  </conditionalFormatting>
  <conditionalFormatting sqref="Q43:Q46">
    <cfRule type="cellIs" dxfId="171" priority="251" operator="lessThan">
      <formula>0</formula>
    </cfRule>
  </conditionalFormatting>
  <conditionalFormatting sqref="P43:P46">
    <cfRule type="cellIs" dxfId="170" priority="250" operator="lessThan">
      <formula>0</formula>
    </cfRule>
  </conditionalFormatting>
  <conditionalFormatting sqref="Q43:Q46">
    <cfRule type="cellIs" dxfId="169" priority="249" operator="lessThan">
      <formula>0</formula>
    </cfRule>
  </conditionalFormatting>
  <conditionalFormatting sqref="U43:U46">
    <cfRule type="cellIs" dxfId="168" priority="248" operator="lessThan">
      <formula>0</formula>
    </cfRule>
  </conditionalFormatting>
  <conditionalFormatting sqref="T43:T46">
    <cfRule type="cellIs" dxfId="167" priority="247" operator="lessThan">
      <formula>0</formula>
    </cfRule>
  </conditionalFormatting>
  <conditionalFormatting sqref="S43:S46">
    <cfRule type="cellIs" dxfId="166" priority="246" operator="lessThan">
      <formula>0</formula>
    </cfRule>
  </conditionalFormatting>
  <conditionalFormatting sqref="T43:T46">
    <cfRule type="cellIs" dxfId="165" priority="244" operator="lessThan">
      <formula>0</formula>
    </cfRule>
  </conditionalFormatting>
  <conditionalFormatting sqref="R43:R46">
    <cfRule type="cellIs" dxfId="164" priority="243" operator="lessThan">
      <formula>0</formula>
    </cfRule>
  </conditionalFormatting>
  <conditionalFormatting sqref="Q43:Q46">
    <cfRule type="cellIs" dxfId="163" priority="242" operator="lessThan">
      <formula>0</formula>
    </cfRule>
  </conditionalFormatting>
  <conditionalFormatting sqref="R43:R46">
    <cfRule type="cellIs" dxfId="162" priority="241" operator="lessThan">
      <formula>0</formula>
    </cfRule>
  </conditionalFormatting>
  <conditionalFormatting sqref="O51:O54">
    <cfRule type="cellIs" dxfId="161" priority="240" operator="lessThan">
      <formula>0</formula>
    </cfRule>
  </conditionalFormatting>
  <conditionalFormatting sqref="O43:O46">
    <cfRule type="cellIs" dxfId="160" priority="239" operator="lessThan">
      <formula>0</formula>
    </cfRule>
  </conditionalFormatting>
  <conditionalFormatting sqref="U43:U46">
    <cfRule type="cellIs" dxfId="159" priority="237" operator="lessThan">
      <formula>0</formula>
    </cfRule>
  </conditionalFormatting>
  <conditionalFormatting sqref="T43:T46">
    <cfRule type="cellIs" dxfId="158" priority="236" operator="lessThan">
      <formula>0</formula>
    </cfRule>
  </conditionalFormatting>
  <conditionalFormatting sqref="U43:U46">
    <cfRule type="cellIs" dxfId="157" priority="235" operator="lessThan">
      <formula>0</formula>
    </cfRule>
  </conditionalFormatting>
  <conditionalFormatting sqref="S43:S46">
    <cfRule type="cellIs" dxfId="156" priority="234" operator="lessThan">
      <formula>0</formula>
    </cfRule>
  </conditionalFormatting>
  <conditionalFormatting sqref="R43:R46">
    <cfRule type="cellIs" dxfId="155" priority="233" operator="lessThan">
      <formula>0</formula>
    </cfRule>
  </conditionalFormatting>
  <conditionalFormatting sqref="S43:S46">
    <cfRule type="cellIs" dxfId="154" priority="232" operator="lessThan">
      <formula>0</formula>
    </cfRule>
  </conditionalFormatting>
  <conditionalFormatting sqref="U43:U46">
    <cfRule type="cellIs" dxfId="153" priority="230" operator="lessThan">
      <formula>0</formula>
    </cfRule>
  </conditionalFormatting>
  <conditionalFormatting sqref="T43:T46">
    <cfRule type="cellIs" dxfId="152" priority="228" operator="lessThan">
      <formula>0</formula>
    </cfRule>
  </conditionalFormatting>
  <conditionalFormatting sqref="S43:S46">
    <cfRule type="cellIs" dxfId="151" priority="227" operator="lessThan">
      <formula>0</formula>
    </cfRule>
  </conditionalFormatting>
  <conditionalFormatting sqref="T43:T46">
    <cfRule type="cellIs" dxfId="150" priority="226" operator="lessThan">
      <formula>0</formula>
    </cfRule>
  </conditionalFormatting>
  <conditionalFormatting sqref="Q43:Q46">
    <cfRule type="cellIs" dxfId="149" priority="224" operator="lessThan">
      <formula>0</formula>
    </cfRule>
  </conditionalFormatting>
  <conditionalFormatting sqref="P43:P46">
    <cfRule type="cellIs" dxfId="148" priority="223" operator="lessThan">
      <formula>0</formula>
    </cfRule>
  </conditionalFormatting>
  <conditionalFormatting sqref="P43:P46">
    <cfRule type="cellIs" dxfId="147" priority="222" operator="lessThan">
      <formula>0</formula>
    </cfRule>
  </conditionalFormatting>
  <conditionalFormatting sqref="N51:N54">
    <cfRule type="cellIs" dxfId="146" priority="221" operator="lessThan">
      <formula>0</formula>
    </cfRule>
  </conditionalFormatting>
  <conditionalFormatting sqref="N43:N46">
    <cfRule type="cellIs" dxfId="145" priority="220" operator="lessThan">
      <formula>0</formula>
    </cfRule>
  </conditionalFormatting>
  <conditionalFormatting sqref="H51:J54">
    <cfRule type="cellIs" dxfId="144" priority="201" operator="lessThan">
      <formula>0</formula>
    </cfRule>
  </conditionalFormatting>
  <conditionalFormatting sqref="U43:U46">
    <cfRule type="cellIs" dxfId="143" priority="199" operator="lessThan">
      <formula>0</formula>
    </cfRule>
  </conditionalFormatting>
  <conditionalFormatting sqref="T43:T46">
    <cfRule type="cellIs" dxfId="142" priority="198" operator="lessThan">
      <formula>0</formula>
    </cfRule>
  </conditionalFormatting>
  <conditionalFormatting sqref="U43:U46">
    <cfRule type="cellIs" dxfId="141" priority="197" operator="lessThan">
      <formula>0</formula>
    </cfRule>
  </conditionalFormatting>
  <conditionalFormatting sqref="S43:S46">
    <cfRule type="cellIs" dxfId="140" priority="196" operator="lessThan">
      <formula>0</formula>
    </cfRule>
  </conditionalFormatting>
  <conditionalFormatting sqref="R43:R46">
    <cfRule type="cellIs" dxfId="139" priority="195" operator="lessThan">
      <formula>0</formula>
    </cfRule>
  </conditionalFormatting>
  <conditionalFormatting sqref="S43:S46">
    <cfRule type="cellIs" dxfId="138" priority="194" operator="lessThan">
      <formula>0</formula>
    </cfRule>
  </conditionalFormatting>
  <conditionalFormatting sqref="U43:U46">
    <cfRule type="cellIs" dxfId="137" priority="192" operator="lessThan">
      <formula>0</formula>
    </cfRule>
  </conditionalFormatting>
  <conditionalFormatting sqref="T43:T46">
    <cfRule type="cellIs" dxfId="136" priority="190" operator="lessThan">
      <formula>0</formula>
    </cfRule>
  </conditionalFormatting>
  <conditionalFormatting sqref="S43:S46">
    <cfRule type="cellIs" dxfId="135" priority="189" operator="lessThan">
      <formula>0</formula>
    </cfRule>
  </conditionalFormatting>
  <conditionalFormatting sqref="T43:T46">
    <cfRule type="cellIs" dxfId="134" priority="188" operator="lessThan">
      <formula>0</formula>
    </cfRule>
  </conditionalFormatting>
  <conditionalFormatting sqref="U43:U46">
    <cfRule type="cellIs" dxfId="133" priority="186" operator="lessThan">
      <formula>0</formula>
    </cfRule>
  </conditionalFormatting>
  <conditionalFormatting sqref="T43:T46">
    <cfRule type="cellIs" dxfId="132" priority="185" operator="lessThan">
      <formula>0</formula>
    </cfRule>
  </conditionalFormatting>
  <conditionalFormatting sqref="U43:U46">
    <cfRule type="cellIs" dxfId="131" priority="184" operator="lessThan">
      <formula>0</formula>
    </cfRule>
  </conditionalFormatting>
  <conditionalFormatting sqref="U43:U46">
    <cfRule type="cellIs" dxfId="130" priority="182" operator="lessThan">
      <formula>0</formula>
    </cfRule>
  </conditionalFormatting>
  <conditionalFormatting sqref="S43:S46">
    <cfRule type="cellIs" dxfId="129" priority="180" operator="lessThan">
      <formula>0</formula>
    </cfRule>
  </conditionalFormatting>
  <conditionalFormatting sqref="R43:R46">
    <cfRule type="cellIs" dxfId="128" priority="179" operator="lessThan">
      <formula>0</formula>
    </cfRule>
  </conditionalFormatting>
  <conditionalFormatting sqref="R43:R46">
    <cfRule type="cellIs" dxfId="127" priority="178" operator="lessThan">
      <formula>0</formula>
    </cfRule>
  </conditionalFormatting>
  <conditionalFormatting sqref="P43:P46">
    <cfRule type="cellIs" dxfId="126" priority="177" operator="lessThan">
      <formula>0</formula>
    </cfRule>
  </conditionalFormatting>
  <conditionalFormatting sqref="N43:P46">
    <cfRule type="cellIs" dxfId="125" priority="172" operator="lessThan">
      <formula>0</formula>
    </cfRule>
  </conditionalFormatting>
  <conditionalFormatting sqref="N43:N46">
    <cfRule type="cellIs" dxfId="124" priority="174" operator="lessThan">
      <formula>0</formula>
    </cfRule>
  </conditionalFormatting>
  <conditionalFormatting sqref="N43:N46">
    <cfRule type="cellIs" dxfId="123" priority="173" operator="lessThan">
      <formula>0</formula>
    </cfRule>
  </conditionalFormatting>
  <conditionalFormatting sqref="U43:U46">
    <cfRule type="cellIs" dxfId="122" priority="170" operator="lessThan">
      <formula>0</formula>
    </cfRule>
  </conditionalFormatting>
  <conditionalFormatting sqref="T43:T46">
    <cfRule type="cellIs" dxfId="121" priority="167" operator="lessThan">
      <formula>0</formula>
    </cfRule>
  </conditionalFormatting>
  <conditionalFormatting sqref="S43:S46">
    <cfRule type="cellIs" dxfId="120" priority="164" operator="lessThan">
      <formula>0</formula>
    </cfRule>
  </conditionalFormatting>
  <conditionalFormatting sqref="R43:R46">
    <cfRule type="cellIs" dxfId="119" priority="166" operator="lessThan">
      <formula>0</formula>
    </cfRule>
  </conditionalFormatting>
  <conditionalFormatting sqref="R43:R46">
    <cfRule type="cellIs" dxfId="118" priority="165" operator="lessThan">
      <formula>0</formula>
    </cfRule>
  </conditionalFormatting>
  <conditionalFormatting sqref="Q43:Q46">
    <cfRule type="cellIs" dxfId="117" priority="163" operator="lessThan">
      <formula>0</formula>
    </cfRule>
  </conditionalFormatting>
  <conditionalFormatting sqref="Q43:Q46">
    <cfRule type="cellIs" dxfId="116" priority="162" operator="lessThan">
      <formula>0</formula>
    </cfRule>
  </conditionalFormatting>
  <conditionalFormatting sqref="Q43:Q46">
    <cfRule type="cellIs" dxfId="115" priority="161" operator="lessThan">
      <formula>0</formula>
    </cfRule>
  </conditionalFormatting>
  <conditionalFormatting sqref="Q43:Q46">
    <cfRule type="cellIs" dxfId="114" priority="160" operator="lessThan">
      <formula>0</formula>
    </cfRule>
  </conditionalFormatting>
  <conditionalFormatting sqref="Q43:Q46">
    <cfRule type="cellIs" dxfId="113" priority="159" operator="lessThan">
      <formula>0</formula>
    </cfRule>
  </conditionalFormatting>
  <conditionalFormatting sqref="Q43:Q46">
    <cfRule type="cellIs" dxfId="112" priority="158" operator="lessThan">
      <formula>0</formula>
    </cfRule>
  </conditionalFormatting>
  <conditionalFormatting sqref="K43:M46">
    <cfRule type="cellIs" dxfId="111" priority="157" operator="lessThan">
      <formula>0</formula>
    </cfRule>
  </conditionalFormatting>
  <conditionalFormatting sqref="K43:M46">
    <cfRule type="cellIs" dxfId="110" priority="156" operator="lessThan">
      <formula>0</formula>
    </cfRule>
  </conditionalFormatting>
  <conditionalFormatting sqref="K43:M46">
    <cfRule type="cellIs" dxfId="109" priority="155" operator="lessThan">
      <formula>0</formula>
    </cfRule>
  </conditionalFormatting>
  <conditionalFormatting sqref="K43:M46">
    <cfRule type="cellIs" dxfId="108" priority="154" operator="lessThan">
      <formula>0</formula>
    </cfRule>
  </conditionalFormatting>
  <conditionalFormatting sqref="K43:M46">
    <cfRule type="cellIs" dxfId="107" priority="153" operator="lessThan">
      <formula>0</formula>
    </cfRule>
  </conditionalFormatting>
  <conditionalFormatting sqref="K43:M46">
    <cfRule type="cellIs" dxfId="106" priority="152" operator="lessThan">
      <formula>0</formula>
    </cfRule>
  </conditionalFormatting>
  <conditionalFormatting sqref="K43:M46">
    <cfRule type="cellIs" dxfId="105" priority="151" operator="lessThan">
      <formula>0</formula>
    </cfRule>
  </conditionalFormatting>
  <conditionalFormatting sqref="K43:M46">
    <cfRule type="cellIs" dxfId="104" priority="150" operator="lessThan">
      <formula>0</formula>
    </cfRule>
  </conditionalFormatting>
  <conditionalFormatting sqref="K43:M46">
    <cfRule type="cellIs" dxfId="103" priority="149" operator="lessThan">
      <formula>0</formula>
    </cfRule>
  </conditionalFormatting>
  <conditionalFormatting sqref="K43:M46">
    <cfRule type="cellIs" dxfId="102" priority="148" operator="lessThan">
      <formula>0</formula>
    </cfRule>
  </conditionalFormatting>
  <conditionalFormatting sqref="K43:M46">
    <cfRule type="cellIs" dxfId="101" priority="147" operator="lessThan">
      <formula>0</formula>
    </cfRule>
  </conditionalFormatting>
  <conditionalFormatting sqref="K51:M54">
    <cfRule type="cellIs" dxfId="100" priority="146" operator="lessThan">
      <formula>0</formula>
    </cfRule>
  </conditionalFormatting>
  <conditionalFormatting sqref="K51:M54">
    <cfRule type="cellIs" dxfId="99" priority="145" operator="lessThan">
      <formula>0</formula>
    </cfRule>
  </conditionalFormatting>
  <conditionalFormatting sqref="K51:M54">
    <cfRule type="cellIs" dxfId="98" priority="144" operator="lessThan">
      <formula>0</formula>
    </cfRule>
  </conditionalFormatting>
  <conditionalFormatting sqref="K51:M54">
    <cfRule type="cellIs" dxfId="97" priority="143" operator="lessThan">
      <formula>0</formula>
    </cfRule>
  </conditionalFormatting>
  <conditionalFormatting sqref="K51:M54">
    <cfRule type="cellIs" dxfId="96" priority="142" operator="lessThan">
      <formula>0</formula>
    </cfRule>
  </conditionalFormatting>
  <conditionalFormatting sqref="K51:M54">
    <cfRule type="cellIs" dxfId="95" priority="141" operator="lessThan">
      <formula>0</formula>
    </cfRule>
  </conditionalFormatting>
  <conditionalFormatting sqref="K51:M54">
    <cfRule type="cellIs" dxfId="94" priority="140" operator="lessThan">
      <formula>0</formula>
    </cfRule>
  </conditionalFormatting>
  <conditionalFormatting sqref="K51:M54">
    <cfRule type="cellIs" dxfId="93" priority="139" operator="lessThan">
      <formula>0</formula>
    </cfRule>
  </conditionalFormatting>
  <conditionalFormatting sqref="K51:M54">
    <cfRule type="cellIs" dxfId="92" priority="138" operator="lessThan">
      <formula>0</formula>
    </cfRule>
  </conditionalFormatting>
  <conditionalFormatting sqref="K51:M54">
    <cfRule type="cellIs" dxfId="91" priority="137" operator="lessThan">
      <formula>0</formula>
    </cfRule>
  </conditionalFormatting>
  <conditionalFormatting sqref="K51:M54">
    <cfRule type="cellIs" dxfId="90" priority="136" operator="lessThan">
      <formula>0</formula>
    </cfRule>
  </conditionalFormatting>
  <conditionalFormatting sqref="R51:R54">
    <cfRule type="cellIs" dxfId="89" priority="135" operator="lessThan">
      <formula>0</formula>
    </cfRule>
  </conditionalFormatting>
  <conditionalFormatting sqref="Q51:Q54">
    <cfRule type="cellIs" dxfId="88" priority="134" operator="lessThan">
      <formula>0</formula>
    </cfRule>
  </conditionalFormatting>
  <conditionalFormatting sqref="Q51:Q54">
    <cfRule type="cellIs" dxfId="87" priority="133" operator="lessThan">
      <formula>0</formula>
    </cfRule>
  </conditionalFormatting>
  <conditionalFormatting sqref="R51:R54">
    <cfRule type="cellIs" dxfId="86" priority="132" operator="lessThan">
      <formula>0</formula>
    </cfRule>
  </conditionalFormatting>
  <conditionalFormatting sqref="R51:R54">
    <cfRule type="cellIs" dxfId="85" priority="131" operator="lessThan">
      <formula>0</formula>
    </cfRule>
  </conditionalFormatting>
  <conditionalFormatting sqref="Q51:Q54">
    <cfRule type="cellIs" dxfId="84" priority="130" operator="lessThan">
      <formula>0</formula>
    </cfRule>
  </conditionalFormatting>
  <conditionalFormatting sqref="Q51:Q54">
    <cfRule type="cellIs" dxfId="83" priority="129" operator="lessThan">
      <formula>0</formula>
    </cfRule>
  </conditionalFormatting>
  <conditionalFormatting sqref="R51:R54">
    <cfRule type="cellIs" dxfId="82" priority="128" operator="lessThan">
      <formula>0</formula>
    </cfRule>
  </conditionalFormatting>
  <conditionalFormatting sqref="Q51:Q54">
    <cfRule type="cellIs" dxfId="81" priority="127" operator="lessThan">
      <formula>0</formula>
    </cfRule>
  </conditionalFormatting>
  <conditionalFormatting sqref="R51:R54">
    <cfRule type="cellIs" dxfId="80" priority="126" operator="lessThan">
      <formula>0</formula>
    </cfRule>
  </conditionalFormatting>
  <conditionalFormatting sqref="R51:R54">
    <cfRule type="cellIs" dxfId="79" priority="125" operator="lessThan">
      <formula>0</formula>
    </cfRule>
  </conditionalFormatting>
  <conditionalFormatting sqref="Q51:Q54">
    <cfRule type="cellIs" dxfId="78" priority="124" operator="lessThan">
      <formula>0</formula>
    </cfRule>
  </conditionalFormatting>
  <conditionalFormatting sqref="Q51:Q54">
    <cfRule type="cellIs" dxfId="77" priority="123" operator="lessThan">
      <formula>0</formula>
    </cfRule>
  </conditionalFormatting>
  <conditionalFormatting sqref="R51:R54">
    <cfRule type="cellIs" dxfId="76" priority="122" operator="lessThan">
      <formula>0</formula>
    </cfRule>
  </conditionalFormatting>
  <conditionalFormatting sqref="Q51:Q54">
    <cfRule type="cellIs" dxfId="75" priority="121" operator="lessThan">
      <formula>0</formula>
    </cfRule>
  </conditionalFormatting>
  <conditionalFormatting sqref="R51:R54">
    <cfRule type="cellIs" dxfId="74" priority="120" operator="lessThan">
      <formula>0</formula>
    </cfRule>
  </conditionalFormatting>
  <conditionalFormatting sqref="R51:R54">
    <cfRule type="cellIs" dxfId="73" priority="119" operator="lessThan">
      <formula>0</formula>
    </cfRule>
  </conditionalFormatting>
  <conditionalFormatting sqref="Q51:Q54">
    <cfRule type="cellIs" dxfId="72" priority="118" operator="lessThan">
      <formula>0</formula>
    </cfRule>
  </conditionalFormatting>
  <conditionalFormatting sqref="R51:R54">
    <cfRule type="cellIs" dxfId="71" priority="117" operator="lessThan">
      <formula>0</formula>
    </cfRule>
  </conditionalFormatting>
  <conditionalFormatting sqref="R51:R54">
    <cfRule type="cellIs" dxfId="70" priority="116" operator="lessThan">
      <formula>0</formula>
    </cfRule>
  </conditionalFormatting>
  <conditionalFormatting sqref="R51:R54">
    <cfRule type="cellIs" dxfId="69" priority="115" operator="lessThan">
      <formula>0</formula>
    </cfRule>
  </conditionalFormatting>
  <conditionalFormatting sqref="R51:R54">
    <cfRule type="cellIs" dxfId="68" priority="114" operator="lessThan">
      <formula>0</formula>
    </cfRule>
  </conditionalFormatting>
  <conditionalFormatting sqref="R51:R54">
    <cfRule type="cellIs" dxfId="67" priority="113" operator="lessThan">
      <formula>0</formula>
    </cfRule>
  </conditionalFormatting>
  <conditionalFormatting sqref="Q51:Q54">
    <cfRule type="cellIs" dxfId="66" priority="112" operator="lessThan">
      <formula>0</formula>
    </cfRule>
  </conditionalFormatting>
  <conditionalFormatting sqref="Q51:Q54">
    <cfRule type="cellIs" dxfId="65" priority="111" operator="lessThan">
      <formula>0</formula>
    </cfRule>
  </conditionalFormatting>
  <conditionalFormatting sqref="Q51:Q54">
    <cfRule type="cellIs" dxfId="64" priority="110" operator="lessThan">
      <formula>0</formula>
    </cfRule>
  </conditionalFormatting>
  <conditionalFormatting sqref="Q51:Q54">
    <cfRule type="cellIs" dxfId="63" priority="109" operator="lessThan">
      <formula>0</formula>
    </cfRule>
  </conditionalFormatting>
  <conditionalFormatting sqref="Q51:Q54">
    <cfRule type="cellIs" dxfId="62" priority="108" operator="lessThan">
      <formula>0</formula>
    </cfRule>
  </conditionalFormatting>
  <conditionalFormatting sqref="Q51:Q54">
    <cfRule type="cellIs" dxfId="61" priority="107" operator="lessThan">
      <formula>0</formula>
    </cfRule>
  </conditionalFormatting>
  <conditionalFormatting sqref="E43:F46">
    <cfRule type="cellIs" dxfId="60" priority="76" operator="lessThan">
      <formula>0</formula>
    </cfRule>
  </conditionalFormatting>
  <conditionalFormatting sqref="E43:F46">
    <cfRule type="cellIs" dxfId="59" priority="75" operator="lessThan">
      <formula>0</formula>
    </cfRule>
  </conditionalFormatting>
  <conditionalFormatting sqref="T43:T46">
    <cfRule type="cellIs" dxfId="58" priority="73" operator="lessThan">
      <formula>0</formula>
    </cfRule>
  </conditionalFormatting>
  <conditionalFormatting sqref="S43:S46">
    <cfRule type="cellIs" dxfId="57" priority="72" operator="lessThan">
      <formula>0</formula>
    </cfRule>
  </conditionalFormatting>
  <conditionalFormatting sqref="R43:R46">
    <cfRule type="cellIs" dxfId="56" priority="71" operator="lessThan">
      <formula>0</formula>
    </cfRule>
  </conditionalFormatting>
  <conditionalFormatting sqref="U43:U46">
    <cfRule type="cellIs" dxfId="55" priority="69" operator="lessThan">
      <formula>0</formula>
    </cfRule>
  </conditionalFormatting>
  <conditionalFormatting sqref="S43:S46">
    <cfRule type="cellIs" dxfId="54" priority="68" operator="lessThan">
      <formula>0</formula>
    </cfRule>
  </conditionalFormatting>
  <conditionalFormatting sqref="U43:U46">
    <cfRule type="cellIs" dxfId="53" priority="67" operator="lessThan">
      <formula>0</formula>
    </cfRule>
  </conditionalFormatting>
  <conditionalFormatting sqref="T43:T46">
    <cfRule type="cellIs" dxfId="52" priority="66" operator="lessThan">
      <formula>0</formula>
    </cfRule>
  </conditionalFormatting>
  <conditionalFormatting sqref="S43:S46">
    <cfRule type="cellIs" dxfId="51" priority="65" operator="lessThan">
      <formula>0</formula>
    </cfRule>
  </conditionalFormatting>
  <conditionalFormatting sqref="T43:T46">
    <cfRule type="cellIs" dxfId="50" priority="63" operator="lessThan">
      <formula>0</formula>
    </cfRule>
  </conditionalFormatting>
  <conditionalFormatting sqref="R43:R46">
    <cfRule type="cellIs" dxfId="49" priority="62" operator="lessThan">
      <formula>0</formula>
    </cfRule>
  </conditionalFormatting>
  <conditionalFormatting sqref="R43:R46">
    <cfRule type="cellIs" dxfId="48" priority="61" operator="lessThan">
      <formula>0</formula>
    </cfRule>
  </conditionalFormatting>
  <conditionalFormatting sqref="U43:U46">
    <cfRule type="cellIs" dxfId="47" priority="59" operator="lessThan">
      <formula>0</formula>
    </cfRule>
  </conditionalFormatting>
  <conditionalFormatting sqref="T43:T46">
    <cfRule type="cellIs" dxfId="46" priority="58" operator="lessThan">
      <formula>0</formula>
    </cfRule>
  </conditionalFormatting>
  <conditionalFormatting sqref="U43:U46">
    <cfRule type="cellIs" dxfId="45" priority="57" operator="lessThan">
      <formula>0</formula>
    </cfRule>
  </conditionalFormatting>
  <conditionalFormatting sqref="S43:S46">
    <cfRule type="cellIs" dxfId="44" priority="56" operator="lessThan">
      <formula>0</formula>
    </cfRule>
  </conditionalFormatting>
  <conditionalFormatting sqref="R43:R46">
    <cfRule type="cellIs" dxfId="43" priority="55" operator="lessThan">
      <formula>0</formula>
    </cfRule>
  </conditionalFormatting>
  <conditionalFormatting sqref="S43:S46">
    <cfRule type="cellIs" dxfId="42" priority="54" operator="lessThan">
      <formula>0</formula>
    </cfRule>
  </conditionalFormatting>
  <conditionalFormatting sqref="U43:U46">
    <cfRule type="cellIs" dxfId="41" priority="52" operator="lessThan">
      <formula>0</formula>
    </cfRule>
  </conditionalFormatting>
  <conditionalFormatting sqref="T43:T46">
    <cfRule type="cellIs" dxfId="40" priority="50" operator="lessThan">
      <formula>0</formula>
    </cfRule>
  </conditionalFormatting>
  <conditionalFormatting sqref="S43:S46">
    <cfRule type="cellIs" dxfId="39" priority="49" operator="lessThan">
      <formula>0</formula>
    </cfRule>
  </conditionalFormatting>
  <conditionalFormatting sqref="T43:T46">
    <cfRule type="cellIs" dxfId="38" priority="48" operator="lessThan">
      <formula>0</formula>
    </cfRule>
  </conditionalFormatting>
  <conditionalFormatting sqref="N43:N46">
    <cfRule type="cellIs" dxfId="37" priority="47" operator="lessThan">
      <formula>0</formula>
    </cfRule>
  </conditionalFormatting>
  <conditionalFormatting sqref="L43:N46">
    <cfRule type="cellIs" dxfId="36" priority="42" operator="lessThan">
      <formula>0</formula>
    </cfRule>
  </conditionalFormatting>
  <conditionalFormatting sqref="K43:K46">
    <cfRule type="cellIs" dxfId="35" priority="46" operator="lessThan">
      <formula>0</formula>
    </cfRule>
  </conditionalFormatting>
  <conditionalFormatting sqref="K43:K46">
    <cfRule type="cellIs" dxfId="34" priority="45" operator="lessThan">
      <formula>0</formula>
    </cfRule>
  </conditionalFormatting>
  <conditionalFormatting sqref="L43:L46">
    <cfRule type="cellIs" dxfId="33" priority="44" operator="lessThan">
      <formula>0</formula>
    </cfRule>
  </conditionalFormatting>
  <conditionalFormatting sqref="L43:L46">
    <cfRule type="cellIs" dxfId="32" priority="43" operator="lessThan">
      <formula>0</formula>
    </cfRule>
  </conditionalFormatting>
  <conditionalFormatting sqref="U43:U46">
    <cfRule type="cellIs" dxfId="31" priority="40" operator="lessThan">
      <formula>0</formula>
    </cfRule>
  </conditionalFormatting>
  <conditionalFormatting sqref="T43:T46">
    <cfRule type="cellIs" dxfId="30" priority="39" operator="lessThan">
      <formula>0</formula>
    </cfRule>
  </conditionalFormatting>
  <conditionalFormatting sqref="U43:U46">
    <cfRule type="cellIs" dxfId="29" priority="38" operator="lessThan">
      <formula>0</formula>
    </cfRule>
  </conditionalFormatting>
  <conditionalFormatting sqref="U43:U46">
    <cfRule type="cellIs" dxfId="28" priority="36" operator="lessThan">
      <formula>0</formula>
    </cfRule>
  </conditionalFormatting>
  <conditionalFormatting sqref="S43:S46">
    <cfRule type="cellIs" dxfId="27" priority="34" operator="lessThan">
      <formula>0</formula>
    </cfRule>
  </conditionalFormatting>
  <conditionalFormatting sqref="U43:U46">
    <cfRule type="cellIs" dxfId="26" priority="32" operator="lessThan">
      <formula>0</formula>
    </cfRule>
  </conditionalFormatting>
  <conditionalFormatting sqref="T43:T46">
    <cfRule type="cellIs" dxfId="25" priority="31" operator="lessThan">
      <formula>0</formula>
    </cfRule>
  </conditionalFormatting>
  <conditionalFormatting sqref="T43:T46">
    <cfRule type="cellIs" dxfId="24" priority="30" operator="lessThan">
      <formula>0</formula>
    </cfRule>
  </conditionalFormatting>
  <conditionalFormatting sqref="R43:R46">
    <cfRule type="cellIs" dxfId="23" priority="29" operator="lessThan">
      <formula>0</formula>
    </cfRule>
  </conditionalFormatting>
  <conditionalFormatting sqref="T43:T46">
    <cfRule type="cellIs" dxfId="22" priority="25" operator="lessThan">
      <formula>0</formula>
    </cfRule>
  </conditionalFormatting>
  <conditionalFormatting sqref="R43:T46">
    <cfRule type="cellIs" dxfId="21" priority="22" operator="lessThan">
      <formula>0</formula>
    </cfRule>
  </conditionalFormatting>
  <conditionalFormatting sqref="R43:R46">
    <cfRule type="cellIs" dxfId="20" priority="24" operator="lessThan">
      <formula>0</formula>
    </cfRule>
  </conditionalFormatting>
  <conditionalFormatting sqref="R43:R46">
    <cfRule type="cellIs" dxfId="19" priority="23" operator="lessThan">
      <formula>0</formula>
    </cfRule>
  </conditionalFormatting>
  <conditionalFormatting sqref="U43:U46">
    <cfRule type="cellIs" dxfId="18" priority="19" operator="lessThan">
      <formula>0</formula>
    </cfRule>
  </conditionalFormatting>
  <conditionalFormatting sqref="U43:U46">
    <cfRule type="cellIs" dxfId="17" priority="18" operator="lessThan">
      <formula>0</formula>
    </cfRule>
  </conditionalFormatting>
  <conditionalFormatting sqref="U43:U46">
    <cfRule type="cellIs" dxfId="16" priority="17" operator="lessThan">
      <formula>0</formula>
    </cfRule>
  </conditionalFormatting>
  <conditionalFormatting sqref="U43:U46">
    <cfRule type="cellIs" dxfId="15" priority="16" operator="lessThan">
      <formula>0</formula>
    </cfRule>
  </conditionalFormatting>
  <conditionalFormatting sqref="U43:U46">
    <cfRule type="cellIs" dxfId="14" priority="15" operator="lessThan">
      <formula>0</formula>
    </cfRule>
  </conditionalFormatting>
  <conditionalFormatting sqref="U43:U46">
    <cfRule type="cellIs" dxfId="13" priority="14" operator="lessThan">
      <formula>0</formula>
    </cfRule>
  </conditionalFormatting>
  <conditionalFormatting sqref="O43:Q46">
    <cfRule type="cellIs" dxfId="12" priority="13" operator="lessThan">
      <formula>0</formula>
    </cfRule>
  </conditionalFormatting>
  <conditionalFormatting sqref="O43:Q46">
    <cfRule type="cellIs" dxfId="11" priority="12" operator="lessThan">
      <formula>0</formula>
    </cfRule>
  </conditionalFormatting>
  <conditionalFormatting sqref="O43:Q46">
    <cfRule type="cellIs" dxfId="10" priority="11" operator="lessThan">
      <formula>0</formula>
    </cfRule>
  </conditionalFormatting>
  <conditionalFormatting sqref="O43:Q46">
    <cfRule type="cellIs" dxfId="9" priority="10" operator="lessThan">
      <formula>0</formula>
    </cfRule>
  </conditionalFormatting>
  <conditionalFormatting sqref="O43:Q46">
    <cfRule type="cellIs" dxfId="8" priority="9" operator="lessThan">
      <formula>0</formula>
    </cfRule>
  </conditionalFormatting>
  <conditionalFormatting sqref="O43:Q46">
    <cfRule type="cellIs" dxfId="7" priority="8" operator="lessThan">
      <formula>0</formula>
    </cfRule>
  </conditionalFormatting>
  <conditionalFormatting sqref="O43:Q46">
    <cfRule type="cellIs" dxfId="6" priority="7" operator="lessThan">
      <formula>0</formula>
    </cfRule>
  </conditionalFormatting>
  <conditionalFormatting sqref="O43:Q46">
    <cfRule type="cellIs" dxfId="5" priority="6" operator="lessThan">
      <formula>0</formula>
    </cfRule>
  </conditionalFormatting>
  <conditionalFormatting sqref="O43:Q46">
    <cfRule type="cellIs" dxfId="4" priority="5" operator="lessThan">
      <formula>0</formula>
    </cfRule>
  </conditionalFormatting>
  <conditionalFormatting sqref="O43:Q46">
    <cfRule type="cellIs" dxfId="3" priority="4" operator="lessThan">
      <formula>0</formula>
    </cfRule>
  </conditionalFormatting>
  <conditionalFormatting sqref="O43:Q46">
    <cfRule type="cellIs" dxfId="2" priority="3" operator="lessThan">
      <formula>0</formula>
    </cfRule>
  </conditionalFormatting>
  <conditionalFormatting sqref="I43:J46">
    <cfRule type="cellIs" dxfId="1" priority="2" operator="lessThan">
      <formula>0</formula>
    </cfRule>
  </conditionalFormatting>
  <conditionalFormatting sqref="I43:J46">
    <cfRule type="cellIs" dxfId="0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pageMargins left="0.25" right="0.25" top="0.255" bottom="0.25" header="0.1" footer="0.1"/>
  <pageSetup scale="59" orientation="landscape" horizontalDpi="1200" verticalDpi="1200" r:id="rId1"/>
  <headerFooter scaleWithDoc="0">
    <oddHeader>&amp;L&amp;G&amp;C&amp;"-,Bold"&amp;10&amp;K2E398A
&amp;15Time from Refinancing Application to Funding &amp;R&amp;"-,Bold"&amp;10&amp;K2E398A
As of 01/10/2018</oddHeader>
    <oddFooter>&amp;L&amp;10&amp;K2E398AReport created on &amp;D &amp;T&amp;C&amp;G
&amp;8&amp;K2E398APage &amp;P of &amp;N</oddFooter>
  </headerFooter>
  <colBreaks count="1" manualBreakCount="1">
    <brk id="25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D100"/>
  <sheetViews>
    <sheetView topLeftCell="A7" workbookViewId="0">
      <selection activeCell="C19" sqref="C19:G30"/>
    </sheetView>
  </sheetViews>
  <sheetFormatPr defaultRowHeight="15"/>
  <cols>
    <col min="2" max="2" width="25.85546875" style="2" bestFit="1" customWidth="1"/>
    <col min="3" max="3" width="9.7109375" bestFit="1" customWidth="1"/>
  </cols>
  <sheetData>
    <row r="2" spans="2:30" s="24" customFormat="1">
      <c r="B2" s="23"/>
      <c r="D2" s="24">
        <v>2015</v>
      </c>
      <c r="E2" s="24">
        <v>2014</v>
      </c>
      <c r="F2" s="33">
        <v>2014</v>
      </c>
      <c r="G2" s="33"/>
      <c r="H2" s="33"/>
      <c r="I2" s="33"/>
      <c r="J2" s="33"/>
      <c r="K2" s="33"/>
      <c r="L2" s="33"/>
      <c r="M2" s="24">
        <v>2012</v>
      </c>
      <c r="N2" s="33">
        <v>2012</v>
      </c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24">
        <v>2011</v>
      </c>
    </row>
    <row r="3" spans="2:30" s="24" customFormat="1">
      <c r="B3" s="23"/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2</v>
      </c>
      <c r="N3" s="24" t="s">
        <v>3</v>
      </c>
      <c r="O3" s="24" t="s">
        <v>4</v>
      </c>
      <c r="P3" s="24" t="s">
        <v>5</v>
      </c>
      <c r="Q3" s="24" t="s">
        <v>6</v>
      </c>
      <c r="R3" s="24" t="s">
        <v>7</v>
      </c>
      <c r="S3" s="24" t="s">
        <v>8</v>
      </c>
      <c r="T3" s="24" t="s">
        <v>9</v>
      </c>
      <c r="U3" s="24" t="s">
        <v>10</v>
      </c>
      <c r="V3" s="24" t="s">
        <v>11</v>
      </c>
      <c r="W3" s="24" t="s">
        <v>12</v>
      </c>
      <c r="X3" s="24" t="s">
        <v>13</v>
      </c>
      <c r="Y3" s="24" t="s">
        <v>1</v>
      </c>
      <c r="Z3" s="24" t="s">
        <v>3</v>
      </c>
      <c r="AA3" s="24" t="s">
        <v>4</v>
      </c>
      <c r="AB3" s="24" t="s">
        <v>5</v>
      </c>
      <c r="AC3" s="24" t="s">
        <v>6</v>
      </c>
      <c r="AD3" s="24" t="s">
        <v>7</v>
      </c>
    </row>
    <row r="4" spans="2:30" s="24" customFormat="1">
      <c r="B4" s="23" t="s">
        <v>0</v>
      </c>
      <c r="C4" s="24" t="s">
        <v>14</v>
      </c>
      <c r="D4" s="24">
        <v>39</v>
      </c>
      <c r="E4" s="24">
        <v>39</v>
      </c>
      <c r="F4" s="24">
        <v>42</v>
      </c>
      <c r="G4" s="24">
        <v>37</v>
      </c>
      <c r="H4" s="24">
        <v>39</v>
      </c>
      <c r="I4" s="24">
        <v>40</v>
      </c>
      <c r="J4" s="24">
        <v>39</v>
      </c>
      <c r="K4" s="24">
        <v>37</v>
      </c>
      <c r="L4" s="24">
        <v>39</v>
      </c>
      <c r="M4" s="24">
        <v>49</v>
      </c>
      <c r="N4" s="24">
        <v>57</v>
      </c>
      <c r="O4" s="24">
        <v>51</v>
      </c>
      <c r="P4" s="24">
        <v>57</v>
      </c>
      <c r="Q4" s="24">
        <v>53</v>
      </c>
      <c r="R4" s="24">
        <v>51</v>
      </c>
      <c r="S4" s="24">
        <v>48</v>
      </c>
      <c r="T4" s="24">
        <v>47</v>
      </c>
      <c r="U4" s="24">
        <v>48</v>
      </c>
      <c r="V4" s="24">
        <v>47</v>
      </c>
      <c r="W4" s="24">
        <v>42</v>
      </c>
      <c r="X4" s="24">
        <v>43</v>
      </c>
      <c r="Y4" s="24">
        <v>48</v>
      </c>
      <c r="Z4" s="24">
        <v>48</v>
      </c>
      <c r="AA4" s="24">
        <v>46</v>
      </c>
      <c r="AB4" s="24">
        <v>42</v>
      </c>
      <c r="AC4" s="24">
        <v>39</v>
      </c>
      <c r="AD4" s="24">
        <v>37</v>
      </c>
    </row>
    <row r="5" spans="2:30" s="24" customFormat="1">
      <c r="B5" s="23" t="s">
        <v>15</v>
      </c>
      <c r="D5" s="24">
        <v>42</v>
      </c>
      <c r="E5" s="24">
        <v>40</v>
      </c>
      <c r="F5" s="24">
        <v>44</v>
      </c>
      <c r="G5" s="24">
        <v>37</v>
      </c>
      <c r="H5" s="24">
        <v>44</v>
      </c>
      <c r="I5" s="24">
        <v>44</v>
      </c>
      <c r="J5" s="24">
        <v>40</v>
      </c>
      <c r="K5" s="24">
        <v>39</v>
      </c>
      <c r="L5" s="24">
        <v>42</v>
      </c>
    </row>
    <row r="6" spans="2:30" s="24" customFormat="1">
      <c r="B6" s="23" t="s">
        <v>16</v>
      </c>
      <c r="D6" s="24">
        <v>39</v>
      </c>
      <c r="E6" s="24">
        <v>39</v>
      </c>
      <c r="F6" s="24">
        <v>42</v>
      </c>
      <c r="G6" s="24">
        <v>37</v>
      </c>
      <c r="H6" s="24">
        <v>38</v>
      </c>
      <c r="I6" s="24">
        <v>40</v>
      </c>
      <c r="J6" s="24">
        <v>39</v>
      </c>
      <c r="K6" s="24">
        <v>37</v>
      </c>
      <c r="L6" s="24">
        <v>39</v>
      </c>
    </row>
    <row r="7" spans="2:30" s="24" customFormat="1">
      <c r="B7" s="23" t="s">
        <v>17</v>
      </c>
      <c r="D7" s="24">
        <v>38</v>
      </c>
      <c r="E7" s="24" t="s">
        <v>18</v>
      </c>
      <c r="F7" s="24">
        <v>42</v>
      </c>
      <c r="G7" s="24">
        <v>39</v>
      </c>
      <c r="H7" s="24">
        <v>46</v>
      </c>
      <c r="I7" s="24">
        <v>44</v>
      </c>
      <c r="J7" s="24">
        <v>41</v>
      </c>
      <c r="K7" s="24">
        <v>36</v>
      </c>
      <c r="L7" s="24">
        <v>41</v>
      </c>
    </row>
    <row r="17" spans="3:7">
      <c r="C17" s="7"/>
      <c r="D17" s="34" t="s">
        <v>21</v>
      </c>
      <c r="E17" s="34"/>
      <c r="F17" s="34"/>
      <c r="G17" s="34"/>
    </row>
    <row r="18" spans="3:7">
      <c r="D18" t="s">
        <v>27</v>
      </c>
      <c r="E18" t="s">
        <v>28</v>
      </c>
      <c r="F18" t="s">
        <v>19</v>
      </c>
      <c r="G18" t="s">
        <v>20</v>
      </c>
    </row>
    <row r="19" spans="3:7">
      <c r="C19" s="22">
        <v>43221</v>
      </c>
      <c r="D19">
        <v>37</v>
      </c>
      <c r="E19">
        <v>37</v>
      </c>
      <c r="F19">
        <v>37</v>
      </c>
      <c r="G19">
        <v>43</v>
      </c>
    </row>
    <row r="20" spans="3:7">
      <c r="C20" s="22">
        <v>43191</v>
      </c>
      <c r="D20">
        <v>37</v>
      </c>
      <c r="E20">
        <v>38</v>
      </c>
      <c r="F20">
        <v>38</v>
      </c>
      <c r="G20">
        <v>44</v>
      </c>
    </row>
    <row r="21" spans="3:7">
      <c r="C21" s="22">
        <v>43160</v>
      </c>
      <c r="D21">
        <v>37</v>
      </c>
      <c r="E21">
        <v>38</v>
      </c>
      <c r="F21">
        <v>38</v>
      </c>
      <c r="G21">
        <v>45</v>
      </c>
    </row>
    <row r="22" spans="3:7">
      <c r="C22" s="22">
        <v>43132</v>
      </c>
      <c r="D22">
        <v>37</v>
      </c>
      <c r="E22">
        <v>38</v>
      </c>
      <c r="F22">
        <v>38</v>
      </c>
      <c r="G22">
        <v>46</v>
      </c>
    </row>
    <row r="23" spans="3:7">
      <c r="C23" s="22">
        <v>43101</v>
      </c>
      <c r="D23">
        <v>40</v>
      </c>
      <c r="E23">
        <v>39</v>
      </c>
      <c r="F23">
        <v>42</v>
      </c>
      <c r="G23">
        <v>49</v>
      </c>
    </row>
    <row r="24" spans="3:7">
      <c r="C24" s="22">
        <v>43070</v>
      </c>
      <c r="D24">
        <v>41</v>
      </c>
      <c r="E24">
        <v>40</v>
      </c>
      <c r="F24">
        <v>43</v>
      </c>
      <c r="G24">
        <v>49</v>
      </c>
    </row>
    <row r="25" spans="3:7">
      <c r="C25" s="22">
        <v>43040</v>
      </c>
      <c r="D25">
        <v>40</v>
      </c>
      <c r="E25">
        <v>40</v>
      </c>
      <c r="F25">
        <v>41</v>
      </c>
      <c r="G25">
        <v>47</v>
      </c>
    </row>
    <row r="26" spans="3:7">
      <c r="C26" s="22">
        <v>43009</v>
      </c>
      <c r="D26">
        <v>40</v>
      </c>
      <c r="E26">
        <v>40</v>
      </c>
      <c r="F26">
        <v>42</v>
      </c>
      <c r="G26">
        <v>47</v>
      </c>
    </row>
    <row r="27" spans="3:7">
      <c r="C27" s="22">
        <v>42979</v>
      </c>
      <c r="D27">
        <v>40</v>
      </c>
      <c r="E27">
        <v>39</v>
      </c>
      <c r="F27">
        <v>41</v>
      </c>
      <c r="G27">
        <v>46</v>
      </c>
    </row>
    <row r="28" spans="3:7">
      <c r="C28" s="22">
        <v>42948</v>
      </c>
      <c r="D28">
        <v>41</v>
      </c>
      <c r="E28">
        <v>40</v>
      </c>
      <c r="F28">
        <v>41</v>
      </c>
      <c r="G28">
        <v>47</v>
      </c>
    </row>
    <row r="29" spans="3:7">
      <c r="C29" s="22">
        <v>42917</v>
      </c>
      <c r="D29">
        <v>42</v>
      </c>
      <c r="E29">
        <v>42</v>
      </c>
      <c r="F29">
        <v>43</v>
      </c>
      <c r="G29">
        <v>48</v>
      </c>
    </row>
    <row r="30" spans="3:7">
      <c r="C30" s="22">
        <v>42887</v>
      </c>
      <c r="D30">
        <v>41</v>
      </c>
      <c r="E30">
        <v>41</v>
      </c>
      <c r="F30">
        <v>41</v>
      </c>
      <c r="G30">
        <v>48</v>
      </c>
    </row>
    <row r="31" spans="3:7">
      <c r="C31" s="22">
        <v>42856</v>
      </c>
      <c r="D31">
        <v>41</v>
      </c>
      <c r="E31">
        <v>40</v>
      </c>
      <c r="F31">
        <v>42</v>
      </c>
      <c r="G31">
        <v>45</v>
      </c>
    </row>
    <row r="32" spans="3:7">
      <c r="C32" s="22">
        <v>42826</v>
      </c>
      <c r="D32">
        <v>41</v>
      </c>
      <c r="E32">
        <v>40</v>
      </c>
      <c r="F32">
        <v>42</v>
      </c>
      <c r="G32">
        <v>45</v>
      </c>
    </row>
    <row r="33" spans="3:18">
      <c r="C33" s="22">
        <v>42795</v>
      </c>
      <c r="D33">
        <v>43</v>
      </c>
      <c r="E33">
        <v>43</v>
      </c>
      <c r="F33">
        <v>44</v>
      </c>
      <c r="G33">
        <v>46</v>
      </c>
    </row>
    <row r="34" spans="3:18">
      <c r="C34" s="22">
        <v>42767</v>
      </c>
      <c r="D34">
        <v>47</v>
      </c>
      <c r="E34">
        <v>47</v>
      </c>
      <c r="F34">
        <v>46</v>
      </c>
      <c r="G34">
        <v>50</v>
      </c>
      <c r="M34">
        <v>40</v>
      </c>
      <c r="N34">
        <v>40</v>
      </c>
      <c r="O34">
        <v>40</v>
      </c>
      <c r="P34">
        <v>41</v>
      </c>
      <c r="Q34">
        <v>42</v>
      </c>
      <c r="R34">
        <v>41</v>
      </c>
    </row>
    <row r="35" spans="3:18">
      <c r="C35" s="22">
        <v>42736</v>
      </c>
      <c r="D35">
        <v>53</v>
      </c>
      <c r="E35">
        <v>53</v>
      </c>
      <c r="F35">
        <v>58</v>
      </c>
      <c r="G35">
        <v>58</v>
      </c>
      <c r="M35">
        <v>40</v>
      </c>
      <c r="N35">
        <v>40</v>
      </c>
      <c r="O35">
        <v>39</v>
      </c>
      <c r="P35">
        <v>40</v>
      </c>
      <c r="Q35">
        <v>42</v>
      </c>
      <c r="R35">
        <v>41</v>
      </c>
    </row>
    <row r="36" spans="3:18">
      <c r="C36" s="22">
        <v>42705</v>
      </c>
      <c r="D36">
        <v>52</v>
      </c>
      <c r="E36">
        <v>52</v>
      </c>
      <c r="F36">
        <v>51</v>
      </c>
      <c r="G36">
        <v>58</v>
      </c>
      <c r="M36">
        <v>41</v>
      </c>
      <c r="N36">
        <v>42</v>
      </c>
      <c r="O36">
        <v>41</v>
      </c>
      <c r="P36">
        <v>41</v>
      </c>
      <c r="Q36">
        <v>43</v>
      </c>
      <c r="R36">
        <v>41</v>
      </c>
    </row>
    <row r="37" spans="3:18">
      <c r="C37" s="22">
        <v>42675</v>
      </c>
      <c r="D37">
        <v>51</v>
      </c>
      <c r="E37">
        <v>50</v>
      </c>
      <c r="F37">
        <v>52</v>
      </c>
      <c r="G37">
        <v>57</v>
      </c>
      <c r="M37">
        <v>47</v>
      </c>
      <c r="N37">
        <v>47</v>
      </c>
      <c r="O37">
        <v>46</v>
      </c>
      <c r="P37">
        <v>47</v>
      </c>
      <c r="Q37">
        <v>48</v>
      </c>
      <c r="R37">
        <v>48</v>
      </c>
    </row>
    <row r="38" spans="3:18">
      <c r="C38" s="22">
        <v>42644</v>
      </c>
      <c r="D38">
        <v>50</v>
      </c>
      <c r="E38">
        <v>50</v>
      </c>
      <c r="F38">
        <v>51</v>
      </c>
      <c r="G38">
        <v>57</v>
      </c>
    </row>
    <row r="39" spans="3:18">
      <c r="C39" s="22">
        <v>42614</v>
      </c>
      <c r="D39">
        <v>50</v>
      </c>
      <c r="E39">
        <v>49</v>
      </c>
      <c r="F39">
        <v>51</v>
      </c>
      <c r="G39">
        <v>56</v>
      </c>
    </row>
    <row r="40" spans="3:18">
      <c r="C40" s="22">
        <v>42583</v>
      </c>
      <c r="D40">
        <v>46</v>
      </c>
      <c r="E40">
        <v>46</v>
      </c>
      <c r="F40">
        <v>49</v>
      </c>
      <c r="G40">
        <v>56</v>
      </c>
    </row>
    <row r="41" spans="3:18">
      <c r="C41" s="22">
        <v>42552</v>
      </c>
      <c r="D41">
        <v>48</v>
      </c>
      <c r="E41">
        <v>45</v>
      </c>
      <c r="F41">
        <v>49</v>
      </c>
      <c r="G41">
        <v>54</v>
      </c>
      <c r="J41">
        <v>51</v>
      </c>
      <c r="K41">
        <v>50</v>
      </c>
      <c r="M41">
        <v>41</v>
      </c>
      <c r="N41">
        <v>40</v>
      </c>
      <c r="O41">
        <v>42</v>
      </c>
      <c r="P41">
        <v>45</v>
      </c>
    </row>
    <row r="42" spans="3:18">
      <c r="C42" s="22">
        <v>42522</v>
      </c>
      <c r="D42">
        <v>47</v>
      </c>
      <c r="E42">
        <v>46</v>
      </c>
      <c r="F42">
        <v>47</v>
      </c>
      <c r="G42">
        <v>57</v>
      </c>
      <c r="J42">
        <v>50</v>
      </c>
      <c r="K42">
        <v>49</v>
      </c>
      <c r="M42">
        <v>41</v>
      </c>
      <c r="N42">
        <v>40</v>
      </c>
      <c r="O42">
        <v>42</v>
      </c>
      <c r="P42">
        <v>45</v>
      </c>
    </row>
    <row r="43" spans="3:18">
      <c r="C43" s="22">
        <v>42491</v>
      </c>
      <c r="D43">
        <v>44</v>
      </c>
      <c r="E43">
        <v>44</v>
      </c>
      <c r="F43">
        <v>45</v>
      </c>
      <c r="G43">
        <v>56</v>
      </c>
      <c r="J43">
        <v>52</v>
      </c>
      <c r="K43">
        <v>51</v>
      </c>
      <c r="M43">
        <v>43</v>
      </c>
      <c r="N43">
        <v>43</v>
      </c>
      <c r="O43">
        <v>44</v>
      </c>
      <c r="P43">
        <v>46</v>
      </c>
    </row>
    <row r="44" spans="3:18">
      <c r="C44" s="22">
        <v>42461</v>
      </c>
      <c r="D44">
        <v>44</v>
      </c>
      <c r="E44">
        <v>43</v>
      </c>
      <c r="F44">
        <v>44</v>
      </c>
      <c r="G44">
        <v>54</v>
      </c>
      <c r="J44">
        <v>57</v>
      </c>
      <c r="K44">
        <v>56</v>
      </c>
      <c r="M44">
        <v>47</v>
      </c>
      <c r="N44">
        <v>47</v>
      </c>
      <c r="O44">
        <v>46</v>
      </c>
      <c r="P44">
        <v>50</v>
      </c>
    </row>
    <row r="45" spans="3:18">
      <c r="C45" s="22">
        <v>42430</v>
      </c>
      <c r="D45">
        <v>41</v>
      </c>
      <c r="E45">
        <v>41</v>
      </c>
      <c r="F45">
        <v>42</v>
      </c>
      <c r="G45">
        <v>51</v>
      </c>
    </row>
    <row r="46" spans="3:18">
      <c r="C46" s="22">
        <v>42401</v>
      </c>
      <c r="D46">
        <v>44</v>
      </c>
      <c r="E46">
        <v>44</v>
      </c>
      <c r="F46">
        <v>43</v>
      </c>
      <c r="G46">
        <v>53</v>
      </c>
    </row>
    <row r="47" spans="3:18">
      <c r="C47" s="22">
        <v>42370</v>
      </c>
      <c r="D47">
        <v>48</v>
      </c>
      <c r="E47">
        <v>48</v>
      </c>
      <c r="F47">
        <v>47</v>
      </c>
      <c r="G47">
        <v>58</v>
      </c>
      <c r="M47">
        <v>41</v>
      </c>
      <c r="N47">
        <v>41</v>
      </c>
      <c r="O47">
        <v>43</v>
      </c>
      <c r="P47">
        <v>47</v>
      </c>
    </row>
    <row r="48" spans="3:18">
      <c r="C48" s="22">
        <v>42339</v>
      </c>
      <c r="D48">
        <v>47</v>
      </c>
      <c r="E48">
        <v>47</v>
      </c>
      <c r="F48">
        <v>45</v>
      </c>
      <c r="G48">
        <v>56</v>
      </c>
      <c r="M48">
        <v>40</v>
      </c>
      <c r="N48">
        <v>40</v>
      </c>
      <c r="O48">
        <v>43</v>
      </c>
      <c r="P48">
        <v>47</v>
      </c>
    </row>
    <row r="49" spans="3:16">
      <c r="C49" s="22">
        <v>42309</v>
      </c>
      <c r="D49">
        <v>49</v>
      </c>
      <c r="E49">
        <v>49</v>
      </c>
      <c r="F49">
        <v>47</v>
      </c>
      <c r="G49">
        <v>52</v>
      </c>
      <c r="M49">
        <v>42</v>
      </c>
      <c r="N49">
        <v>42</v>
      </c>
      <c r="O49">
        <v>44</v>
      </c>
      <c r="P49">
        <v>46</v>
      </c>
    </row>
    <row r="50" spans="3:16">
      <c r="C50" s="22">
        <v>42278</v>
      </c>
      <c r="D50">
        <v>45</v>
      </c>
      <c r="E50">
        <v>44</v>
      </c>
      <c r="F50">
        <v>45</v>
      </c>
      <c r="G50">
        <v>52</v>
      </c>
      <c r="M50">
        <v>45</v>
      </c>
      <c r="N50">
        <v>45</v>
      </c>
      <c r="O50">
        <v>46</v>
      </c>
      <c r="P50">
        <v>50</v>
      </c>
    </row>
    <row r="51" spans="3:16">
      <c r="C51" s="22">
        <v>42248</v>
      </c>
      <c r="D51">
        <v>46</v>
      </c>
      <c r="E51">
        <v>46</v>
      </c>
      <c r="F51">
        <v>48</v>
      </c>
      <c r="G51">
        <v>52</v>
      </c>
    </row>
    <row r="52" spans="3:16">
      <c r="C52" s="22">
        <v>42217</v>
      </c>
      <c r="D52">
        <v>50</v>
      </c>
      <c r="E52">
        <v>50</v>
      </c>
      <c r="F52">
        <v>50</v>
      </c>
      <c r="G52">
        <v>54</v>
      </c>
    </row>
    <row r="53" spans="3:16">
      <c r="C53" s="22">
        <v>42186</v>
      </c>
      <c r="D53">
        <v>52</v>
      </c>
      <c r="E53">
        <v>52</v>
      </c>
      <c r="F53">
        <v>53</v>
      </c>
      <c r="G53">
        <v>56</v>
      </c>
    </row>
    <row r="54" spans="3:16">
      <c r="C54" s="22">
        <v>42156</v>
      </c>
      <c r="D54">
        <v>52</v>
      </c>
      <c r="E54">
        <v>52</v>
      </c>
      <c r="F54">
        <v>53</v>
      </c>
      <c r="G54">
        <v>54</v>
      </c>
    </row>
    <row r="55" spans="3:16">
      <c r="C55" s="22">
        <v>42125</v>
      </c>
      <c r="D55">
        <v>49</v>
      </c>
      <c r="E55">
        <v>49</v>
      </c>
      <c r="F55">
        <v>49</v>
      </c>
      <c r="G55">
        <v>51</v>
      </c>
    </row>
    <row r="56" spans="3:16">
      <c r="C56" s="22">
        <v>42095</v>
      </c>
      <c r="D56">
        <v>48</v>
      </c>
      <c r="E56">
        <v>48</v>
      </c>
      <c r="F56">
        <v>47</v>
      </c>
      <c r="G56">
        <v>49</v>
      </c>
    </row>
    <row r="57" spans="3:16">
      <c r="C57" s="22">
        <v>42064</v>
      </c>
      <c r="D57">
        <v>45</v>
      </c>
      <c r="E57">
        <v>45</v>
      </c>
      <c r="F57">
        <v>43</v>
      </c>
      <c r="G57">
        <v>48</v>
      </c>
    </row>
    <row r="58" spans="3:16">
      <c r="C58" s="22">
        <v>42036</v>
      </c>
      <c r="D58">
        <v>36</v>
      </c>
      <c r="E58">
        <v>36</v>
      </c>
      <c r="F58">
        <v>33</v>
      </c>
      <c r="G58">
        <v>37</v>
      </c>
    </row>
    <row r="59" spans="3:16">
      <c r="C59" s="22">
        <v>42005</v>
      </c>
      <c r="D59">
        <v>39</v>
      </c>
      <c r="E59">
        <v>39</v>
      </c>
      <c r="F59">
        <v>42</v>
      </c>
      <c r="G59">
        <v>38</v>
      </c>
    </row>
    <row r="60" spans="3:16">
      <c r="C60" s="22">
        <v>41974</v>
      </c>
      <c r="D60">
        <v>42</v>
      </c>
      <c r="E60">
        <v>42</v>
      </c>
      <c r="F60">
        <v>44</v>
      </c>
      <c r="G60">
        <v>42</v>
      </c>
    </row>
    <row r="61" spans="3:16">
      <c r="C61" s="22">
        <v>41944</v>
      </c>
      <c r="D61">
        <v>37</v>
      </c>
      <c r="E61">
        <v>37</v>
      </c>
      <c r="F61">
        <v>37</v>
      </c>
      <c r="G61">
        <v>39</v>
      </c>
    </row>
    <row r="62" spans="3:16">
      <c r="C62" s="22">
        <v>41913</v>
      </c>
      <c r="D62">
        <v>39</v>
      </c>
      <c r="E62">
        <v>38</v>
      </c>
      <c r="F62">
        <v>44</v>
      </c>
      <c r="G62">
        <v>46</v>
      </c>
    </row>
    <row r="63" spans="3:16">
      <c r="C63" s="22">
        <v>41883</v>
      </c>
      <c r="D63">
        <v>40</v>
      </c>
      <c r="E63">
        <v>40</v>
      </c>
      <c r="F63">
        <v>44</v>
      </c>
      <c r="G63">
        <v>44</v>
      </c>
    </row>
    <row r="64" spans="3:16">
      <c r="C64" s="22">
        <v>41852</v>
      </c>
      <c r="D64">
        <v>39</v>
      </c>
      <c r="E64">
        <v>39</v>
      </c>
      <c r="F64">
        <v>40</v>
      </c>
      <c r="G64">
        <v>41</v>
      </c>
    </row>
    <row r="65" spans="3:7">
      <c r="C65" s="22">
        <v>41821</v>
      </c>
      <c r="D65">
        <v>37</v>
      </c>
      <c r="E65">
        <v>37</v>
      </c>
      <c r="F65">
        <v>39</v>
      </c>
      <c r="G65">
        <v>36</v>
      </c>
    </row>
    <row r="66" spans="3:7">
      <c r="C66" s="22">
        <v>41791</v>
      </c>
      <c r="D66">
        <v>39</v>
      </c>
      <c r="E66">
        <v>39</v>
      </c>
      <c r="F66">
        <v>42</v>
      </c>
      <c r="G66">
        <v>41</v>
      </c>
    </row>
    <row r="67" spans="3:7">
      <c r="C67" s="22">
        <v>41760</v>
      </c>
      <c r="D67">
        <v>39</v>
      </c>
      <c r="E67">
        <v>39</v>
      </c>
      <c r="F67">
        <v>39</v>
      </c>
      <c r="G67">
        <v>42</v>
      </c>
    </row>
    <row r="68" spans="3:7">
      <c r="C68" s="22">
        <v>41730</v>
      </c>
      <c r="D68">
        <v>37</v>
      </c>
      <c r="E68">
        <v>37</v>
      </c>
      <c r="F68">
        <v>37</v>
      </c>
    </row>
    <row r="69" spans="3:7">
      <c r="C69" s="22">
        <v>41699</v>
      </c>
      <c r="D69">
        <v>37</v>
      </c>
      <c r="E69">
        <v>37</v>
      </c>
      <c r="F69">
        <v>37</v>
      </c>
    </row>
    <row r="70" spans="3:7">
      <c r="C70" s="22">
        <v>41671</v>
      </c>
      <c r="D70">
        <v>40</v>
      </c>
      <c r="E70">
        <v>41</v>
      </c>
      <c r="F70">
        <v>39</v>
      </c>
    </row>
    <row r="71" spans="3:7">
      <c r="C71" s="22">
        <v>41640</v>
      </c>
      <c r="D71">
        <v>44</v>
      </c>
      <c r="E71">
        <v>44</v>
      </c>
      <c r="F71">
        <v>43</v>
      </c>
    </row>
    <row r="72" spans="3:7">
      <c r="C72" s="22">
        <v>41609</v>
      </c>
      <c r="D72">
        <v>40</v>
      </c>
      <c r="E72">
        <v>40</v>
      </c>
      <c r="F72">
        <v>39</v>
      </c>
    </row>
    <row r="73" spans="3:7">
      <c r="C73" s="22">
        <v>41579</v>
      </c>
      <c r="D73">
        <v>37</v>
      </c>
      <c r="E73">
        <v>37</v>
      </c>
      <c r="F73">
        <v>38</v>
      </c>
    </row>
    <row r="74" spans="3:7">
      <c r="C74" s="22">
        <v>41548</v>
      </c>
      <c r="D74">
        <v>43</v>
      </c>
      <c r="E74">
        <v>43</v>
      </c>
      <c r="F74">
        <v>55</v>
      </c>
    </row>
    <row r="75" spans="3:7">
      <c r="C75" s="22">
        <v>41518</v>
      </c>
      <c r="D75">
        <v>40</v>
      </c>
      <c r="E75">
        <v>40</v>
      </c>
      <c r="F75">
        <v>49</v>
      </c>
    </row>
    <row r="76" spans="3:7">
      <c r="C76" s="22">
        <v>41487</v>
      </c>
      <c r="D76">
        <v>41</v>
      </c>
      <c r="E76">
        <v>40</v>
      </c>
      <c r="F76">
        <v>51</v>
      </c>
    </row>
    <row r="77" spans="3:7">
      <c r="C77" s="22">
        <v>41456</v>
      </c>
      <c r="D77">
        <v>48</v>
      </c>
      <c r="E77">
        <v>47</v>
      </c>
      <c r="F77">
        <v>58</v>
      </c>
    </row>
    <row r="78" spans="3:7">
      <c r="C78" s="22">
        <v>41426</v>
      </c>
      <c r="D78">
        <v>47</v>
      </c>
      <c r="E78">
        <v>47</v>
      </c>
      <c r="F78">
        <v>53</v>
      </c>
    </row>
    <row r="79" spans="3:7">
      <c r="C79" s="22">
        <v>41395</v>
      </c>
      <c r="D79">
        <v>44</v>
      </c>
      <c r="E79">
        <v>43</v>
      </c>
      <c r="F79">
        <v>50</v>
      </c>
    </row>
    <row r="80" spans="3:7">
      <c r="C80" s="22">
        <v>41365</v>
      </c>
      <c r="D80">
        <v>47</v>
      </c>
      <c r="E80">
        <v>47</v>
      </c>
      <c r="F80">
        <v>49</v>
      </c>
    </row>
    <row r="81" spans="3:6">
      <c r="C81" s="22">
        <v>41334</v>
      </c>
      <c r="D81">
        <v>47</v>
      </c>
      <c r="E81">
        <v>47</v>
      </c>
      <c r="F81">
        <v>49</v>
      </c>
    </row>
    <row r="82" spans="3:6">
      <c r="C82" s="22">
        <v>41306</v>
      </c>
      <c r="D82">
        <v>51</v>
      </c>
      <c r="E82">
        <v>51</v>
      </c>
      <c r="F82">
        <v>51</v>
      </c>
    </row>
    <row r="83" spans="3:6">
      <c r="C83" s="22">
        <v>41275</v>
      </c>
      <c r="D83">
        <v>55</v>
      </c>
      <c r="E83">
        <v>56</v>
      </c>
      <c r="F83">
        <v>55</v>
      </c>
    </row>
    <row r="84" spans="3:6">
      <c r="C84" s="22">
        <v>41244</v>
      </c>
      <c r="D84">
        <v>57</v>
      </c>
    </row>
    <row r="85" spans="3:6">
      <c r="C85" s="22">
        <v>41214</v>
      </c>
      <c r="D85">
        <v>51</v>
      </c>
    </row>
    <row r="86" spans="3:6">
      <c r="C86" s="22">
        <v>41183</v>
      </c>
      <c r="D86">
        <v>57</v>
      </c>
    </row>
    <row r="87" spans="3:6">
      <c r="C87" s="22">
        <v>41153</v>
      </c>
      <c r="D87">
        <v>53</v>
      </c>
    </row>
    <row r="88" spans="3:6">
      <c r="C88" s="22">
        <v>41122</v>
      </c>
      <c r="D88">
        <v>51</v>
      </c>
    </row>
    <row r="89" spans="3:6">
      <c r="C89" s="22">
        <v>41091</v>
      </c>
      <c r="D89">
        <v>48</v>
      </c>
    </row>
    <row r="90" spans="3:6">
      <c r="C90" s="22">
        <v>41061</v>
      </c>
      <c r="D90">
        <v>47</v>
      </c>
    </row>
    <row r="91" spans="3:6">
      <c r="C91" s="22">
        <v>41030</v>
      </c>
      <c r="D91">
        <v>48</v>
      </c>
    </row>
    <row r="92" spans="3:6">
      <c r="C92" s="22">
        <v>41000</v>
      </c>
      <c r="D92">
        <v>47</v>
      </c>
    </row>
    <row r="93" spans="3:6">
      <c r="C93" s="22">
        <v>40969</v>
      </c>
      <c r="D93">
        <v>42</v>
      </c>
    </row>
    <row r="94" spans="3:6">
      <c r="C94" s="22">
        <v>40940</v>
      </c>
      <c r="D94">
        <v>43</v>
      </c>
    </row>
    <row r="95" spans="3:6">
      <c r="C95" s="22">
        <v>40909</v>
      </c>
      <c r="D95">
        <v>48</v>
      </c>
    </row>
    <row r="96" spans="3:6">
      <c r="C96" s="22">
        <v>40878</v>
      </c>
      <c r="D96">
        <v>48</v>
      </c>
    </row>
    <row r="97" spans="3:4">
      <c r="C97" s="22">
        <v>40848</v>
      </c>
      <c r="D97">
        <v>46</v>
      </c>
    </row>
    <row r="98" spans="3:4">
      <c r="C98" s="22">
        <v>40817</v>
      </c>
      <c r="D98">
        <v>42</v>
      </c>
    </row>
    <row r="99" spans="3:4">
      <c r="C99" s="22">
        <v>40787</v>
      </c>
      <c r="D99">
        <v>39</v>
      </c>
    </row>
    <row r="100" spans="3:4">
      <c r="C100" s="22">
        <v>40756</v>
      </c>
      <c r="D100">
        <v>37</v>
      </c>
    </row>
  </sheetData>
  <mergeCells count="3">
    <mergeCell ref="F2:L2"/>
    <mergeCell ref="N2:Y2"/>
    <mergeCell ref="D17:G1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G16"/>
  <sheetViews>
    <sheetView workbookViewId="0">
      <selection activeCell="I17" sqref="I17"/>
    </sheetView>
  </sheetViews>
  <sheetFormatPr defaultRowHeight="15"/>
  <cols>
    <col min="3" max="3" width="9.7109375" bestFit="1" customWidth="1"/>
  </cols>
  <sheetData>
    <row r="4" spans="3:7">
      <c r="C4" s="9"/>
      <c r="D4" s="10" t="s">
        <v>27</v>
      </c>
      <c r="E4" s="10" t="s">
        <v>28</v>
      </c>
      <c r="F4" s="10" t="s">
        <v>19</v>
      </c>
      <c r="G4" s="11" t="s">
        <v>20</v>
      </c>
    </row>
    <row r="5" spans="3:7">
      <c r="C5" s="8">
        <v>43101</v>
      </c>
      <c r="D5" s="10">
        <f>VLOOKUP(C5,Input!C:G,2,0)-VLOOKUP(C6,Input!C:G,2,0)</f>
        <v>-1</v>
      </c>
      <c r="E5" s="10">
        <f>VLOOKUP(C5,Input!C:G,3,0)-VLOOKUP(C6,Input!C:G,3,0)</f>
        <v>-1</v>
      </c>
      <c r="F5" s="10">
        <f>VLOOKUP(C5,Input!C:G,4,0)-VLOOKUP(C6,Input!C:G,4,0)</f>
        <v>-1</v>
      </c>
      <c r="G5" s="13">
        <f>VLOOKUP(C5,Input!C:G,5,0)-VLOOKUP(C6,Input!C:G,5,0)</f>
        <v>0</v>
      </c>
    </row>
    <row r="6" spans="3:7">
      <c r="C6" s="8">
        <v>43070</v>
      </c>
      <c r="D6" s="10">
        <f>VLOOKUP(C6,Input!C:G,2,0)-VLOOKUP(C7,Input!C:G,2,0)</f>
        <v>1</v>
      </c>
      <c r="E6" s="10">
        <f>VLOOKUP(C6,Input!C:G,3,0)-VLOOKUP(C7,Input!C:G,3,0)</f>
        <v>0</v>
      </c>
      <c r="F6" s="10">
        <f>VLOOKUP(C6,Input!C:G,4,0)-VLOOKUP(C7,Input!C:G,4,0)</f>
        <v>2</v>
      </c>
      <c r="G6" s="13">
        <f>VLOOKUP(C6,Input!C:G,5,0)-VLOOKUP(C7,Input!C:G,5,0)</f>
        <v>2</v>
      </c>
    </row>
    <row r="7" spans="3:7">
      <c r="C7" s="8">
        <f>Input!C25</f>
        <v>43040</v>
      </c>
      <c r="D7" s="10">
        <f>VLOOKUP(C7,Input!C:G,2,0)-VLOOKUP(C8,Input!C:G,2,0)</f>
        <v>0</v>
      </c>
      <c r="E7" s="10">
        <f>VLOOKUP(C7,Input!C:G,3,0)-VLOOKUP(C8,Input!C:G,3,0)</f>
        <v>0</v>
      </c>
      <c r="F7" s="10">
        <f>VLOOKUP(C7,Input!C:G,4,0)-VLOOKUP(C8,Input!C:G,4,0)</f>
        <v>-1</v>
      </c>
      <c r="G7" s="13">
        <f>VLOOKUP(C7,Input!C:G,5,0)-VLOOKUP(C8,Input!C:G,5,0)</f>
        <v>0</v>
      </c>
    </row>
    <row r="8" spans="3:7">
      <c r="C8" s="8">
        <f>Input!C26</f>
        <v>43009</v>
      </c>
      <c r="D8" s="10">
        <f>VLOOKUP(C8,Input!C:G,2,0)-VLOOKUP(C9,Input!C:G,2,0)</f>
        <v>0</v>
      </c>
      <c r="E8" s="10">
        <f>VLOOKUP(C8,Input!C:G,3,0)-VLOOKUP(C9,Input!C:G,3,0)</f>
        <v>1</v>
      </c>
      <c r="F8" s="10">
        <f>VLOOKUP(C8,Input!C:G,4,0)-VLOOKUP(C9,Input!C:G,4,0)</f>
        <v>1</v>
      </c>
      <c r="G8" s="13">
        <f>VLOOKUP(C8,Input!C:G,5,0)-VLOOKUP(C9,Input!C:G,5,0)</f>
        <v>1</v>
      </c>
    </row>
    <row r="9" spans="3:7">
      <c r="C9" s="8">
        <f>Input!C27</f>
        <v>42979</v>
      </c>
      <c r="D9" s="10">
        <f>VLOOKUP(C9,Input!C:G,2,0)-VLOOKUP(C10,Input!C:G,2,0)</f>
        <v>-1</v>
      </c>
      <c r="E9" s="10">
        <f>VLOOKUP(C9,Input!C:G,3,0)-VLOOKUP(C10,Input!C:G,3,0)</f>
        <v>-1</v>
      </c>
      <c r="F9" s="10">
        <f>VLOOKUP(C9,Input!C:G,4,0)-VLOOKUP(C10,Input!C:G,4,0)</f>
        <v>0</v>
      </c>
      <c r="G9" s="13">
        <f>VLOOKUP(C9,Input!C:G,5,0)-VLOOKUP(C10,Input!C:G,5,0)</f>
        <v>-1</v>
      </c>
    </row>
    <row r="10" spans="3:7">
      <c r="C10" s="8">
        <f>Input!C28</f>
        <v>42948</v>
      </c>
      <c r="D10" s="10">
        <f>VLOOKUP(C10,Input!C:G,2,0)-VLOOKUP(C11,Input!C:G,2,0)</f>
        <v>-1</v>
      </c>
      <c r="E10" s="10">
        <f>VLOOKUP(C10,Input!C:G,3,0)-VLOOKUP(C11,Input!C:G,3,0)</f>
        <v>-2</v>
      </c>
      <c r="F10" s="10">
        <f>VLOOKUP(C10,Input!C:G,4,0)-VLOOKUP(C11,Input!C:G,4,0)</f>
        <v>-2</v>
      </c>
      <c r="G10" s="13">
        <f>VLOOKUP(C10,Input!C:G,5,0)-VLOOKUP(C11,Input!C:G,5,0)</f>
        <v>-1</v>
      </c>
    </row>
    <row r="11" spans="3:7">
      <c r="C11" s="8">
        <f>Input!C29</f>
        <v>42917</v>
      </c>
      <c r="D11" s="10">
        <f>VLOOKUP(C11,Input!C:G,2,0)-VLOOKUP(C12,Input!C:G,2,0)</f>
        <v>1</v>
      </c>
      <c r="E11" s="10">
        <f>VLOOKUP(C11,Input!C:G,3,0)-VLOOKUP(C12,Input!C:G,3,0)</f>
        <v>1</v>
      </c>
      <c r="F11" s="10">
        <f>VLOOKUP(C11,Input!C:G,4,0)-VLOOKUP(C12,Input!C:G,4,0)</f>
        <v>2</v>
      </c>
      <c r="G11" s="13">
        <f>VLOOKUP(C11,Input!C:G,5,0)-VLOOKUP(C12,Input!C:G,5,0)</f>
        <v>0</v>
      </c>
    </row>
    <row r="12" spans="3:7">
      <c r="C12" s="8">
        <f>Input!C30</f>
        <v>42887</v>
      </c>
      <c r="D12" s="10">
        <f>VLOOKUP(C12,Input!C:G,2,0)-VLOOKUP(C13,Input!C:G,2,0)</f>
        <v>0</v>
      </c>
      <c r="E12" s="10">
        <f>VLOOKUP(C12,Input!C:G,3,0)-VLOOKUP(C13,Input!C:G,3,0)</f>
        <v>1</v>
      </c>
      <c r="F12" s="10">
        <f>VLOOKUP(C12,Input!C:G,4,0)-VLOOKUP(C13,Input!C:G,4,0)</f>
        <v>-1</v>
      </c>
      <c r="G12" s="13">
        <f>VLOOKUP(C12,Input!C:G,5,0)-VLOOKUP(C13,Input!C:G,5,0)</f>
        <v>3</v>
      </c>
    </row>
    <row r="13" spans="3:7">
      <c r="C13" s="8">
        <f>Input!C31</f>
        <v>42856</v>
      </c>
      <c r="D13" s="10">
        <f>VLOOKUP(C13,Input!C:G,2,0)-VLOOKUP(C14,Input!C:G,2,0)</f>
        <v>0</v>
      </c>
      <c r="E13" s="10">
        <f>VLOOKUP(C13,Input!C:G,3,0)-VLOOKUP(C14,Input!C:G,3,0)</f>
        <v>0</v>
      </c>
      <c r="F13" s="10">
        <f>VLOOKUP(C13,Input!C:G,4,0)-VLOOKUP(C14,Input!C:G,4,0)</f>
        <v>0</v>
      </c>
      <c r="G13" s="13">
        <f>VLOOKUP(C13,Input!C:G,5,0)-VLOOKUP(C14,Input!C:G,5,0)</f>
        <v>0</v>
      </c>
    </row>
    <row r="14" spans="3:7">
      <c r="C14" s="8">
        <f>Input!C32</f>
        <v>42826</v>
      </c>
      <c r="D14" s="10">
        <f>VLOOKUP(C14,Input!C:G,2,0)-VLOOKUP(C15,Input!C:G,2,0)</f>
        <v>-2</v>
      </c>
      <c r="E14" s="10">
        <f>VLOOKUP(C14,Input!C:G,3,0)-VLOOKUP(C15,Input!C:G,3,0)</f>
        <v>-3</v>
      </c>
      <c r="F14" s="10">
        <f>VLOOKUP(C14,Input!C:G,4,0)-VLOOKUP(C15,Input!C:G,4,0)</f>
        <v>-2</v>
      </c>
      <c r="G14" s="13">
        <f>VLOOKUP(C14,Input!C:G,5,0)-VLOOKUP(C15,Input!C:G,5,0)</f>
        <v>-1</v>
      </c>
    </row>
    <row r="15" spans="3:7">
      <c r="C15" s="8">
        <f>Input!C33</f>
        <v>42795</v>
      </c>
      <c r="D15" s="10">
        <f>VLOOKUP(C15,Input!C:G,2,0)-VLOOKUP(C16,Input!C:G,2,0)</f>
        <v>-4</v>
      </c>
      <c r="E15" s="10">
        <f>VLOOKUP(C15,Input!C:G,3,0)-VLOOKUP(C16,Input!C:G,3,0)</f>
        <v>-4</v>
      </c>
      <c r="F15" s="10">
        <f>VLOOKUP(C15,Input!C:G,4,0)-VLOOKUP(C16,Input!C:G,4,0)</f>
        <v>-2</v>
      </c>
      <c r="G15" s="13">
        <f>VLOOKUP(C15,Input!C:G,5,0)-VLOOKUP(C16,Input!C:G,5,0)</f>
        <v>-4</v>
      </c>
    </row>
    <row r="16" spans="3:7">
      <c r="C16" s="8">
        <f>Input!C34</f>
        <v>42767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Report</vt:lpstr>
      <vt:lpstr>Input</vt:lpstr>
      <vt:lpstr>Short Term</vt:lpstr>
      <vt:lpstr>CurrentCloseDate</vt:lpstr>
      <vt:lpstr>DatabaseEnv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Chen Yang</cp:lastModifiedBy>
  <cp:lastPrinted>2018-07-11T22:14:13Z</cp:lastPrinted>
  <dcterms:created xsi:type="dcterms:W3CDTF">2015-03-12T13:39:23Z</dcterms:created>
  <dcterms:modified xsi:type="dcterms:W3CDTF">2018-07-11T22:14:23Z</dcterms:modified>
</cp:coreProperties>
</file>