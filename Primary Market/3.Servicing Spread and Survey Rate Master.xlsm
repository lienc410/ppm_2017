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IT\Production\Daily Reports\Primary Market\"/>
    </mc:Choice>
  </mc:AlternateContent>
  <bookViews>
    <workbookView xWindow="360" yWindow="120" windowWidth="24240" windowHeight="15390"/>
  </bookViews>
  <sheets>
    <sheet name="Report" sheetId="4" r:id="rId1"/>
    <sheet name="Time Series Query" sheetId="5" r:id="rId2"/>
    <sheet name="Dynamic Pivot" sheetId="11" r:id="rId3"/>
    <sheet name="Historic Change" sheetId="12" r:id="rId4"/>
  </sheets>
  <functionGroups builtInGroupCount="18"/>
  <definedNames>
    <definedName name="CurrentCloseDate">Report!$T$2</definedName>
    <definedName name="DatabaseEnv">Report!$T$1</definedName>
    <definedName name="LastAvailableDate">Report!$T$9</definedName>
    <definedName name="LastSurveyDate">Report!$T$8</definedName>
    <definedName name="newDataPoint">'Dynamic Pivot'!$P$3</definedName>
    <definedName name="PDFReportDir">Report!$T$3</definedName>
    <definedName name="PDFReportName">Report!$T$4</definedName>
    <definedName name="_xlnm.Print_Area" localSheetId="0">Report!$D$7:$Q$59</definedName>
    <definedName name="Query_from_Agency" localSheetId="1" hidden="1">'Time Series Query'!#REF!</definedName>
    <definedName name="Query_from_Agency_1" localSheetId="1" hidden="1">'Time Series Query'!#REF!</definedName>
    <definedName name="Query_from_Agency_2" localSheetId="1" hidden="1">'Time Series Query'!#REF!</definedName>
    <definedName name="Query_from_Agency_3" localSheetId="1" hidden="1">'Time Series Query'!#REF!</definedName>
    <definedName name="Query_from_Agency_4" localSheetId="1" hidden="1">'Time Series Query'!#REF!</definedName>
    <definedName name="Query_from_Agency_5" localSheetId="1" hidden="1">'Time Series Query'!#REF!</definedName>
    <definedName name="Query_from_Agency_6" localSheetId="1" hidden="1">'Time Series Query'!$A$4:$C$1568</definedName>
    <definedName name="SaveRatesToDB">Report!$V$1</definedName>
  </definedNames>
  <calcPr calcId="152511"/>
  <pivotCaches>
    <pivotCache cacheId="0" r:id="rId5"/>
  </pivotCaches>
</workbook>
</file>

<file path=xl/calcChain.xml><?xml version="1.0" encoding="utf-8"?>
<calcChain xmlns="http://schemas.openxmlformats.org/spreadsheetml/2006/main">
  <c r="T9" i="4" l="1"/>
  <c r="T8" i="4" l="1"/>
  <c r="D5" i="5" l="1"/>
  <c r="D6" i="5"/>
  <c r="D7" i="5"/>
  <c r="D8" i="5"/>
  <c r="D9" i="5"/>
  <c r="D10" i="5"/>
  <c r="D11" i="5"/>
  <c r="D12" i="5"/>
  <c r="E12" i="5" s="1"/>
  <c r="D13" i="5"/>
  <c r="D14" i="5"/>
  <c r="D15" i="5"/>
  <c r="D16" i="5"/>
  <c r="E16" i="5" s="1"/>
  <c r="D17" i="5"/>
  <c r="D18" i="5"/>
  <c r="D19" i="5"/>
  <c r="D20" i="5"/>
  <c r="E20" i="5" s="1"/>
  <c r="D21" i="5"/>
  <c r="D22" i="5"/>
  <c r="D23" i="5"/>
  <c r="D24" i="5"/>
  <c r="D25" i="5"/>
  <c r="D26" i="5"/>
  <c r="D27" i="5"/>
  <c r="D28" i="5"/>
  <c r="E28" i="5" s="1"/>
  <c r="D29" i="5"/>
  <c r="D30" i="5"/>
  <c r="D31" i="5"/>
  <c r="D32" i="5"/>
  <c r="E32" i="5" s="1"/>
  <c r="D33" i="5"/>
  <c r="D34" i="5"/>
  <c r="D35" i="5"/>
  <c r="D36" i="5"/>
  <c r="E36" i="5" s="1"/>
  <c r="D37" i="5"/>
  <c r="D38" i="5"/>
  <c r="D39" i="5"/>
  <c r="D40" i="5"/>
  <c r="D41" i="5"/>
  <c r="D42" i="5"/>
  <c r="D43" i="5"/>
  <c r="D44" i="5"/>
  <c r="E44" i="5" s="1"/>
  <c r="D45" i="5"/>
  <c r="D46" i="5"/>
  <c r="D47" i="5"/>
  <c r="D48" i="5"/>
  <c r="E48" i="5" s="1"/>
  <c r="D49" i="5"/>
  <c r="D50" i="5"/>
  <c r="D51" i="5"/>
  <c r="D52" i="5"/>
  <c r="E52" i="5" s="1"/>
  <c r="D53" i="5"/>
  <c r="D54" i="5"/>
  <c r="D55" i="5"/>
  <c r="D56" i="5"/>
  <c r="D57" i="5"/>
  <c r="D58" i="5"/>
  <c r="D59" i="5"/>
  <c r="D60" i="5"/>
  <c r="E60" i="5" s="1"/>
  <c r="D61" i="5"/>
  <c r="D62" i="5"/>
  <c r="D63" i="5"/>
  <c r="D64" i="5"/>
  <c r="D65" i="5"/>
  <c r="D66" i="5"/>
  <c r="D67" i="5"/>
  <c r="D68" i="5"/>
  <c r="E68" i="5" s="1"/>
  <c r="D69" i="5"/>
  <c r="D70" i="5"/>
  <c r="D71" i="5"/>
  <c r="D72" i="5"/>
  <c r="D73" i="5"/>
  <c r="D74" i="5"/>
  <c r="D75" i="5"/>
  <c r="D76" i="5"/>
  <c r="E76" i="5" s="1"/>
  <c r="D77" i="5"/>
  <c r="D78" i="5"/>
  <c r="D79" i="5"/>
  <c r="D80" i="5"/>
  <c r="D81" i="5"/>
  <c r="D82" i="5"/>
  <c r="D83" i="5"/>
  <c r="D84" i="5"/>
  <c r="D85" i="5"/>
  <c r="D86" i="5"/>
  <c r="D87" i="5"/>
  <c r="D88" i="5"/>
  <c r="E88" i="5" s="1"/>
  <c r="D89" i="5"/>
  <c r="D90" i="5"/>
  <c r="D91" i="5"/>
  <c r="D92" i="5"/>
  <c r="E92" i="5" s="1"/>
  <c r="D93" i="5"/>
  <c r="D94" i="5"/>
  <c r="D95" i="5"/>
  <c r="D96" i="5"/>
  <c r="D97" i="5"/>
  <c r="D98" i="5"/>
  <c r="D99" i="5"/>
  <c r="D100" i="5"/>
  <c r="E100" i="5" s="1"/>
  <c r="D101" i="5"/>
  <c r="D102" i="5"/>
  <c r="D103" i="5"/>
  <c r="D104" i="5"/>
  <c r="E104" i="5" s="1"/>
  <c r="D105" i="5"/>
  <c r="D106" i="5"/>
  <c r="D107" i="5"/>
  <c r="D108" i="5"/>
  <c r="E108" i="5" s="1"/>
  <c r="D109" i="5"/>
  <c r="D110" i="5"/>
  <c r="D111" i="5"/>
  <c r="D112" i="5"/>
  <c r="D113" i="5"/>
  <c r="D114" i="5"/>
  <c r="D115" i="5"/>
  <c r="D116" i="5"/>
  <c r="E116" i="5" s="1"/>
  <c r="D117" i="5"/>
  <c r="D118" i="5"/>
  <c r="D119" i="5"/>
  <c r="D120" i="5"/>
  <c r="E120" i="5" s="1"/>
  <c r="D121" i="5"/>
  <c r="D122" i="5"/>
  <c r="D123" i="5"/>
  <c r="D124" i="5"/>
  <c r="E124" i="5" s="1"/>
  <c r="D125" i="5"/>
  <c r="D126" i="5"/>
  <c r="D127" i="5"/>
  <c r="D128" i="5"/>
  <c r="D129" i="5"/>
  <c r="D130" i="5"/>
  <c r="D131" i="5"/>
  <c r="D132" i="5"/>
  <c r="E132" i="5" s="1"/>
  <c r="D133" i="5"/>
  <c r="D134" i="5"/>
  <c r="D135" i="5"/>
  <c r="D136" i="5"/>
  <c r="E136" i="5" s="1"/>
  <c r="D137" i="5"/>
  <c r="D138" i="5"/>
  <c r="D139" i="5"/>
  <c r="D140" i="5"/>
  <c r="E140" i="5" s="1"/>
  <c r="D141" i="5"/>
  <c r="D142" i="5"/>
  <c r="D143" i="5"/>
  <c r="D144" i="5"/>
  <c r="E144" i="5" s="1"/>
  <c r="D145" i="5"/>
  <c r="D146" i="5"/>
  <c r="D147" i="5"/>
  <c r="D148" i="5"/>
  <c r="E148" i="5" s="1"/>
  <c r="D149" i="5"/>
  <c r="D150" i="5"/>
  <c r="D151" i="5"/>
  <c r="D152" i="5"/>
  <c r="E152" i="5" s="1"/>
  <c r="D153" i="5"/>
  <c r="D154" i="5"/>
  <c r="D155" i="5"/>
  <c r="D156" i="5"/>
  <c r="E156" i="5" s="1"/>
  <c r="D157" i="5"/>
  <c r="D158" i="5"/>
  <c r="D159" i="5"/>
  <c r="D160" i="5"/>
  <c r="E160" i="5" s="1"/>
  <c r="D161" i="5"/>
  <c r="D162" i="5"/>
  <c r="D163" i="5"/>
  <c r="D164" i="5"/>
  <c r="E164" i="5" s="1"/>
  <c r="D165" i="5"/>
  <c r="D166" i="5"/>
  <c r="D167" i="5"/>
  <c r="D168" i="5"/>
  <c r="E168" i="5" s="1"/>
  <c r="D169" i="5"/>
  <c r="D170" i="5"/>
  <c r="D171" i="5"/>
  <c r="D172" i="5"/>
  <c r="E172" i="5" s="1"/>
  <c r="D173" i="5"/>
  <c r="D174" i="5"/>
  <c r="D175" i="5"/>
  <c r="D176" i="5"/>
  <c r="D177" i="5"/>
  <c r="D178" i="5"/>
  <c r="D179" i="5"/>
  <c r="D180" i="5"/>
  <c r="D181" i="5"/>
  <c r="D182" i="5"/>
  <c r="D183" i="5"/>
  <c r="D184" i="5"/>
  <c r="E184" i="5" s="1"/>
  <c r="D185" i="5"/>
  <c r="D186" i="5"/>
  <c r="D187" i="5"/>
  <c r="D188" i="5"/>
  <c r="E188" i="5" s="1"/>
  <c r="D189" i="5"/>
  <c r="D190" i="5"/>
  <c r="D191" i="5"/>
  <c r="D192" i="5"/>
  <c r="D193" i="5"/>
  <c r="D194" i="5"/>
  <c r="D195" i="5"/>
  <c r="D196" i="5"/>
  <c r="E196" i="5" s="1"/>
  <c r="D197" i="5"/>
  <c r="D198" i="5"/>
  <c r="D199" i="5"/>
  <c r="D200" i="5"/>
  <c r="E200" i="5" s="1"/>
  <c r="D201" i="5"/>
  <c r="D202" i="5"/>
  <c r="D203" i="5"/>
  <c r="D204" i="5"/>
  <c r="E204" i="5" s="1"/>
  <c r="D205" i="5"/>
  <c r="D206" i="5"/>
  <c r="D207" i="5"/>
  <c r="D208" i="5"/>
  <c r="E208" i="5" s="1"/>
  <c r="D209" i="5"/>
  <c r="D210" i="5"/>
  <c r="D211" i="5"/>
  <c r="D212" i="5"/>
  <c r="E212" i="5" s="1"/>
  <c r="D213" i="5"/>
  <c r="D214" i="5"/>
  <c r="D215" i="5"/>
  <c r="D216" i="5"/>
  <c r="E216" i="5" s="1"/>
  <c r="D217" i="5"/>
  <c r="D218" i="5"/>
  <c r="D219" i="5"/>
  <c r="D220" i="5"/>
  <c r="E220" i="5" s="1"/>
  <c r="D221" i="5"/>
  <c r="D222" i="5"/>
  <c r="D223" i="5"/>
  <c r="D224" i="5"/>
  <c r="E224" i="5" s="1"/>
  <c r="D225" i="5"/>
  <c r="D226" i="5"/>
  <c r="D227" i="5"/>
  <c r="D228" i="5"/>
  <c r="E228" i="5" s="1"/>
  <c r="D229" i="5"/>
  <c r="D230" i="5"/>
  <c r="D231" i="5"/>
  <c r="D232" i="5"/>
  <c r="E232" i="5" s="1"/>
  <c r="D233" i="5"/>
  <c r="D234" i="5"/>
  <c r="D235" i="5"/>
  <c r="D236" i="5"/>
  <c r="E236" i="5" s="1"/>
  <c r="D237" i="5"/>
  <c r="D238" i="5"/>
  <c r="D239" i="5"/>
  <c r="D240" i="5"/>
  <c r="D241" i="5"/>
  <c r="D242" i="5"/>
  <c r="D243" i="5"/>
  <c r="D244" i="5"/>
  <c r="D245" i="5"/>
  <c r="D246" i="5"/>
  <c r="D247" i="5"/>
  <c r="D248" i="5"/>
  <c r="E248" i="5" s="1"/>
  <c r="D249" i="5"/>
  <c r="D250" i="5"/>
  <c r="D251" i="5"/>
  <c r="D252" i="5"/>
  <c r="E252" i="5" s="1"/>
  <c r="D253" i="5"/>
  <c r="D254" i="5"/>
  <c r="D255" i="5"/>
  <c r="D256" i="5"/>
  <c r="D257" i="5"/>
  <c r="D258" i="5"/>
  <c r="D259" i="5"/>
  <c r="D260" i="5"/>
  <c r="E260" i="5" s="1"/>
  <c r="D261" i="5"/>
  <c r="D262" i="5"/>
  <c r="D263" i="5"/>
  <c r="D264" i="5"/>
  <c r="E264" i="5" s="1"/>
  <c r="D265" i="5"/>
  <c r="D266" i="5"/>
  <c r="D267" i="5"/>
  <c r="D268" i="5"/>
  <c r="E268" i="5" s="1"/>
  <c r="D269" i="5"/>
  <c r="D270" i="5"/>
  <c r="D271" i="5"/>
  <c r="D272" i="5"/>
  <c r="E272" i="5" s="1"/>
  <c r="D273" i="5"/>
  <c r="D274" i="5"/>
  <c r="D275" i="5"/>
  <c r="D276" i="5"/>
  <c r="E276" i="5" s="1"/>
  <c r="D277" i="5"/>
  <c r="D278" i="5"/>
  <c r="D279" i="5"/>
  <c r="D280" i="5"/>
  <c r="E280" i="5" s="1"/>
  <c r="D281" i="5"/>
  <c r="D282" i="5"/>
  <c r="D283" i="5"/>
  <c r="D284" i="5"/>
  <c r="E284" i="5" s="1"/>
  <c r="D285" i="5"/>
  <c r="D286" i="5"/>
  <c r="D287" i="5"/>
  <c r="D288" i="5"/>
  <c r="E288" i="5" s="1"/>
  <c r="D289" i="5"/>
  <c r="D290" i="5"/>
  <c r="D291" i="5"/>
  <c r="D292" i="5"/>
  <c r="E292" i="5" s="1"/>
  <c r="D293" i="5"/>
  <c r="D294" i="5"/>
  <c r="D295" i="5"/>
  <c r="E295" i="5" s="1"/>
  <c r="D296" i="5"/>
  <c r="E296" i="5" s="1"/>
  <c r="D297" i="5"/>
  <c r="D298" i="5"/>
  <c r="D299" i="5"/>
  <c r="D300" i="5"/>
  <c r="E300" i="5" s="1"/>
  <c r="D301" i="5"/>
  <c r="D302" i="5"/>
  <c r="D303" i="5"/>
  <c r="D304" i="5"/>
  <c r="D305" i="5"/>
  <c r="D306" i="5"/>
  <c r="D307" i="5"/>
  <c r="D308" i="5"/>
  <c r="D309" i="5"/>
  <c r="D310" i="5"/>
  <c r="D311" i="5"/>
  <c r="D312" i="5"/>
  <c r="E312" i="5" s="1"/>
  <c r="D313" i="5"/>
  <c r="D314" i="5"/>
  <c r="D315" i="5"/>
  <c r="D316" i="5"/>
  <c r="E316" i="5" s="1"/>
  <c r="D317" i="5"/>
  <c r="D318" i="5"/>
  <c r="D319" i="5"/>
  <c r="D320" i="5"/>
  <c r="D321" i="5"/>
  <c r="D322" i="5"/>
  <c r="D323" i="5"/>
  <c r="D324" i="5"/>
  <c r="E324" i="5" s="1"/>
  <c r="D325" i="5"/>
  <c r="D326" i="5"/>
  <c r="D327" i="5"/>
  <c r="D328" i="5"/>
  <c r="E328" i="5" s="1"/>
  <c r="D329" i="5"/>
  <c r="D330" i="5"/>
  <c r="D331" i="5"/>
  <c r="D332" i="5"/>
  <c r="E332" i="5" s="1"/>
  <c r="D333" i="5"/>
  <c r="D334" i="5"/>
  <c r="D335" i="5"/>
  <c r="D336" i="5"/>
  <c r="E336" i="5" s="1"/>
  <c r="D337" i="5"/>
  <c r="D338" i="5"/>
  <c r="D339" i="5"/>
  <c r="D340" i="5"/>
  <c r="E340" i="5" s="1"/>
  <c r="D341" i="5"/>
  <c r="D342" i="5"/>
  <c r="D343" i="5"/>
  <c r="D344" i="5"/>
  <c r="E344" i="5" s="1"/>
  <c r="D345" i="5"/>
  <c r="D346" i="5"/>
  <c r="D347" i="5"/>
  <c r="D348" i="5"/>
  <c r="E348" i="5" s="1"/>
  <c r="D349" i="5"/>
  <c r="D350" i="5"/>
  <c r="D351" i="5"/>
  <c r="D352" i="5"/>
  <c r="E352" i="5" s="1"/>
  <c r="D353" i="5"/>
  <c r="D354" i="5"/>
  <c r="D355" i="5"/>
  <c r="D356" i="5"/>
  <c r="E356" i="5" s="1"/>
  <c r="D357" i="5"/>
  <c r="D358" i="5"/>
  <c r="D359" i="5"/>
  <c r="E359" i="5" s="1"/>
  <c r="D360" i="5"/>
  <c r="E360" i="5" s="1"/>
  <c r="D361" i="5"/>
  <c r="D362" i="5"/>
  <c r="D363" i="5"/>
  <c r="D364" i="5"/>
  <c r="E364" i="5" s="1"/>
  <c r="D365" i="5"/>
  <c r="D366" i="5"/>
  <c r="D367" i="5"/>
  <c r="D368" i="5"/>
  <c r="D369" i="5"/>
  <c r="D370" i="5"/>
  <c r="D371" i="5"/>
  <c r="D372" i="5"/>
  <c r="D373" i="5"/>
  <c r="D374" i="5"/>
  <c r="D375" i="5"/>
  <c r="D376" i="5"/>
  <c r="E376" i="5" s="1"/>
  <c r="D377" i="5"/>
  <c r="D378" i="5"/>
  <c r="D379" i="5"/>
  <c r="D380" i="5"/>
  <c r="E380" i="5" s="1"/>
  <c r="D381" i="5"/>
  <c r="D382" i="5"/>
  <c r="D383" i="5"/>
  <c r="D384" i="5"/>
  <c r="D385" i="5"/>
  <c r="D386" i="5"/>
  <c r="D387" i="5"/>
  <c r="D388" i="5"/>
  <c r="E388" i="5" s="1"/>
  <c r="D389" i="5"/>
  <c r="D390" i="5"/>
  <c r="D391" i="5"/>
  <c r="D392" i="5"/>
  <c r="E392" i="5" s="1"/>
  <c r="D393" i="5"/>
  <c r="D394" i="5"/>
  <c r="D395" i="5"/>
  <c r="D396" i="5"/>
  <c r="E396" i="5" s="1"/>
  <c r="D397" i="5"/>
  <c r="D398" i="5"/>
  <c r="D399" i="5"/>
  <c r="D400" i="5"/>
  <c r="E400" i="5" s="1"/>
  <c r="D401" i="5"/>
  <c r="D402" i="5"/>
  <c r="D403" i="5"/>
  <c r="D404" i="5"/>
  <c r="E404" i="5" s="1"/>
  <c r="D405" i="5"/>
  <c r="D406" i="5"/>
  <c r="D407" i="5"/>
  <c r="D408" i="5"/>
  <c r="E408" i="5" s="1"/>
  <c r="D409" i="5"/>
  <c r="D410" i="5"/>
  <c r="D411" i="5"/>
  <c r="D412" i="5"/>
  <c r="E412" i="5" s="1"/>
  <c r="D413" i="5"/>
  <c r="D414" i="5"/>
  <c r="D415" i="5"/>
  <c r="D416" i="5"/>
  <c r="E416" i="5" s="1"/>
  <c r="D417" i="5"/>
  <c r="D418" i="5"/>
  <c r="D419" i="5"/>
  <c r="D420" i="5"/>
  <c r="E420" i="5" s="1"/>
  <c r="D421" i="5"/>
  <c r="D422" i="5"/>
  <c r="D423" i="5"/>
  <c r="D424" i="5"/>
  <c r="E424" i="5" s="1"/>
  <c r="D425" i="5"/>
  <c r="D426" i="5"/>
  <c r="D427" i="5"/>
  <c r="D428" i="5"/>
  <c r="E428" i="5" s="1"/>
  <c r="D429" i="5"/>
  <c r="D430" i="5"/>
  <c r="D431" i="5"/>
  <c r="D432" i="5"/>
  <c r="D433" i="5"/>
  <c r="D434" i="5"/>
  <c r="D435" i="5"/>
  <c r="D436" i="5"/>
  <c r="E436" i="5" s="1"/>
  <c r="D437" i="5"/>
  <c r="D438" i="5"/>
  <c r="D439" i="5"/>
  <c r="D440" i="5"/>
  <c r="E440" i="5" s="1"/>
  <c r="D441" i="5"/>
  <c r="D442" i="5"/>
  <c r="D443" i="5"/>
  <c r="D444" i="5"/>
  <c r="E444" i="5" s="1"/>
  <c r="D445" i="5"/>
  <c r="D446" i="5"/>
  <c r="D447" i="5"/>
  <c r="D448" i="5"/>
  <c r="D449" i="5"/>
  <c r="D450" i="5"/>
  <c r="D451" i="5"/>
  <c r="D452" i="5"/>
  <c r="E452" i="5" s="1"/>
  <c r="D453" i="5"/>
  <c r="D454" i="5"/>
  <c r="D455" i="5"/>
  <c r="D456" i="5"/>
  <c r="E456" i="5" s="1"/>
  <c r="D457" i="5"/>
  <c r="D458" i="5"/>
  <c r="D459" i="5"/>
  <c r="D460" i="5"/>
  <c r="E460" i="5" s="1"/>
  <c r="D461" i="5"/>
  <c r="D462" i="5"/>
  <c r="D463" i="5"/>
  <c r="D464" i="5"/>
  <c r="D465" i="5"/>
  <c r="D466" i="5"/>
  <c r="D467" i="5"/>
  <c r="D468" i="5"/>
  <c r="E468" i="5" s="1"/>
  <c r="D469" i="5"/>
  <c r="D470" i="5"/>
  <c r="D471" i="5"/>
  <c r="D472" i="5"/>
  <c r="E472" i="5" s="1"/>
  <c r="D473" i="5"/>
  <c r="D474" i="5"/>
  <c r="D475" i="5"/>
  <c r="D476" i="5"/>
  <c r="E476" i="5" s="1"/>
  <c r="D477" i="5"/>
  <c r="D478" i="5"/>
  <c r="D479" i="5"/>
  <c r="D480" i="5"/>
  <c r="E480" i="5" s="1"/>
  <c r="D481" i="5"/>
  <c r="D482" i="5"/>
  <c r="D483" i="5"/>
  <c r="D484" i="5"/>
  <c r="E484" i="5" s="1"/>
  <c r="D485" i="5"/>
  <c r="D486" i="5"/>
  <c r="D487" i="5"/>
  <c r="D488" i="5"/>
  <c r="E488" i="5" s="1"/>
  <c r="D489" i="5"/>
  <c r="D490" i="5"/>
  <c r="D491" i="5"/>
  <c r="D492" i="5"/>
  <c r="E492" i="5" s="1"/>
  <c r="D493" i="5"/>
  <c r="D494" i="5"/>
  <c r="D495" i="5"/>
  <c r="D496" i="5"/>
  <c r="D497" i="5"/>
  <c r="D498" i="5"/>
  <c r="D499" i="5"/>
  <c r="D500" i="5"/>
  <c r="E500" i="5" s="1"/>
  <c r="D501" i="5"/>
  <c r="D502" i="5"/>
  <c r="D503" i="5"/>
  <c r="D504" i="5"/>
  <c r="E504" i="5" s="1"/>
  <c r="D505" i="5"/>
  <c r="D506" i="5"/>
  <c r="D507" i="5"/>
  <c r="D508" i="5"/>
  <c r="E508" i="5" s="1"/>
  <c r="D509" i="5"/>
  <c r="D510" i="5"/>
  <c r="D511" i="5"/>
  <c r="D512" i="5"/>
  <c r="D513" i="5"/>
  <c r="D514" i="5"/>
  <c r="D515" i="5"/>
  <c r="D516" i="5"/>
  <c r="E516" i="5" s="1"/>
  <c r="D517" i="5"/>
  <c r="D518" i="5"/>
  <c r="D519" i="5"/>
  <c r="D520" i="5"/>
  <c r="E520" i="5" s="1"/>
  <c r="D521" i="5"/>
  <c r="D522" i="5"/>
  <c r="D523" i="5"/>
  <c r="D524" i="5"/>
  <c r="E524" i="5" s="1"/>
  <c r="D525" i="5"/>
  <c r="D526" i="5"/>
  <c r="D527" i="5"/>
  <c r="D528" i="5"/>
  <c r="D529" i="5"/>
  <c r="D530" i="5"/>
  <c r="D531" i="5"/>
  <c r="D532" i="5"/>
  <c r="E532" i="5" s="1"/>
  <c r="D533" i="5"/>
  <c r="D534" i="5"/>
  <c r="D535" i="5"/>
  <c r="D536" i="5"/>
  <c r="E536" i="5" s="1"/>
  <c r="D537" i="5"/>
  <c r="D538" i="5"/>
  <c r="D539" i="5"/>
  <c r="D540" i="5"/>
  <c r="E540" i="5" s="1"/>
  <c r="D541" i="5"/>
  <c r="D542" i="5"/>
  <c r="D543" i="5"/>
  <c r="D544" i="5"/>
  <c r="D545" i="5"/>
  <c r="D546" i="5"/>
  <c r="D547" i="5"/>
  <c r="D548" i="5"/>
  <c r="E548" i="5" s="1"/>
  <c r="D549" i="5"/>
  <c r="D550" i="5"/>
  <c r="D551" i="5"/>
  <c r="D552" i="5"/>
  <c r="E552" i="5" s="1"/>
  <c r="D553" i="5"/>
  <c r="D554" i="5"/>
  <c r="D555" i="5"/>
  <c r="D556" i="5"/>
  <c r="E556" i="5" s="1"/>
  <c r="D557" i="5"/>
  <c r="D558" i="5"/>
  <c r="D559" i="5"/>
  <c r="D560" i="5"/>
  <c r="D561" i="5"/>
  <c r="D562" i="5"/>
  <c r="D563" i="5"/>
  <c r="D564" i="5"/>
  <c r="E564" i="5" s="1"/>
  <c r="D565" i="5"/>
  <c r="D566" i="5"/>
  <c r="D567" i="5"/>
  <c r="D568" i="5"/>
  <c r="E568" i="5" s="1"/>
  <c r="D569" i="5"/>
  <c r="D570" i="5"/>
  <c r="D571" i="5"/>
  <c r="D572" i="5"/>
  <c r="D573" i="5"/>
  <c r="D574" i="5"/>
  <c r="D575" i="5"/>
  <c r="D576" i="5"/>
  <c r="E576" i="5" s="1"/>
  <c r="D577" i="5"/>
  <c r="D578" i="5"/>
  <c r="D579" i="5"/>
  <c r="D580" i="5"/>
  <c r="E580" i="5" s="1"/>
  <c r="D581" i="5"/>
  <c r="D582" i="5"/>
  <c r="D583" i="5"/>
  <c r="D584" i="5"/>
  <c r="E584" i="5" s="1"/>
  <c r="D585" i="5"/>
  <c r="D586" i="5"/>
  <c r="D587" i="5"/>
  <c r="D588" i="5"/>
  <c r="E588" i="5" s="1"/>
  <c r="D589" i="5"/>
  <c r="D590" i="5"/>
  <c r="D591" i="5"/>
  <c r="D592" i="5"/>
  <c r="E592" i="5" s="1"/>
  <c r="D593" i="5"/>
  <c r="D594" i="5"/>
  <c r="D595" i="5"/>
  <c r="D596" i="5"/>
  <c r="E596" i="5" s="1"/>
  <c r="D597" i="5"/>
  <c r="D598" i="5"/>
  <c r="D599" i="5"/>
  <c r="D600" i="5"/>
  <c r="E600" i="5" s="1"/>
  <c r="D601" i="5"/>
  <c r="D602" i="5"/>
  <c r="D603" i="5"/>
  <c r="D604" i="5"/>
  <c r="E604" i="5" s="1"/>
  <c r="D605" i="5"/>
  <c r="D606" i="5"/>
  <c r="D607" i="5"/>
  <c r="D608" i="5"/>
  <c r="E608" i="5" s="1"/>
  <c r="D609" i="5"/>
  <c r="D610" i="5"/>
  <c r="D611" i="5"/>
  <c r="D612" i="5"/>
  <c r="E612" i="5" s="1"/>
  <c r="D613" i="5"/>
  <c r="D614" i="5"/>
  <c r="D615" i="5"/>
  <c r="D616" i="5"/>
  <c r="E616" i="5" s="1"/>
  <c r="D617" i="5"/>
  <c r="D618" i="5"/>
  <c r="D619" i="5"/>
  <c r="D620" i="5"/>
  <c r="E620" i="5" s="1"/>
  <c r="D621" i="5"/>
  <c r="D622" i="5"/>
  <c r="D623" i="5"/>
  <c r="D624" i="5"/>
  <c r="D625" i="5"/>
  <c r="D626" i="5"/>
  <c r="D627" i="5"/>
  <c r="D628" i="5"/>
  <c r="E628" i="5" s="1"/>
  <c r="D629" i="5"/>
  <c r="D630" i="5"/>
  <c r="D631" i="5"/>
  <c r="D632" i="5"/>
  <c r="E632" i="5" s="1"/>
  <c r="D633" i="5"/>
  <c r="D634" i="5"/>
  <c r="D635" i="5"/>
  <c r="D636" i="5"/>
  <c r="E636" i="5" s="1"/>
  <c r="D637" i="5"/>
  <c r="D638" i="5"/>
  <c r="D639" i="5"/>
  <c r="D640" i="5"/>
  <c r="D641" i="5"/>
  <c r="D642" i="5"/>
  <c r="D643" i="5"/>
  <c r="D644" i="5"/>
  <c r="D645" i="5"/>
  <c r="D646" i="5"/>
  <c r="D647" i="5"/>
  <c r="D648" i="5"/>
  <c r="E648" i="5" s="1"/>
  <c r="D649" i="5"/>
  <c r="D650" i="5"/>
  <c r="D651" i="5"/>
  <c r="D652" i="5"/>
  <c r="E652" i="5" s="1"/>
  <c r="D653" i="5"/>
  <c r="D654" i="5"/>
  <c r="D655" i="5"/>
  <c r="D656" i="5"/>
  <c r="D657" i="5"/>
  <c r="D658" i="5"/>
  <c r="D659" i="5"/>
  <c r="D660" i="5"/>
  <c r="E660" i="5" s="1"/>
  <c r="D661" i="5"/>
  <c r="D662" i="5"/>
  <c r="D663" i="5"/>
  <c r="D664" i="5"/>
  <c r="E664" i="5" s="1"/>
  <c r="D665" i="5"/>
  <c r="D666" i="5"/>
  <c r="D667" i="5"/>
  <c r="D668" i="5"/>
  <c r="E668" i="5" s="1"/>
  <c r="D669" i="5"/>
  <c r="D670" i="5"/>
  <c r="D671" i="5"/>
  <c r="D672" i="5"/>
  <c r="D673" i="5"/>
  <c r="D674" i="5"/>
  <c r="D675" i="5"/>
  <c r="D676" i="5"/>
  <c r="E676" i="5" s="1"/>
  <c r="D677" i="5"/>
  <c r="D678" i="5"/>
  <c r="D679" i="5"/>
  <c r="D680" i="5"/>
  <c r="E680" i="5" s="1"/>
  <c r="D681" i="5"/>
  <c r="D682" i="5"/>
  <c r="D683" i="5"/>
  <c r="D684" i="5"/>
  <c r="E684" i="5" s="1"/>
  <c r="D685" i="5"/>
  <c r="D686" i="5"/>
  <c r="D687" i="5"/>
  <c r="D688" i="5"/>
  <c r="D689" i="5"/>
  <c r="D690" i="5"/>
  <c r="D691" i="5"/>
  <c r="D692" i="5"/>
  <c r="E692" i="5" s="1"/>
  <c r="D693" i="5"/>
  <c r="D694" i="5"/>
  <c r="D695" i="5"/>
  <c r="D696" i="5"/>
  <c r="E696" i="5" s="1"/>
  <c r="D697" i="5"/>
  <c r="D698" i="5"/>
  <c r="D699" i="5"/>
  <c r="D700" i="5"/>
  <c r="D701" i="5"/>
  <c r="D702" i="5"/>
  <c r="D703" i="5"/>
  <c r="D704" i="5"/>
  <c r="D705" i="5"/>
  <c r="D706" i="5"/>
  <c r="D707" i="5"/>
  <c r="D708" i="5"/>
  <c r="E708" i="5" s="1"/>
  <c r="D709" i="5"/>
  <c r="D710" i="5"/>
  <c r="D711" i="5"/>
  <c r="D712" i="5"/>
  <c r="D713" i="5"/>
  <c r="D714" i="5"/>
  <c r="D715" i="5"/>
  <c r="D716" i="5"/>
  <c r="D717" i="5"/>
  <c r="D718" i="5"/>
  <c r="D719" i="5"/>
  <c r="D720" i="5"/>
  <c r="E720" i="5" s="1"/>
  <c r="D721" i="5"/>
  <c r="D722" i="5"/>
  <c r="D723" i="5"/>
  <c r="D724" i="5"/>
  <c r="E724" i="5" s="1"/>
  <c r="D725" i="5"/>
  <c r="D726" i="5"/>
  <c r="D727" i="5"/>
  <c r="D728" i="5"/>
  <c r="D729" i="5"/>
  <c r="D730" i="5"/>
  <c r="D731" i="5"/>
  <c r="D732" i="5"/>
  <c r="E732" i="5" s="1"/>
  <c r="D733" i="5"/>
  <c r="D734" i="5"/>
  <c r="D735" i="5"/>
  <c r="D736" i="5"/>
  <c r="E736" i="5" s="1"/>
  <c r="D737" i="5"/>
  <c r="D738" i="5"/>
  <c r="D739" i="5"/>
  <c r="D740" i="5"/>
  <c r="E740" i="5" s="1"/>
  <c r="D741" i="5"/>
  <c r="D742" i="5"/>
  <c r="D743" i="5"/>
  <c r="D744" i="5"/>
  <c r="D745" i="5"/>
  <c r="D746" i="5"/>
  <c r="D747" i="5"/>
  <c r="D748" i="5"/>
  <c r="E748" i="5" s="1"/>
  <c r="D749" i="5"/>
  <c r="D750" i="5"/>
  <c r="D751" i="5"/>
  <c r="D752" i="5"/>
  <c r="E752" i="5" s="1"/>
  <c r="D753" i="5"/>
  <c r="D754" i="5"/>
  <c r="D755" i="5"/>
  <c r="D756" i="5"/>
  <c r="E756" i="5" s="1"/>
  <c r="D757" i="5"/>
  <c r="D758" i="5"/>
  <c r="D759" i="5"/>
  <c r="D760" i="5"/>
  <c r="D761" i="5"/>
  <c r="D762" i="5"/>
  <c r="D763" i="5"/>
  <c r="D764" i="5"/>
  <c r="E764" i="5" s="1"/>
  <c r="D765" i="5"/>
  <c r="D766" i="5"/>
  <c r="D767" i="5"/>
  <c r="D768" i="5"/>
  <c r="D769" i="5"/>
  <c r="D770" i="5"/>
  <c r="D771" i="5"/>
  <c r="D772" i="5"/>
  <c r="E772" i="5" s="1"/>
  <c r="D773" i="5"/>
  <c r="D774" i="5"/>
  <c r="D775" i="5"/>
  <c r="D776" i="5"/>
  <c r="E776" i="5" s="1"/>
  <c r="D777" i="5"/>
  <c r="D778" i="5"/>
  <c r="D779" i="5"/>
  <c r="D780" i="5"/>
  <c r="E780" i="5" s="1"/>
  <c r="D781" i="5"/>
  <c r="D782" i="5"/>
  <c r="D783" i="5"/>
  <c r="D784" i="5"/>
  <c r="D785" i="5"/>
  <c r="D786" i="5"/>
  <c r="D787" i="5"/>
  <c r="D788" i="5"/>
  <c r="E788" i="5" s="1"/>
  <c r="D789" i="5"/>
  <c r="D790" i="5"/>
  <c r="D791" i="5"/>
  <c r="D792" i="5"/>
  <c r="E792" i="5" s="1"/>
  <c r="D793" i="5"/>
  <c r="D794" i="5"/>
  <c r="D795" i="5"/>
  <c r="D796" i="5"/>
  <c r="E796" i="5" s="1"/>
  <c r="D797" i="5"/>
  <c r="D798" i="5"/>
  <c r="D799" i="5"/>
  <c r="D800" i="5"/>
  <c r="E800" i="5" s="1"/>
  <c r="D801" i="5"/>
  <c r="D802" i="5"/>
  <c r="D803" i="5"/>
  <c r="D804" i="5"/>
  <c r="E804" i="5" s="1"/>
  <c r="D805" i="5"/>
  <c r="D806" i="5"/>
  <c r="D807" i="5"/>
  <c r="D808" i="5"/>
  <c r="E808" i="5" s="1"/>
  <c r="D809" i="5"/>
  <c r="D810" i="5"/>
  <c r="D811" i="5"/>
  <c r="D812" i="5"/>
  <c r="E812" i="5" s="1"/>
  <c r="D813" i="5"/>
  <c r="D814" i="5"/>
  <c r="D815" i="5"/>
  <c r="D816" i="5"/>
  <c r="E816" i="5" s="1"/>
  <c r="D817" i="5"/>
  <c r="D818" i="5"/>
  <c r="D819" i="5"/>
  <c r="D820" i="5"/>
  <c r="E820" i="5" s="1"/>
  <c r="D821" i="5"/>
  <c r="D822" i="5"/>
  <c r="D823" i="5"/>
  <c r="D824" i="5"/>
  <c r="D825" i="5"/>
  <c r="D826" i="5"/>
  <c r="D827" i="5"/>
  <c r="D828" i="5"/>
  <c r="D829" i="5"/>
  <c r="D830" i="5"/>
  <c r="D831" i="5"/>
  <c r="D832" i="5"/>
  <c r="E832" i="5" s="1"/>
  <c r="D833" i="5"/>
  <c r="D834" i="5"/>
  <c r="D835" i="5"/>
  <c r="D836" i="5"/>
  <c r="E836" i="5" s="1"/>
  <c r="D837" i="5"/>
  <c r="D838" i="5"/>
  <c r="D839" i="5"/>
  <c r="D840" i="5"/>
  <c r="D841" i="5"/>
  <c r="D842" i="5"/>
  <c r="D843" i="5"/>
  <c r="D844" i="5"/>
  <c r="E844" i="5" s="1"/>
  <c r="D845" i="5"/>
  <c r="D846" i="5"/>
  <c r="D847" i="5"/>
  <c r="D848" i="5"/>
  <c r="E848" i="5" s="1"/>
  <c r="D849" i="5"/>
  <c r="D850" i="5"/>
  <c r="D851" i="5"/>
  <c r="D852" i="5"/>
  <c r="E852" i="5" s="1"/>
  <c r="D853" i="5"/>
  <c r="D854" i="5"/>
  <c r="D855" i="5"/>
  <c r="D856" i="5"/>
  <c r="E856" i="5" s="1"/>
  <c r="D857" i="5"/>
  <c r="D858" i="5"/>
  <c r="D859" i="5"/>
  <c r="D860" i="5"/>
  <c r="E860" i="5" s="1"/>
  <c r="D861" i="5"/>
  <c r="D862" i="5"/>
  <c r="D863" i="5"/>
  <c r="D864" i="5"/>
  <c r="E864" i="5" s="1"/>
  <c r="D865" i="5"/>
  <c r="D866" i="5"/>
  <c r="D867" i="5"/>
  <c r="D868" i="5"/>
  <c r="E868" i="5" s="1"/>
  <c r="D869" i="5"/>
  <c r="D870" i="5"/>
  <c r="D871" i="5"/>
  <c r="D872" i="5"/>
  <c r="E872" i="5" s="1"/>
  <c r="D873" i="5"/>
  <c r="D874" i="5"/>
  <c r="D875" i="5"/>
  <c r="D876" i="5"/>
  <c r="E876" i="5" s="1"/>
  <c r="D877" i="5"/>
  <c r="D878" i="5"/>
  <c r="D879" i="5"/>
  <c r="D880" i="5"/>
  <c r="E880" i="5" s="1"/>
  <c r="D881" i="5"/>
  <c r="D882" i="5"/>
  <c r="D883" i="5"/>
  <c r="D884" i="5"/>
  <c r="E884" i="5" s="1"/>
  <c r="D885" i="5"/>
  <c r="D886" i="5"/>
  <c r="D887" i="5"/>
  <c r="D888" i="5"/>
  <c r="E888" i="5" s="1"/>
  <c r="D889" i="5"/>
  <c r="D890" i="5"/>
  <c r="D891" i="5"/>
  <c r="D892" i="5"/>
  <c r="E892" i="5" s="1"/>
  <c r="D893" i="5"/>
  <c r="D894" i="5"/>
  <c r="D895" i="5"/>
  <c r="D896" i="5"/>
  <c r="E896" i="5" s="1"/>
  <c r="D897" i="5"/>
  <c r="D898" i="5"/>
  <c r="D899" i="5"/>
  <c r="D900" i="5"/>
  <c r="E900" i="5" s="1"/>
  <c r="D901" i="5"/>
  <c r="D902" i="5"/>
  <c r="D903" i="5"/>
  <c r="D904" i="5"/>
  <c r="D905" i="5"/>
  <c r="D906" i="5"/>
  <c r="D907" i="5"/>
  <c r="D908" i="5"/>
  <c r="E908" i="5" s="1"/>
  <c r="D909" i="5"/>
  <c r="D910" i="5"/>
  <c r="D911" i="5"/>
  <c r="D912" i="5"/>
  <c r="E912" i="5" s="1"/>
  <c r="D913" i="5"/>
  <c r="D914" i="5"/>
  <c r="D915" i="5"/>
  <c r="D916" i="5"/>
  <c r="E916" i="5" s="1"/>
  <c r="D917" i="5"/>
  <c r="D918" i="5"/>
  <c r="D919" i="5"/>
  <c r="D920" i="5"/>
  <c r="D921" i="5"/>
  <c r="D922" i="5"/>
  <c r="D923" i="5"/>
  <c r="D924" i="5"/>
  <c r="D925" i="5"/>
  <c r="D926" i="5"/>
  <c r="D927" i="5"/>
  <c r="D928" i="5"/>
  <c r="E928" i="5" s="1"/>
  <c r="D929" i="5"/>
  <c r="D930" i="5"/>
  <c r="D931" i="5"/>
  <c r="D932" i="5"/>
  <c r="E932" i="5" s="1"/>
  <c r="D933" i="5"/>
  <c r="D934" i="5"/>
  <c r="D935" i="5"/>
  <c r="D936" i="5"/>
  <c r="D937" i="5"/>
  <c r="D938" i="5"/>
  <c r="D939" i="5"/>
  <c r="D940" i="5"/>
  <c r="E940" i="5" s="1"/>
  <c r="D941" i="5"/>
  <c r="D942" i="5"/>
  <c r="D943" i="5"/>
  <c r="D944" i="5"/>
  <c r="E944" i="5" s="1"/>
  <c r="D945" i="5"/>
  <c r="D946" i="5"/>
  <c r="D947" i="5"/>
  <c r="D948" i="5"/>
  <c r="E948" i="5" s="1"/>
  <c r="D949" i="5"/>
  <c r="D950" i="5"/>
  <c r="D951" i="5"/>
  <c r="D952" i="5"/>
  <c r="D953" i="5"/>
  <c r="D954" i="5"/>
  <c r="D955" i="5"/>
  <c r="D956" i="5"/>
  <c r="E956" i="5" s="1"/>
  <c r="D957" i="5"/>
  <c r="D958" i="5"/>
  <c r="D959" i="5"/>
  <c r="D960" i="5"/>
  <c r="E960" i="5" s="1"/>
  <c r="D961" i="5"/>
  <c r="D962" i="5"/>
  <c r="D963" i="5"/>
  <c r="D964" i="5"/>
  <c r="E964" i="5" s="1"/>
  <c r="D965" i="5"/>
  <c r="D966" i="5"/>
  <c r="D967" i="5"/>
  <c r="D968" i="5"/>
  <c r="D969" i="5"/>
  <c r="D970" i="5"/>
  <c r="D971" i="5"/>
  <c r="D972" i="5"/>
  <c r="E972" i="5" s="1"/>
  <c r="D973" i="5"/>
  <c r="D974" i="5"/>
  <c r="D975" i="5"/>
  <c r="D976" i="5"/>
  <c r="E976" i="5" s="1"/>
  <c r="D977" i="5"/>
  <c r="D978" i="5"/>
  <c r="D979" i="5"/>
  <c r="D980" i="5"/>
  <c r="D981" i="5"/>
  <c r="D982" i="5"/>
  <c r="D983" i="5"/>
  <c r="D984" i="5"/>
  <c r="E984" i="5" s="1"/>
  <c r="D985" i="5"/>
  <c r="D986" i="5"/>
  <c r="D987" i="5"/>
  <c r="D988" i="5"/>
  <c r="E988" i="5" s="1"/>
  <c r="D989" i="5"/>
  <c r="D990" i="5"/>
  <c r="D991" i="5"/>
  <c r="D992" i="5"/>
  <c r="E992" i="5" s="1"/>
  <c r="D993" i="5"/>
  <c r="D994" i="5"/>
  <c r="D995" i="5"/>
  <c r="D996" i="5"/>
  <c r="E996" i="5" s="1"/>
  <c r="D997" i="5"/>
  <c r="D998" i="5"/>
  <c r="D999" i="5"/>
  <c r="D1000" i="5"/>
  <c r="E1000" i="5" s="1"/>
  <c r="D1001" i="5"/>
  <c r="D1002" i="5"/>
  <c r="D1003" i="5"/>
  <c r="D1004" i="5"/>
  <c r="E1004" i="5" s="1"/>
  <c r="D1005" i="5"/>
  <c r="D1006" i="5"/>
  <c r="D1007" i="5"/>
  <c r="D1008" i="5"/>
  <c r="E1008" i="5" s="1"/>
  <c r="D1009" i="5"/>
  <c r="D1010" i="5"/>
  <c r="D1011" i="5"/>
  <c r="D1012" i="5"/>
  <c r="E1012" i="5" s="1"/>
  <c r="D1013" i="5"/>
  <c r="D1014" i="5"/>
  <c r="D1015" i="5"/>
  <c r="D1016" i="5"/>
  <c r="E1016" i="5" s="1"/>
  <c r="D1017" i="5"/>
  <c r="D1018" i="5"/>
  <c r="D1019" i="5"/>
  <c r="D1020" i="5"/>
  <c r="E1020" i="5" s="1"/>
  <c r="D1021" i="5"/>
  <c r="D1022" i="5"/>
  <c r="D1023" i="5"/>
  <c r="D1024" i="5"/>
  <c r="E1024" i="5" s="1"/>
  <c r="D1025" i="5"/>
  <c r="D1026" i="5"/>
  <c r="D1027" i="5"/>
  <c r="D1028" i="5"/>
  <c r="E1028" i="5" s="1"/>
  <c r="D1029" i="5"/>
  <c r="D1030" i="5"/>
  <c r="D1031" i="5"/>
  <c r="D1032" i="5"/>
  <c r="D1033" i="5"/>
  <c r="D1034" i="5"/>
  <c r="D1035" i="5"/>
  <c r="D1036" i="5"/>
  <c r="E1036" i="5" s="1"/>
  <c r="D1037" i="5"/>
  <c r="D1038" i="5"/>
  <c r="D1039" i="5"/>
  <c r="D1040" i="5"/>
  <c r="E1040" i="5" s="1"/>
  <c r="D1041" i="5"/>
  <c r="D1042" i="5"/>
  <c r="D1043" i="5"/>
  <c r="D1044" i="5"/>
  <c r="E1044" i="5" s="1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E1056" i="5" s="1"/>
  <c r="D1057" i="5"/>
  <c r="D1058" i="5"/>
  <c r="D1059" i="5"/>
  <c r="D1060" i="5"/>
  <c r="E1060" i="5" s="1"/>
  <c r="D1061" i="5"/>
  <c r="D1062" i="5"/>
  <c r="D1063" i="5"/>
  <c r="D1064" i="5"/>
  <c r="D1065" i="5"/>
  <c r="D1066" i="5"/>
  <c r="D1067" i="5"/>
  <c r="D1068" i="5"/>
  <c r="E1068" i="5" s="1"/>
  <c r="D1069" i="5"/>
  <c r="D1070" i="5"/>
  <c r="D1071" i="5"/>
  <c r="D1072" i="5"/>
  <c r="E1072" i="5" s="1"/>
  <c r="D1073" i="5"/>
  <c r="D1074" i="5"/>
  <c r="D1075" i="5"/>
  <c r="D1076" i="5"/>
  <c r="E1076" i="5" s="1"/>
  <c r="D1077" i="5"/>
  <c r="D1078" i="5"/>
  <c r="D1079" i="5"/>
  <c r="D1080" i="5"/>
  <c r="D1081" i="5"/>
  <c r="D1082" i="5"/>
  <c r="D1083" i="5"/>
  <c r="D1084" i="5"/>
  <c r="E1084" i="5" s="1"/>
  <c r="D1085" i="5"/>
  <c r="D1086" i="5"/>
  <c r="D1087" i="5"/>
  <c r="D1088" i="5"/>
  <c r="E1088" i="5" s="1"/>
  <c r="D1089" i="5"/>
  <c r="D1090" i="5"/>
  <c r="D1091" i="5"/>
  <c r="D1092" i="5"/>
  <c r="E1092" i="5" s="1"/>
  <c r="D1093" i="5"/>
  <c r="D1094" i="5"/>
  <c r="D1095" i="5"/>
  <c r="D1096" i="5"/>
  <c r="D1097" i="5"/>
  <c r="D1098" i="5"/>
  <c r="D1099" i="5"/>
  <c r="D1100" i="5"/>
  <c r="E1100" i="5" s="1"/>
  <c r="D1101" i="5"/>
  <c r="D1102" i="5"/>
  <c r="D1103" i="5"/>
  <c r="D1104" i="5"/>
  <c r="E1104" i="5" s="1"/>
  <c r="D1105" i="5"/>
  <c r="D1106" i="5"/>
  <c r="D1107" i="5"/>
  <c r="D1108" i="5"/>
  <c r="D1109" i="5"/>
  <c r="D1110" i="5"/>
  <c r="D1111" i="5"/>
  <c r="D1112" i="5"/>
  <c r="E1112" i="5" s="1"/>
  <c r="D1113" i="5"/>
  <c r="D1114" i="5"/>
  <c r="D1115" i="5"/>
  <c r="D1116" i="5"/>
  <c r="E1116" i="5" s="1"/>
  <c r="D1117" i="5"/>
  <c r="D1118" i="5"/>
  <c r="D1119" i="5"/>
  <c r="D1120" i="5"/>
  <c r="E1120" i="5" s="1"/>
  <c r="D1121" i="5"/>
  <c r="D1122" i="5"/>
  <c r="D1123" i="5"/>
  <c r="D1124" i="5"/>
  <c r="E1124" i="5" s="1"/>
  <c r="D1125" i="5"/>
  <c r="D1126" i="5"/>
  <c r="D1127" i="5"/>
  <c r="D1128" i="5"/>
  <c r="E1128" i="5" s="1"/>
  <c r="D1129" i="5"/>
  <c r="D1130" i="5"/>
  <c r="D1131" i="5"/>
  <c r="D1132" i="5"/>
  <c r="E1132" i="5" s="1"/>
  <c r="D1133" i="5"/>
  <c r="D1134" i="5"/>
  <c r="D1135" i="5"/>
  <c r="D1136" i="5"/>
  <c r="E1136" i="5" s="1"/>
  <c r="D1137" i="5"/>
  <c r="D1138" i="5"/>
  <c r="D1139" i="5"/>
  <c r="D1140" i="5"/>
  <c r="E1140" i="5" s="1"/>
  <c r="D1141" i="5"/>
  <c r="D1142" i="5"/>
  <c r="D1143" i="5"/>
  <c r="D1144" i="5"/>
  <c r="E1144" i="5" s="1"/>
  <c r="D1145" i="5"/>
  <c r="D1146" i="5"/>
  <c r="D1147" i="5"/>
  <c r="D1148" i="5"/>
  <c r="E1148" i="5" s="1"/>
  <c r="D1149" i="5"/>
  <c r="D1150" i="5"/>
  <c r="D1151" i="5"/>
  <c r="D1152" i="5"/>
  <c r="E1152" i="5" s="1"/>
  <c r="D1153" i="5"/>
  <c r="D1154" i="5"/>
  <c r="D1155" i="5"/>
  <c r="D1156" i="5"/>
  <c r="E1156" i="5" s="1"/>
  <c r="D1157" i="5"/>
  <c r="D1158" i="5"/>
  <c r="D1159" i="5"/>
  <c r="D1160" i="5"/>
  <c r="D1161" i="5"/>
  <c r="D1162" i="5"/>
  <c r="D1163" i="5"/>
  <c r="D1164" i="5"/>
  <c r="E1164" i="5" s="1"/>
  <c r="D1165" i="5"/>
  <c r="D1166" i="5"/>
  <c r="D1167" i="5"/>
  <c r="D1168" i="5"/>
  <c r="E1168" i="5" s="1"/>
  <c r="D1169" i="5"/>
  <c r="D1170" i="5"/>
  <c r="D1171" i="5"/>
  <c r="D1172" i="5"/>
  <c r="E1172" i="5" s="1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E1184" i="5" s="1"/>
  <c r="D1185" i="5"/>
  <c r="D1186" i="5"/>
  <c r="D1187" i="5"/>
  <c r="D1188" i="5"/>
  <c r="E1188" i="5" s="1"/>
  <c r="D1189" i="5"/>
  <c r="D1190" i="5"/>
  <c r="D1191" i="5"/>
  <c r="D1192" i="5"/>
  <c r="D1193" i="5"/>
  <c r="D1194" i="5"/>
  <c r="D1195" i="5"/>
  <c r="D1196" i="5"/>
  <c r="E1196" i="5" s="1"/>
  <c r="D1197" i="5"/>
  <c r="D1198" i="5"/>
  <c r="D1199" i="5"/>
  <c r="D1200" i="5"/>
  <c r="E1200" i="5" s="1"/>
  <c r="D1201" i="5"/>
  <c r="D1202" i="5"/>
  <c r="D1203" i="5"/>
  <c r="D1204" i="5"/>
  <c r="E1204" i="5" s="1"/>
  <c r="D1205" i="5"/>
  <c r="D1206" i="5"/>
  <c r="D1207" i="5"/>
  <c r="D1208" i="5"/>
  <c r="D1209" i="5"/>
  <c r="D1210" i="5"/>
  <c r="D1211" i="5"/>
  <c r="D1212" i="5"/>
  <c r="E1212" i="5" s="1"/>
  <c r="D1213" i="5"/>
  <c r="D1214" i="5"/>
  <c r="D1215" i="5"/>
  <c r="D1216" i="5"/>
  <c r="E1216" i="5" s="1"/>
  <c r="D1217" i="5"/>
  <c r="D1218" i="5"/>
  <c r="D1219" i="5"/>
  <c r="D1220" i="5"/>
  <c r="E1220" i="5" s="1"/>
  <c r="D1221" i="5"/>
  <c r="D1222" i="5"/>
  <c r="D1223" i="5"/>
  <c r="D1224" i="5"/>
  <c r="D1225" i="5"/>
  <c r="D1226" i="5"/>
  <c r="D1227" i="5"/>
  <c r="D1228" i="5"/>
  <c r="E1228" i="5" s="1"/>
  <c r="D1229" i="5"/>
  <c r="D1230" i="5"/>
  <c r="D1231" i="5"/>
  <c r="D1232" i="5"/>
  <c r="E1232" i="5" s="1"/>
  <c r="D1233" i="5"/>
  <c r="D1234" i="5"/>
  <c r="D1235" i="5"/>
  <c r="D1236" i="5"/>
  <c r="D1237" i="5"/>
  <c r="D1238" i="5"/>
  <c r="D1239" i="5"/>
  <c r="D1240" i="5"/>
  <c r="E1240" i="5" s="1"/>
  <c r="D1241" i="5"/>
  <c r="D1242" i="5"/>
  <c r="D1243" i="5"/>
  <c r="D1244" i="5"/>
  <c r="E1244" i="5" s="1"/>
  <c r="D1245" i="5"/>
  <c r="D1246" i="5"/>
  <c r="D1247" i="5"/>
  <c r="D1248" i="5"/>
  <c r="E1248" i="5" s="1"/>
  <c r="D1249" i="5"/>
  <c r="D1250" i="5"/>
  <c r="D1251" i="5"/>
  <c r="D1252" i="5"/>
  <c r="E1252" i="5" s="1"/>
  <c r="D1253" i="5"/>
  <c r="D1254" i="5"/>
  <c r="D1255" i="5"/>
  <c r="D1256" i="5"/>
  <c r="E1256" i="5" s="1"/>
  <c r="D1257" i="5"/>
  <c r="D1258" i="5"/>
  <c r="D1259" i="5"/>
  <c r="D1260" i="5"/>
  <c r="E1260" i="5" s="1"/>
  <c r="D1261" i="5"/>
  <c r="D1262" i="5"/>
  <c r="D1263" i="5"/>
  <c r="D1264" i="5"/>
  <c r="E1264" i="5" s="1"/>
  <c r="D1265" i="5"/>
  <c r="D1266" i="5"/>
  <c r="D1267" i="5"/>
  <c r="D1268" i="5"/>
  <c r="E1268" i="5" s="1"/>
  <c r="D1269" i="5"/>
  <c r="D1270" i="5"/>
  <c r="D1271" i="5"/>
  <c r="D1272" i="5"/>
  <c r="E1272" i="5" s="1"/>
  <c r="D1273" i="5"/>
  <c r="D1274" i="5"/>
  <c r="D1275" i="5"/>
  <c r="D1276" i="5"/>
  <c r="E1276" i="5" s="1"/>
  <c r="D1277" i="5"/>
  <c r="D1278" i="5"/>
  <c r="D1279" i="5"/>
  <c r="D1280" i="5"/>
  <c r="E1280" i="5" s="1"/>
  <c r="D1281" i="5"/>
  <c r="D1282" i="5"/>
  <c r="D1283" i="5"/>
  <c r="D1284" i="5"/>
  <c r="E1284" i="5" s="1"/>
  <c r="D1285" i="5"/>
  <c r="D1286" i="5"/>
  <c r="D1287" i="5"/>
  <c r="D1288" i="5"/>
  <c r="D1289" i="5"/>
  <c r="D1290" i="5"/>
  <c r="D1291" i="5"/>
  <c r="D1292" i="5"/>
  <c r="E1292" i="5" s="1"/>
  <c r="D1293" i="5"/>
  <c r="D1294" i="5"/>
  <c r="D1295" i="5"/>
  <c r="D1296" i="5"/>
  <c r="E1296" i="5" s="1"/>
  <c r="D1297" i="5"/>
  <c r="D1298" i="5"/>
  <c r="D1299" i="5"/>
  <c r="D1300" i="5"/>
  <c r="E1300" i="5" s="1"/>
  <c r="D1301" i="5"/>
  <c r="D1302" i="5"/>
  <c r="D1303" i="5"/>
  <c r="D1304" i="5"/>
  <c r="D1305" i="5"/>
  <c r="D1306" i="5"/>
  <c r="D1307" i="5"/>
  <c r="D1308" i="5"/>
  <c r="D1309" i="5"/>
  <c r="D1310" i="5"/>
  <c r="D1311" i="5"/>
  <c r="D1312" i="5"/>
  <c r="E1312" i="5" s="1"/>
  <c r="D1313" i="5"/>
  <c r="D1314" i="5"/>
  <c r="D1315" i="5"/>
  <c r="D1316" i="5"/>
  <c r="E1316" i="5" s="1"/>
  <c r="D1317" i="5"/>
  <c r="D1318" i="5"/>
  <c r="D1319" i="5"/>
  <c r="D1320" i="5"/>
  <c r="D1321" i="5"/>
  <c r="D1322" i="5"/>
  <c r="D1323" i="5"/>
  <c r="D1324" i="5"/>
  <c r="E1324" i="5" s="1"/>
  <c r="D1325" i="5"/>
  <c r="D1326" i="5"/>
  <c r="D1327" i="5"/>
  <c r="D1328" i="5"/>
  <c r="E1328" i="5" s="1"/>
  <c r="D1329" i="5"/>
  <c r="D1330" i="5"/>
  <c r="D1331" i="5"/>
  <c r="D1332" i="5"/>
  <c r="E1332" i="5" s="1"/>
  <c r="D1333" i="5"/>
  <c r="D1334" i="5"/>
  <c r="D1335" i="5"/>
  <c r="D1336" i="5"/>
  <c r="D1337" i="5"/>
  <c r="D1338" i="5"/>
  <c r="D1339" i="5"/>
  <c r="D1340" i="5"/>
  <c r="E1340" i="5" s="1"/>
  <c r="D1341" i="5"/>
  <c r="D1342" i="5"/>
  <c r="D1343" i="5"/>
  <c r="D1344" i="5"/>
  <c r="E1344" i="5" s="1"/>
  <c r="D1345" i="5"/>
  <c r="D1346" i="5"/>
  <c r="D1347" i="5"/>
  <c r="D1348" i="5"/>
  <c r="E1348" i="5" s="1"/>
  <c r="D1349" i="5"/>
  <c r="D1350" i="5"/>
  <c r="D1351" i="5"/>
  <c r="D1352" i="5"/>
  <c r="D1353" i="5"/>
  <c r="D1354" i="5"/>
  <c r="D1355" i="5"/>
  <c r="D1356" i="5"/>
  <c r="E1356" i="5" s="1"/>
  <c r="D1357" i="5"/>
  <c r="D1358" i="5"/>
  <c r="D1359" i="5"/>
  <c r="D1360" i="5"/>
  <c r="E1360" i="5" s="1"/>
  <c r="D1361" i="5"/>
  <c r="D1362" i="5"/>
  <c r="D1363" i="5"/>
  <c r="D1364" i="5"/>
  <c r="D1365" i="5"/>
  <c r="D1366" i="5"/>
  <c r="D1367" i="5"/>
  <c r="D1368" i="5"/>
  <c r="E1368" i="5" s="1"/>
  <c r="D1369" i="5"/>
  <c r="D1370" i="5"/>
  <c r="D1371" i="5"/>
  <c r="D1372" i="5"/>
  <c r="E1372" i="5" s="1"/>
  <c r="D1373" i="5"/>
  <c r="D1374" i="5"/>
  <c r="D1375" i="5"/>
  <c r="D1376" i="5"/>
  <c r="E1376" i="5" s="1"/>
  <c r="D1377" i="5"/>
  <c r="D1378" i="5"/>
  <c r="D1379" i="5"/>
  <c r="D1380" i="5"/>
  <c r="E1380" i="5" s="1"/>
  <c r="D1381" i="5"/>
  <c r="D1382" i="5"/>
  <c r="D1383" i="5"/>
  <c r="D1384" i="5"/>
  <c r="E1384" i="5" s="1"/>
  <c r="D1385" i="5"/>
  <c r="D1386" i="5"/>
  <c r="D1387" i="5"/>
  <c r="D1388" i="5"/>
  <c r="E1388" i="5" s="1"/>
  <c r="D1389" i="5"/>
  <c r="D1390" i="5"/>
  <c r="D1391" i="5"/>
  <c r="D1392" i="5"/>
  <c r="E1392" i="5" s="1"/>
  <c r="D1393" i="5"/>
  <c r="D1394" i="5"/>
  <c r="D1395" i="5"/>
  <c r="D1396" i="5"/>
  <c r="E1396" i="5" s="1"/>
  <c r="D1397" i="5"/>
  <c r="D1398" i="5"/>
  <c r="D1399" i="5"/>
  <c r="D1400" i="5"/>
  <c r="E1400" i="5" s="1"/>
  <c r="D1401" i="5"/>
  <c r="D1402" i="5"/>
  <c r="D1403" i="5"/>
  <c r="D1404" i="5"/>
  <c r="E1404" i="5" s="1"/>
  <c r="D1405" i="5"/>
  <c r="D1406" i="5"/>
  <c r="D1407" i="5"/>
  <c r="D1408" i="5"/>
  <c r="E1408" i="5" s="1"/>
  <c r="D1409" i="5"/>
  <c r="D1410" i="5"/>
  <c r="D1411" i="5"/>
  <c r="D1412" i="5"/>
  <c r="E1412" i="5" s="1"/>
  <c r="D1413" i="5"/>
  <c r="D1414" i="5"/>
  <c r="D1415" i="5"/>
  <c r="D1416" i="5"/>
  <c r="D1417" i="5"/>
  <c r="D1418" i="5"/>
  <c r="D1419" i="5"/>
  <c r="D1420" i="5"/>
  <c r="E1420" i="5" s="1"/>
  <c r="D1421" i="5"/>
  <c r="D1422" i="5"/>
  <c r="D1423" i="5"/>
  <c r="D1424" i="5"/>
  <c r="E1424" i="5" s="1"/>
  <c r="D1425" i="5"/>
  <c r="D1426" i="5"/>
  <c r="D1427" i="5"/>
  <c r="D1428" i="5"/>
  <c r="E1428" i="5" s="1"/>
  <c r="D1429" i="5"/>
  <c r="D1430" i="5"/>
  <c r="D1431" i="5"/>
  <c r="D1432" i="5"/>
  <c r="D1433" i="5"/>
  <c r="D1434" i="5"/>
  <c r="D1435" i="5"/>
  <c r="D1436" i="5"/>
  <c r="D1437" i="5"/>
  <c r="D1438" i="5"/>
  <c r="D1439" i="5"/>
  <c r="D1440" i="5"/>
  <c r="E1440" i="5" s="1"/>
  <c r="D1441" i="5"/>
  <c r="D1442" i="5"/>
  <c r="D1443" i="5"/>
  <c r="D1444" i="5"/>
  <c r="E1444" i="5" s="1"/>
  <c r="D1445" i="5"/>
  <c r="D1446" i="5"/>
  <c r="D1447" i="5"/>
  <c r="D1448" i="5"/>
  <c r="D1449" i="5"/>
  <c r="D1450" i="5"/>
  <c r="D1451" i="5"/>
  <c r="D1452" i="5"/>
  <c r="E1452" i="5" s="1"/>
  <c r="D1453" i="5"/>
  <c r="D1454" i="5"/>
  <c r="D1455" i="5"/>
  <c r="D1456" i="5"/>
  <c r="E1456" i="5" s="1"/>
  <c r="D1457" i="5"/>
  <c r="D1458" i="5"/>
  <c r="D1459" i="5"/>
  <c r="D1460" i="5"/>
  <c r="E1460" i="5" s="1"/>
  <c r="D1461" i="5"/>
  <c r="D1462" i="5"/>
  <c r="D1463" i="5"/>
  <c r="D1464" i="5"/>
  <c r="D1465" i="5"/>
  <c r="D1466" i="5"/>
  <c r="D1467" i="5"/>
  <c r="D1468" i="5"/>
  <c r="E1468" i="5" s="1"/>
  <c r="D1469" i="5"/>
  <c r="D1470" i="5"/>
  <c r="D1471" i="5"/>
  <c r="D1472" i="5"/>
  <c r="E1472" i="5" s="1"/>
  <c r="D1473" i="5"/>
  <c r="D1474" i="5"/>
  <c r="D1475" i="5"/>
  <c r="D1476" i="5"/>
  <c r="E1476" i="5" s="1"/>
  <c r="D1477" i="5"/>
  <c r="D1478" i="5"/>
  <c r="D1479" i="5"/>
  <c r="D1480" i="5"/>
  <c r="D1481" i="5"/>
  <c r="D1482" i="5"/>
  <c r="D1483" i="5"/>
  <c r="D1484" i="5"/>
  <c r="E1484" i="5" s="1"/>
  <c r="D1485" i="5"/>
  <c r="D1486" i="5"/>
  <c r="D1487" i="5"/>
  <c r="D1488" i="5"/>
  <c r="E1488" i="5" s="1"/>
  <c r="D1489" i="5"/>
  <c r="D1490" i="5"/>
  <c r="D1491" i="5"/>
  <c r="D1492" i="5"/>
  <c r="D1493" i="5"/>
  <c r="D1494" i="5"/>
  <c r="D1495" i="5"/>
  <c r="D1496" i="5"/>
  <c r="E1496" i="5" s="1"/>
  <c r="D1497" i="5"/>
  <c r="D1498" i="5"/>
  <c r="D1499" i="5"/>
  <c r="D1500" i="5"/>
  <c r="E1500" i="5" s="1"/>
  <c r="D1501" i="5"/>
  <c r="D1502" i="5"/>
  <c r="D1503" i="5"/>
  <c r="D1504" i="5"/>
  <c r="E1504" i="5" s="1"/>
  <c r="D1505" i="5"/>
  <c r="D1506" i="5"/>
  <c r="D1507" i="5"/>
  <c r="D1508" i="5"/>
  <c r="E1508" i="5" s="1"/>
  <c r="D1509" i="5"/>
  <c r="D1510" i="5"/>
  <c r="D1511" i="5"/>
  <c r="D1512" i="5"/>
  <c r="E1512" i="5" s="1"/>
  <c r="D1513" i="5"/>
  <c r="D1514" i="5"/>
  <c r="D1515" i="5"/>
  <c r="D1516" i="5"/>
  <c r="E1516" i="5" s="1"/>
  <c r="D1517" i="5"/>
  <c r="D1518" i="5"/>
  <c r="D1519" i="5"/>
  <c r="D1520" i="5"/>
  <c r="E1520" i="5" s="1"/>
  <c r="D1521" i="5"/>
  <c r="D1522" i="5"/>
  <c r="D1523" i="5"/>
  <c r="D1524" i="5"/>
  <c r="E1524" i="5" s="1"/>
  <c r="D1525" i="5"/>
  <c r="D1526" i="5"/>
  <c r="D1527" i="5"/>
  <c r="D1528" i="5"/>
  <c r="E1528" i="5" s="1"/>
  <c r="D1529" i="5"/>
  <c r="D1530" i="5"/>
  <c r="D1531" i="5"/>
  <c r="D1532" i="5"/>
  <c r="E1532" i="5" s="1"/>
  <c r="D1533" i="5"/>
  <c r="D1534" i="5"/>
  <c r="D1535" i="5"/>
  <c r="D1536" i="5"/>
  <c r="E1536" i="5" s="1"/>
  <c r="D1537" i="5"/>
  <c r="D1538" i="5"/>
  <c r="D1539" i="5"/>
  <c r="D1540" i="5"/>
  <c r="E1540" i="5" s="1"/>
  <c r="D1541" i="5"/>
  <c r="D1542" i="5"/>
  <c r="D1543" i="5"/>
  <c r="D1544" i="5"/>
  <c r="D1545" i="5"/>
  <c r="D1546" i="5"/>
  <c r="D1547" i="5"/>
  <c r="D1548" i="5"/>
  <c r="E1548" i="5" s="1"/>
  <c r="D1549" i="5"/>
  <c r="D1550" i="5"/>
  <c r="D1551" i="5"/>
  <c r="D1552" i="5"/>
  <c r="E1552" i="5" s="1"/>
  <c r="D1553" i="5"/>
  <c r="D1554" i="5"/>
  <c r="D1555" i="5"/>
  <c r="D1556" i="5"/>
  <c r="E1556" i="5" s="1"/>
  <c r="D1557" i="5"/>
  <c r="D1558" i="5"/>
  <c r="D1559" i="5"/>
  <c r="D1560" i="5"/>
  <c r="D1561" i="5"/>
  <c r="D1562" i="5"/>
  <c r="D1563" i="5"/>
  <c r="D1564" i="5"/>
  <c r="D1565" i="5"/>
  <c r="D1566" i="5"/>
  <c r="D1567" i="5"/>
  <c r="D1568" i="5"/>
  <c r="E1568" i="5" s="1"/>
  <c r="E5" i="5"/>
  <c r="E6" i="5"/>
  <c r="E7" i="5"/>
  <c r="E8" i="5"/>
  <c r="E13" i="5"/>
  <c r="E14" i="5"/>
  <c r="E21" i="5"/>
  <c r="E22" i="5"/>
  <c r="E24" i="5"/>
  <c r="E29" i="5"/>
  <c r="E30" i="5"/>
  <c r="E37" i="5"/>
  <c r="E38" i="5"/>
  <c r="E40" i="5"/>
  <c r="E45" i="5"/>
  <c r="E46" i="5"/>
  <c r="E53" i="5"/>
  <c r="E54" i="5"/>
  <c r="E56" i="5"/>
  <c r="E61" i="5"/>
  <c r="E62" i="5"/>
  <c r="E64" i="5"/>
  <c r="E69" i="5"/>
  <c r="E70" i="5"/>
  <c r="E72" i="5"/>
  <c r="E77" i="5"/>
  <c r="E78" i="5"/>
  <c r="E80" i="5"/>
  <c r="E84" i="5"/>
  <c r="E85" i="5"/>
  <c r="E86" i="5"/>
  <c r="E93" i="5"/>
  <c r="E94" i="5"/>
  <c r="E96" i="5"/>
  <c r="E101" i="5"/>
  <c r="E102" i="5"/>
  <c r="E109" i="5"/>
  <c r="E110" i="5"/>
  <c r="E112" i="5"/>
  <c r="E117" i="5"/>
  <c r="E118" i="5"/>
  <c r="E125" i="5"/>
  <c r="E126" i="5"/>
  <c r="E128" i="5"/>
  <c r="E133" i="5"/>
  <c r="E134" i="5"/>
  <c r="E135" i="5"/>
  <c r="E141" i="5"/>
  <c r="E142" i="5"/>
  <c r="E149" i="5"/>
  <c r="E150" i="5"/>
  <c r="E157" i="5"/>
  <c r="E158" i="5"/>
  <c r="E165" i="5"/>
  <c r="E166" i="5"/>
  <c r="E173" i="5"/>
  <c r="E174" i="5"/>
  <c r="E176" i="5"/>
  <c r="E180" i="5"/>
  <c r="E181" i="5"/>
  <c r="E182" i="5"/>
  <c r="E189" i="5"/>
  <c r="E190" i="5"/>
  <c r="E192" i="5"/>
  <c r="E197" i="5"/>
  <c r="E198" i="5"/>
  <c r="E205" i="5"/>
  <c r="E206" i="5"/>
  <c r="E213" i="5"/>
  <c r="E214" i="5"/>
  <c r="E221" i="5"/>
  <c r="E222" i="5"/>
  <c r="E229" i="5"/>
  <c r="E230" i="5"/>
  <c r="E237" i="5"/>
  <c r="E238" i="5"/>
  <c r="E240" i="5"/>
  <c r="E244" i="5"/>
  <c r="E245" i="5"/>
  <c r="E246" i="5"/>
  <c r="E253" i="5"/>
  <c r="E254" i="5"/>
  <c r="E256" i="5"/>
  <c r="E261" i="5"/>
  <c r="E262" i="5"/>
  <c r="E269" i="5"/>
  <c r="E270" i="5"/>
  <c r="E277" i="5"/>
  <c r="E278" i="5"/>
  <c r="E285" i="5"/>
  <c r="E286" i="5"/>
  <c r="E293" i="5"/>
  <c r="E294" i="5"/>
  <c r="E301" i="5"/>
  <c r="E302" i="5"/>
  <c r="E304" i="5"/>
  <c r="E308" i="5"/>
  <c r="E309" i="5"/>
  <c r="E310" i="5"/>
  <c r="E317" i="5"/>
  <c r="E318" i="5"/>
  <c r="E320" i="5"/>
  <c r="E325" i="5"/>
  <c r="E326" i="5"/>
  <c r="E333" i="5"/>
  <c r="E334" i="5"/>
  <c r="E341" i="5"/>
  <c r="E342" i="5"/>
  <c r="E349" i="5"/>
  <c r="E350" i="5"/>
  <c r="E357" i="5"/>
  <c r="E358" i="5"/>
  <c r="E365" i="5"/>
  <c r="E366" i="5"/>
  <c r="E368" i="5"/>
  <c r="E372" i="5"/>
  <c r="E373" i="5"/>
  <c r="E374" i="5"/>
  <c r="E381" i="5"/>
  <c r="E382" i="5"/>
  <c r="E384" i="5"/>
  <c r="E389" i="5"/>
  <c r="E390" i="5"/>
  <c r="E397" i="5"/>
  <c r="E398" i="5"/>
  <c r="E405" i="5"/>
  <c r="E406" i="5"/>
  <c r="E413" i="5"/>
  <c r="E414" i="5"/>
  <c r="E421" i="5"/>
  <c r="E422" i="5"/>
  <c r="E423" i="5"/>
  <c r="E429" i="5"/>
  <c r="E430" i="5"/>
  <c r="E432" i="5"/>
  <c r="E437" i="5"/>
  <c r="E438" i="5"/>
  <c r="E445" i="5"/>
  <c r="E446" i="5"/>
  <c r="E448" i="5"/>
  <c r="E453" i="5"/>
  <c r="E454" i="5"/>
  <c r="E461" i="5"/>
  <c r="E462" i="5"/>
  <c r="E464" i="5"/>
  <c r="E469" i="5"/>
  <c r="E470" i="5"/>
  <c r="E477" i="5"/>
  <c r="E478" i="5"/>
  <c r="E485" i="5"/>
  <c r="E486" i="5"/>
  <c r="E493" i="5"/>
  <c r="E494" i="5"/>
  <c r="E496" i="5"/>
  <c r="E501" i="5"/>
  <c r="E502" i="5"/>
  <c r="E509" i="5"/>
  <c r="E510" i="5"/>
  <c r="E512" i="5"/>
  <c r="E517" i="5"/>
  <c r="E518" i="5"/>
  <c r="E519" i="5"/>
  <c r="E525" i="5"/>
  <c r="E526" i="5"/>
  <c r="E528" i="5"/>
  <c r="E533" i="5"/>
  <c r="E534" i="5"/>
  <c r="E541" i="5"/>
  <c r="E542" i="5"/>
  <c r="E544" i="5"/>
  <c r="E549" i="5"/>
  <c r="E550" i="5"/>
  <c r="E557" i="5"/>
  <c r="E558" i="5"/>
  <c r="E560" i="5"/>
  <c r="E565" i="5"/>
  <c r="E566" i="5"/>
  <c r="E572" i="5"/>
  <c r="E573" i="5"/>
  <c r="E574" i="5"/>
  <c r="E581" i="5"/>
  <c r="E582" i="5"/>
  <c r="E589" i="5"/>
  <c r="E590" i="5"/>
  <c r="E597" i="5"/>
  <c r="E598" i="5"/>
  <c r="E605" i="5"/>
  <c r="E606" i="5"/>
  <c r="E613" i="5"/>
  <c r="E614" i="5"/>
  <c r="E621" i="5"/>
  <c r="E622" i="5"/>
  <c r="E624" i="5"/>
  <c r="E629" i="5"/>
  <c r="E630" i="5"/>
  <c r="E637" i="5"/>
  <c r="E638" i="5"/>
  <c r="E640" i="5"/>
  <c r="E644" i="5"/>
  <c r="E645" i="5"/>
  <c r="E646" i="5"/>
  <c r="E653" i="5"/>
  <c r="E654" i="5"/>
  <c r="E656" i="5"/>
  <c r="E661" i="5"/>
  <c r="E662" i="5"/>
  <c r="E669" i="5"/>
  <c r="E670" i="5"/>
  <c r="E672" i="5"/>
  <c r="E677" i="5"/>
  <c r="E678" i="5"/>
  <c r="E685" i="5"/>
  <c r="E686" i="5"/>
  <c r="E688" i="5"/>
  <c r="E693" i="5"/>
  <c r="E694" i="5"/>
  <c r="E700" i="5"/>
  <c r="E701" i="5"/>
  <c r="E702" i="5"/>
  <c r="E703" i="5"/>
  <c r="E704" i="5"/>
  <c r="E709" i="5"/>
  <c r="E710" i="5"/>
  <c r="E712" i="5"/>
  <c r="E716" i="5"/>
  <c r="E717" i="5"/>
  <c r="E718" i="5"/>
  <c r="E725" i="5"/>
  <c r="E726" i="5"/>
  <c r="E728" i="5"/>
  <c r="E733" i="5"/>
  <c r="E734" i="5"/>
  <c r="E741" i="5"/>
  <c r="E742" i="5"/>
  <c r="E744" i="5"/>
  <c r="E749" i="5"/>
  <c r="E750" i="5"/>
  <c r="E757" i="5"/>
  <c r="E758" i="5"/>
  <c r="E760" i="5"/>
  <c r="E765" i="5"/>
  <c r="E766" i="5"/>
  <c r="E768" i="5"/>
  <c r="E773" i="5"/>
  <c r="E774" i="5"/>
  <c r="E781" i="5"/>
  <c r="E782" i="5"/>
  <c r="E784" i="5"/>
  <c r="E789" i="5"/>
  <c r="E790" i="5"/>
  <c r="E791" i="5"/>
  <c r="E797" i="5"/>
  <c r="E798" i="5"/>
  <c r="E805" i="5"/>
  <c r="E806" i="5"/>
  <c r="E813" i="5"/>
  <c r="E814" i="5"/>
  <c r="E821" i="5"/>
  <c r="E822" i="5"/>
  <c r="E824" i="5"/>
  <c r="E828" i="5"/>
  <c r="E829" i="5"/>
  <c r="E830" i="5"/>
  <c r="E837" i="5"/>
  <c r="E838" i="5"/>
  <c r="E840" i="5"/>
  <c r="E845" i="5"/>
  <c r="E846" i="5"/>
  <c r="E853" i="5"/>
  <c r="E854" i="5"/>
  <c r="E861" i="5"/>
  <c r="E862" i="5"/>
  <c r="E869" i="5"/>
  <c r="E870" i="5"/>
  <c r="E877" i="5"/>
  <c r="E878" i="5"/>
  <c r="E885" i="5"/>
  <c r="E886" i="5"/>
  <c r="E893" i="5"/>
  <c r="E894" i="5"/>
  <c r="E901" i="5"/>
  <c r="E902" i="5"/>
  <c r="E904" i="5"/>
  <c r="E909" i="5"/>
  <c r="E910" i="5"/>
  <c r="E917" i="5"/>
  <c r="E918" i="5"/>
  <c r="E920" i="5"/>
  <c r="E924" i="5"/>
  <c r="E925" i="5"/>
  <c r="E926" i="5"/>
  <c r="E933" i="5"/>
  <c r="E934" i="5"/>
  <c r="E936" i="5"/>
  <c r="E941" i="5"/>
  <c r="E942" i="5"/>
  <c r="E949" i="5"/>
  <c r="E950" i="5"/>
  <c r="E952" i="5"/>
  <c r="E957" i="5"/>
  <c r="E958" i="5"/>
  <c r="E965" i="5"/>
  <c r="E966" i="5"/>
  <c r="E968" i="5"/>
  <c r="E973" i="5"/>
  <c r="E974" i="5"/>
  <c r="E980" i="5"/>
  <c r="E981" i="5"/>
  <c r="E982" i="5"/>
  <c r="E989" i="5"/>
  <c r="E990" i="5"/>
  <c r="E997" i="5"/>
  <c r="E998" i="5"/>
  <c r="E1005" i="5"/>
  <c r="E1006" i="5"/>
  <c r="E1013" i="5"/>
  <c r="E1014" i="5"/>
  <c r="E1021" i="5"/>
  <c r="E1022" i="5"/>
  <c r="E1029" i="5"/>
  <c r="E1030" i="5"/>
  <c r="E1032" i="5"/>
  <c r="E1037" i="5"/>
  <c r="E1038" i="5"/>
  <c r="E1045" i="5"/>
  <c r="E1046" i="5"/>
  <c r="E1048" i="5"/>
  <c r="E1052" i="5"/>
  <c r="E1053" i="5"/>
  <c r="E1054" i="5"/>
  <c r="E1061" i="5"/>
  <c r="E1062" i="5"/>
  <c r="E1064" i="5"/>
  <c r="E1069" i="5"/>
  <c r="E1070" i="5"/>
  <c r="E1077" i="5"/>
  <c r="E1078" i="5"/>
  <c r="E1080" i="5"/>
  <c r="E1085" i="5"/>
  <c r="E1086" i="5"/>
  <c r="E1093" i="5"/>
  <c r="E1094" i="5"/>
  <c r="E1096" i="5"/>
  <c r="E1101" i="5"/>
  <c r="E1102" i="5"/>
  <c r="E1108" i="5"/>
  <c r="E1109" i="5"/>
  <c r="E1110" i="5"/>
  <c r="E1117" i="5"/>
  <c r="E1118" i="5"/>
  <c r="E1125" i="5"/>
  <c r="E1126" i="5"/>
  <c r="E1133" i="5"/>
  <c r="E1134" i="5"/>
  <c r="E1141" i="5"/>
  <c r="E1142" i="5"/>
  <c r="E1149" i="5"/>
  <c r="E1150" i="5"/>
  <c r="E1157" i="5"/>
  <c r="E1158" i="5"/>
  <c r="E1160" i="5"/>
  <c r="E1165" i="5"/>
  <c r="E1166" i="5"/>
  <c r="E1173" i="5"/>
  <c r="E1174" i="5"/>
  <c r="E1176" i="5"/>
  <c r="E1180" i="5"/>
  <c r="E1181" i="5"/>
  <c r="E1182" i="5"/>
  <c r="E1189" i="5"/>
  <c r="E1190" i="5"/>
  <c r="E1192" i="5"/>
  <c r="E1197" i="5"/>
  <c r="E1198" i="5"/>
  <c r="E1205" i="5"/>
  <c r="E1206" i="5"/>
  <c r="E1208" i="5"/>
  <c r="E1213" i="5"/>
  <c r="E1214" i="5"/>
  <c r="E1221" i="5"/>
  <c r="E1222" i="5"/>
  <c r="E1224" i="5"/>
  <c r="E1229" i="5"/>
  <c r="E1230" i="5"/>
  <c r="E1236" i="5"/>
  <c r="E1237" i="5"/>
  <c r="E1238" i="5"/>
  <c r="E1245" i="5"/>
  <c r="E1246" i="5"/>
  <c r="E1253" i="5"/>
  <c r="E1254" i="5"/>
  <c r="E1261" i="5"/>
  <c r="E1262" i="5"/>
  <c r="E1269" i="5"/>
  <c r="E1270" i="5"/>
  <c r="E1277" i="5"/>
  <c r="E1278" i="5"/>
  <c r="E1285" i="5"/>
  <c r="E1286" i="5"/>
  <c r="E1288" i="5"/>
  <c r="E1293" i="5"/>
  <c r="E1294" i="5"/>
  <c r="E1301" i="5"/>
  <c r="E1302" i="5"/>
  <c r="E1304" i="5"/>
  <c r="E1308" i="5"/>
  <c r="E1309" i="5"/>
  <c r="E1310" i="5"/>
  <c r="E1317" i="5"/>
  <c r="E1318" i="5"/>
  <c r="E1320" i="5"/>
  <c r="E1325" i="5"/>
  <c r="E1326" i="5"/>
  <c r="E1333" i="5"/>
  <c r="E1334" i="5"/>
  <c r="E1336" i="5"/>
  <c r="E1341" i="5"/>
  <c r="E1342" i="5"/>
  <c r="E1349" i="5"/>
  <c r="E1350" i="5"/>
  <c r="E1352" i="5"/>
  <c r="E1357" i="5"/>
  <c r="E1358" i="5"/>
  <c r="E1364" i="5"/>
  <c r="E1365" i="5"/>
  <c r="E1366" i="5"/>
  <c r="E1373" i="5"/>
  <c r="E1374" i="5"/>
  <c r="E1381" i="5"/>
  <c r="E1382" i="5"/>
  <c r="E1389" i="5"/>
  <c r="E1390" i="5"/>
  <c r="E1397" i="5"/>
  <c r="E1398" i="5"/>
  <c r="E1405" i="5"/>
  <c r="E1406" i="5"/>
  <c r="E1413" i="5"/>
  <c r="E1414" i="5"/>
  <c r="E1416" i="5"/>
  <c r="E1421" i="5"/>
  <c r="E1422" i="5"/>
  <c r="E1429" i="5"/>
  <c r="E1430" i="5"/>
  <c r="E1432" i="5"/>
  <c r="E1436" i="5"/>
  <c r="E1437" i="5"/>
  <c r="E1438" i="5"/>
  <c r="E1445" i="5"/>
  <c r="E1446" i="5"/>
  <c r="E1448" i="5"/>
  <c r="E1453" i="5"/>
  <c r="E1454" i="5"/>
  <c r="E1461" i="5"/>
  <c r="E1462" i="5"/>
  <c r="E1464" i="5"/>
  <c r="E1469" i="5"/>
  <c r="E1470" i="5"/>
  <c r="E1477" i="5"/>
  <c r="E1478" i="5"/>
  <c r="E1480" i="5"/>
  <c r="E1485" i="5"/>
  <c r="E1486" i="5"/>
  <c r="E1492" i="5"/>
  <c r="E1493" i="5"/>
  <c r="E1494" i="5"/>
  <c r="E1501" i="5"/>
  <c r="E1502" i="5"/>
  <c r="E1509" i="5"/>
  <c r="E1510" i="5"/>
  <c r="E1517" i="5"/>
  <c r="E1518" i="5"/>
  <c r="E1525" i="5"/>
  <c r="E1526" i="5"/>
  <c r="E1533" i="5"/>
  <c r="E1534" i="5"/>
  <c r="E1541" i="5"/>
  <c r="E1542" i="5"/>
  <c r="E1544" i="5"/>
  <c r="E1549" i="5"/>
  <c r="E1550" i="5"/>
  <c r="E1557" i="5"/>
  <c r="E1558" i="5"/>
  <c r="E1560" i="5"/>
  <c r="E1564" i="5"/>
  <c r="E1565" i="5"/>
  <c r="E1566" i="5"/>
  <c r="F5" i="5"/>
  <c r="F6" i="5"/>
  <c r="I5" i="5"/>
  <c r="J5" i="5"/>
  <c r="N6" i="5" s="1"/>
  <c r="K5" i="5"/>
  <c r="L5" i="5"/>
  <c r="N5" i="5"/>
  <c r="E1547" i="5" l="1"/>
  <c r="E1515" i="5"/>
  <c r="E1483" i="5"/>
  <c r="E1451" i="5"/>
  <c r="E1419" i="5"/>
  <c r="E1387" i="5"/>
  <c r="E1355" i="5"/>
  <c r="E1347" i="5"/>
  <c r="E1315" i="5"/>
  <c r="E1283" i="5"/>
  <c r="E1251" i="5"/>
  <c r="E1219" i="5"/>
  <c r="E1187" i="5"/>
  <c r="E1155" i="5"/>
  <c r="E1123" i="5"/>
  <c r="E1091" i="5"/>
  <c r="E1059" i="5"/>
  <c r="E1027" i="5"/>
  <c r="E995" i="5"/>
  <c r="E963" i="5"/>
  <c r="E931" i="5"/>
  <c r="E899" i="5"/>
  <c r="E875" i="5"/>
  <c r="E843" i="5"/>
  <c r="E811" i="5"/>
  <c r="E779" i="5"/>
  <c r="E755" i="5"/>
  <c r="E723" i="5"/>
  <c r="E691" i="5"/>
  <c r="E659" i="5"/>
  <c r="E627" i="5"/>
  <c r="E595" i="5"/>
  <c r="E563" i="5"/>
  <c r="E531" i="5"/>
  <c r="E499" i="5"/>
  <c r="E467" i="5"/>
  <c r="E435" i="5"/>
  <c r="E403" i="5"/>
  <c r="E371" i="5"/>
  <c r="E347" i="5"/>
  <c r="E315" i="5"/>
  <c r="E291" i="5"/>
  <c r="E259" i="5"/>
  <c r="E227" i="5"/>
  <c r="E195" i="5"/>
  <c r="E163" i="5"/>
  <c r="E131" i="5"/>
  <c r="E99" i="5"/>
  <c r="E83" i="5"/>
  <c r="E67" i="5"/>
  <c r="E51" i="5"/>
  <c r="E43" i="5"/>
  <c r="E11" i="5"/>
  <c r="E1555" i="5"/>
  <c r="E1523" i="5"/>
  <c r="E1491" i="5"/>
  <c r="E1459" i="5"/>
  <c r="E1427" i="5"/>
  <c r="E1395" i="5"/>
  <c r="E1379" i="5"/>
  <c r="E1339" i="5"/>
  <c r="E1307" i="5"/>
  <c r="E1275" i="5"/>
  <c r="E1243" i="5"/>
  <c r="E1211" i="5"/>
  <c r="E1179" i="5"/>
  <c r="E1147" i="5"/>
  <c r="E1115" i="5"/>
  <c r="E1083" i="5"/>
  <c r="E1051" i="5"/>
  <c r="E1019" i="5"/>
  <c r="E987" i="5"/>
  <c r="E955" i="5"/>
  <c r="E923" i="5"/>
  <c r="E891" i="5"/>
  <c r="E859" i="5"/>
  <c r="E827" i="5"/>
  <c r="E795" i="5"/>
  <c r="E771" i="5"/>
  <c r="E739" i="5"/>
  <c r="E707" i="5"/>
  <c r="E675" i="5"/>
  <c r="E643" i="5"/>
  <c r="E611" i="5"/>
  <c r="E579" i="5"/>
  <c r="E547" i="5"/>
  <c r="E523" i="5"/>
  <c r="E491" i="5"/>
  <c r="E459" i="5"/>
  <c r="E427" i="5"/>
  <c r="E395" i="5"/>
  <c r="E363" i="5"/>
  <c r="E331" i="5"/>
  <c r="E299" i="5"/>
  <c r="E267" i="5"/>
  <c r="E235" i="5"/>
  <c r="E203" i="5"/>
  <c r="E171" i="5"/>
  <c r="E139" i="5"/>
  <c r="E123" i="5"/>
  <c r="E91" i="5"/>
  <c r="E75" i="5"/>
  <c r="E59" i="5"/>
  <c r="E35" i="5"/>
  <c r="E1539" i="5"/>
  <c r="E1507" i="5"/>
  <c r="E1475" i="5"/>
  <c r="E1443" i="5"/>
  <c r="E1411" i="5"/>
  <c r="E1371" i="5"/>
  <c r="E1323" i="5"/>
  <c r="E1291" i="5"/>
  <c r="E1267" i="5"/>
  <c r="E1235" i="5"/>
  <c r="E1195" i="5"/>
  <c r="E1171" i="5"/>
  <c r="E1139" i="5"/>
  <c r="E1107" i="5"/>
  <c r="E1075" i="5"/>
  <c r="E1043" i="5"/>
  <c r="E1011" i="5"/>
  <c r="E979" i="5"/>
  <c r="E939" i="5"/>
  <c r="E907" i="5"/>
  <c r="E867" i="5"/>
  <c r="E835" i="5"/>
  <c r="E803" i="5"/>
  <c r="E763" i="5"/>
  <c r="E731" i="5"/>
  <c r="E699" i="5"/>
  <c r="E667" i="5"/>
  <c r="E635" i="5"/>
  <c r="E603" i="5"/>
  <c r="E571" i="5"/>
  <c r="E539" i="5"/>
  <c r="E507" i="5"/>
  <c r="E475" i="5"/>
  <c r="E443" i="5"/>
  <c r="E419" i="5"/>
  <c r="E387" i="5"/>
  <c r="E355" i="5"/>
  <c r="E323" i="5"/>
  <c r="E283" i="5"/>
  <c r="E251" i="5"/>
  <c r="E219" i="5"/>
  <c r="E187" i="5"/>
  <c r="E155" i="5"/>
  <c r="E115" i="5"/>
  <c r="E19" i="5"/>
  <c r="E1563" i="5"/>
  <c r="E1531" i="5"/>
  <c r="E1499" i="5"/>
  <c r="E1467" i="5"/>
  <c r="E1435" i="5"/>
  <c r="E1403" i="5"/>
  <c r="E1363" i="5"/>
  <c r="E1331" i="5"/>
  <c r="E1299" i="5"/>
  <c r="E1259" i="5"/>
  <c r="E1227" i="5"/>
  <c r="E1203" i="5"/>
  <c r="E1163" i="5"/>
  <c r="E1131" i="5"/>
  <c r="E1099" i="5"/>
  <c r="E1067" i="5"/>
  <c r="E1035" i="5"/>
  <c r="E1003" i="5"/>
  <c r="E971" i="5"/>
  <c r="E947" i="5"/>
  <c r="E915" i="5"/>
  <c r="E883" i="5"/>
  <c r="E851" i="5"/>
  <c r="E819" i="5"/>
  <c r="E787" i="5"/>
  <c r="E747" i="5"/>
  <c r="E715" i="5"/>
  <c r="E683" i="5"/>
  <c r="E651" i="5"/>
  <c r="E619" i="5"/>
  <c r="E587" i="5"/>
  <c r="E555" i="5"/>
  <c r="E515" i="5"/>
  <c r="E483" i="5"/>
  <c r="E451" i="5"/>
  <c r="E411" i="5"/>
  <c r="E379" i="5"/>
  <c r="E339" i="5"/>
  <c r="E307" i="5"/>
  <c r="E275" i="5"/>
  <c r="E243" i="5"/>
  <c r="E211" i="5"/>
  <c r="E179" i="5"/>
  <c r="E147" i="5"/>
  <c r="E107" i="5"/>
  <c r="E27" i="5"/>
  <c r="E1554" i="5"/>
  <c r="E1522" i="5"/>
  <c r="E1498" i="5"/>
  <c r="E1474" i="5"/>
  <c r="E1450" i="5"/>
  <c r="E1426" i="5"/>
  <c r="E1402" i="5"/>
  <c r="E1378" i="5"/>
  <c r="E1354" i="5"/>
  <c r="E1330" i="5"/>
  <c r="E1306" i="5"/>
  <c r="E1282" i="5"/>
  <c r="E1258" i="5"/>
  <c r="E1234" i="5"/>
  <c r="E1210" i="5"/>
  <c r="E1186" i="5"/>
  <c r="E1162" i="5"/>
  <c r="E1138" i="5"/>
  <c r="E1114" i="5"/>
  <c r="E1082" i="5"/>
  <c r="E1058" i="5"/>
  <c r="E1034" i="5"/>
  <c r="E1010" i="5"/>
  <c r="E986" i="5"/>
  <c r="E962" i="5"/>
  <c r="E938" i="5"/>
  <c r="E914" i="5"/>
  <c r="E890" i="5"/>
  <c r="E866" i="5"/>
  <c r="E842" i="5"/>
  <c r="E818" i="5"/>
  <c r="E794" i="5"/>
  <c r="E770" i="5"/>
  <c r="E746" i="5"/>
  <c r="E730" i="5"/>
  <c r="E706" i="5"/>
  <c r="E690" i="5"/>
  <c r="E682" i="5"/>
  <c r="E674" i="5"/>
  <c r="E666" i="5"/>
  <c r="E658" i="5"/>
  <c r="E650" i="5"/>
  <c r="E642" i="5"/>
  <c r="E634" i="5"/>
  <c r="E626" i="5"/>
  <c r="E618" i="5"/>
  <c r="E610" i="5"/>
  <c r="E602" i="5"/>
  <c r="E594" i="5"/>
  <c r="E586" i="5"/>
  <c r="E578" i="5"/>
  <c r="E570" i="5"/>
  <c r="E562" i="5"/>
  <c r="E554" i="5"/>
  <c r="E546" i="5"/>
  <c r="E538" i="5"/>
  <c r="E530" i="5"/>
  <c r="E522" i="5"/>
  <c r="E498" i="5"/>
  <c r="E490" i="5"/>
  <c r="E482" i="5"/>
  <c r="E474" i="5"/>
  <c r="E466" i="5"/>
  <c r="E458" i="5"/>
  <c r="E450" i="5"/>
  <c r="E442" i="5"/>
  <c r="E434" i="5"/>
  <c r="E426" i="5"/>
  <c r="E418" i="5"/>
  <c r="E410" i="5"/>
  <c r="E402" i="5"/>
  <c r="E394" i="5"/>
  <c r="E386" i="5"/>
  <c r="E378" i="5"/>
  <c r="E370" i="5"/>
  <c r="E362" i="5"/>
  <c r="E354" i="5"/>
  <c r="E346" i="5"/>
  <c r="E338" i="5"/>
  <c r="E330" i="5"/>
  <c r="E322" i="5"/>
  <c r="E314" i="5"/>
  <c r="E306" i="5"/>
  <c r="E298" i="5"/>
  <c r="E290" i="5"/>
  <c r="E282" i="5"/>
  <c r="E274" i="5"/>
  <c r="E266" i="5"/>
  <c r="E258" i="5"/>
  <c r="E250" i="5"/>
  <c r="E242" i="5"/>
  <c r="E234" i="5"/>
  <c r="E226" i="5"/>
  <c r="E218" i="5"/>
  <c r="E210" i="5"/>
  <c r="E202" i="5"/>
  <c r="E194" i="5"/>
  <c r="E186" i="5"/>
  <c r="E178" i="5"/>
  <c r="E170" i="5"/>
  <c r="E162" i="5"/>
  <c r="E154" i="5"/>
  <c r="E146" i="5"/>
  <c r="E138" i="5"/>
  <c r="E130" i="5"/>
  <c r="E122" i="5"/>
  <c r="E114" i="5"/>
  <c r="E106" i="5"/>
  <c r="E98" i="5"/>
  <c r="E90" i="5"/>
  <c r="E82" i="5"/>
  <c r="E74" i="5"/>
  <c r="E66" i="5"/>
  <c r="E58" i="5"/>
  <c r="E50" i="5"/>
  <c r="E42" i="5"/>
  <c r="E34" i="5"/>
  <c r="E26" i="5"/>
  <c r="E18" i="5"/>
  <c r="E10" i="5"/>
  <c r="G6" i="5"/>
  <c r="H6" i="5"/>
  <c r="E1546" i="5"/>
  <c r="E1514" i="5"/>
  <c r="E1490" i="5"/>
  <c r="E1466" i="5"/>
  <c r="E1442" i="5"/>
  <c r="E1418" i="5"/>
  <c r="E1394" i="5"/>
  <c r="E1370" i="5"/>
  <c r="E1346" i="5"/>
  <c r="E1322" i="5"/>
  <c r="E1298" i="5"/>
  <c r="E1274" i="5"/>
  <c r="E1250" i="5"/>
  <c r="E1226" i="5"/>
  <c r="E1202" i="5"/>
  <c r="E1178" i="5"/>
  <c r="E1154" i="5"/>
  <c r="E1130" i="5"/>
  <c r="E1106" i="5"/>
  <c r="E1074" i="5"/>
  <c r="E1050" i="5"/>
  <c r="E1026" i="5"/>
  <c r="E1002" i="5"/>
  <c r="E978" i="5"/>
  <c r="E954" i="5"/>
  <c r="E930" i="5"/>
  <c r="E906" i="5"/>
  <c r="E882" i="5"/>
  <c r="E858" i="5"/>
  <c r="E834" i="5"/>
  <c r="E810" i="5"/>
  <c r="E786" i="5"/>
  <c r="E762" i="5"/>
  <c r="E738" i="5"/>
  <c r="E722" i="5"/>
  <c r="E698" i="5"/>
  <c r="E514" i="5"/>
  <c r="E1562" i="5"/>
  <c r="E1530" i="5"/>
  <c r="E1506" i="5"/>
  <c r="E1482" i="5"/>
  <c r="E1458" i="5"/>
  <c r="E1434" i="5"/>
  <c r="E1410" i="5"/>
  <c r="E1386" i="5"/>
  <c r="E1362" i="5"/>
  <c r="E1338" i="5"/>
  <c r="E1314" i="5"/>
  <c r="E1290" i="5"/>
  <c r="E1266" i="5"/>
  <c r="E1242" i="5"/>
  <c r="E1218" i="5"/>
  <c r="E1194" i="5"/>
  <c r="E1170" i="5"/>
  <c r="E1146" i="5"/>
  <c r="E1122" i="5"/>
  <c r="E1090" i="5"/>
  <c r="E1066" i="5"/>
  <c r="E1042" i="5"/>
  <c r="E1018" i="5"/>
  <c r="E994" i="5"/>
  <c r="E970" i="5"/>
  <c r="E946" i="5"/>
  <c r="E922" i="5"/>
  <c r="E898" i="5"/>
  <c r="E874" i="5"/>
  <c r="E850" i="5"/>
  <c r="E826" i="5"/>
  <c r="E802" i="5"/>
  <c r="E778" i="5"/>
  <c r="E754" i="5"/>
  <c r="E714" i="5"/>
  <c r="E506" i="5"/>
  <c r="E1538" i="5"/>
  <c r="E1098" i="5"/>
  <c r="M5" i="5"/>
  <c r="G5" i="5"/>
  <c r="H5" i="5"/>
  <c r="E1561" i="5"/>
  <c r="E1553" i="5"/>
  <c r="E1545" i="5"/>
  <c r="E1537" i="5"/>
  <c r="E1529" i="5"/>
  <c r="E1521" i="5"/>
  <c r="E1513" i="5"/>
  <c r="E1505" i="5"/>
  <c r="E1497" i="5"/>
  <c r="E1489" i="5"/>
  <c r="E1481" i="5"/>
  <c r="E1473" i="5"/>
  <c r="E1465" i="5"/>
  <c r="E1457" i="5"/>
  <c r="E1449" i="5"/>
  <c r="E1441" i="5"/>
  <c r="E1433" i="5"/>
  <c r="E1425" i="5"/>
  <c r="E1417" i="5"/>
  <c r="E1409" i="5"/>
  <c r="E1401" i="5"/>
  <c r="E1393" i="5"/>
  <c r="E1385" i="5"/>
  <c r="E1377" i="5"/>
  <c r="E1369" i="5"/>
  <c r="E1361" i="5"/>
  <c r="E1353" i="5"/>
  <c r="E1345" i="5"/>
  <c r="E1337" i="5"/>
  <c r="E1329" i="5"/>
  <c r="E1321" i="5"/>
  <c r="E1313" i="5"/>
  <c r="E1305" i="5"/>
  <c r="E1297" i="5"/>
  <c r="E1289" i="5"/>
  <c r="E1281" i="5"/>
  <c r="E1273" i="5"/>
  <c r="E1265" i="5"/>
  <c r="E1257" i="5"/>
  <c r="E1249" i="5"/>
  <c r="E1241" i="5"/>
  <c r="E1233" i="5"/>
  <c r="E1225" i="5"/>
  <c r="E1217" i="5"/>
  <c r="E1209" i="5"/>
  <c r="E1201" i="5"/>
  <c r="E1193" i="5"/>
  <c r="E1185" i="5"/>
  <c r="E1177" i="5"/>
  <c r="E1169" i="5"/>
  <c r="E1161" i="5"/>
  <c r="E1153" i="5"/>
  <c r="E1145" i="5"/>
  <c r="E1137" i="5"/>
  <c r="E1129" i="5"/>
  <c r="E1121" i="5"/>
  <c r="E1113" i="5"/>
  <c r="E1105" i="5"/>
  <c r="E1097" i="5"/>
  <c r="E1089" i="5"/>
  <c r="E1081" i="5"/>
  <c r="E1073" i="5"/>
  <c r="E1065" i="5"/>
  <c r="E1057" i="5"/>
  <c r="E1049" i="5"/>
  <c r="E1041" i="5"/>
  <c r="E1033" i="5"/>
  <c r="E1025" i="5"/>
  <c r="E1017" i="5"/>
  <c r="E1009" i="5"/>
  <c r="E1001" i="5"/>
  <c r="E993" i="5"/>
  <c r="E985" i="5"/>
  <c r="E977" i="5"/>
  <c r="E969" i="5"/>
  <c r="E961" i="5"/>
  <c r="E953" i="5"/>
  <c r="E945" i="5"/>
  <c r="E937" i="5"/>
  <c r="E929" i="5"/>
  <c r="E921" i="5"/>
  <c r="E913" i="5"/>
  <c r="E905" i="5"/>
  <c r="E897" i="5"/>
  <c r="E889" i="5"/>
  <c r="E881" i="5"/>
  <c r="E873" i="5"/>
  <c r="E865" i="5"/>
  <c r="E857" i="5"/>
  <c r="E849" i="5"/>
  <c r="E841" i="5"/>
  <c r="E833" i="5"/>
  <c r="E825" i="5"/>
  <c r="E817" i="5"/>
  <c r="E809" i="5"/>
  <c r="E801" i="5"/>
  <c r="E793" i="5"/>
  <c r="E785" i="5"/>
  <c r="E777" i="5"/>
  <c r="E769" i="5"/>
  <c r="E761" i="5"/>
  <c r="E753" i="5"/>
  <c r="E745" i="5"/>
  <c r="E737" i="5"/>
  <c r="E729" i="5"/>
  <c r="E721" i="5"/>
  <c r="E713" i="5"/>
  <c r="E705" i="5"/>
  <c r="E697" i="5"/>
  <c r="E689" i="5"/>
  <c r="E681" i="5"/>
  <c r="E673" i="5"/>
  <c r="E665" i="5"/>
  <c r="E657" i="5"/>
  <c r="E649" i="5"/>
  <c r="E641" i="5"/>
  <c r="E633" i="5"/>
  <c r="E625" i="5"/>
  <c r="E617" i="5"/>
  <c r="E609" i="5"/>
  <c r="E601" i="5"/>
  <c r="E593" i="5"/>
  <c r="E585" i="5"/>
  <c r="E577" i="5"/>
  <c r="E569" i="5"/>
  <c r="E561" i="5"/>
  <c r="E553" i="5"/>
  <c r="E545" i="5"/>
  <c r="E537" i="5"/>
  <c r="E529" i="5"/>
  <c r="E521" i="5"/>
  <c r="E513" i="5"/>
  <c r="E505" i="5"/>
  <c r="E497" i="5"/>
  <c r="E489" i="5"/>
  <c r="E481" i="5"/>
  <c r="E473" i="5"/>
  <c r="E465" i="5"/>
  <c r="E457" i="5"/>
  <c r="E449" i="5"/>
  <c r="E441" i="5"/>
  <c r="E433" i="5"/>
  <c r="E425" i="5"/>
  <c r="E417" i="5"/>
  <c r="E409" i="5"/>
  <c r="E401" i="5"/>
  <c r="E393" i="5"/>
  <c r="E385" i="5"/>
  <c r="E377" i="5"/>
  <c r="E369" i="5"/>
  <c r="E361" i="5"/>
  <c r="E353" i="5"/>
  <c r="E345" i="5"/>
  <c r="E337" i="5"/>
  <c r="E329" i="5"/>
  <c r="E321" i="5"/>
  <c r="E313" i="5"/>
  <c r="E305" i="5"/>
  <c r="E297" i="5"/>
  <c r="E289" i="5"/>
  <c r="E281" i="5"/>
  <c r="E273" i="5"/>
  <c r="E265" i="5"/>
  <c r="E257" i="5"/>
  <c r="E249" i="5"/>
  <c r="E241" i="5"/>
  <c r="E233" i="5"/>
  <c r="E225" i="5"/>
  <c r="E217" i="5"/>
  <c r="E209" i="5"/>
  <c r="E201" i="5"/>
  <c r="E193" i="5"/>
  <c r="E185" i="5"/>
  <c r="E177" i="5"/>
  <c r="E169" i="5"/>
  <c r="E161" i="5"/>
  <c r="E153" i="5"/>
  <c r="E145" i="5"/>
  <c r="E137" i="5"/>
  <c r="E129" i="5"/>
  <c r="E121" i="5"/>
  <c r="E113" i="5"/>
  <c r="E105" i="5"/>
  <c r="E97" i="5"/>
  <c r="E89" i="5"/>
  <c r="E81" i="5"/>
  <c r="E73" i="5"/>
  <c r="E65" i="5"/>
  <c r="E57" i="5"/>
  <c r="E49" i="5"/>
  <c r="E41" i="5"/>
  <c r="E33" i="5"/>
  <c r="E25" i="5"/>
  <c r="E17" i="5"/>
  <c r="E9" i="5"/>
  <c r="E1567" i="5"/>
  <c r="E1559" i="5"/>
  <c r="E1551" i="5"/>
  <c r="E1543" i="5"/>
  <c r="E1535" i="5"/>
  <c r="E1527" i="5"/>
  <c r="E1519" i="5"/>
  <c r="E1503" i="5"/>
  <c r="E1495" i="5"/>
  <c r="E1487" i="5"/>
  <c r="E1479" i="5"/>
  <c r="E1471" i="5"/>
  <c r="E1463" i="5"/>
  <c r="E1455" i="5"/>
  <c r="E1447" i="5"/>
  <c r="E1439" i="5"/>
  <c r="E1431" i="5"/>
  <c r="E1415" i="5"/>
  <c r="E1407" i="5"/>
  <c r="E1399" i="5"/>
  <c r="E1391" i="5"/>
  <c r="E1383" i="5"/>
  <c r="E1375" i="5"/>
  <c r="E1367" i="5"/>
  <c r="E1359" i="5"/>
  <c r="E1351" i="5"/>
  <c r="E1343" i="5"/>
  <c r="E1335" i="5"/>
  <c r="E1327" i="5"/>
  <c r="E1319" i="5"/>
  <c r="E1311" i="5"/>
  <c r="E1303" i="5"/>
  <c r="E1295" i="5"/>
  <c r="E1287" i="5"/>
  <c r="E1279" i="5"/>
  <c r="E1271" i="5"/>
  <c r="E1263" i="5"/>
  <c r="E1255" i="5"/>
  <c r="E1247" i="5"/>
  <c r="E1239" i="5"/>
  <c r="E1231" i="5"/>
  <c r="E1223" i="5"/>
  <c r="E1215" i="5"/>
  <c r="E1207" i="5"/>
  <c r="E1199" i="5"/>
  <c r="E1191" i="5"/>
  <c r="E1183" i="5"/>
  <c r="E1175" i="5"/>
  <c r="E1167" i="5"/>
  <c r="E1159" i="5"/>
  <c r="E1151" i="5"/>
  <c r="E1143" i="5"/>
  <c r="E1135" i="5"/>
  <c r="E1127" i="5"/>
  <c r="E1119" i="5"/>
  <c r="E1111" i="5"/>
  <c r="E1103" i="5"/>
  <c r="E1095" i="5"/>
  <c r="E1087" i="5"/>
  <c r="E1079" i="5"/>
  <c r="E1071" i="5"/>
  <c r="E1063" i="5"/>
  <c r="E1055" i="5"/>
  <c r="E1047" i="5"/>
  <c r="E1039" i="5"/>
  <c r="E1031" i="5"/>
  <c r="E1023" i="5"/>
  <c r="E1015" i="5"/>
  <c r="E1007" i="5"/>
  <c r="E999" i="5"/>
  <c r="E991" i="5"/>
  <c r="E983" i="5"/>
  <c r="E975" i="5"/>
  <c r="E967" i="5"/>
  <c r="E959" i="5"/>
  <c r="E951" i="5"/>
  <c r="E1423" i="5"/>
  <c r="E1511" i="5"/>
  <c r="E943" i="5"/>
  <c r="E935" i="5"/>
  <c r="E927" i="5"/>
  <c r="E919" i="5"/>
  <c r="E911" i="5"/>
  <c r="E903" i="5"/>
  <c r="E895" i="5"/>
  <c r="E887" i="5"/>
  <c r="E879" i="5"/>
  <c r="E871" i="5"/>
  <c r="E863" i="5"/>
  <c r="E855" i="5"/>
  <c r="E847" i="5"/>
  <c r="E839" i="5"/>
  <c r="E831" i="5"/>
  <c r="E823" i="5"/>
  <c r="E815" i="5"/>
  <c r="E807" i="5"/>
  <c r="E799" i="5"/>
  <c r="E783" i="5"/>
  <c r="E775" i="5"/>
  <c r="E767" i="5"/>
  <c r="E759" i="5"/>
  <c r="E751" i="5"/>
  <c r="E743" i="5"/>
  <c r="E735" i="5"/>
  <c r="E727" i="5"/>
  <c r="E719" i="5"/>
  <c r="E711" i="5"/>
  <c r="E695" i="5"/>
  <c r="E687" i="5"/>
  <c r="E679" i="5"/>
  <c r="E671" i="5"/>
  <c r="E663" i="5"/>
  <c r="E655" i="5"/>
  <c r="E647" i="5"/>
  <c r="E639" i="5"/>
  <c r="E631" i="5"/>
  <c r="E623" i="5"/>
  <c r="E615" i="5"/>
  <c r="E607" i="5"/>
  <c r="E599" i="5"/>
  <c r="E591" i="5"/>
  <c r="E583" i="5"/>
  <c r="E575" i="5"/>
  <c r="E567" i="5"/>
  <c r="E559" i="5"/>
  <c r="E551" i="5"/>
  <c r="E543" i="5"/>
  <c r="E535" i="5"/>
  <c r="E527" i="5"/>
  <c r="E511" i="5"/>
  <c r="E503" i="5"/>
  <c r="E495" i="5"/>
  <c r="E487" i="5"/>
  <c r="E479" i="5"/>
  <c r="E471" i="5"/>
  <c r="E463" i="5"/>
  <c r="E455" i="5"/>
  <c r="E447" i="5"/>
  <c r="E439" i="5"/>
  <c r="E431" i="5"/>
  <c r="E415" i="5"/>
  <c r="E407" i="5"/>
  <c r="E399" i="5"/>
  <c r="E391" i="5"/>
  <c r="E383" i="5"/>
  <c r="E375" i="5"/>
  <c r="E367" i="5"/>
  <c r="E351" i="5"/>
  <c r="E343" i="5"/>
  <c r="E335" i="5"/>
  <c r="E327" i="5"/>
  <c r="E319" i="5"/>
  <c r="E311" i="5"/>
  <c r="E303" i="5"/>
  <c r="E287" i="5"/>
  <c r="E279" i="5"/>
  <c r="E271" i="5"/>
  <c r="E263" i="5"/>
  <c r="E255" i="5"/>
  <c r="E247" i="5"/>
  <c r="E239" i="5"/>
  <c r="E231" i="5"/>
  <c r="E223" i="5"/>
  <c r="E215" i="5"/>
  <c r="E207" i="5"/>
  <c r="E199" i="5"/>
  <c r="E191" i="5"/>
  <c r="E183" i="5"/>
  <c r="E175" i="5"/>
  <c r="E167" i="5"/>
  <c r="E159" i="5"/>
  <c r="E151" i="5"/>
  <c r="E143" i="5"/>
  <c r="E127" i="5"/>
  <c r="E119" i="5"/>
  <c r="E111" i="5"/>
  <c r="E103" i="5"/>
  <c r="E95" i="5"/>
  <c r="E87" i="5"/>
  <c r="E79" i="5"/>
  <c r="E71" i="5"/>
  <c r="E63" i="5"/>
  <c r="E55" i="5"/>
  <c r="E47" i="5"/>
  <c r="E39" i="5"/>
  <c r="E31" i="5"/>
  <c r="E23" i="5"/>
  <c r="E15" i="5"/>
  <c r="F7" i="5"/>
  <c r="O3" i="11" l="1"/>
  <c r="I6" i="5"/>
  <c r="G7" i="5"/>
  <c r="J6" i="5"/>
  <c r="H7" i="5"/>
  <c r="F8" i="5"/>
  <c r="T4" i="4"/>
  <c r="G8" i="5" l="1"/>
  <c r="H8" i="5"/>
  <c r="F9" i="5"/>
  <c r="I8" i="5" s="1"/>
  <c r="I7" i="5"/>
  <c r="J7" i="5"/>
  <c r="K6" i="5"/>
  <c r="L6" i="5" s="1"/>
  <c r="N7" i="5"/>
  <c r="C11" i="12"/>
  <c r="C12" i="12"/>
  <c r="C13" i="12"/>
  <c r="C14" i="12"/>
  <c r="C15" i="12"/>
  <c r="C16" i="12"/>
  <c r="C17" i="12"/>
  <c r="C18" i="12"/>
  <c r="C10" i="12"/>
  <c r="D11" i="12"/>
  <c r="D12" i="12"/>
  <c r="D13" i="12"/>
  <c r="D14" i="12"/>
  <c r="D15" i="12"/>
  <c r="D16" i="12"/>
  <c r="D17" i="12"/>
  <c r="D18" i="12"/>
  <c r="D10" i="12"/>
  <c r="B18" i="12"/>
  <c r="B17" i="12"/>
  <c r="B16" i="12"/>
  <c r="B15" i="12"/>
  <c r="B14" i="12"/>
  <c r="B13" i="12"/>
  <c r="B12" i="12"/>
  <c r="B11" i="12"/>
  <c r="B10" i="12"/>
  <c r="J8" i="5" l="1"/>
  <c r="M6" i="5"/>
  <c r="K7" i="5"/>
  <c r="L7" i="5" s="1"/>
  <c r="M7" i="5" s="1"/>
  <c r="N8" i="5"/>
  <c r="H9" i="5"/>
  <c r="G9" i="5"/>
  <c r="F10" i="5"/>
  <c r="I9" i="5" s="1"/>
  <c r="K8" i="5"/>
  <c r="L8" i="5" s="1"/>
  <c r="G54" i="4"/>
  <c r="N9" i="5" l="1"/>
  <c r="J9" i="5"/>
  <c r="M8" i="5"/>
  <c r="G10" i="5"/>
  <c r="H10" i="5"/>
  <c r="F11" i="5"/>
  <c r="I10" i="5" s="1"/>
  <c r="F2" i="12"/>
  <c r="G2" i="12"/>
  <c r="D2" i="12"/>
  <c r="H2" i="12"/>
  <c r="I2" i="12"/>
  <c r="C4" i="12"/>
  <c r="G56" i="4" s="1"/>
  <c r="E2" i="12"/>
  <c r="K9" i="5" l="1"/>
  <c r="L9" i="5" s="1"/>
  <c r="N10" i="5"/>
  <c r="G11" i="5"/>
  <c r="H11" i="5"/>
  <c r="F12" i="5"/>
  <c r="J11" i="5" s="1"/>
  <c r="J10" i="5"/>
  <c r="G4" i="12"/>
  <c r="J56" i="4" s="1"/>
  <c r="I4" i="12"/>
  <c r="L56" i="4" s="1"/>
  <c r="F4" i="12"/>
  <c r="I56" i="4" s="1"/>
  <c r="D4" i="12"/>
  <c r="E4" i="12"/>
  <c r="H56" i="4" s="1"/>
  <c r="H4" i="12"/>
  <c r="K56" i="4" s="1"/>
  <c r="K11" i="5" l="1"/>
  <c r="K10" i="5"/>
  <c r="L10" i="5" s="1"/>
  <c r="M10" i="5" s="1"/>
  <c r="N11" i="5"/>
  <c r="N12" i="5" s="1"/>
  <c r="F13" i="5"/>
  <c r="J12" i="5" s="1"/>
  <c r="H12" i="5"/>
  <c r="I12" i="5"/>
  <c r="G12" i="5"/>
  <c r="I11" i="5"/>
  <c r="M9" i="5"/>
  <c r="L11" i="5" l="1"/>
  <c r="M12" i="5" s="1"/>
  <c r="F14" i="5"/>
  <c r="I13" i="5" s="1"/>
  <c r="G13" i="5"/>
  <c r="H13" i="5"/>
  <c r="K12" i="5"/>
  <c r="L12" i="5" s="1"/>
  <c r="N13" i="5"/>
  <c r="M11" i="5" l="1"/>
  <c r="J13" i="5"/>
  <c r="K13" i="5" s="1"/>
  <c r="L13" i="5" s="1"/>
  <c r="G14" i="5"/>
  <c r="H14" i="5"/>
  <c r="F15" i="5"/>
  <c r="J14" i="5" s="1"/>
  <c r="N14" i="5" l="1"/>
  <c r="N15" i="5" s="1"/>
  <c r="K14" i="5"/>
  <c r="L14" i="5" s="1"/>
  <c r="G15" i="5"/>
  <c r="H15" i="5"/>
  <c r="F16" i="5"/>
  <c r="I14" i="5"/>
  <c r="M13" i="5"/>
  <c r="G16" i="5" l="1"/>
  <c r="H16" i="5"/>
  <c r="F17" i="5"/>
  <c r="I16" i="5" s="1"/>
  <c r="J15" i="5"/>
  <c r="I15" i="5"/>
  <c r="M14" i="5"/>
  <c r="K15" i="5" l="1"/>
  <c r="L15" i="5" s="1"/>
  <c r="N16" i="5"/>
  <c r="H17" i="5"/>
  <c r="G17" i="5"/>
  <c r="F18" i="5"/>
  <c r="J16" i="5"/>
  <c r="P3" i="11"/>
  <c r="K16" i="5" l="1"/>
  <c r="L16" i="5" s="1"/>
  <c r="M16" i="5" s="1"/>
  <c r="N17" i="5"/>
  <c r="G18" i="5"/>
  <c r="H18" i="5"/>
  <c r="F19" i="5"/>
  <c r="I18" i="5" s="1"/>
  <c r="J17" i="5"/>
  <c r="I17" i="5"/>
  <c r="M15" i="5"/>
  <c r="C5" i="12"/>
  <c r="K17" i="5" l="1"/>
  <c r="L17" i="5" s="1"/>
  <c r="N18" i="5"/>
  <c r="G19" i="5"/>
  <c r="H19" i="5"/>
  <c r="F20" i="5"/>
  <c r="J19" i="5" s="1"/>
  <c r="J18" i="5"/>
  <c r="M17" i="5"/>
  <c r="G57" i="4"/>
  <c r="K19" i="5" l="1"/>
  <c r="F21" i="5"/>
  <c r="I20" i="5" s="1"/>
  <c r="H20" i="5"/>
  <c r="J20" i="5" s="1"/>
  <c r="G20" i="5"/>
  <c r="K18" i="5"/>
  <c r="L18" i="5" s="1"/>
  <c r="N19" i="5"/>
  <c r="N20" i="5" s="1"/>
  <c r="I19" i="5"/>
  <c r="K20" i="5" l="1"/>
  <c r="L20" i="5" s="1"/>
  <c r="N21" i="5"/>
  <c r="G21" i="5"/>
  <c r="F22" i="5"/>
  <c r="I21" i="5"/>
  <c r="H21" i="5"/>
  <c r="J21" i="5"/>
  <c r="M18" i="5"/>
  <c r="L19" i="5"/>
  <c r="M20" i="5" s="1"/>
  <c r="G22" i="5" l="1"/>
  <c r="H22" i="5"/>
  <c r="F23" i="5"/>
  <c r="J22" i="5" s="1"/>
  <c r="M19" i="5"/>
  <c r="K21" i="5"/>
  <c r="L21" i="5" s="1"/>
  <c r="N22" i="5"/>
  <c r="K22" i="5" l="1"/>
  <c r="L22" i="5" s="1"/>
  <c r="N23" i="5"/>
  <c r="G23" i="5"/>
  <c r="H23" i="5"/>
  <c r="F24" i="5"/>
  <c r="I22" i="5"/>
  <c r="M22" i="5"/>
  <c r="M21" i="5"/>
  <c r="H24" i="5" l="1"/>
  <c r="G24" i="5"/>
  <c r="F25" i="5"/>
  <c r="J23" i="5"/>
  <c r="I23" i="5"/>
  <c r="K23" i="5" l="1"/>
  <c r="L23" i="5" s="1"/>
  <c r="N24" i="5"/>
  <c r="H25" i="5"/>
  <c r="G25" i="5"/>
  <c r="F26" i="5"/>
  <c r="I24" i="5"/>
  <c r="J24" i="5"/>
  <c r="K24" i="5" l="1"/>
  <c r="L24" i="5" s="1"/>
  <c r="M24" i="5" s="1"/>
  <c r="N25" i="5"/>
  <c r="G26" i="5"/>
  <c r="H26" i="5"/>
  <c r="F27" i="5"/>
  <c r="M23" i="5"/>
  <c r="J25" i="5"/>
  <c r="I25" i="5"/>
  <c r="G27" i="5" l="1"/>
  <c r="H27" i="5"/>
  <c r="F28" i="5"/>
  <c r="J27" i="5" s="1"/>
  <c r="J26" i="5"/>
  <c r="I26" i="5"/>
  <c r="N26" i="5"/>
  <c r="K25" i="5"/>
  <c r="L25" i="5" s="1"/>
  <c r="M25" i="5" s="1"/>
  <c r="K26" i="5" l="1"/>
  <c r="L26" i="5" s="1"/>
  <c r="N27" i="5"/>
  <c r="N28" i="5" s="1"/>
  <c r="F29" i="5"/>
  <c r="I28" i="5" s="1"/>
  <c r="H28" i="5"/>
  <c r="G28" i="5"/>
  <c r="J28" i="5"/>
  <c r="K27" i="5"/>
  <c r="I27" i="5"/>
  <c r="M26" i="5"/>
  <c r="L27" i="5" l="1"/>
  <c r="M28" i="5" s="1"/>
  <c r="K28" i="5"/>
  <c r="L28" i="5" s="1"/>
  <c r="N29" i="5"/>
  <c r="F30" i="5"/>
  <c r="G29" i="5"/>
  <c r="I29" i="5"/>
  <c r="J29" i="5"/>
  <c r="H29" i="5"/>
  <c r="M27" i="5"/>
  <c r="K29" i="5" l="1"/>
  <c r="L29" i="5" s="1"/>
  <c r="M29" i="5" s="1"/>
  <c r="N30" i="5"/>
  <c r="H30" i="5"/>
  <c r="G30" i="5"/>
  <c r="F31" i="5"/>
  <c r="F32" i="5" l="1"/>
  <c r="H31" i="5"/>
  <c r="I31" i="5"/>
  <c r="G31" i="5"/>
  <c r="J31" i="5"/>
  <c r="I30" i="5"/>
  <c r="J30" i="5"/>
  <c r="K30" i="5" l="1"/>
  <c r="L30" i="5" s="1"/>
  <c r="N31" i="5"/>
  <c r="K31" i="5"/>
  <c r="L31" i="5" s="1"/>
  <c r="N32" i="5"/>
  <c r="G32" i="5"/>
  <c r="I32" i="5"/>
  <c r="J32" i="5"/>
  <c r="H32" i="5"/>
  <c r="F33" i="5"/>
  <c r="K32" i="5" l="1"/>
  <c r="L32" i="5" s="1"/>
  <c r="N33" i="5"/>
  <c r="G33" i="5"/>
  <c r="H33" i="5"/>
  <c r="F34" i="5"/>
  <c r="M31" i="5"/>
  <c r="M30" i="5"/>
  <c r="M32" i="5" l="1"/>
  <c r="G34" i="5"/>
  <c r="H34" i="5"/>
  <c r="F35" i="5"/>
  <c r="J33" i="5"/>
  <c r="I33" i="5"/>
  <c r="G35" i="5" l="1"/>
  <c r="H35" i="5"/>
  <c r="F36" i="5"/>
  <c r="J34" i="5"/>
  <c r="I34" i="5"/>
  <c r="K33" i="5"/>
  <c r="L33" i="5" s="1"/>
  <c r="N34" i="5"/>
  <c r="M33" i="5" l="1"/>
  <c r="F37" i="5"/>
  <c r="G36" i="5"/>
  <c r="H36" i="5"/>
  <c r="I36" i="5"/>
  <c r="J36" i="5"/>
  <c r="N35" i="5"/>
  <c r="K34" i="5"/>
  <c r="L34" i="5" s="1"/>
  <c r="M34" i="5" s="1"/>
  <c r="J35" i="5"/>
  <c r="I35" i="5"/>
  <c r="F38" i="5" l="1"/>
  <c r="G37" i="5"/>
  <c r="H37" i="5"/>
  <c r="I37" i="5"/>
  <c r="J37" i="5"/>
  <c r="K36" i="5"/>
  <c r="N37" i="5"/>
  <c r="N36" i="5"/>
  <c r="K35" i="5"/>
  <c r="L35" i="5" s="1"/>
  <c r="M35" i="5" s="1"/>
  <c r="L36" i="5" l="1"/>
  <c r="K37" i="5"/>
  <c r="L37" i="5" s="1"/>
  <c r="N38" i="5"/>
  <c r="M36" i="5"/>
  <c r="H38" i="5"/>
  <c r="G38" i="5"/>
  <c r="I38" i="5"/>
  <c r="J38" i="5"/>
  <c r="F39" i="5"/>
  <c r="K38" i="5" l="1"/>
  <c r="L38" i="5" s="1"/>
  <c r="N39" i="5"/>
  <c r="M38" i="5"/>
  <c r="G39" i="5"/>
  <c r="H39" i="5"/>
  <c r="F40" i="5"/>
  <c r="I39" i="5" s="1"/>
  <c r="M37" i="5"/>
  <c r="J39" i="5" l="1"/>
  <c r="G40" i="5"/>
  <c r="H40" i="5"/>
  <c r="F41" i="5"/>
  <c r="J40" i="5" s="1"/>
  <c r="N41" i="5" l="1"/>
  <c r="K40" i="5"/>
  <c r="L40" i="5" s="1"/>
  <c r="H41" i="5"/>
  <c r="G41" i="5"/>
  <c r="F42" i="5"/>
  <c r="I40" i="5"/>
  <c r="K39" i="5"/>
  <c r="L39" i="5" s="1"/>
  <c r="N40" i="5"/>
  <c r="G42" i="5" l="1"/>
  <c r="H42" i="5"/>
  <c r="F43" i="5"/>
  <c r="J41" i="5"/>
  <c r="I41" i="5"/>
  <c r="M40" i="5"/>
  <c r="M39" i="5"/>
  <c r="G43" i="5" l="1"/>
  <c r="H43" i="5"/>
  <c r="F44" i="5"/>
  <c r="I42" i="5"/>
  <c r="K41" i="5"/>
  <c r="L41" i="5" s="1"/>
  <c r="N42" i="5"/>
  <c r="J42" i="5"/>
  <c r="M41" i="5" l="1"/>
  <c r="F45" i="5"/>
  <c r="I44" i="5" s="1"/>
  <c r="H44" i="5"/>
  <c r="G44" i="5"/>
  <c r="J44" i="5" s="1"/>
  <c r="J43" i="5"/>
  <c r="I43" i="5"/>
  <c r="K42" i="5"/>
  <c r="L42" i="5" s="1"/>
  <c r="N43" i="5"/>
  <c r="K44" i="5" l="1"/>
  <c r="L44" i="5" s="1"/>
  <c r="N45" i="5"/>
  <c r="K43" i="5"/>
  <c r="L43" i="5" s="1"/>
  <c r="M44" i="5" s="1"/>
  <c r="N44" i="5"/>
  <c r="F46" i="5"/>
  <c r="G45" i="5"/>
  <c r="H45" i="5"/>
  <c r="J45" i="5"/>
  <c r="M42" i="5"/>
  <c r="G46" i="5" l="1"/>
  <c r="H46" i="5"/>
  <c r="F47" i="5"/>
  <c r="K45" i="5"/>
  <c r="L45" i="5" s="1"/>
  <c r="N46" i="5"/>
  <c r="M43" i="5"/>
  <c r="I45" i="5"/>
  <c r="G47" i="5" l="1"/>
  <c r="H47" i="5"/>
  <c r="F48" i="5"/>
  <c r="J46" i="5"/>
  <c r="M45" i="5"/>
  <c r="I46" i="5"/>
  <c r="G48" i="5" l="1"/>
  <c r="H48" i="5"/>
  <c r="F49" i="5"/>
  <c r="K46" i="5"/>
  <c r="L46" i="5" s="1"/>
  <c r="N47" i="5"/>
  <c r="J47" i="5"/>
  <c r="I47" i="5"/>
  <c r="H49" i="5" l="1"/>
  <c r="G49" i="5"/>
  <c r="F50" i="5"/>
  <c r="M46" i="5"/>
  <c r="K47" i="5"/>
  <c r="L47" i="5" s="1"/>
  <c r="M47" i="5" s="1"/>
  <c r="N48" i="5"/>
  <c r="J48" i="5"/>
  <c r="I48" i="5"/>
  <c r="G50" i="5" l="1"/>
  <c r="H50" i="5"/>
  <c r="F51" i="5"/>
  <c r="J49" i="5"/>
  <c r="I49" i="5"/>
  <c r="K48" i="5"/>
  <c r="L48" i="5" s="1"/>
  <c r="M48" i="5" s="1"/>
  <c r="N49" i="5"/>
  <c r="K49" i="5" l="1"/>
  <c r="L49" i="5" s="1"/>
  <c r="N50" i="5"/>
  <c r="G51" i="5"/>
  <c r="H51" i="5"/>
  <c r="F52" i="5"/>
  <c r="J50" i="5"/>
  <c r="I50" i="5"/>
  <c r="M49" i="5"/>
  <c r="F53" i="5" l="1"/>
  <c r="G52" i="5"/>
  <c r="H52" i="5"/>
  <c r="I52" i="5"/>
  <c r="J52" i="5"/>
  <c r="J51" i="5"/>
  <c r="I51" i="5"/>
  <c r="K50" i="5"/>
  <c r="L50" i="5" s="1"/>
  <c r="N51" i="5"/>
  <c r="K51" i="5" l="1"/>
  <c r="L51" i="5" s="1"/>
  <c r="N52" i="5"/>
  <c r="K52" i="5"/>
  <c r="L52" i="5" s="1"/>
  <c r="N53" i="5"/>
  <c r="M51" i="5"/>
  <c r="M50" i="5"/>
  <c r="F54" i="5"/>
  <c r="G53" i="5"/>
  <c r="H53" i="5"/>
  <c r="G54" i="5" l="1"/>
  <c r="H54" i="5"/>
  <c r="F55" i="5"/>
  <c r="J53" i="5"/>
  <c r="I53" i="5"/>
  <c r="M52" i="5"/>
  <c r="G55" i="5" l="1"/>
  <c r="H55" i="5"/>
  <c r="F56" i="5"/>
  <c r="K53" i="5"/>
  <c r="L53" i="5" s="1"/>
  <c r="N54" i="5"/>
  <c r="J54" i="5"/>
  <c r="I54" i="5"/>
  <c r="G56" i="5" l="1"/>
  <c r="H56" i="5"/>
  <c r="F57" i="5"/>
  <c r="M53" i="5"/>
  <c r="K54" i="5"/>
  <c r="L54" i="5" s="1"/>
  <c r="N55" i="5"/>
  <c r="J55" i="5"/>
  <c r="I55" i="5"/>
  <c r="H57" i="5" l="1"/>
  <c r="G57" i="5"/>
  <c r="F58" i="5"/>
  <c r="M54" i="5"/>
  <c r="J56" i="5"/>
  <c r="K55" i="5"/>
  <c r="L55" i="5" s="1"/>
  <c r="N56" i="5"/>
  <c r="I56" i="5"/>
  <c r="G58" i="5" l="1"/>
  <c r="H58" i="5"/>
  <c r="F59" i="5"/>
  <c r="N57" i="5"/>
  <c r="K56" i="5"/>
  <c r="L56" i="5" s="1"/>
  <c r="J57" i="5"/>
  <c r="I57" i="5"/>
  <c r="M55" i="5"/>
  <c r="G59" i="5" l="1"/>
  <c r="H59" i="5"/>
  <c r="F60" i="5"/>
  <c r="N58" i="5"/>
  <c r="K57" i="5"/>
  <c r="L57" i="5" s="1"/>
  <c r="I58" i="5"/>
  <c r="J58" i="5"/>
  <c r="M56" i="5"/>
  <c r="F61" i="5" l="1"/>
  <c r="G60" i="5"/>
  <c r="H60" i="5"/>
  <c r="I60" i="5"/>
  <c r="J60" i="5"/>
  <c r="J59" i="5"/>
  <c r="M58" i="5"/>
  <c r="I59" i="5"/>
  <c r="K58" i="5"/>
  <c r="L58" i="5" s="1"/>
  <c r="N59" i="5"/>
  <c r="M57" i="5"/>
  <c r="K59" i="5" l="1"/>
  <c r="L59" i="5" s="1"/>
  <c r="N60" i="5"/>
  <c r="K60" i="5"/>
  <c r="L60" i="5" s="1"/>
  <c r="N61" i="5"/>
  <c r="M59" i="5"/>
  <c r="F62" i="5"/>
  <c r="G61" i="5"/>
  <c r="I61" i="5"/>
  <c r="H61" i="5"/>
  <c r="G62" i="5" l="1"/>
  <c r="H62" i="5"/>
  <c r="F63" i="5"/>
  <c r="J61" i="5"/>
  <c r="M60" i="5"/>
  <c r="K61" i="5" l="1"/>
  <c r="L61" i="5" s="1"/>
  <c r="N62" i="5"/>
  <c r="H63" i="5"/>
  <c r="G63" i="5"/>
  <c r="F64" i="5"/>
  <c r="J62" i="5"/>
  <c r="I62" i="5"/>
  <c r="G64" i="5" l="1"/>
  <c r="H64" i="5"/>
  <c r="F65" i="5"/>
  <c r="J63" i="5"/>
  <c r="I63" i="5"/>
  <c r="K62" i="5"/>
  <c r="L62" i="5" s="1"/>
  <c r="N63" i="5"/>
  <c r="M61" i="5"/>
  <c r="H65" i="5" l="1"/>
  <c r="G65" i="5"/>
  <c r="F66" i="5"/>
  <c r="I64" i="5"/>
  <c r="K63" i="5"/>
  <c r="L63" i="5" s="1"/>
  <c r="N64" i="5"/>
  <c r="J64" i="5"/>
  <c r="M62" i="5"/>
  <c r="G66" i="5" l="1"/>
  <c r="H66" i="5"/>
  <c r="F67" i="5"/>
  <c r="J66" i="5" s="1"/>
  <c r="J65" i="5"/>
  <c r="I65" i="5"/>
  <c r="K64" i="5"/>
  <c r="L64" i="5" s="1"/>
  <c r="M64" i="5" s="1"/>
  <c r="N65" i="5"/>
  <c r="M63" i="5"/>
  <c r="K65" i="5" l="1"/>
  <c r="L65" i="5" s="1"/>
  <c r="N66" i="5"/>
  <c r="G67" i="5"/>
  <c r="H67" i="5"/>
  <c r="F68" i="5"/>
  <c r="N67" i="5"/>
  <c r="K66" i="5"/>
  <c r="L66" i="5" s="1"/>
  <c r="I66" i="5"/>
  <c r="M65" i="5"/>
  <c r="F69" i="5" l="1"/>
  <c r="H68" i="5"/>
  <c r="I68" i="5"/>
  <c r="G68" i="5"/>
  <c r="J68" i="5" s="1"/>
  <c r="J67" i="5"/>
  <c r="I67" i="5"/>
  <c r="M66" i="5"/>
  <c r="K68" i="5" l="1"/>
  <c r="L68" i="5" s="1"/>
  <c r="N69" i="5"/>
  <c r="N68" i="5"/>
  <c r="K67" i="5"/>
  <c r="L67" i="5" s="1"/>
  <c r="F70" i="5"/>
  <c r="G69" i="5"/>
  <c r="H69" i="5"/>
  <c r="J69" i="5"/>
  <c r="K69" i="5" l="1"/>
  <c r="L69" i="5" s="1"/>
  <c r="N70" i="5"/>
  <c r="G70" i="5"/>
  <c r="H70" i="5"/>
  <c r="F71" i="5"/>
  <c r="M68" i="5"/>
  <c r="M67" i="5"/>
  <c r="I69" i="5"/>
  <c r="M69" i="5"/>
  <c r="G71" i="5" l="1"/>
  <c r="H71" i="5"/>
  <c r="F72" i="5"/>
  <c r="I71" i="5" s="1"/>
  <c r="I70" i="5"/>
  <c r="J70" i="5"/>
  <c r="K70" i="5" l="1"/>
  <c r="L70" i="5" s="1"/>
  <c r="N71" i="5"/>
  <c r="J71" i="5"/>
  <c r="G72" i="5"/>
  <c r="H72" i="5"/>
  <c r="F73" i="5"/>
  <c r="I72" i="5" s="1"/>
  <c r="K71" i="5" l="1"/>
  <c r="L71" i="5" s="1"/>
  <c r="N72" i="5"/>
  <c r="H73" i="5"/>
  <c r="G73" i="5"/>
  <c r="F74" i="5"/>
  <c r="J72" i="5"/>
  <c r="M71" i="5"/>
  <c r="M70" i="5"/>
  <c r="G74" i="5" l="1"/>
  <c r="H74" i="5"/>
  <c r="F75" i="5"/>
  <c r="J73" i="5"/>
  <c r="I73" i="5"/>
  <c r="K72" i="5"/>
  <c r="L72" i="5" s="1"/>
  <c r="N73" i="5"/>
  <c r="K73" i="5" l="1"/>
  <c r="L73" i="5" s="1"/>
  <c r="N74" i="5"/>
  <c r="G75" i="5"/>
  <c r="H75" i="5"/>
  <c r="F76" i="5"/>
  <c r="I75" i="5" s="1"/>
  <c r="J74" i="5"/>
  <c r="I74" i="5"/>
  <c r="M72" i="5"/>
  <c r="F77" i="5" l="1"/>
  <c r="H76" i="5"/>
  <c r="G76" i="5"/>
  <c r="I76" i="5"/>
  <c r="J76" i="5"/>
  <c r="J75" i="5"/>
  <c r="K74" i="5"/>
  <c r="L74" i="5" s="1"/>
  <c r="N75" i="5"/>
  <c r="M73" i="5"/>
  <c r="K75" i="5" l="1"/>
  <c r="L75" i="5" s="1"/>
  <c r="M75" i="5" s="1"/>
  <c r="N76" i="5"/>
  <c r="K76" i="5"/>
  <c r="N77" i="5"/>
  <c r="F78" i="5"/>
  <c r="G77" i="5"/>
  <c r="H77" i="5"/>
  <c r="M74" i="5"/>
  <c r="L76" i="5" l="1"/>
  <c r="M76" i="5" s="1"/>
  <c r="G78" i="5"/>
  <c r="H78" i="5"/>
  <c r="F79" i="5"/>
  <c r="J77" i="5"/>
  <c r="I77" i="5"/>
  <c r="K77" i="5" l="1"/>
  <c r="L77" i="5" s="1"/>
  <c r="N78" i="5"/>
  <c r="G79" i="5"/>
  <c r="H79" i="5"/>
  <c r="F80" i="5"/>
  <c r="J79" i="5" s="1"/>
  <c r="J78" i="5"/>
  <c r="I78" i="5"/>
  <c r="K79" i="5" l="1"/>
  <c r="K78" i="5"/>
  <c r="L78" i="5" s="1"/>
  <c r="N79" i="5"/>
  <c r="N80" i="5" s="1"/>
  <c r="H80" i="5"/>
  <c r="G80" i="5"/>
  <c r="F81" i="5"/>
  <c r="I80" i="5" s="1"/>
  <c r="I79" i="5"/>
  <c r="M77" i="5"/>
  <c r="J80" i="5" l="1"/>
  <c r="K80" i="5"/>
  <c r="N81" i="5"/>
  <c r="M79" i="5"/>
  <c r="M78" i="5"/>
  <c r="H81" i="5"/>
  <c r="G81" i="5"/>
  <c r="J81" i="5"/>
  <c r="F82" i="5"/>
  <c r="I81" i="5" s="1"/>
  <c r="L79" i="5"/>
  <c r="K81" i="5" l="1"/>
  <c r="N82" i="5"/>
  <c r="G82" i="5"/>
  <c r="H82" i="5"/>
  <c r="F83" i="5"/>
  <c r="L80" i="5"/>
  <c r="M80" i="5" s="1"/>
  <c r="G83" i="5" l="1"/>
  <c r="H83" i="5"/>
  <c r="F84" i="5"/>
  <c r="J82" i="5"/>
  <c r="I82" i="5"/>
  <c r="L81" i="5"/>
  <c r="M81" i="5" l="1"/>
  <c r="K82" i="5"/>
  <c r="L82" i="5" s="1"/>
  <c r="N83" i="5"/>
  <c r="F85" i="5"/>
  <c r="H84" i="5"/>
  <c r="G84" i="5"/>
  <c r="J83" i="5"/>
  <c r="I83" i="5"/>
  <c r="F86" i="5" l="1"/>
  <c r="G85" i="5"/>
  <c r="H85" i="5"/>
  <c r="I85" i="5"/>
  <c r="J85" i="5"/>
  <c r="I84" i="5"/>
  <c r="K83" i="5"/>
  <c r="L83" i="5" s="1"/>
  <c r="M83" i="5" s="1"/>
  <c r="N84" i="5"/>
  <c r="J84" i="5"/>
  <c r="M82" i="5"/>
  <c r="K85" i="5" l="1"/>
  <c r="K84" i="5"/>
  <c r="L84" i="5" s="1"/>
  <c r="M84" i="5" s="1"/>
  <c r="N85" i="5"/>
  <c r="N86" i="5" s="1"/>
  <c r="G86" i="5"/>
  <c r="H86" i="5"/>
  <c r="F87" i="5"/>
  <c r="I86" i="5" s="1"/>
  <c r="G87" i="5" l="1"/>
  <c r="H87" i="5"/>
  <c r="F88" i="5"/>
  <c r="J87" i="5" s="1"/>
  <c r="J86" i="5"/>
  <c r="L85" i="5"/>
  <c r="K87" i="5" l="1"/>
  <c r="H88" i="5"/>
  <c r="G88" i="5"/>
  <c r="F89" i="5"/>
  <c r="J88" i="5" s="1"/>
  <c r="K86" i="5"/>
  <c r="L86" i="5" s="1"/>
  <c r="M86" i="5" s="1"/>
  <c r="N87" i="5"/>
  <c r="N88" i="5" s="1"/>
  <c r="I87" i="5"/>
  <c r="M85" i="5"/>
  <c r="N89" i="5" l="1"/>
  <c r="K88" i="5"/>
  <c r="L88" i="5" s="1"/>
  <c r="I88" i="5"/>
  <c r="H89" i="5"/>
  <c r="G89" i="5"/>
  <c r="F90" i="5"/>
  <c r="L87" i="5"/>
  <c r="G90" i="5" l="1"/>
  <c r="H90" i="5"/>
  <c r="F91" i="5"/>
  <c r="J89" i="5"/>
  <c r="I89" i="5"/>
  <c r="M88" i="5"/>
  <c r="M87" i="5"/>
  <c r="G91" i="5" l="1"/>
  <c r="H91" i="5"/>
  <c r="F92" i="5"/>
  <c r="J90" i="5"/>
  <c r="N90" i="5"/>
  <c r="K89" i="5"/>
  <c r="L89" i="5" s="1"/>
  <c r="I90" i="5"/>
  <c r="F93" i="5" l="1"/>
  <c r="H92" i="5"/>
  <c r="G92" i="5"/>
  <c r="J91" i="5"/>
  <c r="M89" i="5"/>
  <c r="K90" i="5"/>
  <c r="L90" i="5" s="1"/>
  <c r="M90" i="5" s="1"/>
  <c r="N91" i="5"/>
  <c r="I91" i="5"/>
  <c r="F94" i="5" l="1"/>
  <c r="G93" i="5"/>
  <c r="H93" i="5"/>
  <c r="I93" i="5"/>
  <c r="J93" i="5"/>
  <c r="I92" i="5"/>
  <c r="K91" i="5"/>
  <c r="L91" i="5" s="1"/>
  <c r="M91" i="5" s="1"/>
  <c r="N92" i="5"/>
  <c r="J92" i="5"/>
  <c r="K93" i="5" l="1"/>
  <c r="L93" i="5" s="1"/>
  <c r="N94" i="5"/>
  <c r="K92" i="5"/>
  <c r="L92" i="5" s="1"/>
  <c r="M93" i="5" s="1"/>
  <c r="N93" i="5"/>
  <c r="H94" i="5"/>
  <c r="I94" i="5"/>
  <c r="J94" i="5"/>
  <c r="G94" i="5"/>
  <c r="F95" i="5"/>
  <c r="K94" i="5" l="1"/>
  <c r="L94" i="5" s="1"/>
  <c r="N95" i="5"/>
  <c r="M92" i="5"/>
  <c r="G95" i="5"/>
  <c r="H95" i="5"/>
  <c r="F96" i="5"/>
  <c r="M94" i="5"/>
  <c r="G96" i="5" l="1"/>
  <c r="H96" i="5"/>
  <c r="F97" i="5"/>
  <c r="I95" i="5"/>
  <c r="J95" i="5"/>
  <c r="K95" i="5" l="1"/>
  <c r="L95" i="5" s="1"/>
  <c r="N96" i="5"/>
  <c r="G97" i="5"/>
  <c r="H97" i="5"/>
  <c r="F98" i="5"/>
  <c r="I97" i="5" s="1"/>
  <c r="J96" i="5"/>
  <c r="I96" i="5"/>
  <c r="G98" i="5" l="1"/>
  <c r="H98" i="5"/>
  <c r="F99" i="5"/>
  <c r="K96" i="5"/>
  <c r="L96" i="5" s="1"/>
  <c r="N97" i="5"/>
  <c r="J97" i="5"/>
  <c r="M95" i="5"/>
  <c r="G99" i="5" l="1"/>
  <c r="H99" i="5"/>
  <c r="F100" i="5"/>
  <c r="K97" i="5"/>
  <c r="L97" i="5" s="1"/>
  <c r="N98" i="5"/>
  <c r="J98" i="5"/>
  <c r="I98" i="5"/>
  <c r="M96" i="5"/>
  <c r="F101" i="5" l="1"/>
  <c r="G100" i="5"/>
  <c r="H100" i="5"/>
  <c r="I100" i="5"/>
  <c r="J100" i="5"/>
  <c r="M97" i="5"/>
  <c r="J99" i="5"/>
  <c r="I99" i="5"/>
  <c r="N99" i="5"/>
  <c r="K98" i="5"/>
  <c r="L98" i="5" s="1"/>
  <c r="M98" i="5" s="1"/>
  <c r="K100" i="5" l="1"/>
  <c r="N100" i="5"/>
  <c r="N101" i="5" s="1"/>
  <c r="K99" i="5"/>
  <c r="L99" i="5" s="1"/>
  <c r="M99" i="5"/>
  <c r="G101" i="5"/>
  <c r="F102" i="5"/>
  <c r="H101" i="5"/>
  <c r="H102" i="5" l="1"/>
  <c r="G102" i="5"/>
  <c r="F103" i="5"/>
  <c r="J101" i="5"/>
  <c r="I101" i="5"/>
  <c r="L100" i="5"/>
  <c r="M100" i="5" s="1"/>
  <c r="G103" i="5" l="1"/>
  <c r="H103" i="5"/>
  <c r="F104" i="5"/>
  <c r="K101" i="5"/>
  <c r="L101" i="5" s="1"/>
  <c r="N102" i="5"/>
  <c r="J102" i="5"/>
  <c r="I102" i="5"/>
  <c r="K102" i="5" l="1"/>
  <c r="L102" i="5" s="1"/>
  <c r="N103" i="5"/>
  <c r="G104" i="5"/>
  <c r="H104" i="5"/>
  <c r="F105" i="5"/>
  <c r="I104" i="5" s="1"/>
  <c r="J103" i="5"/>
  <c r="M102" i="5"/>
  <c r="I103" i="5"/>
  <c r="M101" i="5"/>
  <c r="K103" i="5" l="1"/>
  <c r="L103" i="5" s="1"/>
  <c r="N104" i="5"/>
  <c r="H105" i="5"/>
  <c r="G105" i="5"/>
  <c r="F106" i="5"/>
  <c r="J104" i="5"/>
  <c r="M103" i="5"/>
  <c r="N105" i="5" l="1"/>
  <c r="K104" i="5"/>
  <c r="L104" i="5" s="1"/>
  <c r="G106" i="5"/>
  <c r="H106" i="5"/>
  <c r="F107" i="5"/>
  <c r="J105" i="5"/>
  <c r="I105" i="5"/>
  <c r="M104" i="5"/>
  <c r="G107" i="5" l="1"/>
  <c r="H107" i="5"/>
  <c r="F108" i="5"/>
  <c r="I106" i="5"/>
  <c r="J106" i="5"/>
  <c r="K105" i="5"/>
  <c r="L105" i="5" s="1"/>
  <c r="N106" i="5"/>
  <c r="F109" i="5" l="1"/>
  <c r="H108" i="5"/>
  <c r="I108" i="5"/>
  <c r="G108" i="5"/>
  <c r="J108" i="5" s="1"/>
  <c r="K106" i="5"/>
  <c r="L106" i="5" s="1"/>
  <c r="M106" i="5" s="1"/>
  <c r="N107" i="5"/>
  <c r="J107" i="5"/>
  <c r="M105" i="5"/>
  <c r="I107" i="5"/>
  <c r="K108" i="5" l="1"/>
  <c r="L108" i="5" s="1"/>
  <c r="N109" i="5"/>
  <c r="K107" i="5"/>
  <c r="L107" i="5" s="1"/>
  <c r="M108" i="5" s="1"/>
  <c r="N108" i="5"/>
  <c r="F110" i="5"/>
  <c r="G109" i="5"/>
  <c r="H109" i="5"/>
  <c r="M107" i="5" l="1"/>
  <c r="G110" i="5"/>
  <c r="H110" i="5"/>
  <c r="F111" i="5"/>
  <c r="J109" i="5"/>
  <c r="I109" i="5"/>
  <c r="G111" i="5" l="1"/>
  <c r="F112" i="5"/>
  <c r="I111" i="5" s="1"/>
  <c r="H111" i="5"/>
  <c r="J111" i="5"/>
  <c r="K109" i="5"/>
  <c r="L109" i="5" s="1"/>
  <c r="N110" i="5"/>
  <c r="J110" i="5"/>
  <c r="I110" i="5"/>
  <c r="K110" i="5" l="1"/>
  <c r="L110" i="5" s="1"/>
  <c r="N111" i="5"/>
  <c r="K111" i="5"/>
  <c r="L111" i="5" s="1"/>
  <c r="N112" i="5"/>
  <c r="M110" i="5"/>
  <c r="M109" i="5"/>
  <c r="G112" i="5"/>
  <c r="I112" i="5"/>
  <c r="H112" i="5"/>
  <c r="F113" i="5"/>
  <c r="H113" i="5" l="1"/>
  <c r="G113" i="5"/>
  <c r="F114" i="5"/>
  <c r="I113" i="5" s="1"/>
  <c r="J112" i="5"/>
  <c r="M111" i="5"/>
  <c r="K112" i="5" l="1"/>
  <c r="L112" i="5" s="1"/>
  <c r="N113" i="5"/>
  <c r="J113" i="5"/>
  <c r="G114" i="5"/>
  <c r="H114" i="5"/>
  <c r="F115" i="5"/>
  <c r="G115" i="5" l="1"/>
  <c r="H115" i="5"/>
  <c r="F116" i="5"/>
  <c r="J115" i="5" s="1"/>
  <c r="J114" i="5"/>
  <c r="I114" i="5"/>
  <c r="K113" i="5"/>
  <c r="L113" i="5" s="1"/>
  <c r="N114" i="5"/>
  <c r="M112" i="5"/>
  <c r="K115" i="5" l="1"/>
  <c r="K114" i="5"/>
  <c r="L114" i="5" s="1"/>
  <c r="N115" i="5"/>
  <c r="N116" i="5" s="1"/>
  <c r="M114" i="5"/>
  <c r="F117" i="5"/>
  <c r="G116" i="5"/>
  <c r="H116" i="5"/>
  <c r="I115" i="5"/>
  <c r="M113" i="5"/>
  <c r="F118" i="5" l="1"/>
  <c r="G117" i="5"/>
  <c r="H117" i="5"/>
  <c r="J116" i="5"/>
  <c r="I116" i="5"/>
  <c r="L115" i="5"/>
  <c r="K116" i="5" l="1"/>
  <c r="L116" i="5" s="1"/>
  <c r="N117" i="5"/>
  <c r="G118" i="5"/>
  <c r="H118" i="5"/>
  <c r="F119" i="5"/>
  <c r="I118" i="5" s="1"/>
  <c r="M115" i="5"/>
  <c r="J117" i="5"/>
  <c r="I117" i="5"/>
  <c r="J118" i="5" l="1"/>
  <c r="K117" i="5"/>
  <c r="L117" i="5" s="1"/>
  <c r="N118" i="5"/>
  <c r="G119" i="5"/>
  <c r="H119" i="5"/>
  <c r="F120" i="5"/>
  <c r="M116" i="5"/>
  <c r="G120" i="5" l="1"/>
  <c r="H120" i="5"/>
  <c r="F121" i="5"/>
  <c r="J119" i="5"/>
  <c r="I119" i="5"/>
  <c r="M117" i="5"/>
  <c r="K118" i="5"/>
  <c r="L118" i="5" s="1"/>
  <c r="N119" i="5"/>
  <c r="H121" i="5" l="1"/>
  <c r="G121" i="5"/>
  <c r="F122" i="5"/>
  <c r="J121" i="5" s="1"/>
  <c r="J120" i="5"/>
  <c r="I120" i="5"/>
  <c r="K119" i="5"/>
  <c r="L119" i="5" s="1"/>
  <c r="M119" i="5" s="1"/>
  <c r="N120" i="5"/>
  <c r="M118" i="5"/>
  <c r="K120" i="5" l="1"/>
  <c r="L120" i="5" s="1"/>
  <c r="N121" i="5"/>
  <c r="G122" i="5"/>
  <c r="H122" i="5"/>
  <c r="F123" i="5"/>
  <c r="N122" i="5"/>
  <c r="K121" i="5"/>
  <c r="L121" i="5" s="1"/>
  <c r="I121" i="5"/>
  <c r="M120" i="5"/>
  <c r="G123" i="5" l="1"/>
  <c r="H123" i="5"/>
  <c r="F124" i="5"/>
  <c r="J122" i="5"/>
  <c r="I122" i="5"/>
  <c r="M121" i="5"/>
  <c r="F125" i="5" l="1"/>
  <c r="G124" i="5"/>
  <c r="H124" i="5"/>
  <c r="I124" i="5"/>
  <c r="J124" i="5"/>
  <c r="J123" i="5"/>
  <c r="I123" i="5"/>
  <c r="K122" i="5"/>
  <c r="L122" i="5" s="1"/>
  <c r="N123" i="5"/>
  <c r="K124" i="5" l="1"/>
  <c r="M122" i="5"/>
  <c r="K123" i="5"/>
  <c r="L123" i="5" s="1"/>
  <c r="N124" i="5"/>
  <c r="N125" i="5" s="1"/>
  <c r="F126" i="5"/>
  <c r="J125" i="5" s="1"/>
  <c r="G125" i="5"/>
  <c r="H125" i="5"/>
  <c r="K125" i="5" l="1"/>
  <c r="N126" i="5"/>
  <c r="M123" i="5"/>
  <c r="G126" i="5"/>
  <c r="H126" i="5"/>
  <c r="F127" i="5"/>
  <c r="I126" i="5" s="1"/>
  <c r="I125" i="5"/>
  <c r="L124" i="5"/>
  <c r="J126" i="5" l="1"/>
  <c r="K126" i="5"/>
  <c r="N127" i="5"/>
  <c r="M125" i="5"/>
  <c r="M124" i="5"/>
  <c r="H127" i="5"/>
  <c r="G127" i="5"/>
  <c r="J127" i="5"/>
  <c r="F128" i="5"/>
  <c r="I127" i="5" s="1"/>
  <c r="L125" i="5"/>
  <c r="K127" i="5" l="1"/>
  <c r="L127" i="5" s="1"/>
  <c r="N128" i="5"/>
  <c r="G128" i="5"/>
  <c r="H128" i="5"/>
  <c r="F129" i="5"/>
  <c r="L126" i="5"/>
  <c r="M127" i="5" s="1"/>
  <c r="M126" i="5" l="1"/>
  <c r="H129" i="5"/>
  <c r="G129" i="5"/>
  <c r="F130" i="5"/>
  <c r="I128" i="5"/>
  <c r="J128" i="5"/>
  <c r="G130" i="5" l="1"/>
  <c r="H130" i="5"/>
  <c r="F131" i="5"/>
  <c r="K128" i="5"/>
  <c r="L128" i="5" s="1"/>
  <c r="N129" i="5"/>
  <c r="J129" i="5"/>
  <c r="I129" i="5"/>
  <c r="G131" i="5" l="1"/>
  <c r="H131" i="5"/>
  <c r="F132" i="5"/>
  <c r="M128" i="5"/>
  <c r="K129" i="5"/>
  <c r="L129" i="5" s="1"/>
  <c r="N130" i="5"/>
  <c r="J130" i="5"/>
  <c r="I130" i="5"/>
  <c r="F133" i="5" l="1"/>
  <c r="H132" i="5"/>
  <c r="G132" i="5"/>
  <c r="J132" i="5" s="1"/>
  <c r="I132" i="5"/>
  <c r="M129" i="5"/>
  <c r="J131" i="5"/>
  <c r="N131" i="5"/>
  <c r="K130" i="5"/>
  <c r="L130" i="5" s="1"/>
  <c r="I131" i="5"/>
  <c r="K132" i="5" l="1"/>
  <c r="L132" i="5" s="1"/>
  <c r="N133" i="5"/>
  <c r="N132" i="5"/>
  <c r="K131" i="5"/>
  <c r="L131" i="5" s="1"/>
  <c r="M132" i="5" s="1"/>
  <c r="G133" i="5"/>
  <c r="F134" i="5"/>
  <c r="H133" i="5"/>
  <c r="M130" i="5"/>
  <c r="H134" i="5" l="1"/>
  <c r="G134" i="5"/>
  <c r="F135" i="5"/>
  <c r="M131" i="5"/>
  <c r="J133" i="5"/>
  <c r="I133" i="5"/>
  <c r="G135" i="5" l="1"/>
  <c r="H135" i="5"/>
  <c r="F136" i="5"/>
  <c r="K133" i="5"/>
  <c r="L133" i="5" s="1"/>
  <c r="N134" i="5"/>
  <c r="J134" i="5"/>
  <c r="I134" i="5"/>
  <c r="K134" i="5" l="1"/>
  <c r="L134" i="5" s="1"/>
  <c r="N135" i="5"/>
  <c r="M134" i="5"/>
  <c r="M133" i="5"/>
  <c r="G136" i="5"/>
  <c r="H136" i="5"/>
  <c r="F137" i="5"/>
  <c r="I136" i="5" s="1"/>
  <c r="J135" i="5"/>
  <c r="I135" i="5"/>
  <c r="J136" i="5" l="1"/>
  <c r="K136" i="5"/>
  <c r="L136" i="5" s="1"/>
  <c r="N137" i="5"/>
  <c r="K135" i="5"/>
  <c r="L135" i="5" s="1"/>
  <c r="N136" i="5"/>
  <c r="H137" i="5"/>
  <c r="G137" i="5"/>
  <c r="F138" i="5"/>
  <c r="J137" i="5" s="1"/>
  <c r="I137" i="5" l="1"/>
  <c r="M136" i="5"/>
  <c r="M135" i="5"/>
  <c r="K137" i="5"/>
  <c r="L137" i="5" s="1"/>
  <c r="N138" i="5"/>
  <c r="G138" i="5"/>
  <c r="H138" i="5"/>
  <c r="F139" i="5"/>
  <c r="I138" i="5" s="1"/>
  <c r="G139" i="5" l="1"/>
  <c r="H139" i="5"/>
  <c r="F140" i="5"/>
  <c r="J138" i="5"/>
  <c r="M137" i="5"/>
  <c r="K138" i="5" l="1"/>
  <c r="L138" i="5" s="1"/>
  <c r="N139" i="5"/>
  <c r="F141" i="5"/>
  <c r="H140" i="5"/>
  <c r="G140" i="5"/>
  <c r="I140" i="5"/>
  <c r="J140" i="5"/>
  <c r="J139" i="5"/>
  <c r="I139" i="5"/>
  <c r="K139" i="5" l="1"/>
  <c r="L139" i="5" s="1"/>
  <c r="M139" i="5" s="1"/>
  <c r="N140" i="5"/>
  <c r="N141" i="5" s="1"/>
  <c r="K140" i="5"/>
  <c r="G141" i="5"/>
  <c r="H141" i="5"/>
  <c r="F142" i="5"/>
  <c r="I141" i="5" s="1"/>
  <c r="M138" i="5"/>
  <c r="L140" i="5" l="1"/>
  <c r="M140" i="5" s="1"/>
  <c r="G142" i="5"/>
  <c r="H142" i="5"/>
  <c r="F143" i="5"/>
  <c r="J142" i="5" s="1"/>
  <c r="J141" i="5"/>
  <c r="K142" i="5" l="1"/>
  <c r="K141" i="5"/>
  <c r="L141" i="5" s="1"/>
  <c r="N142" i="5"/>
  <c r="N143" i="5" s="1"/>
  <c r="G143" i="5"/>
  <c r="H143" i="5"/>
  <c r="F144" i="5"/>
  <c r="I143" i="5" s="1"/>
  <c r="I142" i="5"/>
  <c r="J143" i="5" l="1"/>
  <c r="K143" i="5" s="1"/>
  <c r="L143" i="5" s="1"/>
  <c r="M141" i="5"/>
  <c r="G144" i="5"/>
  <c r="H144" i="5"/>
  <c r="F145" i="5"/>
  <c r="I144" i="5" s="1"/>
  <c r="L142" i="5"/>
  <c r="J144" i="5" l="1"/>
  <c r="N144" i="5"/>
  <c r="K144" i="5"/>
  <c r="L144" i="5" s="1"/>
  <c r="N145" i="5"/>
  <c r="M144" i="5"/>
  <c r="M143" i="5"/>
  <c r="H145" i="5"/>
  <c r="G145" i="5"/>
  <c r="F146" i="5"/>
  <c r="I145" i="5" s="1"/>
  <c r="M142" i="5"/>
  <c r="J145" i="5" l="1"/>
  <c r="K145" i="5"/>
  <c r="L145" i="5" s="1"/>
  <c r="N146" i="5"/>
  <c r="G146" i="5"/>
  <c r="H146" i="5"/>
  <c r="F147" i="5"/>
  <c r="M145" i="5"/>
  <c r="G147" i="5" l="1"/>
  <c r="H147" i="5"/>
  <c r="F148" i="5"/>
  <c r="I146" i="5"/>
  <c r="J146" i="5"/>
  <c r="K146" i="5" l="1"/>
  <c r="L146" i="5" s="1"/>
  <c r="N147" i="5"/>
  <c r="F149" i="5"/>
  <c r="H148" i="5"/>
  <c r="G148" i="5"/>
  <c r="I148" i="5"/>
  <c r="J148" i="5"/>
  <c r="J147" i="5"/>
  <c r="I147" i="5"/>
  <c r="K147" i="5" l="1"/>
  <c r="L147" i="5" s="1"/>
  <c r="N148" i="5"/>
  <c r="F150" i="5"/>
  <c r="G149" i="5"/>
  <c r="H149" i="5"/>
  <c r="I149" i="5"/>
  <c r="J149" i="5"/>
  <c r="M147" i="5"/>
  <c r="M146" i="5"/>
  <c r="K148" i="5"/>
  <c r="L148" i="5" s="1"/>
  <c r="N149" i="5"/>
  <c r="K149" i="5" l="1"/>
  <c r="L149" i="5" s="1"/>
  <c r="N150" i="5"/>
  <c r="G150" i="5"/>
  <c r="H150" i="5"/>
  <c r="F151" i="5"/>
  <c r="J150" i="5" s="1"/>
  <c r="M149" i="5"/>
  <c r="M148" i="5"/>
  <c r="K150" i="5" l="1"/>
  <c r="L150" i="5" s="1"/>
  <c r="N151" i="5"/>
  <c r="G151" i="5"/>
  <c r="H151" i="5"/>
  <c r="F152" i="5"/>
  <c r="I150" i="5"/>
  <c r="M150" i="5"/>
  <c r="H152" i="5" l="1"/>
  <c r="G152" i="5"/>
  <c r="F153" i="5"/>
  <c r="I151" i="5"/>
  <c r="J151" i="5"/>
  <c r="K151" i="5" l="1"/>
  <c r="L151" i="5" s="1"/>
  <c r="N152" i="5"/>
  <c r="H153" i="5"/>
  <c r="G153" i="5"/>
  <c r="F154" i="5"/>
  <c r="J153" i="5" s="1"/>
  <c r="J152" i="5"/>
  <c r="I152" i="5"/>
  <c r="K153" i="5" l="1"/>
  <c r="N153" i="5"/>
  <c r="N154" i="5" s="1"/>
  <c r="K152" i="5"/>
  <c r="L152" i="5" s="1"/>
  <c r="M152" i="5" s="1"/>
  <c r="I153" i="5"/>
  <c r="G154" i="5"/>
  <c r="H154" i="5"/>
  <c r="F155" i="5"/>
  <c r="J154" i="5" s="1"/>
  <c r="M151" i="5"/>
  <c r="K154" i="5" l="1"/>
  <c r="N155" i="5"/>
  <c r="G155" i="5"/>
  <c r="H155" i="5"/>
  <c r="F156" i="5"/>
  <c r="L153" i="5"/>
  <c r="M153" i="5" s="1"/>
  <c r="I154" i="5"/>
  <c r="F157" i="5" l="1"/>
  <c r="J156" i="5" s="1"/>
  <c r="H156" i="5"/>
  <c r="G156" i="5"/>
  <c r="I155" i="5"/>
  <c r="J155" i="5"/>
  <c r="L154" i="5"/>
  <c r="M154" i="5" s="1"/>
  <c r="I156" i="5" l="1"/>
  <c r="K156" i="5"/>
  <c r="K155" i="5"/>
  <c r="L155" i="5" s="1"/>
  <c r="M155" i="5" s="1"/>
  <c r="N156" i="5"/>
  <c r="N157" i="5" s="1"/>
  <c r="G157" i="5"/>
  <c r="H157" i="5"/>
  <c r="F158" i="5"/>
  <c r="I157" i="5" s="1"/>
  <c r="G158" i="5" l="1"/>
  <c r="H158" i="5"/>
  <c r="F159" i="5"/>
  <c r="J158" i="5" s="1"/>
  <c r="J157" i="5"/>
  <c r="L156" i="5"/>
  <c r="K158" i="5" l="1"/>
  <c r="K157" i="5"/>
  <c r="L157" i="5" s="1"/>
  <c r="M157" i="5" s="1"/>
  <c r="N158" i="5"/>
  <c r="N159" i="5" s="1"/>
  <c r="G159" i="5"/>
  <c r="H159" i="5"/>
  <c r="F160" i="5"/>
  <c r="I159" i="5" s="1"/>
  <c r="I158" i="5"/>
  <c r="M156" i="5"/>
  <c r="H160" i="5" l="1"/>
  <c r="G160" i="5"/>
  <c r="F161" i="5"/>
  <c r="J160" i="5" s="1"/>
  <c r="J159" i="5"/>
  <c r="L158" i="5"/>
  <c r="K160" i="5" l="1"/>
  <c r="K159" i="5"/>
  <c r="L159" i="5" s="1"/>
  <c r="N160" i="5"/>
  <c r="N161" i="5" s="1"/>
  <c r="G161" i="5"/>
  <c r="H161" i="5"/>
  <c r="F162" i="5"/>
  <c r="I161" i="5" s="1"/>
  <c r="I160" i="5"/>
  <c r="M158" i="5"/>
  <c r="M159" i="5" l="1"/>
  <c r="G162" i="5"/>
  <c r="H162" i="5"/>
  <c r="F163" i="5"/>
  <c r="I162" i="5" s="1"/>
  <c r="J161" i="5"/>
  <c r="L160" i="5"/>
  <c r="J162" i="5" l="1"/>
  <c r="K161" i="5"/>
  <c r="L161" i="5" s="1"/>
  <c r="N162" i="5"/>
  <c r="G163" i="5"/>
  <c r="H163" i="5"/>
  <c r="F164" i="5"/>
  <c r="I163" i="5" s="1"/>
  <c r="M160" i="5"/>
  <c r="J163" i="5" l="1"/>
  <c r="F165" i="5"/>
  <c r="G164" i="5"/>
  <c r="H164" i="5"/>
  <c r="J164" i="5" s="1"/>
  <c r="I164" i="5"/>
  <c r="M162" i="5"/>
  <c r="M161" i="5"/>
  <c r="N163" i="5"/>
  <c r="K162" i="5"/>
  <c r="L162" i="5" s="1"/>
  <c r="K164" i="5" l="1"/>
  <c r="L164" i="5" s="1"/>
  <c r="N165" i="5"/>
  <c r="G165" i="5"/>
  <c r="F166" i="5"/>
  <c r="H165" i="5"/>
  <c r="I165" i="5"/>
  <c r="J165" i="5"/>
  <c r="N164" i="5"/>
  <c r="K163" i="5"/>
  <c r="L163" i="5" s="1"/>
  <c r="M164" i="5" s="1"/>
  <c r="H166" i="5" l="1"/>
  <c r="G166" i="5"/>
  <c r="F167" i="5"/>
  <c r="J166" i="5" s="1"/>
  <c r="K165" i="5"/>
  <c r="L165" i="5" s="1"/>
  <c r="N166" i="5"/>
  <c r="M163" i="5"/>
  <c r="K166" i="5" l="1"/>
  <c r="L166" i="5" s="1"/>
  <c r="N167" i="5"/>
  <c r="G167" i="5"/>
  <c r="H167" i="5"/>
  <c r="F168" i="5"/>
  <c r="I167" i="5" s="1"/>
  <c r="I166" i="5"/>
  <c r="M165" i="5"/>
  <c r="J167" i="5" l="1"/>
  <c r="M166" i="5"/>
  <c r="G168" i="5"/>
  <c r="H168" i="5"/>
  <c r="F169" i="5"/>
  <c r="I168" i="5" s="1"/>
  <c r="H169" i="5" l="1"/>
  <c r="G169" i="5"/>
  <c r="F170" i="5"/>
  <c r="J168" i="5"/>
  <c r="K167" i="5"/>
  <c r="L167" i="5" s="1"/>
  <c r="N168" i="5"/>
  <c r="K168" i="5" l="1"/>
  <c r="L168" i="5" s="1"/>
  <c r="M168" i="5" s="1"/>
  <c r="N169" i="5"/>
  <c r="M167" i="5"/>
  <c r="G170" i="5"/>
  <c r="H170" i="5"/>
  <c r="F171" i="5"/>
  <c r="I170" i="5" s="1"/>
  <c r="I169" i="5"/>
  <c r="J169" i="5"/>
  <c r="J170" i="5" l="1"/>
  <c r="K170" i="5"/>
  <c r="K169" i="5"/>
  <c r="L169" i="5" s="1"/>
  <c r="N170" i="5"/>
  <c r="N171" i="5" s="1"/>
  <c r="G171" i="5"/>
  <c r="H171" i="5"/>
  <c r="J171" i="5"/>
  <c r="I171" i="5"/>
  <c r="F172" i="5"/>
  <c r="K171" i="5" l="1"/>
  <c r="N172" i="5"/>
  <c r="M170" i="5"/>
  <c r="M169" i="5"/>
  <c r="F173" i="5"/>
  <c r="H172" i="5"/>
  <c r="G172" i="5"/>
  <c r="I172" i="5"/>
  <c r="L170" i="5"/>
  <c r="F174" i="5" l="1"/>
  <c r="I173" i="5" s="1"/>
  <c r="G173" i="5"/>
  <c r="H173" i="5"/>
  <c r="J172" i="5"/>
  <c r="L171" i="5"/>
  <c r="J173" i="5" l="1"/>
  <c r="K172" i="5"/>
  <c r="L172" i="5" s="1"/>
  <c r="N173" i="5"/>
  <c r="K173" i="5"/>
  <c r="L173" i="5" s="1"/>
  <c r="N174" i="5"/>
  <c r="M172" i="5"/>
  <c r="M171" i="5"/>
  <c r="I174" i="5"/>
  <c r="G174" i="5"/>
  <c r="H174" i="5"/>
  <c r="F175" i="5"/>
  <c r="G175" i="5" l="1"/>
  <c r="H175" i="5"/>
  <c r="F176" i="5"/>
  <c r="J174" i="5"/>
  <c r="M173" i="5"/>
  <c r="G176" i="5" l="1"/>
  <c r="H176" i="5"/>
  <c r="F177" i="5"/>
  <c r="K174" i="5"/>
  <c r="L174" i="5" s="1"/>
  <c r="N175" i="5"/>
  <c r="J175" i="5"/>
  <c r="I175" i="5"/>
  <c r="M174" i="5" l="1"/>
  <c r="K175" i="5"/>
  <c r="L175" i="5" s="1"/>
  <c r="N176" i="5"/>
  <c r="H177" i="5"/>
  <c r="G177" i="5"/>
  <c r="F178" i="5"/>
  <c r="I177" i="5" s="1"/>
  <c r="J176" i="5"/>
  <c r="I176" i="5"/>
  <c r="J177" i="5" l="1"/>
  <c r="K177" i="5" s="1"/>
  <c r="K176" i="5"/>
  <c r="L176" i="5" s="1"/>
  <c r="N177" i="5"/>
  <c r="G178" i="5"/>
  <c r="H178" i="5"/>
  <c r="F179" i="5"/>
  <c r="I178" i="5" s="1"/>
  <c r="M175" i="5"/>
  <c r="N178" i="5" l="1"/>
  <c r="M176" i="5"/>
  <c r="G179" i="5"/>
  <c r="H179" i="5"/>
  <c r="F180" i="5"/>
  <c r="I179" i="5" s="1"/>
  <c r="J178" i="5"/>
  <c r="L177" i="5"/>
  <c r="K178" i="5" l="1"/>
  <c r="L178" i="5" s="1"/>
  <c r="N179" i="5"/>
  <c r="F181" i="5"/>
  <c r="G180" i="5"/>
  <c r="H180" i="5"/>
  <c r="I180" i="5"/>
  <c r="J179" i="5"/>
  <c r="M178" i="5"/>
  <c r="M177" i="5"/>
  <c r="K179" i="5" l="1"/>
  <c r="L179" i="5" s="1"/>
  <c r="M179" i="5" s="1"/>
  <c r="N180" i="5"/>
  <c r="F182" i="5"/>
  <c r="J181" i="5" s="1"/>
  <c r="G181" i="5"/>
  <c r="H181" i="5"/>
  <c r="J180" i="5"/>
  <c r="I181" i="5" l="1"/>
  <c r="K181" i="5"/>
  <c r="K180" i="5"/>
  <c r="L180" i="5" s="1"/>
  <c r="N181" i="5"/>
  <c r="N182" i="5" s="1"/>
  <c r="G182" i="5"/>
  <c r="I182" i="5"/>
  <c r="J182" i="5"/>
  <c r="H182" i="5"/>
  <c r="F183" i="5"/>
  <c r="K182" i="5" l="1"/>
  <c r="N183" i="5"/>
  <c r="M180" i="5"/>
  <c r="H183" i="5"/>
  <c r="G183" i="5"/>
  <c r="F184" i="5"/>
  <c r="J183" i="5" s="1"/>
  <c r="L181" i="5"/>
  <c r="I183" i="5" l="1"/>
  <c r="K183" i="5"/>
  <c r="L183" i="5" s="1"/>
  <c r="N184" i="5"/>
  <c r="L182" i="5"/>
  <c r="M183" i="5" s="1"/>
  <c r="G184" i="5"/>
  <c r="H184" i="5"/>
  <c r="I184" i="5"/>
  <c r="J184" i="5"/>
  <c r="F185" i="5"/>
  <c r="M181" i="5"/>
  <c r="M182" i="5" l="1"/>
  <c r="K184" i="5"/>
  <c r="L184" i="5" s="1"/>
  <c r="N185" i="5"/>
  <c r="H185" i="5"/>
  <c r="G185" i="5"/>
  <c r="F186" i="5"/>
  <c r="J185" i="5" s="1"/>
  <c r="N186" i="5" l="1"/>
  <c r="K185" i="5"/>
  <c r="L185" i="5" s="1"/>
  <c r="G186" i="5"/>
  <c r="H186" i="5"/>
  <c r="F187" i="5"/>
  <c r="I186" i="5" s="1"/>
  <c r="I185" i="5"/>
  <c r="M184" i="5"/>
  <c r="J186" i="5" l="1"/>
  <c r="G187" i="5"/>
  <c r="H187" i="5"/>
  <c r="F188" i="5"/>
  <c r="M185" i="5"/>
  <c r="J187" i="5" l="1"/>
  <c r="N188" i="5" s="1"/>
  <c r="K187" i="5"/>
  <c r="L187" i="5" s="1"/>
  <c r="G188" i="5"/>
  <c r="H188" i="5"/>
  <c r="F189" i="5"/>
  <c r="I188" i="5" s="1"/>
  <c r="I187" i="5"/>
  <c r="K186" i="5"/>
  <c r="L186" i="5" s="1"/>
  <c r="N187" i="5"/>
  <c r="J188" i="5" l="1"/>
  <c r="K188" i="5" s="1"/>
  <c r="L188" i="5" s="1"/>
  <c r="M188" i="5" s="1"/>
  <c r="G189" i="5"/>
  <c r="H189" i="5"/>
  <c r="F190" i="5"/>
  <c r="I189" i="5" s="1"/>
  <c r="J189" i="5"/>
  <c r="M187" i="5"/>
  <c r="M186" i="5"/>
  <c r="N189" i="5" l="1"/>
  <c r="N190" i="5" s="1"/>
  <c r="K189" i="5"/>
  <c r="L189" i="5" s="1"/>
  <c r="G190" i="5"/>
  <c r="H190" i="5"/>
  <c r="F191" i="5"/>
  <c r="J190" i="5" s="1"/>
  <c r="M189" i="5"/>
  <c r="K190" i="5" l="1"/>
  <c r="L190" i="5" s="1"/>
  <c r="N191" i="5"/>
  <c r="H191" i="5"/>
  <c r="G191" i="5"/>
  <c r="F192" i="5"/>
  <c r="I190" i="5"/>
  <c r="M190" i="5"/>
  <c r="G192" i="5" l="1"/>
  <c r="H192" i="5"/>
  <c r="F193" i="5"/>
  <c r="J191" i="5"/>
  <c r="I191" i="5"/>
  <c r="K191" i="5" l="1"/>
  <c r="L191" i="5" s="1"/>
  <c r="N192" i="5"/>
  <c r="H193" i="5"/>
  <c r="G193" i="5"/>
  <c r="F194" i="5"/>
  <c r="I193" i="5" s="1"/>
  <c r="J192" i="5"/>
  <c r="I192" i="5"/>
  <c r="K192" i="5" l="1"/>
  <c r="L192" i="5" s="1"/>
  <c r="N193" i="5"/>
  <c r="J193" i="5"/>
  <c r="G194" i="5"/>
  <c r="H194" i="5"/>
  <c r="F195" i="5"/>
  <c r="M192" i="5"/>
  <c r="M191" i="5"/>
  <c r="G195" i="5" l="1"/>
  <c r="H195" i="5"/>
  <c r="F196" i="5"/>
  <c r="J194" i="5"/>
  <c r="I194" i="5"/>
  <c r="K193" i="5"/>
  <c r="L193" i="5" s="1"/>
  <c r="N194" i="5"/>
  <c r="F197" i="5" l="1"/>
  <c r="H196" i="5"/>
  <c r="G196" i="5"/>
  <c r="J195" i="5"/>
  <c r="N195" i="5"/>
  <c r="K194" i="5"/>
  <c r="L194" i="5" s="1"/>
  <c r="M193" i="5"/>
  <c r="I195" i="5"/>
  <c r="N196" i="5" l="1"/>
  <c r="K195" i="5"/>
  <c r="L195" i="5" s="1"/>
  <c r="F198" i="5"/>
  <c r="J197" i="5" s="1"/>
  <c r="G197" i="5"/>
  <c r="H197" i="5"/>
  <c r="M194" i="5"/>
  <c r="J196" i="5"/>
  <c r="I196" i="5"/>
  <c r="K197" i="5" l="1"/>
  <c r="G198" i="5"/>
  <c r="F199" i="5"/>
  <c r="I198" i="5" s="1"/>
  <c r="H198" i="5"/>
  <c r="I197" i="5"/>
  <c r="K196" i="5"/>
  <c r="L196" i="5" s="1"/>
  <c r="N197" i="5"/>
  <c r="N198" i="5" s="1"/>
  <c r="M195" i="5"/>
  <c r="J198" i="5" l="1"/>
  <c r="K198" i="5"/>
  <c r="N199" i="5"/>
  <c r="G199" i="5"/>
  <c r="H199" i="5"/>
  <c r="F200" i="5"/>
  <c r="I199" i="5" s="1"/>
  <c r="M197" i="5"/>
  <c r="M196" i="5"/>
  <c r="L197" i="5"/>
  <c r="G200" i="5" l="1"/>
  <c r="H200" i="5"/>
  <c r="F201" i="5"/>
  <c r="J199" i="5"/>
  <c r="L198" i="5"/>
  <c r="M198" i="5" s="1"/>
  <c r="K199" i="5" l="1"/>
  <c r="L199" i="5" s="1"/>
  <c r="M199" i="5" s="1"/>
  <c r="N200" i="5"/>
  <c r="H201" i="5"/>
  <c r="G201" i="5"/>
  <c r="F202" i="5"/>
  <c r="I201" i="5" s="1"/>
  <c r="I200" i="5"/>
  <c r="J200" i="5"/>
  <c r="G202" i="5" l="1"/>
  <c r="H202" i="5"/>
  <c r="F203" i="5"/>
  <c r="J201" i="5"/>
  <c r="K200" i="5"/>
  <c r="L200" i="5" s="1"/>
  <c r="N201" i="5"/>
  <c r="K201" i="5" l="1"/>
  <c r="L201" i="5" s="1"/>
  <c r="N202" i="5"/>
  <c r="G203" i="5"/>
  <c r="H203" i="5"/>
  <c r="F204" i="5"/>
  <c r="J202" i="5"/>
  <c r="I202" i="5"/>
  <c r="M200" i="5"/>
  <c r="F205" i="5" l="1"/>
  <c r="H204" i="5"/>
  <c r="I204" i="5"/>
  <c r="G204" i="5"/>
  <c r="J204" i="5"/>
  <c r="J203" i="5"/>
  <c r="I203" i="5"/>
  <c r="M202" i="5"/>
  <c r="K202" i="5"/>
  <c r="L202" i="5" s="1"/>
  <c r="N203" i="5"/>
  <c r="M201" i="5"/>
  <c r="K204" i="5" l="1"/>
  <c r="K203" i="5"/>
  <c r="L203" i="5" s="1"/>
  <c r="N204" i="5"/>
  <c r="N205" i="5" s="1"/>
  <c r="M203" i="5"/>
  <c r="F206" i="5"/>
  <c r="G205" i="5"/>
  <c r="H205" i="5"/>
  <c r="G206" i="5" l="1"/>
  <c r="H206" i="5"/>
  <c r="F207" i="5"/>
  <c r="J205" i="5"/>
  <c r="I205" i="5"/>
  <c r="L204" i="5"/>
  <c r="M204" i="5" s="1"/>
  <c r="G207" i="5" l="1"/>
  <c r="H207" i="5"/>
  <c r="F208" i="5"/>
  <c r="K205" i="5"/>
  <c r="L205" i="5" s="1"/>
  <c r="N206" i="5"/>
  <c r="I206" i="5"/>
  <c r="J206" i="5"/>
  <c r="H208" i="5" l="1"/>
  <c r="G208" i="5"/>
  <c r="J208" i="5"/>
  <c r="F209" i="5"/>
  <c r="I207" i="5"/>
  <c r="J207" i="5"/>
  <c r="M205" i="5"/>
  <c r="K206" i="5"/>
  <c r="L206" i="5" s="1"/>
  <c r="M206" i="5" s="1"/>
  <c r="N207" i="5"/>
  <c r="H209" i="5" l="1"/>
  <c r="G209" i="5"/>
  <c r="F210" i="5"/>
  <c r="J209" i="5" s="1"/>
  <c r="K208" i="5"/>
  <c r="I208" i="5"/>
  <c r="K207" i="5"/>
  <c r="L207" i="5" s="1"/>
  <c r="M207" i="5" s="1"/>
  <c r="N208" i="5"/>
  <c r="N209" i="5" s="1"/>
  <c r="L208" i="5" l="1"/>
  <c r="K209" i="5"/>
  <c r="L209" i="5" s="1"/>
  <c r="N210" i="5"/>
  <c r="M209" i="5"/>
  <c r="I209" i="5"/>
  <c r="G210" i="5"/>
  <c r="H210" i="5"/>
  <c r="J210" i="5"/>
  <c r="F211" i="5"/>
  <c r="I210" i="5" s="1"/>
  <c r="M208" i="5"/>
  <c r="K210" i="5" l="1"/>
  <c r="L210" i="5" s="1"/>
  <c r="N211" i="5"/>
  <c r="G211" i="5"/>
  <c r="H211" i="5"/>
  <c r="F212" i="5"/>
  <c r="M210" i="5"/>
  <c r="F213" i="5" l="1"/>
  <c r="H212" i="5"/>
  <c r="I212" i="5"/>
  <c r="G212" i="5"/>
  <c r="J212" i="5"/>
  <c r="I211" i="5"/>
  <c r="J211" i="5"/>
  <c r="K211" i="5" l="1"/>
  <c r="L211" i="5" s="1"/>
  <c r="N212" i="5"/>
  <c r="K212" i="5"/>
  <c r="N213" i="5"/>
  <c r="F214" i="5"/>
  <c r="I213" i="5" s="1"/>
  <c r="G213" i="5"/>
  <c r="H213" i="5"/>
  <c r="L212" i="5" l="1"/>
  <c r="M212" i="5" s="1"/>
  <c r="G214" i="5"/>
  <c r="H214" i="5"/>
  <c r="F215" i="5"/>
  <c r="J213" i="5"/>
  <c r="M211" i="5"/>
  <c r="K213" i="5" l="1"/>
  <c r="L213" i="5" s="1"/>
  <c r="N214" i="5"/>
  <c r="G215" i="5"/>
  <c r="F216" i="5"/>
  <c r="J215" i="5" s="1"/>
  <c r="H215" i="5"/>
  <c r="J214" i="5"/>
  <c r="I214" i="5"/>
  <c r="K215" i="5" l="1"/>
  <c r="L215" i="5" s="1"/>
  <c r="N216" i="5"/>
  <c r="K214" i="5"/>
  <c r="L214" i="5" s="1"/>
  <c r="N215" i="5"/>
  <c r="I215" i="5"/>
  <c r="H216" i="5"/>
  <c r="G216" i="5"/>
  <c r="F217" i="5"/>
  <c r="I216" i="5" s="1"/>
  <c r="M214" i="5"/>
  <c r="M213" i="5"/>
  <c r="M215" i="5" l="1"/>
  <c r="H217" i="5"/>
  <c r="G217" i="5"/>
  <c r="F218" i="5"/>
  <c r="J216" i="5"/>
  <c r="N217" i="5" l="1"/>
  <c r="K216" i="5"/>
  <c r="L216" i="5" s="1"/>
  <c r="G218" i="5"/>
  <c r="H218" i="5"/>
  <c r="F219" i="5"/>
  <c r="J217" i="5"/>
  <c r="I217" i="5"/>
  <c r="G219" i="5" l="1"/>
  <c r="H219" i="5"/>
  <c r="F220" i="5"/>
  <c r="N218" i="5"/>
  <c r="K217" i="5"/>
  <c r="L217" i="5" s="1"/>
  <c r="M217" i="5" s="1"/>
  <c r="J218" i="5"/>
  <c r="I218" i="5"/>
  <c r="M216" i="5"/>
  <c r="K218" i="5" l="1"/>
  <c r="L218" i="5" s="1"/>
  <c r="M218" i="5" s="1"/>
  <c r="N219" i="5"/>
  <c r="F221" i="5"/>
  <c r="I220" i="5" s="1"/>
  <c r="H220" i="5"/>
  <c r="G220" i="5"/>
  <c r="J219" i="5"/>
  <c r="I219" i="5"/>
  <c r="J220" i="5" l="1"/>
  <c r="K220" i="5" s="1"/>
  <c r="L220" i="5" s="1"/>
  <c r="K219" i="5"/>
  <c r="L219" i="5" s="1"/>
  <c r="N220" i="5"/>
  <c r="F222" i="5"/>
  <c r="G221" i="5"/>
  <c r="H221" i="5"/>
  <c r="M219" i="5"/>
  <c r="N221" i="5" l="1"/>
  <c r="G222" i="5"/>
  <c r="H222" i="5"/>
  <c r="F223" i="5"/>
  <c r="J222" i="5" s="1"/>
  <c r="I221" i="5"/>
  <c r="J221" i="5"/>
  <c r="M220" i="5"/>
  <c r="K222" i="5" l="1"/>
  <c r="K221" i="5"/>
  <c r="L221" i="5" s="1"/>
  <c r="N222" i="5"/>
  <c r="N223" i="5" s="1"/>
  <c r="G223" i="5"/>
  <c r="H223" i="5"/>
  <c r="F224" i="5"/>
  <c r="I223" i="5" s="1"/>
  <c r="I222" i="5"/>
  <c r="J223" i="5" l="1"/>
  <c r="N224" i="5" s="1"/>
  <c r="K223" i="5"/>
  <c r="L223" i="5" s="1"/>
  <c r="M221" i="5"/>
  <c r="G224" i="5"/>
  <c r="H224" i="5"/>
  <c r="F225" i="5"/>
  <c r="L222" i="5"/>
  <c r="M222" i="5" s="1"/>
  <c r="G225" i="5" l="1"/>
  <c r="H225" i="5"/>
  <c r="F226" i="5"/>
  <c r="J224" i="5"/>
  <c r="I224" i="5"/>
  <c r="M223" i="5"/>
  <c r="G226" i="5" l="1"/>
  <c r="H226" i="5"/>
  <c r="F227" i="5"/>
  <c r="I225" i="5"/>
  <c r="K224" i="5"/>
  <c r="L224" i="5" s="1"/>
  <c r="N225" i="5"/>
  <c r="J225" i="5"/>
  <c r="G227" i="5" l="1"/>
  <c r="H227" i="5"/>
  <c r="F228" i="5"/>
  <c r="M224" i="5"/>
  <c r="I226" i="5"/>
  <c r="J226" i="5"/>
  <c r="N226" i="5"/>
  <c r="K225" i="5"/>
  <c r="L225" i="5" s="1"/>
  <c r="M225" i="5" s="1"/>
  <c r="G228" i="5" l="1"/>
  <c r="H228" i="5"/>
  <c r="F229" i="5"/>
  <c r="J228" i="5" s="1"/>
  <c r="J227" i="5"/>
  <c r="I227" i="5"/>
  <c r="N227" i="5"/>
  <c r="K226" i="5"/>
  <c r="L226" i="5" s="1"/>
  <c r="M226" i="5" s="1"/>
  <c r="K228" i="5" l="1"/>
  <c r="N228" i="5"/>
  <c r="N229" i="5" s="1"/>
  <c r="K227" i="5"/>
  <c r="L227" i="5" s="1"/>
  <c r="M227" i="5" s="1"/>
  <c r="F230" i="5"/>
  <c r="G229" i="5"/>
  <c r="H229" i="5"/>
  <c r="I229" i="5"/>
  <c r="I228" i="5"/>
  <c r="H230" i="5" l="1"/>
  <c r="G230" i="5"/>
  <c r="F231" i="5"/>
  <c r="J229" i="5"/>
  <c r="L228" i="5"/>
  <c r="M228" i="5" s="1"/>
  <c r="K229" i="5" l="1"/>
  <c r="L229" i="5" s="1"/>
  <c r="M229" i="5" s="1"/>
  <c r="N230" i="5"/>
  <c r="G231" i="5"/>
  <c r="H231" i="5"/>
  <c r="F232" i="5"/>
  <c r="I231" i="5" s="1"/>
  <c r="J230" i="5"/>
  <c r="I230" i="5"/>
  <c r="J231" i="5" l="1"/>
  <c r="G232" i="5"/>
  <c r="H232" i="5"/>
  <c r="F233" i="5"/>
  <c r="J232" i="5" s="1"/>
  <c r="K230" i="5"/>
  <c r="L230" i="5" s="1"/>
  <c r="N231" i="5"/>
  <c r="K232" i="5" l="1"/>
  <c r="H233" i="5"/>
  <c r="G233" i="5"/>
  <c r="F234" i="5"/>
  <c r="I232" i="5"/>
  <c r="M230" i="5"/>
  <c r="K231" i="5"/>
  <c r="L231" i="5" s="1"/>
  <c r="M231" i="5" s="1"/>
  <c r="N232" i="5"/>
  <c r="N233" i="5" s="1"/>
  <c r="G234" i="5" l="1"/>
  <c r="H234" i="5"/>
  <c r="F235" i="5"/>
  <c r="J233" i="5"/>
  <c r="I233" i="5"/>
  <c r="L232" i="5"/>
  <c r="M232" i="5" s="1"/>
  <c r="G235" i="5" l="1"/>
  <c r="H235" i="5"/>
  <c r="F236" i="5"/>
  <c r="K233" i="5"/>
  <c r="L233" i="5" s="1"/>
  <c r="N234" i="5"/>
  <c r="I234" i="5"/>
  <c r="J234" i="5"/>
  <c r="F237" i="5" l="1"/>
  <c r="I236" i="5" s="1"/>
  <c r="H236" i="5"/>
  <c r="G236" i="5"/>
  <c r="M234" i="5"/>
  <c r="I235" i="5"/>
  <c r="J235" i="5"/>
  <c r="M233" i="5"/>
  <c r="K234" i="5"/>
  <c r="L234" i="5" s="1"/>
  <c r="N235" i="5"/>
  <c r="J236" i="5" l="1"/>
  <c r="K236" i="5"/>
  <c r="K235" i="5"/>
  <c r="L235" i="5" s="1"/>
  <c r="M235" i="5" s="1"/>
  <c r="N236" i="5"/>
  <c r="F238" i="5"/>
  <c r="G237" i="5"/>
  <c r="H237" i="5"/>
  <c r="N237" i="5" l="1"/>
  <c r="G238" i="5"/>
  <c r="H238" i="5"/>
  <c r="F239" i="5"/>
  <c r="I237" i="5"/>
  <c r="J237" i="5"/>
  <c r="L236" i="5"/>
  <c r="G239" i="5" l="1"/>
  <c r="H239" i="5"/>
  <c r="F240" i="5"/>
  <c r="K237" i="5"/>
  <c r="L237" i="5" s="1"/>
  <c r="N238" i="5"/>
  <c r="J238" i="5"/>
  <c r="I238" i="5"/>
  <c r="M236" i="5"/>
  <c r="K238" i="5" l="1"/>
  <c r="L238" i="5" s="1"/>
  <c r="N239" i="5"/>
  <c r="G240" i="5"/>
  <c r="H240" i="5"/>
  <c r="F241" i="5"/>
  <c r="J239" i="5"/>
  <c r="I239" i="5"/>
  <c r="M237" i="5"/>
  <c r="K239" i="5" l="1"/>
  <c r="L239" i="5" s="1"/>
  <c r="N240" i="5"/>
  <c r="M239" i="5"/>
  <c r="H241" i="5"/>
  <c r="G241" i="5"/>
  <c r="F242" i="5"/>
  <c r="J240" i="5"/>
  <c r="I240" i="5"/>
  <c r="M238" i="5"/>
  <c r="G242" i="5" l="1"/>
  <c r="H242" i="5"/>
  <c r="F243" i="5"/>
  <c r="J242" i="5" s="1"/>
  <c r="J241" i="5"/>
  <c r="I241" i="5"/>
  <c r="K240" i="5"/>
  <c r="L240" i="5" s="1"/>
  <c r="N241" i="5"/>
  <c r="K242" i="5" l="1"/>
  <c r="I242" i="5"/>
  <c r="N242" i="5"/>
  <c r="N243" i="5" s="1"/>
  <c r="K241" i="5"/>
  <c r="L241" i="5" s="1"/>
  <c r="M240" i="5"/>
  <c r="G243" i="5"/>
  <c r="H243" i="5"/>
  <c r="F244" i="5"/>
  <c r="F245" i="5" l="1"/>
  <c r="G244" i="5"/>
  <c r="H244" i="5"/>
  <c r="I244" i="5"/>
  <c r="M241" i="5"/>
  <c r="J243" i="5"/>
  <c r="I243" i="5"/>
  <c r="L242" i="5"/>
  <c r="J244" i="5" l="1"/>
  <c r="N245" i="5" s="1"/>
  <c r="K243" i="5"/>
  <c r="L243" i="5" s="1"/>
  <c r="N244" i="5"/>
  <c r="F246" i="5"/>
  <c r="G245" i="5"/>
  <c r="H245" i="5"/>
  <c r="M242" i="5"/>
  <c r="K244" i="5" l="1"/>
  <c r="L244" i="5" s="1"/>
  <c r="M244" i="5"/>
  <c r="G246" i="5"/>
  <c r="F247" i="5"/>
  <c r="J246" i="5" s="1"/>
  <c r="H246" i="5"/>
  <c r="M243" i="5"/>
  <c r="J245" i="5"/>
  <c r="I245" i="5"/>
  <c r="K246" i="5" l="1"/>
  <c r="K245" i="5"/>
  <c r="L245" i="5" s="1"/>
  <c r="N246" i="5"/>
  <c r="N247" i="5" s="1"/>
  <c r="G247" i="5"/>
  <c r="H247" i="5"/>
  <c r="F248" i="5"/>
  <c r="I247" i="5" s="1"/>
  <c r="I246" i="5"/>
  <c r="J247" i="5" l="1"/>
  <c r="K247" i="5"/>
  <c r="N248" i="5"/>
  <c r="M246" i="5"/>
  <c r="M245" i="5"/>
  <c r="H248" i="5"/>
  <c r="I248" i="5"/>
  <c r="G248" i="5"/>
  <c r="F249" i="5"/>
  <c r="J248" i="5" s="1"/>
  <c r="L246" i="5"/>
  <c r="K248" i="5" l="1"/>
  <c r="N249" i="5"/>
  <c r="H249" i="5"/>
  <c r="G249" i="5"/>
  <c r="F250" i="5"/>
  <c r="L247" i="5"/>
  <c r="M247" i="5" s="1"/>
  <c r="G250" i="5" l="1"/>
  <c r="H250" i="5"/>
  <c r="F251" i="5"/>
  <c r="I249" i="5"/>
  <c r="J249" i="5"/>
  <c r="L248" i="5"/>
  <c r="M248" i="5" s="1"/>
  <c r="G251" i="5" l="1"/>
  <c r="H251" i="5"/>
  <c r="F252" i="5"/>
  <c r="I250" i="5"/>
  <c r="K249" i="5"/>
  <c r="L249" i="5" s="1"/>
  <c r="N250" i="5"/>
  <c r="J250" i="5"/>
  <c r="F253" i="5" l="1"/>
  <c r="G252" i="5"/>
  <c r="H252" i="5"/>
  <c r="I252" i="5"/>
  <c r="J252" i="5"/>
  <c r="I251" i="5"/>
  <c r="M250" i="5"/>
  <c r="J251" i="5"/>
  <c r="M249" i="5"/>
  <c r="N251" i="5"/>
  <c r="K250" i="5"/>
  <c r="L250" i="5" s="1"/>
  <c r="K252" i="5" l="1"/>
  <c r="N252" i="5"/>
  <c r="N253" i="5" s="1"/>
  <c r="K251" i="5"/>
  <c r="L251" i="5" s="1"/>
  <c r="M251" i="5" s="1"/>
  <c r="F254" i="5"/>
  <c r="G253" i="5"/>
  <c r="H253" i="5"/>
  <c r="G254" i="5" l="1"/>
  <c r="H254" i="5"/>
  <c r="F255" i="5"/>
  <c r="J253" i="5"/>
  <c r="I253" i="5"/>
  <c r="L252" i="5"/>
  <c r="M252" i="5" s="1"/>
  <c r="H255" i="5" l="1"/>
  <c r="G255" i="5"/>
  <c r="F256" i="5"/>
  <c r="K253" i="5"/>
  <c r="L253" i="5" s="1"/>
  <c r="N254" i="5"/>
  <c r="J254" i="5"/>
  <c r="I254" i="5"/>
  <c r="K254" i="5" l="1"/>
  <c r="L254" i="5" s="1"/>
  <c r="M254" i="5" s="1"/>
  <c r="N255" i="5"/>
  <c r="G256" i="5"/>
  <c r="H256" i="5"/>
  <c r="F257" i="5"/>
  <c r="I255" i="5"/>
  <c r="J255" i="5"/>
  <c r="M253" i="5"/>
  <c r="H257" i="5" l="1"/>
  <c r="G257" i="5"/>
  <c r="F258" i="5"/>
  <c r="I257" i="5" s="1"/>
  <c r="J256" i="5"/>
  <c r="I256" i="5"/>
  <c r="K255" i="5"/>
  <c r="L255" i="5" s="1"/>
  <c r="N256" i="5"/>
  <c r="J257" i="5" l="1"/>
  <c r="K256" i="5"/>
  <c r="L256" i="5" s="1"/>
  <c r="N257" i="5"/>
  <c r="G258" i="5"/>
  <c r="H258" i="5"/>
  <c r="F259" i="5"/>
  <c r="J258" i="5" s="1"/>
  <c r="M255" i="5"/>
  <c r="I258" i="5" l="1"/>
  <c r="K258" i="5"/>
  <c r="L258" i="5" s="1"/>
  <c r="N259" i="5"/>
  <c r="K257" i="5"/>
  <c r="L257" i="5" s="1"/>
  <c r="N258" i="5"/>
  <c r="G259" i="5"/>
  <c r="I259" i="5"/>
  <c r="H259" i="5"/>
  <c r="F260" i="5"/>
  <c r="M256" i="5"/>
  <c r="M258" i="5" l="1"/>
  <c r="F261" i="5"/>
  <c r="I260" i="5" s="1"/>
  <c r="H260" i="5"/>
  <c r="G260" i="5"/>
  <c r="J259" i="5"/>
  <c r="M257" i="5"/>
  <c r="J260" i="5" l="1"/>
  <c r="K260" i="5" s="1"/>
  <c r="L260" i="5" s="1"/>
  <c r="K259" i="5"/>
  <c r="L259" i="5" s="1"/>
  <c r="N260" i="5"/>
  <c r="F262" i="5"/>
  <c r="G261" i="5"/>
  <c r="H261" i="5"/>
  <c r="I261" i="5"/>
  <c r="N261" i="5" l="1"/>
  <c r="G262" i="5"/>
  <c r="H262" i="5"/>
  <c r="F263" i="5"/>
  <c r="J261" i="5"/>
  <c r="M260" i="5"/>
  <c r="M259" i="5"/>
  <c r="G263" i="5" l="1"/>
  <c r="H263" i="5"/>
  <c r="F264" i="5"/>
  <c r="K261" i="5"/>
  <c r="L261" i="5" s="1"/>
  <c r="N262" i="5"/>
  <c r="J262" i="5"/>
  <c r="I262" i="5"/>
  <c r="G264" i="5" l="1"/>
  <c r="H264" i="5"/>
  <c r="F265" i="5"/>
  <c r="K262" i="5"/>
  <c r="L262" i="5" s="1"/>
  <c r="N263" i="5"/>
  <c r="M262" i="5"/>
  <c r="M261" i="5"/>
  <c r="J263" i="5"/>
  <c r="I263" i="5"/>
  <c r="H265" i="5" l="1"/>
  <c r="G265" i="5"/>
  <c r="F266" i="5"/>
  <c r="J264" i="5"/>
  <c r="K263" i="5"/>
  <c r="L263" i="5" s="1"/>
  <c r="N264" i="5"/>
  <c r="I264" i="5"/>
  <c r="G266" i="5" l="1"/>
  <c r="H266" i="5"/>
  <c r="F267" i="5"/>
  <c r="K264" i="5"/>
  <c r="L264" i="5" s="1"/>
  <c r="N265" i="5"/>
  <c r="J265" i="5"/>
  <c r="I265" i="5"/>
  <c r="M263" i="5"/>
  <c r="N266" i="5" l="1"/>
  <c r="K265" i="5"/>
  <c r="L265" i="5" s="1"/>
  <c r="G267" i="5"/>
  <c r="H267" i="5"/>
  <c r="F268" i="5"/>
  <c r="I266" i="5"/>
  <c r="J266" i="5"/>
  <c r="M265" i="5"/>
  <c r="M264" i="5"/>
  <c r="H268" i="5" l="1"/>
  <c r="G268" i="5"/>
  <c r="J268" i="5" s="1"/>
  <c r="F269" i="5"/>
  <c r="J267" i="5"/>
  <c r="I267" i="5"/>
  <c r="N267" i="5"/>
  <c r="K266" i="5"/>
  <c r="L266" i="5" s="1"/>
  <c r="M266" i="5" s="1"/>
  <c r="N268" i="5" l="1"/>
  <c r="K267" i="5"/>
  <c r="L267" i="5" s="1"/>
  <c r="F270" i="5"/>
  <c r="J269" i="5" s="1"/>
  <c r="G269" i="5"/>
  <c r="H269" i="5"/>
  <c r="I269" i="5"/>
  <c r="I268" i="5"/>
  <c r="K268" i="5"/>
  <c r="L268" i="5" s="1"/>
  <c r="N269" i="5"/>
  <c r="M267" i="5"/>
  <c r="M268" i="5" l="1"/>
  <c r="K269" i="5"/>
  <c r="L269" i="5" s="1"/>
  <c r="N270" i="5"/>
  <c r="G270" i="5"/>
  <c r="H270" i="5"/>
  <c r="F271" i="5"/>
  <c r="J270" i="5" s="1"/>
  <c r="M269" i="5"/>
  <c r="K270" i="5" l="1"/>
  <c r="L270" i="5" s="1"/>
  <c r="M270" i="5" s="1"/>
  <c r="N271" i="5"/>
  <c r="H271" i="5"/>
  <c r="G271" i="5"/>
  <c r="F272" i="5"/>
  <c r="I270" i="5"/>
  <c r="H272" i="5" l="1"/>
  <c r="G272" i="5"/>
  <c r="F273" i="5"/>
  <c r="I271" i="5"/>
  <c r="J271" i="5"/>
  <c r="K271" i="5" l="1"/>
  <c r="L271" i="5" s="1"/>
  <c r="N272" i="5"/>
  <c r="H273" i="5"/>
  <c r="G273" i="5"/>
  <c r="F274" i="5"/>
  <c r="I273" i="5" s="1"/>
  <c r="I272" i="5"/>
  <c r="J272" i="5"/>
  <c r="M271" i="5" l="1"/>
  <c r="K272" i="5"/>
  <c r="L272" i="5" s="1"/>
  <c r="N273" i="5"/>
  <c r="G274" i="5"/>
  <c r="H274" i="5"/>
  <c r="F275" i="5"/>
  <c r="I274" i="5" s="1"/>
  <c r="J273" i="5"/>
  <c r="J274" i="5" l="1"/>
  <c r="K274" i="5" s="1"/>
  <c r="M273" i="5"/>
  <c r="K273" i="5"/>
  <c r="L273" i="5" s="1"/>
  <c r="N274" i="5"/>
  <c r="G275" i="5"/>
  <c r="H275" i="5"/>
  <c r="F276" i="5"/>
  <c r="I275" i="5" s="1"/>
  <c r="M272" i="5"/>
  <c r="N275" i="5" l="1"/>
  <c r="J275" i="5"/>
  <c r="N276" i="5" s="1"/>
  <c r="F277" i="5"/>
  <c r="I276" i="5" s="1"/>
  <c r="H276" i="5"/>
  <c r="G276" i="5"/>
  <c r="J276" i="5"/>
  <c r="L274" i="5"/>
  <c r="M274" i="5" s="1"/>
  <c r="K275" i="5" l="1"/>
  <c r="L275" i="5" s="1"/>
  <c r="M276" i="5" s="1"/>
  <c r="K276" i="5"/>
  <c r="L276" i="5" s="1"/>
  <c r="N277" i="5"/>
  <c r="F278" i="5"/>
  <c r="I277" i="5" s="1"/>
  <c r="G277" i="5"/>
  <c r="H277" i="5"/>
  <c r="J277" i="5"/>
  <c r="M275" i="5"/>
  <c r="G278" i="5" l="1"/>
  <c r="H278" i="5"/>
  <c r="F279" i="5"/>
  <c r="K277" i="5"/>
  <c r="L277" i="5" s="1"/>
  <c r="N278" i="5"/>
  <c r="M277" i="5" l="1"/>
  <c r="G279" i="5"/>
  <c r="F280" i="5"/>
  <c r="I279" i="5" s="1"/>
  <c r="H279" i="5"/>
  <c r="J278" i="5"/>
  <c r="I278" i="5"/>
  <c r="J279" i="5" l="1"/>
  <c r="K279" i="5"/>
  <c r="K278" i="5"/>
  <c r="L278" i="5" s="1"/>
  <c r="N279" i="5"/>
  <c r="G280" i="5"/>
  <c r="H280" i="5"/>
  <c r="F281" i="5"/>
  <c r="I280" i="5" s="1"/>
  <c r="J280" i="5" l="1"/>
  <c r="K280" i="5" s="1"/>
  <c r="L280" i="5" s="1"/>
  <c r="N280" i="5"/>
  <c r="M278" i="5"/>
  <c r="H281" i="5"/>
  <c r="G281" i="5"/>
  <c r="F282" i="5"/>
  <c r="I281" i="5" s="1"/>
  <c r="L279" i="5"/>
  <c r="N281" i="5" l="1"/>
  <c r="J281" i="5"/>
  <c r="K281" i="5" s="1"/>
  <c r="L281" i="5" s="1"/>
  <c r="M281" i="5" s="1"/>
  <c r="N282" i="5"/>
  <c r="M280" i="5"/>
  <c r="G282" i="5"/>
  <c r="H282" i="5"/>
  <c r="F283" i="5"/>
  <c r="I282" i="5" s="1"/>
  <c r="M279" i="5"/>
  <c r="J282" i="5" l="1"/>
  <c r="K282" i="5"/>
  <c r="L282" i="5" s="1"/>
  <c r="N283" i="5"/>
  <c r="G283" i="5"/>
  <c r="H283" i="5"/>
  <c r="F284" i="5"/>
  <c r="M282" i="5"/>
  <c r="F285" i="5" l="1"/>
  <c r="J284" i="5" s="1"/>
  <c r="H284" i="5"/>
  <c r="G284" i="5"/>
  <c r="J283" i="5"/>
  <c r="I283" i="5"/>
  <c r="I284" i="5" l="1"/>
  <c r="K284" i="5"/>
  <c r="K283" i="5"/>
  <c r="L283" i="5" s="1"/>
  <c r="N284" i="5"/>
  <c r="N285" i="5" s="1"/>
  <c r="F286" i="5"/>
  <c r="G285" i="5"/>
  <c r="H285" i="5"/>
  <c r="H286" i="5" l="1"/>
  <c r="G286" i="5"/>
  <c r="F287" i="5"/>
  <c r="I285" i="5"/>
  <c r="M283" i="5"/>
  <c r="J285" i="5"/>
  <c r="L284" i="5"/>
  <c r="M284" i="5" s="1"/>
  <c r="G287" i="5" l="1"/>
  <c r="H287" i="5"/>
  <c r="F288" i="5"/>
  <c r="J286" i="5"/>
  <c r="M285" i="5"/>
  <c r="I286" i="5"/>
  <c r="K285" i="5"/>
  <c r="L285" i="5" s="1"/>
  <c r="N286" i="5"/>
  <c r="H288" i="5" l="1"/>
  <c r="G288" i="5"/>
  <c r="F289" i="5"/>
  <c r="J288" i="5" s="1"/>
  <c r="K286" i="5"/>
  <c r="L286" i="5" s="1"/>
  <c r="N287" i="5"/>
  <c r="J287" i="5"/>
  <c r="I287" i="5"/>
  <c r="K288" i="5" l="1"/>
  <c r="L288" i="5" s="1"/>
  <c r="N289" i="5"/>
  <c r="K287" i="5"/>
  <c r="L287" i="5" s="1"/>
  <c r="M288" i="5" s="1"/>
  <c r="N288" i="5"/>
  <c r="I288" i="5"/>
  <c r="M287" i="5"/>
  <c r="G289" i="5"/>
  <c r="H289" i="5"/>
  <c r="F290" i="5"/>
  <c r="M286" i="5"/>
  <c r="G290" i="5" l="1"/>
  <c r="H290" i="5"/>
  <c r="F291" i="5"/>
  <c r="J289" i="5"/>
  <c r="I289" i="5"/>
  <c r="N290" i="5" l="1"/>
  <c r="K289" i="5"/>
  <c r="L289" i="5" s="1"/>
  <c r="G291" i="5"/>
  <c r="H291" i="5"/>
  <c r="F292" i="5"/>
  <c r="J290" i="5"/>
  <c r="I290" i="5"/>
  <c r="F293" i="5" l="1"/>
  <c r="G292" i="5"/>
  <c r="H292" i="5"/>
  <c r="I292" i="5"/>
  <c r="I291" i="5"/>
  <c r="N291" i="5"/>
  <c r="K290" i="5"/>
  <c r="L290" i="5" s="1"/>
  <c r="J291" i="5"/>
  <c r="M289" i="5"/>
  <c r="J292" i="5" l="1"/>
  <c r="K292" i="5"/>
  <c r="L292" i="5" s="1"/>
  <c r="N293" i="5"/>
  <c r="M290" i="5"/>
  <c r="N292" i="5"/>
  <c r="K291" i="5"/>
  <c r="L291" i="5" s="1"/>
  <c r="M292" i="5" s="1"/>
  <c r="F294" i="5"/>
  <c r="J293" i="5" s="1"/>
  <c r="G293" i="5"/>
  <c r="H293" i="5"/>
  <c r="K293" i="5" l="1"/>
  <c r="L293" i="5" s="1"/>
  <c r="M293" i="5" s="1"/>
  <c r="N294" i="5"/>
  <c r="M291" i="5"/>
  <c r="H294" i="5"/>
  <c r="G294" i="5"/>
  <c r="F295" i="5"/>
  <c r="I293" i="5"/>
  <c r="G295" i="5" l="1"/>
  <c r="H295" i="5"/>
  <c r="F296" i="5"/>
  <c r="I295" i="5"/>
  <c r="J295" i="5"/>
  <c r="I294" i="5"/>
  <c r="J294" i="5"/>
  <c r="K295" i="5" l="1"/>
  <c r="K294" i="5"/>
  <c r="L294" i="5" s="1"/>
  <c r="N295" i="5"/>
  <c r="N296" i="5" s="1"/>
  <c r="G296" i="5"/>
  <c r="H296" i="5"/>
  <c r="F297" i="5"/>
  <c r="L295" i="5" l="1"/>
  <c r="H297" i="5"/>
  <c r="G297" i="5"/>
  <c r="F298" i="5"/>
  <c r="J297" i="5" s="1"/>
  <c r="I296" i="5"/>
  <c r="J296" i="5"/>
  <c r="M295" i="5"/>
  <c r="M294" i="5"/>
  <c r="K297" i="5" l="1"/>
  <c r="L297" i="5" s="1"/>
  <c r="N298" i="5"/>
  <c r="I297" i="5"/>
  <c r="K296" i="5"/>
  <c r="L296" i="5" s="1"/>
  <c r="N297" i="5"/>
  <c r="G298" i="5"/>
  <c r="H298" i="5"/>
  <c r="I298" i="5"/>
  <c r="F299" i="5"/>
  <c r="M297" i="5" l="1"/>
  <c r="M296" i="5"/>
  <c r="G299" i="5"/>
  <c r="H299" i="5"/>
  <c r="F300" i="5"/>
  <c r="J298" i="5"/>
  <c r="F301" i="5" l="1"/>
  <c r="H300" i="5"/>
  <c r="G300" i="5"/>
  <c r="J300" i="5"/>
  <c r="I300" i="5"/>
  <c r="I299" i="5"/>
  <c r="J299" i="5"/>
  <c r="K298" i="5"/>
  <c r="L298" i="5" s="1"/>
  <c r="N299" i="5"/>
  <c r="K299" i="5" l="1"/>
  <c r="L299" i="5" s="1"/>
  <c r="N300" i="5"/>
  <c r="M299" i="5"/>
  <c r="M298" i="5"/>
  <c r="K300" i="5"/>
  <c r="L300" i="5" s="1"/>
  <c r="N301" i="5"/>
  <c r="F302" i="5"/>
  <c r="G301" i="5"/>
  <c r="H301" i="5"/>
  <c r="G302" i="5" l="1"/>
  <c r="H302" i="5"/>
  <c r="F303" i="5"/>
  <c r="J302" i="5" s="1"/>
  <c r="I301" i="5"/>
  <c r="J301" i="5"/>
  <c r="M300" i="5"/>
  <c r="K302" i="5" l="1"/>
  <c r="L302" i="5" s="1"/>
  <c r="N303" i="5"/>
  <c r="G303" i="5"/>
  <c r="H303" i="5"/>
  <c r="F304" i="5"/>
  <c r="I303" i="5" s="1"/>
  <c r="K301" i="5"/>
  <c r="L301" i="5" s="1"/>
  <c r="N302" i="5"/>
  <c r="I302" i="5"/>
  <c r="M302" i="5" l="1"/>
  <c r="M301" i="5"/>
  <c r="J303" i="5"/>
  <c r="G304" i="5"/>
  <c r="H304" i="5"/>
  <c r="F305" i="5"/>
  <c r="J304" i="5" s="1"/>
  <c r="K304" i="5" l="1"/>
  <c r="I304" i="5"/>
  <c r="H305" i="5"/>
  <c r="G305" i="5"/>
  <c r="F306" i="5"/>
  <c r="I305" i="5" s="1"/>
  <c r="K303" i="5"/>
  <c r="L303" i="5" s="1"/>
  <c r="N304" i="5"/>
  <c r="N305" i="5" s="1"/>
  <c r="J305" i="5" l="1"/>
  <c r="G306" i="5"/>
  <c r="H306" i="5"/>
  <c r="F307" i="5"/>
  <c r="M303" i="5"/>
  <c r="L304" i="5"/>
  <c r="M304" i="5" s="1"/>
  <c r="G307" i="5" l="1"/>
  <c r="H307" i="5"/>
  <c r="F308" i="5"/>
  <c r="J306" i="5"/>
  <c r="I306" i="5"/>
  <c r="N306" i="5"/>
  <c r="K305" i="5"/>
  <c r="L305" i="5" s="1"/>
  <c r="M305" i="5" s="1"/>
  <c r="F309" i="5" l="1"/>
  <c r="G308" i="5"/>
  <c r="H308" i="5"/>
  <c r="I308" i="5"/>
  <c r="J308" i="5"/>
  <c r="K306" i="5"/>
  <c r="L306" i="5" s="1"/>
  <c r="N307" i="5"/>
  <c r="J307" i="5"/>
  <c r="I307" i="5"/>
  <c r="K308" i="5" l="1"/>
  <c r="K307" i="5"/>
  <c r="L307" i="5" s="1"/>
  <c r="M307" i="5" s="1"/>
  <c r="N308" i="5"/>
  <c r="N309" i="5" s="1"/>
  <c r="M306" i="5"/>
  <c r="F310" i="5"/>
  <c r="J309" i="5" s="1"/>
  <c r="G309" i="5"/>
  <c r="H309" i="5"/>
  <c r="K309" i="5" l="1"/>
  <c r="N310" i="5"/>
  <c r="G310" i="5"/>
  <c r="H310" i="5"/>
  <c r="F311" i="5"/>
  <c r="I309" i="5"/>
  <c r="L308" i="5"/>
  <c r="H311" i="5" l="1"/>
  <c r="G311" i="5"/>
  <c r="F312" i="5"/>
  <c r="J310" i="5"/>
  <c r="I310" i="5"/>
  <c r="M308" i="5"/>
  <c r="L309" i="5"/>
  <c r="M309" i="5" s="1"/>
  <c r="H312" i="5" l="1"/>
  <c r="G312" i="5"/>
  <c r="F313" i="5"/>
  <c r="I312" i="5" s="1"/>
  <c r="J311" i="5"/>
  <c r="I311" i="5"/>
  <c r="K310" i="5"/>
  <c r="L310" i="5" s="1"/>
  <c r="N311" i="5"/>
  <c r="K311" i="5" l="1"/>
  <c r="L311" i="5" s="1"/>
  <c r="N312" i="5"/>
  <c r="M311" i="5"/>
  <c r="H313" i="5"/>
  <c r="G313" i="5"/>
  <c r="F314" i="5"/>
  <c r="I313" i="5" s="1"/>
  <c r="J312" i="5"/>
  <c r="M310" i="5"/>
  <c r="G314" i="5" l="1"/>
  <c r="H314" i="5"/>
  <c r="F315" i="5"/>
  <c r="J313" i="5"/>
  <c r="K312" i="5"/>
  <c r="L312" i="5" s="1"/>
  <c r="N313" i="5"/>
  <c r="G315" i="5" l="1"/>
  <c r="H315" i="5"/>
  <c r="F316" i="5"/>
  <c r="J315" i="5" s="1"/>
  <c r="J314" i="5"/>
  <c r="N314" i="5"/>
  <c r="K313" i="5"/>
  <c r="L313" i="5" s="1"/>
  <c r="M313" i="5" s="1"/>
  <c r="I314" i="5"/>
  <c r="M312" i="5"/>
  <c r="F317" i="5" l="1"/>
  <c r="G316" i="5"/>
  <c r="H316" i="5"/>
  <c r="I316" i="5"/>
  <c r="J316" i="5"/>
  <c r="N316" i="5"/>
  <c r="K315" i="5"/>
  <c r="L315" i="5" s="1"/>
  <c r="I315" i="5"/>
  <c r="N315" i="5"/>
  <c r="K314" i="5"/>
  <c r="L314" i="5" s="1"/>
  <c r="M314" i="5"/>
  <c r="K316" i="5" l="1"/>
  <c r="L316" i="5" s="1"/>
  <c r="N317" i="5"/>
  <c r="M315" i="5"/>
  <c r="F318" i="5"/>
  <c r="G317" i="5"/>
  <c r="H317" i="5"/>
  <c r="I317" i="5"/>
  <c r="G318" i="5" l="1"/>
  <c r="H318" i="5"/>
  <c r="F319" i="5"/>
  <c r="J317" i="5"/>
  <c r="M316" i="5"/>
  <c r="K317" i="5" l="1"/>
  <c r="L317" i="5" s="1"/>
  <c r="N318" i="5"/>
  <c r="H319" i="5"/>
  <c r="F320" i="5"/>
  <c r="I319" i="5" s="1"/>
  <c r="G319" i="5"/>
  <c r="J318" i="5"/>
  <c r="I318" i="5"/>
  <c r="J319" i="5" l="1"/>
  <c r="G320" i="5"/>
  <c r="H320" i="5"/>
  <c r="F321" i="5"/>
  <c r="K318" i="5"/>
  <c r="L318" i="5" s="1"/>
  <c r="N319" i="5"/>
  <c r="M317" i="5"/>
  <c r="H321" i="5" l="1"/>
  <c r="G321" i="5"/>
  <c r="F322" i="5"/>
  <c r="J320" i="5"/>
  <c r="I320" i="5"/>
  <c r="M318" i="5"/>
  <c r="K319" i="5"/>
  <c r="L319" i="5" s="1"/>
  <c r="N320" i="5"/>
  <c r="G322" i="5" l="1"/>
  <c r="H322" i="5"/>
  <c r="F323" i="5"/>
  <c r="J321" i="5"/>
  <c r="I321" i="5"/>
  <c r="N321" i="5"/>
  <c r="K320" i="5"/>
  <c r="L320" i="5" s="1"/>
  <c r="M320" i="5" s="1"/>
  <c r="M319" i="5"/>
  <c r="G323" i="5" l="1"/>
  <c r="H323" i="5"/>
  <c r="F324" i="5"/>
  <c r="I322" i="5"/>
  <c r="N322" i="5"/>
  <c r="K321" i="5"/>
  <c r="L321" i="5" s="1"/>
  <c r="J322" i="5"/>
  <c r="F325" i="5" l="1"/>
  <c r="H324" i="5"/>
  <c r="G324" i="5"/>
  <c r="I324" i="5"/>
  <c r="J324" i="5"/>
  <c r="I323" i="5"/>
  <c r="M322" i="5"/>
  <c r="J323" i="5"/>
  <c r="M321" i="5"/>
  <c r="N323" i="5"/>
  <c r="K322" i="5"/>
  <c r="L322" i="5" s="1"/>
  <c r="K323" i="5" l="1"/>
  <c r="L323" i="5" s="1"/>
  <c r="N324" i="5"/>
  <c r="K324" i="5"/>
  <c r="L324" i="5" s="1"/>
  <c r="N325" i="5"/>
  <c r="M323" i="5"/>
  <c r="F326" i="5"/>
  <c r="G325" i="5"/>
  <c r="H325" i="5"/>
  <c r="G326" i="5" l="1"/>
  <c r="H326" i="5"/>
  <c r="F327" i="5"/>
  <c r="J325" i="5"/>
  <c r="I325" i="5"/>
  <c r="M324" i="5"/>
  <c r="G327" i="5" l="1"/>
  <c r="H327" i="5"/>
  <c r="F328" i="5"/>
  <c r="K325" i="5"/>
  <c r="L325" i="5" s="1"/>
  <c r="N326" i="5"/>
  <c r="I326" i="5"/>
  <c r="J326" i="5"/>
  <c r="M325" i="5" l="1"/>
  <c r="G328" i="5"/>
  <c r="H328" i="5"/>
  <c r="F329" i="5"/>
  <c r="J327" i="5"/>
  <c r="I327" i="5"/>
  <c r="K326" i="5"/>
  <c r="L326" i="5" s="1"/>
  <c r="N327" i="5"/>
  <c r="H329" i="5" l="1"/>
  <c r="G329" i="5"/>
  <c r="F330" i="5"/>
  <c r="J328" i="5"/>
  <c r="I328" i="5"/>
  <c r="K327" i="5"/>
  <c r="L327" i="5" s="1"/>
  <c r="N328" i="5"/>
  <c r="M326" i="5"/>
  <c r="G330" i="5" l="1"/>
  <c r="H330" i="5"/>
  <c r="F331" i="5"/>
  <c r="K328" i="5"/>
  <c r="L328" i="5" s="1"/>
  <c r="N329" i="5"/>
  <c r="I329" i="5"/>
  <c r="J329" i="5"/>
  <c r="M327" i="5"/>
  <c r="G331" i="5" l="1"/>
  <c r="H331" i="5"/>
  <c r="F332" i="5"/>
  <c r="J330" i="5"/>
  <c r="I330" i="5"/>
  <c r="N330" i="5"/>
  <c r="K329" i="5"/>
  <c r="L329" i="5" s="1"/>
  <c r="M329" i="5" s="1"/>
  <c r="M328" i="5"/>
  <c r="F333" i="5" l="1"/>
  <c r="H332" i="5"/>
  <c r="G332" i="5"/>
  <c r="I332" i="5"/>
  <c r="J332" i="5"/>
  <c r="I331" i="5"/>
  <c r="N331" i="5"/>
  <c r="K330" i="5"/>
  <c r="L330" i="5" s="1"/>
  <c r="J331" i="5"/>
  <c r="K332" i="5" l="1"/>
  <c r="M330" i="5"/>
  <c r="N332" i="5"/>
  <c r="N333" i="5" s="1"/>
  <c r="K331" i="5"/>
  <c r="L331" i="5" s="1"/>
  <c r="F334" i="5"/>
  <c r="G333" i="5"/>
  <c r="H333" i="5"/>
  <c r="G334" i="5" l="1"/>
  <c r="H334" i="5"/>
  <c r="F335" i="5"/>
  <c r="J333" i="5"/>
  <c r="I333" i="5"/>
  <c r="L332" i="5"/>
  <c r="M331" i="5"/>
  <c r="G335" i="5" l="1"/>
  <c r="H335" i="5"/>
  <c r="F336" i="5"/>
  <c r="J335" i="5" s="1"/>
  <c r="J334" i="5"/>
  <c r="I334" i="5"/>
  <c r="K333" i="5"/>
  <c r="L333" i="5" s="1"/>
  <c r="M333" i="5" s="1"/>
  <c r="N334" i="5"/>
  <c r="M332" i="5"/>
  <c r="K335" i="5" l="1"/>
  <c r="K334" i="5"/>
  <c r="L334" i="5" s="1"/>
  <c r="N335" i="5"/>
  <c r="N336" i="5" s="1"/>
  <c r="H336" i="5"/>
  <c r="G336" i="5"/>
  <c r="F337" i="5"/>
  <c r="I336" i="5" s="1"/>
  <c r="I335" i="5"/>
  <c r="J336" i="5" l="1"/>
  <c r="K336" i="5" s="1"/>
  <c r="L336" i="5" s="1"/>
  <c r="M334" i="5"/>
  <c r="H337" i="5"/>
  <c r="G337" i="5"/>
  <c r="F338" i="5"/>
  <c r="I337" i="5" s="1"/>
  <c r="L335" i="5"/>
  <c r="N337" i="5" l="1"/>
  <c r="M336" i="5"/>
  <c r="M335" i="5"/>
  <c r="G338" i="5"/>
  <c r="H338" i="5"/>
  <c r="F339" i="5"/>
  <c r="J337" i="5"/>
  <c r="N338" i="5" l="1"/>
  <c r="K337" i="5"/>
  <c r="L337" i="5" s="1"/>
  <c r="G339" i="5"/>
  <c r="H339" i="5"/>
  <c r="F340" i="5"/>
  <c r="I339" i="5" s="1"/>
  <c r="J338" i="5"/>
  <c r="I338" i="5"/>
  <c r="N339" i="5" l="1"/>
  <c r="K338" i="5"/>
  <c r="L338" i="5" s="1"/>
  <c r="J339" i="5"/>
  <c r="F341" i="5"/>
  <c r="H340" i="5"/>
  <c r="G340" i="5"/>
  <c r="J340" i="5"/>
  <c r="M337" i="5"/>
  <c r="F342" i="5" l="1"/>
  <c r="G341" i="5"/>
  <c r="H341" i="5"/>
  <c r="J341" i="5" s="1"/>
  <c r="I341" i="5"/>
  <c r="K340" i="5"/>
  <c r="N341" i="5"/>
  <c r="I340" i="5"/>
  <c r="K339" i="5"/>
  <c r="L339" i="5" s="1"/>
  <c r="M339" i="5" s="1"/>
  <c r="N340" i="5"/>
  <c r="M338" i="5"/>
  <c r="L340" i="5" l="1"/>
  <c r="K341" i="5"/>
  <c r="L341" i="5" s="1"/>
  <c r="N342" i="5"/>
  <c r="M341" i="5"/>
  <c r="M340" i="5"/>
  <c r="G342" i="5"/>
  <c r="H342" i="5"/>
  <c r="I342" i="5"/>
  <c r="F343" i="5"/>
  <c r="J342" i="5" s="1"/>
  <c r="K342" i="5" l="1"/>
  <c r="L342" i="5" s="1"/>
  <c r="N343" i="5"/>
  <c r="G343" i="5"/>
  <c r="H343" i="5"/>
  <c r="F344" i="5"/>
  <c r="I343" i="5" s="1"/>
  <c r="M342" i="5"/>
  <c r="H344" i="5" l="1"/>
  <c r="G344" i="5"/>
  <c r="F345" i="5"/>
  <c r="J343" i="5"/>
  <c r="K343" i="5" l="1"/>
  <c r="L343" i="5" s="1"/>
  <c r="N344" i="5"/>
  <c r="H345" i="5"/>
  <c r="G345" i="5"/>
  <c r="F346" i="5"/>
  <c r="J344" i="5"/>
  <c r="I344" i="5"/>
  <c r="G346" i="5" l="1"/>
  <c r="H346" i="5"/>
  <c r="F347" i="5"/>
  <c r="K344" i="5"/>
  <c r="L344" i="5" s="1"/>
  <c r="N345" i="5"/>
  <c r="J345" i="5"/>
  <c r="I345" i="5"/>
  <c r="M343" i="5"/>
  <c r="G347" i="5" l="1"/>
  <c r="H347" i="5"/>
  <c r="F348" i="5"/>
  <c r="J347" i="5" s="1"/>
  <c r="I346" i="5"/>
  <c r="N346" i="5"/>
  <c r="K345" i="5"/>
  <c r="L345" i="5" s="1"/>
  <c r="M345" i="5" s="1"/>
  <c r="J346" i="5"/>
  <c r="M344" i="5"/>
  <c r="F349" i="5" l="1"/>
  <c r="H348" i="5"/>
  <c r="G348" i="5"/>
  <c r="I348" i="5"/>
  <c r="J348" i="5"/>
  <c r="I347" i="5"/>
  <c r="N348" i="5"/>
  <c r="K347" i="5"/>
  <c r="L347" i="5" s="1"/>
  <c r="N347" i="5"/>
  <c r="K346" i="5"/>
  <c r="L346" i="5" s="1"/>
  <c r="M346" i="5" s="1"/>
  <c r="K348" i="5" l="1"/>
  <c r="L348" i="5" s="1"/>
  <c r="N349" i="5"/>
  <c r="M347" i="5"/>
  <c r="F350" i="5"/>
  <c r="G349" i="5"/>
  <c r="H349" i="5"/>
  <c r="I349" i="5"/>
  <c r="G350" i="5" l="1"/>
  <c r="H350" i="5"/>
  <c r="F351" i="5"/>
  <c r="J349" i="5"/>
  <c r="M348" i="5"/>
  <c r="K349" i="5" l="1"/>
  <c r="L349" i="5" s="1"/>
  <c r="N350" i="5"/>
  <c r="G351" i="5"/>
  <c r="H351" i="5"/>
  <c r="F352" i="5"/>
  <c r="J350" i="5"/>
  <c r="I350" i="5"/>
  <c r="H352" i="5" l="1"/>
  <c r="G352" i="5"/>
  <c r="F353" i="5"/>
  <c r="I351" i="5"/>
  <c r="K350" i="5"/>
  <c r="L350" i="5" s="1"/>
  <c r="N351" i="5"/>
  <c r="J351" i="5"/>
  <c r="M349" i="5"/>
  <c r="G353" i="5" l="1"/>
  <c r="H353" i="5"/>
  <c r="F354" i="5"/>
  <c r="I353" i="5" s="1"/>
  <c r="J352" i="5"/>
  <c r="M350" i="5"/>
  <c r="I352" i="5"/>
  <c r="K351" i="5"/>
  <c r="L351" i="5" s="1"/>
  <c r="M351" i="5" s="1"/>
  <c r="N352" i="5"/>
  <c r="G354" i="5" l="1"/>
  <c r="H354" i="5"/>
  <c r="F355" i="5"/>
  <c r="J353" i="5"/>
  <c r="K352" i="5"/>
  <c r="L352" i="5" s="1"/>
  <c r="N353" i="5"/>
  <c r="G355" i="5" l="1"/>
  <c r="H355" i="5"/>
  <c r="F356" i="5"/>
  <c r="N354" i="5"/>
  <c r="K353" i="5"/>
  <c r="L353" i="5" s="1"/>
  <c r="M353" i="5" s="1"/>
  <c r="J354" i="5"/>
  <c r="I354" i="5"/>
  <c r="M352" i="5"/>
  <c r="G356" i="5" l="1"/>
  <c r="H356" i="5"/>
  <c r="F357" i="5"/>
  <c r="J356" i="5" s="1"/>
  <c r="I356" i="5"/>
  <c r="M354" i="5"/>
  <c r="J355" i="5"/>
  <c r="I355" i="5"/>
  <c r="N355" i="5"/>
  <c r="K354" i="5"/>
  <c r="L354" i="5" s="1"/>
  <c r="K356" i="5" l="1"/>
  <c r="L356" i="5" s="1"/>
  <c r="N357" i="5"/>
  <c r="K355" i="5"/>
  <c r="L355" i="5" s="1"/>
  <c r="N356" i="5"/>
  <c r="F358" i="5"/>
  <c r="G357" i="5"/>
  <c r="H357" i="5"/>
  <c r="I357" i="5"/>
  <c r="M356" i="5" l="1"/>
  <c r="H358" i="5"/>
  <c r="G358" i="5"/>
  <c r="F359" i="5"/>
  <c r="M355" i="5"/>
  <c r="J357" i="5"/>
  <c r="K357" i="5" l="1"/>
  <c r="L357" i="5" s="1"/>
  <c r="N358" i="5"/>
  <c r="G359" i="5"/>
  <c r="H359" i="5"/>
  <c r="F360" i="5"/>
  <c r="J359" i="5" s="1"/>
  <c r="J358" i="5"/>
  <c r="I358" i="5"/>
  <c r="K359" i="5" l="1"/>
  <c r="M357" i="5"/>
  <c r="K358" i="5"/>
  <c r="L358" i="5" s="1"/>
  <c r="N359" i="5"/>
  <c r="N360" i="5" s="1"/>
  <c r="G360" i="5"/>
  <c r="H360" i="5"/>
  <c r="F361" i="5"/>
  <c r="I360" i="5" s="1"/>
  <c r="I359" i="5"/>
  <c r="M358" i="5" l="1"/>
  <c r="H361" i="5"/>
  <c r="G361" i="5"/>
  <c r="F362" i="5"/>
  <c r="I361" i="5" s="1"/>
  <c r="J360" i="5"/>
  <c r="L359" i="5"/>
  <c r="K360" i="5" l="1"/>
  <c r="L360" i="5" s="1"/>
  <c r="N361" i="5"/>
  <c r="J361" i="5"/>
  <c r="G362" i="5"/>
  <c r="H362" i="5"/>
  <c r="F363" i="5"/>
  <c r="M360" i="5"/>
  <c r="M359" i="5"/>
  <c r="G363" i="5" l="1"/>
  <c r="H363" i="5"/>
  <c r="F364" i="5"/>
  <c r="N362" i="5"/>
  <c r="K361" i="5"/>
  <c r="L361" i="5" s="1"/>
  <c r="J362" i="5"/>
  <c r="I362" i="5"/>
  <c r="F365" i="5" l="1"/>
  <c r="H364" i="5"/>
  <c r="G364" i="5"/>
  <c r="I364" i="5"/>
  <c r="J364" i="5"/>
  <c r="N363" i="5"/>
  <c r="K362" i="5"/>
  <c r="L362" i="5" s="1"/>
  <c r="I363" i="5"/>
  <c r="J363" i="5"/>
  <c r="M361" i="5"/>
  <c r="K364" i="5" l="1"/>
  <c r="N364" i="5"/>
  <c r="N365" i="5" s="1"/>
  <c r="K363" i="5"/>
  <c r="L363" i="5" s="1"/>
  <c r="M362" i="5"/>
  <c r="F366" i="5"/>
  <c r="G365" i="5"/>
  <c r="H365" i="5"/>
  <c r="G366" i="5" l="1"/>
  <c r="H366" i="5"/>
  <c r="F367" i="5"/>
  <c r="J366" i="5" s="1"/>
  <c r="J365" i="5"/>
  <c r="L364" i="5"/>
  <c r="I365" i="5"/>
  <c r="M363" i="5"/>
  <c r="K366" i="5" l="1"/>
  <c r="K365" i="5"/>
  <c r="L365" i="5" s="1"/>
  <c r="N366" i="5"/>
  <c r="N367" i="5" s="1"/>
  <c r="G367" i="5"/>
  <c r="H367" i="5"/>
  <c r="F368" i="5"/>
  <c r="I367" i="5" s="1"/>
  <c r="I366" i="5"/>
  <c r="M364" i="5"/>
  <c r="J367" i="5" l="1"/>
  <c r="K367" i="5"/>
  <c r="N368" i="5"/>
  <c r="M365" i="5"/>
  <c r="G368" i="5"/>
  <c r="H368" i="5"/>
  <c r="I368" i="5"/>
  <c r="J368" i="5"/>
  <c r="F369" i="5"/>
  <c r="L366" i="5"/>
  <c r="K368" i="5" l="1"/>
  <c r="N369" i="5"/>
  <c r="L367" i="5"/>
  <c r="H369" i="5"/>
  <c r="G369" i="5"/>
  <c r="F370" i="5"/>
  <c r="I369" i="5" s="1"/>
  <c r="M366" i="5"/>
  <c r="J369" i="5" l="1"/>
  <c r="N370" i="5"/>
  <c r="K369" i="5"/>
  <c r="L369" i="5" s="1"/>
  <c r="M367" i="5"/>
  <c r="G370" i="5"/>
  <c r="H370" i="5"/>
  <c r="I370" i="5"/>
  <c r="J370" i="5"/>
  <c r="F371" i="5"/>
  <c r="L368" i="5"/>
  <c r="N371" i="5" l="1"/>
  <c r="K370" i="5"/>
  <c r="L370" i="5" s="1"/>
  <c r="M370" i="5"/>
  <c r="M369" i="5"/>
  <c r="G371" i="5"/>
  <c r="H371" i="5"/>
  <c r="I371" i="5"/>
  <c r="J371" i="5"/>
  <c r="F372" i="5"/>
  <c r="M368" i="5"/>
  <c r="K371" i="5" l="1"/>
  <c r="L371" i="5" s="1"/>
  <c r="N372" i="5"/>
  <c r="M371" i="5"/>
  <c r="F373" i="5"/>
  <c r="H372" i="5"/>
  <c r="G372" i="5"/>
  <c r="I372" i="5"/>
  <c r="J372" i="5"/>
  <c r="K372" i="5" l="1"/>
  <c r="L372" i="5" s="1"/>
  <c r="N373" i="5"/>
  <c r="F374" i="5"/>
  <c r="G373" i="5"/>
  <c r="H373" i="5"/>
  <c r="I373" i="5"/>
  <c r="J373" i="5"/>
  <c r="M372" i="5"/>
  <c r="K373" i="5" l="1"/>
  <c r="L373" i="5" s="1"/>
  <c r="N374" i="5"/>
  <c r="G374" i="5"/>
  <c r="H374" i="5"/>
  <c r="F375" i="5"/>
  <c r="M373" i="5"/>
  <c r="H375" i="5" l="1"/>
  <c r="G375" i="5"/>
  <c r="F376" i="5"/>
  <c r="I374" i="5"/>
  <c r="J374" i="5"/>
  <c r="K374" i="5" l="1"/>
  <c r="L374" i="5" s="1"/>
  <c r="N375" i="5"/>
  <c r="G376" i="5"/>
  <c r="H376" i="5"/>
  <c r="F377" i="5"/>
  <c r="J376" i="5" s="1"/>
  <c r="J375" i="5"/>
  <c r="I375" i="5"/>
  <c r="K376" i="5" l="1"/>
  <c r="K375" i="5"/>
  <c r="L375" i="5" s="1"/>
  <c r="N376" i="5"/>
  <c r="N377" i="5" s="1"/>
  <c r="G377" i="5"/>
  <c r="H377" i="5"/>
  <c r="F378" i="5"/>
  <c r="J377" i="5" s="1"/>
  <c r="I376" i="5"/>
  <c r="M374" i="5"/>
  <c r="I377" i="5" l="1"/>
  <c r="N378" i="5"/>
  <c r="K377" i="5"/>
  <c r="L377" i="5" s="1"/>
  <c r="M375" i="5"/>
  <c r="G378" i="5"/>
  <c r="H378" i="5"/>
  <c r="F379" i="5"/>
  <c r="I378" i="5" s="1"/>
  <c r="L376" i="5"/>
  <c r="J378" i="5" l="1"/>
  <c r="N379" i="5"/>
  <c r="K378" i="5"/>
  <c r="L378" i="5" s="1"/>
  <c r="M378" i="5"/>
  <c r="M377" i="5"/>
  <c r="G379" i="5"/>
  <c r="H379" i="5"/>
  <c r="J379" i="5"/>
  <c r="F380" i="5"/>
  <c r="I379" i="5" s="1"/>
  <c r="M376" i="5"/>
  <c r="N380" i="5" l="1"/>
  <c r="K379" i="5"/>
  <c r="L379" i="5" s="1"/>
  <c r="M379" i="5"/>
  <c r="F381" i="5"/>
  <c r="G380" i="5"/>
  <c r="H380" i="5"/>
  <c r="I380" i="5"/>
  <c r="J380" i="5"/>
  <c r="K380" i="5" l="1"/>
  <c r="L380" i="5" s="1"/>
  <c r="N381" i="5"/>
  <c r="F382" i="5"/>
  <c r="G381" i="5"/>
  <c r="H381" i="5"/>
  <c r="I381" i="5"/>
  <c r="J381" i="5"/>
  <c r="M380" i="5"/>
  <c r="K381" i="5" l="1"/>
  <c r="L381" i="5" s="1"/>
  <c r="N382" i="5"/>
  <c r="G382" i="5"/>
  <c r="H382" i="5"/>
  <c r="F383" i="5"/>
  <c r="M381" i="5"/>
  <c r="H383" i="5" l="1"/>
  <c r="F384" i="5"/>
  <c r="G383" i="5"/>
  <c r="I383" i="5"/>
  <c r="J383" i="5"/>
  <c r="J382" i="5"/>
  <c r="I382" i="5"/>
  <c r="K383" i="5" l="1"/>
  <c r="K382" i="5"/>
  <c r="L382" i="5" s="1"/>
  <c r="N383" i="5"/>
  <c r="N384" i="5" s="1"/>
  <c r="H384" i="5"/>
  <c r="G384" i="5"/>
  <c r="F385" i="5"/>
  <c r="I384" i="5" s="1"/>
  <c r="J384" i="5" l="1"/>
  <c r="K384" i="5" s="1"/>
  <c r="M383" i="5"/>
  <c r="M382" i="5"/>
  <c r="H385" i="5"/>
  <c r="G385" i="5"/>
  <c r="I385" i="5"/>
  <c r="J385" i="5"/>
  <c r="F386" i="5"/>
  <c r="L383" i="5"/>
  <c r="N385" i="5" l="1"/>
  <c r="N386" i="5"/>
  <c r="K385" i="5"/>
  <c r="L385" i="5" s="1"/>
  <c r="G386" i="5"/>
  <c r="H386" i="5"/>
  <c r="F387" i="5"/>
  <c r="L384" i="5"/>
  <c r="M384" i="5" s="1"/>
  <c r="G387" i="5" l="1"/>
  <c r="H387" i="5"/>
  <c r="F388" i="5"/>
  <c r="J386" i="5"/>
  <c r="I386" i="5"/>
  <c r="M385" i="5"/>
  <c r="F389" i="5" l="1"/>
  <c r="J388" i="5" s="1"/>
  <c r="H388" i="5"/>
  <c r="G388" i="5"/>
  <c r="N387" i="5"/>
  <c r="K386" i="5"/>
  <c r="L386" i="5" s="1"/>
  <c r="J387" i="5"/>
  <c r="I387" i="5"/>
  <c r="I388" i="5" l="1"/>
  <c r="K387" i="5"/>
  <c r="L387" i="5" s="1"/>
  <c r="M387" i="5" s="1"/>
  <c r="N388" i="5"/>
  <c r="K388" i="5"/>
  <c r="N389" i="5"/>
  <c r="M386" i="5"/>
  <c r="F390" i="5"/>
  <c r="G389" i="5"/>
  <c r="H389" i="5"/>
  <c r="L388" i="5" l="1"/>
  <c r="M388" i="5" s="1"/>
  <c r="G390" i="5"/>
  <c r="H390" i="5"/>
  <c r="F391" i="5"/>
  <c r="J389" i="5"/>
  <c r="I389" i="5"/>
  <c r="K389" i="5" l="1"/>
  <c r="L389" i="5" s="1"/>
  <c r="N390" i="5"/>
  <c r="H391" i="5"/>
  <c r="G391" i="5"/>
  <c r="F392" i="5"/>
  <c r="J390" i="5"/>
  <c r="I390" i="5"/>
  <c r="H392" i="5" l="1"/>
  <c r="G392" i="5"/>
  <c r="F393" i="5"/>
  <c r="I392" i="5" s="1"/>
  <c r="K390" i="5"/>
  <c r="L390" i="5" s="1"/>
  <c r="N391" i="5"/>
  <c r="J391" i="5"/>
  <c r="I391" i="5"/>
  <c r="M389" i="5"/>
  <c r="J392" i="5" l="1"/>
  <c r="K391" i="5"/>
  <c r="L391" i="5" s="1"/>
  <c r="N392" i="5"/>
  <c r="H393" i="5"/>
  <c r="G393" i="5"/>
  <c r="F394" i="5"/>
  <c r="I393" i="5" s="1"/>
  <c r="M390" i="5"/>
  <c r="J393" i="5" l="1"/>
  <c r="K393" i="5"/>
  <c r="K392" i="5"/>
  <c r="L392" i="5" s="1"/>
  <c r="M392" i="5" s="1"/>
  <c r="N393" i="5"/>
  <c r="N394" i="5" s="1"/>
  <c r="H394" i="5"/>
  <c r="G394" i="5"/>
  <c r="F395" i="5"/>
  <c r="I394" i="5" s="1"/>
  <c r="M391" i="5"/>
  <c r="G395" i="5" l="1"/>
  <c r="H395" i="5"/>
  <c r="F396" i="5"/>
  <c r="J395" i="5" s="1"/>
  <c r="L393" i="5"/>
  <c r="J394" i="5"/>
  <c r="K395" i="5" l="1"/>
  <c r="N395" i="5"/>
  <c r="N396" i="5" s="1"/>
  <c r="K394" i="5"/>
  <c r="L394" i="5" s="1"/>
  <c r="G396" i="5"/>
  <c r="H396" i="5"/>
  <c r="F397" i="5"/>
  <c r="I395" i="5"/>
  <c r="M393" i="5"/>
  <c r="F398" i="5" l="1"/>
  <c r="G397" i="5"/>
  <c r="H397" i="5"/>
  <c r="I397" i="5"/>
  <c r="J397" i="5"/>
  <c r="M394" i="5"/>
  <c r="I396" i="5"/>
  <c r="L395" i="5"/>
  <c r="J396" i="5"/>
  <c r="H398" i="5" l="1"/>
  <c r="G398" i="5"/>
  <c r="F399" i="5"/>
  <c r="J398" i="5" s="1"/>
  <c r="K397" i="5"/>
  <c r="K396" i="5"/>
  <c r="L396" i="5" s="1"/>
  <c r="N397" i="5"/>
  <c r="N398" i="5" s="1"/>
  <c r="M395" i="5"/>
  <c r="L397" i="5" l="1"/>
  <c r="G399" i="5"/>
  <c r="H399" i="5"/>
  <c r="F400" i="5"/>
  <c r="K398" i="5"/>
  <c r="L398" i="5" s="1"/>
  <c r="N399" i="5"/>
  <c r="I398" i="5"/>
  <c r="M396" i="5"/>
  <c r="G400" i="5" l="1"/>
  <c r="H400" i="5"/>
  <c r="F401" i="5"/>
  <c r="J399" i="5"/>
  <c r="M398" i="5"/>
  <c r="I399" i="5"/>
  <c r="M397" i="5"/>
  <c r="H401" i="5" l="1"/>
  <c r="G401" i="5"/>
  <c r="F402" i="5"/>
  <c r="J400" i="5"/>
  <c r="K399" i="5"/>
  <c r="L399" i="5" s="1"/>
  <c r="N400" i="5"/>
  <c r="I400" i="5"/>
  <c r="H402" i="5" l="1"/>
  <c r="G402" i="5"/>
  <c r="F403" i="5"/>
  <c r="N401" i="5"/>
  <c r="K400" i="5"/>
  <c r="L400" i="5" s="1"/>
  <c r="M400" i="5" s="1"/>
  <c r="M399" i="5"/>
  <c r="I401" i="5"/>
  <c r="J401" i="5"/>
  <c r="G403" i="5" l="1"/>
  <c r="H403" i="5"/>
  <c r="F404" i="5"/>
  <c r="N402" i="5"/>
  <c r="K401" i="5"/>
  <c r="L401" i="5" s="1"/>
  <c r="I402" i="5"/>
  <c r="J402" i="5"/>
  <c r="G404" i="5" l="1"/>
  <c r="F405" i="5"/>
  <c r="H404" i="5"/>
  <c r="J404" i="5" s="1"/>
  <c r="I404" i="5"/>
  <c r="M402" i="5"/>
  <c r="J403" i="5"/>
  <c r="I403" i="5"/>
  <c r="N403" i="5"/>
  <c r="K402" i="5"/>
  <c r="L402" i="5" s="1"/>
  <c r="M401" i="5"/>
  <c r="K404" i="5" l="1"/>
  <c r="L404" i="5" s="1"/>
  <c r="N405" i="5"/>
  <c r="K403" i="5"/>
  <c r="L403" i="5" s="1"/>
  <c r="M404" i="5" s="1"/>
  <c r="N404" i="5"/>
  <c r="F406" i="5"/>
  <c r="G405" i="5"/>
  <c r="H405" i="5"/>
  <c r="G406" i="5" l="1"/>
  <c r="H406" i="5"/>
  <c r="F407" i="5"/>
  <c r="M403" i="5"/>
  <c r="J405" i="5"/>
  <c r="I405" i="5"/>
  <c r="G407" i="5" l="1"/>
  <c r="H407" i="5"/>
  <c r="F408" i="5"/>
  <c r="K405" i="5"/>
  <c r="L405" i="5" s="1"/>
  <c r="N406" i="5"/>
  <c r="J406" i="5"/>
  <c r="I406" i="5"/>
  <c r="G408" i="5" l="1"/>
  <c r="H408" i="5"/>
  <c r="F409" i="5"/>
  <c r="J408" i="5" s="1"/>
  <c r="J407" i="5"/>
  <c r="K406" i="5"/>
  <c r="L406" i="5" s="1"/>
  <c r="N407" i="5"/>
  <c r="M405" i="5"/>
  <c r="I407" i="5"/>
  <c r="H409" i="5" l="1"/>
  <c r="G409" i="5"/>
  <c r="F410" i="5"/>
  <c r="I409" i="5" s="1"/>
  <c r="K407" i="5"/>
  <c r="L407" i="5" s="1"/>
  <c r="N408" i="5"/>
  <c r="I408" i="5"/>
  <c r="K408" i="5"/>
  <c r="L408" i="5" s="1"/>
  <c r="N409" i="5"/>
  <c r="M406" i="5"/>
  <c r="M408" i="5" l="1"/>
  <c r="H410" i="5"/>
  <c r="G410" i="5"/>
  <c r="F411" i="5"/>
  <c r="J409" i="5"/>
  <c r="M407" i="5"/>
  <c r="N410" i="5" l="1"/>
  <c r="K409" i="5"/>
  <c r="L409" i="5" s="1"/>
  <c r="H411" i="5"/>
  <c r="G411" i="5"/>
  <c r="F412" i="5"/>
  <c r="I411" i="5" s="1"/>
  <c r="J410" i="5"/>
  <c r="I410" i="5"/>
  <c r="N411" i="5" l="1"/>
  <c r="K410" i="5"/>
  <c r="L410" i="5" s="1"/>
  <c r="J411" i="5"/>
  <c r="F413" i="5"/>
  <c r="H412" i="5"/>
  <c r="G412" i="5"/>
  <c r="J412" i="5"/>
  <c r="M409" i="5"/>
  <c r="K412" i="5" l="1"/>
  <c r="F414" i="5"/>
  <c r="I413" i="5" s="1"/>
  <c r="G413" i="5"/>
  <c r="J413" i="5" s="1"/>
  <c r="H413" i="5"/>
  <c r="I412" i="5"/>
  <c r="N412" i="5"/>
  <c r="N413" i="5" s="1"/>
  <c r="K411" i="5"/>
  <c r="L411" i="5" s="1"/>
  <c r="M411" i="5" s="1"/>
  <c r="M410" i="5"/>
  <c r="G414" i="5" l="1"/>
  <c r="H414" i="5"/>
  <c r="F415" i="5"/>
  <c r="K413" i="5"/>
  <c r="L413" i="5" s="1"/>
  <c r="N414" i="5"/>
  <c r="L412" i="5"/>
  <c r="M412" i="5" s="1"/>
  <c r="G415" i="5" l="1"/>
  <c r="H415" i="5"/>
  <c r="F416" i="5"/>
  <c r="J414" i="5"/>
  <c r="I414" i="5"/>
  <c r="M413" i="5"/>
  <c r="G416" i="5" l="1"/>
  <c r="H416" i="5"/>
  <c r="F417" i="5"/>
  <c r="K414" i="5"/>
  <c r="L414" i="5" s="1"/>
  <c r="N415" i="5"/>
  <c r="J415" i="5"/>
  <c r="I415" i="5"/>
  <c r="M414" i="5" l="1"/>
  <c r="K415" i="5"/>
  <c r="L415" i="5" s="1"/>
  <c r="N416" i="5"/>
  <c r="H417" i="5"/>
  <c r="G417" i="5"/>
  <c r="F418" i="5"/>
  <c r="J417" i="5" s="1"/>
  <c r="J416" i="5"/>
  <c r="I416" i="5"/>
  <c r="I417" i="5" l="1"/>
  <c r="K417" i="5"/>
  <c r="K416" i="5"/>
  <c r="L416" i="5" s="1"/>
  <c r="N417" i="5"/>
  <c r="N418" i="5" s="1"/>
  <c r="H418" i="5"/>
  <c r="G418" i="5"/>
  <c r="F419" i="5"/>
  <c r="I418" i="5" s="1"/>
  <c r="M415" i="5"/>
  <c r="L417" i="5" l="1"/>
  <c r="M416" i="5"/>
  <c r="G419" i="5"/>
  <c r="H419" i="5"/>
  <c r="F420" i="5"/>
  <c r="J418" i="5"/>
  <c r="H420" i="5" l="1"/>
  <c r="F421" i="5"/>
  <c r="G420" i="5"/>
  <c r="I420" i="5"/>
  <c r="J420" i="5"/>
  <c r="I419" i="5"/>
  <c r="J419" i="5"/>
  <c r="M418" i="5"/>
  <c r="N419" i="5"/>
  <c r="K418" i="5"/>
  <c r="L418" i="5" s="1"/>
  <c r="M417" i="5"/>
  <c r="K419" i="5" l="1"/>
  <c r="L419" i="5" s="1"/>
  <c r="N420" i="5"/>
  <c r="N421" i="5" s="1"/>
  <c r="K420" i="5"/>
  <c r="F422" i="5"/>
  <c r="G421" i="5"/>
  <c r="H421" i="5"/>
  <c r="J421" i="5"/>
  <c r="G422" i="5" l="1"/>
  <c r="H422" i="5"/>
  <c r="F423" i="5"/>
  <c r="I422" i="5" s="1"/>
  <c r="L420" i="5"/>
  <c r="K421" i="5"/>
  <c r="L421" i="5" s="1"/>
  <c r="N422" i="5"/>
  <c r="I421" i="5"/>
  <c r="M419" i="5"/>
  <c r="M421" i="5" l="1"/>
  <c r="J422" i="5"/>
  <c r="G423" i="5"/>
  <c r="H423" i="5"/>
  <c r="F424" i="5"/>
  <c r="M420" i="5"/>
  <c r="G424" i="5" l="1"/>
  <c r="H424" i="5"/>
  <c r="F425" i="5"/>
  <c r="J423" i="5"/>
  <c r="I423" i="5"/>
  <c r="K422" i="5"/>
  <c r="L422" i="5" s="1"/>
  <c r="N423" i="5"/>
  <c r="H425" i="5" l="1"/>
  <c r="G425" i="5"/>
  <c r="F426" i="5"/>
  <c r="K423" i="5"/>
  <c r="L423" i="5" s="1"/>
  <c r="N424" i="5"/>
  <c r="M423" i="5"/>
  <c r="M422" i="5"/>
  <c r="J424" i="5"/>
  <c r="I424" i="5"/>
  <c r="H426" i="5" l="1"/>
  <c r="G426" i="5"/>
  <c r="F427" i="5"/>
  <c r="I426" i="5" s="1"/>
  <c r="I425" i="5"/>
  <c r="J425" i="5"/>
  <c r="K424" i="5"/>
  <c r="L424" i="5" s="1"/>
  <c r="M424" i="5" s="1"/>
  <c r="N425" i="5"/>
  <c r="J426" i="5" l="1"/>
  <c r="N426" i="5"/>
  <c r="K425" i="5"/>
  <c r="L425" i="5" s="1"/>
  <c r="H427" i="5"/>
  <c r="G427" i="5"/>
  <c r="F428" i="5"/>
  <c r="J427" i="5" s="1"/>
  <c r="N428" i="5" l="1"/>
  <c r="K427" i="5"/>
  <c r="L427" i="5" s="1"/>
  <c r="F429" i="5"/>
  <c r="J428" i="5" s="1"/>
  <c r="H428" i="5"/>
  <c r="G428" i="5"/>
  <c r="I428" i="5"/>
  <c r="I427" i="5"/>
  <c r="M425" i="5"/>
  <c r="N427" i="5"/>
  <c r="K426" i="5"/>
  <c r="L426" i="5" s="1"/>
  <c r="M427" i="5" l="1"/>
  <c r="K428" i="5"/>
  <c r="L428" i="5" s="1"/>
  <c r="N429" i="5"/>
  <c r="M428" i="5"/>
  <c r="F430" i="5"/>
  <c r="J429" i="5" s="1"/>
  <c r="G429" i="5"/>
  <c r="H429" i="5"/>
  <c r="I429" i="5"/>
  <c r="M426" i="5"/>
  <c r="K429" i="5" l="1"/>
  <c r="L429" i="5" s="1"/>
  <c r="M429" i="5" s="1"/>
  <c r="N430" i="5"/>
  <c r="H430" i="5"/>
  <c r="G430" i="5"/>
  <c r="F431" i="5"/>
  <c r="J430" i="5" s="1"/>
  <c r="K430" i="5" l="1"/>
  <c r="L430" i="5" s="1"/>
  <c r="N431" i="5"/>
  <c r="H431" i="5"/>
  <c r="G431" i="5"/>
  <c r="F432" i="5"/>
  <c r="I431" i="5" s="1"/>
  <c r="I430" i="5"/>
  <c r="M430" i="5"/>
  <c r="J431" i="5" l="1"/>
  <c r="G432" i="5"/>
  <c r="H432" i="5"/>
  <c r="F433" i="5"/>
  <c r="H433" i="5" l="1"/>
  <c r="G433" i="5"/>
  <c r="F434" i="5"/>
  <c r="J432" i="5"/>
  <c r="I432" i="5"/>
  <c r="K431" i="5"/>
  <c r="L431" i="5" s="1"/>
  <c r="N432" i="5"/>
  <c r="H434" i="5" l="1"/>
  <c r="G434" i="5"/>
  <c r="F435" i="5"/>
  <c r="K432" i="5"/>
  <c r="L432" i="5" s="1"/>
  <c r="M432" i="5" s="1"/>
  <c r="N433" i="5"/>
  <c r="M431" i="5"/>
  <c r="J433" i="5"/>
  <c r="I433" i="5"/>
  <c r="G435" i="5" l="1"/>
  <c r="H435" i="5"/>
  <c r="F436" i="5"/>
  <c r="J434" i="5"/>
  <c r="N434" i="5"/>
  <c r="K433" i="5"/>
  <c r="L433" i="5" s="1"/>
  <c r="M433" i="5" s="1"/>
  <c r="I434" i="5"/>
  <c r="N435" i="5" l="1"/>
  <c r="K434" i="5"/>
  <c r="L434" i="5" s="1"/>
  <c r="F437" i="5"/>
  <c r="H436" i="5"/>
  <c r="J436" i="5" s="1"/>
  <c r="G436" i="5"/>
  <c r="I436" i="5"/>
  <c r="J435" i="5"/>
  <c r="I435" i="5"/>
  <c r="M434" i="5"/>
  <c r="K436" i="5" l="1"/>
  <c r="L436" i="5" s="1"/>
  <c r="N437" i="5"/>
  <c r="F438" i="5"/>
  <c r="I437" i="5" s="1"/>
  <c r="G437" i="5"/>
  <c r="H437" i="5"/>
  <c r="J437" i="5"/>
  <c r="K435" i="5"/>
  <c r="L435" i="5" s="1"/>
  <c r="N436" i="5"/>
  <c r="M436" i="5" l="1"/>
  <c r="K437" i="5"/>
  <c r="L437" i="5" s="1"/>
  <c r="M437" i="5" s="1"/>
  <c r="N438" i="5"/>
  <c r="G438" i="5"/>
  <c r="H438" i="5"/>
  <c r="F439" i="5"/>
  <c r="M435" i="5"/>
  <c r="G439" i="5" l="1"/>
  <c r="H439" i="5"/>
  <c r="F440" i="5"/>
  <c r="I439" i="5" s="1"/>
  <c r="I438" i="5"/>
  <c r="J438" i="5"/>
  <c r="K438" i="5" l="1"/>
  <c r="L438" i="5" s="1"/>
  <c r="N439" i="5"/>
  <c r="J439" i="5"/>
  <c r="G440" i="5"/>
  <c r="H440" i="5"/>
  <c r="F441" i="5"/>
  <c r="G441" i="5" l="1"/>
  <c r="H441" i="5"/>
  <c r="F442" i="5"/>
  <c r="J440" i="5"/>
  <c r="M438" i="5"/>
  <c r="I440" i="5"/>
  <c r="K439" i="5"/>
  <c r="L439" i="5" s="1"/>
  <c r="M439" i="5" s="1"/>
  <c r="N440" i="5"/>
  <c r="G442" i="5" l="1"/>
  <c r="H442" i="5"/>
  <c r="F443" i="5"/>
  <c r="I441" i="5"/>
  <c r="J441" i="5"/>
  <c r="K440" i="5"/>
  <c r="L440" i="5" s="1"/>
  <c r="N441" i="5"/>
  <c r="G443" i="5" l="1"/>
  <c r="H443" i="5"/>
  <c r="F444" i="5"/>
  <c r="J442" i="5"/>
  <c r="I442" i="5"/>
  <c r="N442" i="5"/>
  <c r="K441" i="5"/>
  <c r="L441" i="5" s="1"/>
  <c r="M440" i="5"/>
  <c r="F445" i="5" l="1"/>
  <c r="G444" i="5"/>
  <c r="H444" i="5"/>
  <c r="I444" i="5"/>
  <c r="J444" i="5"/>
  <c r="N443" i="5"/>
  <c r="K442" i="5"/>
  <c r="L442" i="5" s="1"/>
  <c r="J443" i="5"/>
  <c r="I443" i="5"/>
  <c r="M441" i="5"/>
  <c r="N444" i="5" l="1"/>
  <c r="N445" i="5" s="1"/>
  <c r="K443" i="5"/>
  <c r="L443" i="5" s="1"/>
  <c r="M443" i="5" s="1"/>
  <c r="K444" i="5"/>
  <c r="M442" i="5"/>
  <c r="F446" i="5"/>
  <c r="G445" i="5"/>
  <c r="H445" i="5"/>
  <c r="L444" i="5" l="1"/>
  <c r="M444" i="5" s="1"/>
  <c r="G446" i="5"/>
  <c r="H446" i="5"/>
  <c r="F447" i="5"/>
  <c r="J445" i="5"/>
  <c r="I445" i="5"/>
  <c r="H447" i="5" l="1"/>
  <c r="G447" i="5"/>
  <c r="F448" i="5"/>
  <c r="I446" i="5"/>
  <c r="K445" i="5"/>
  <c r="L445" i="5" s="1"/>
  <c r="N446" i="5"/>
  <c r="J446" i="5"/>
  <c r="M445" i="5" l="1"/>
  <c r="H448" i="5"/>
  <c r="G448" i="5"/>
  <c r="F449" i="5"/>
  <c r="J447" i="5"/>
  <c r="I447" i="5"/>
  <c r="K446" i="5"/>
  <c r="L446" i="5" s="1"/>
  <c r="N447" i="5"/>
  <c r="H449" i="5" l="1"/>
  <c r="G449" i="5"/>
  <c r="F450" i="5"/>
  <c r="I449" i="5" s="1"/>
  <c r="J448" i="5"/>
  <c r="I448" i="5"/>
  <c r="K447" i="5"/>
  <c r="L447" i="5" s="1"/>
  <c r="N448" i="5"/>
  <c r="M446" i="5"/>
  <c r="N449" i="5" l="1"/>
  <c r="K448" i="5"/>
  <c r="L448" i="5" s="1"/>
  <c r="M448" i="5" s="1"/>
  <c r="J449" i="5"/>
  <c r="G450" i="5"/>
  <c r="H450" i="5"/>
  <c r="F451" i="5"/>
  <c r="I450" i="5" s="1"/>
  <c r="M447" i="5"/>
  <c r="J450" i="5" l="1"/>
  <c r="K450" i="5" s="1"/>
  <c r="L450" i="5" s="1"/>
  <c r="N451" i="5"/>
  <c r="N450" i="5"/>
  <c r="K449" i="5"/>
  <c r="L449" i="5" s="1"/>
  <c r="G451" i="5"/>
  <c r="H451" i="5"/>
  <c r="F452" i="5"/>
  <c r="J451" i="5" s="1"/>
  <c r="M450" i="5" l="1"/>
  <c r="M449" i="5"/>
  <c r="K451" i="5"/>
  <c r="L451" i="5" s="1"/>
  <c r="N452" i="5"/>
  <c r="F453" i="5"/>
  <c r="J452" i="5" s="1"/>
  <c r="H452" i="5"/>
  <c r="G452" i="5"/>
  <c r="I452" i="5"/>
  <c r="I451" i="5"/>
  <c r="K452" i="5" l="1"/>
  <c r="L452" i="5" s="1"/>
  <c r="M452" i="5" s="1"/>
  <c r="N453" i="5"/>
  <c r="F454" i="5"/>
  <c r="G453" i="5"/>
  <c r="H453" i="5"/>
  <c r="I453" i="5"/>
  <c r="J453" i="5"/>
  <c r="M451" i="5"/>
  <c r="K453" i="5" l="1"/>
  <c r="L453" i="5" s="1"/>
  <c r="M453" i="5" s="1"/>
  <c r="N454" i="5"/>
  <c r="G454" i="5"/>
  <c r="H454" i="5"/>
  <c r="F455" i="5"/>
  <c r="G455" i="5" l="1"/>
  <c r="H455" i="5"/>
  <c r="F456" i="5"/>
  <c r="I454" i="5"/>
  <c r="J454" i="5"/>
  <c r="G456" i="5" l="1"/>
  <c r="H456" i="5"/>
  <c r="F457" i="5"/>
  <c r="J455" i="5"/>
  <c r="K454" i="5"/>
  <c r="L454" i="5" s="1"/>
  <c r="N455" i="5"/>
  <c r="I455" i="5"/>
  <c r="K455" i="5" l="1"/>
  <c r="L455" i="5" s="1"/>
  <c r="M455" i="5" s="1"/>
  <c r="N456" i="5"/>
  <c r="M454" i="5"/>
  <c r="H457" i="5"/>
  <c r="G457" i="5"/>
  <c r="F458" i="5"/>
  <c r="I457" i="5" s="1"/>
  <c r="J456" i="5"/>
  <c r="I456" i="5"/>
  <c r="J457" i="5" l="1"/>
  <c r="K457" i="5"/>
  <c r="K456" i="5"/>
  <c r="L456" i="5" s="1"/>
  <c r="N457" i="5"/>
  <c r="H458" i="5"/>
  <c r="G458" i="5"/>
  <c r="F459" i="5"/>
  <c r="J458" i="5" s="1"/>
  <c r="I458" i="5" l="1"/>
  <c r="N458" i="5"/>
  <c r="N459" i="5"/>
  <c r="K458" i="5"/>
  <c r="M456" i="5"/>
  <c r="L457" i="5"/>
  <c r="G459" i="5"/>
  <c r="H459" i="5"/>
  <c r="F460" i="5"/>
  <c r="I459" i="5" s="1"/>
  <c r="L458" i="5" l="1"/>
  <c r="M458" i="5" s="1"/>
  <c r="G460" i="5"/>
  <c r="H460" i="5"/>
  <c r="F461" i="5"/>
  <c r="J460" i="5" s="1"/>
  <c r="J459" i="5"/>
  <c r="M457" i="5"/>
  <c r="K460" i="5" l="1"/>
  <c r="N460" i="5"/>
  <c r="N461" i="5" s="1"/>
  <c r="K459" i="5"/>
  <c r="L459" i="5" s="1"/>
  <c r="I460" i="5"/>
  <c r="F462" i="5"/>
  <c r="G461" i="5"/>
  <c r="H461" i="5"/>
  <c r="M459" i="5" l="1"/>
  <c r="H462" i="5"/>
  <c r="F463" i="5"/>
  <c r="I462" i="5" s="1"/>
  <c r="G462" i="5"/>
  <c r="J462" i="5"/>
  <c r="J461" i="5"/>
  <c r="I461" i="5"/>
  <c r="L460" i="5"/>
  <c r="K461" i="5" l="1"/>
  <c r="L461" i="5" s="1"/>
  <c r="M461" i="5" s="1"/>
  <c r="N462" i="5"/>
  <c r="N463" i="5" s="1"/>
  <c r="G463" i="5"/>
  <c r="H463" i="5"/>
  <c r="F464" i="5"/>
  <c r="J463" i="5" s="1"/>
  <c r="K462" i="5"/>
  <c r="M460" i="5"/>
  <c r="L462" i="5" l="1"/>
  <c r="K463" i="5"/>
  <c r="L463" i="5" s="1"/>
  <c r="N464" i="5"/>
  <c r="M463" i="5"/>
  <c r="H464" i="5"/>
  <c r="G464" i="5"/>
  <c r="F465" i="5"/>
  <c r="I464" i="5" s="1"/>
  <c r="I463" i="5"/>
  <c r="M462" i="5"/>
  <c r="H465" i="5" l="1"/>
  <c r="G465" i="5"/>
  <c r="F466" i="5"/>
  <c r="J464" i="5"/>
  <c r="K464" i="5" l="1"/>
  <c r="L464" i="5" s="1"/>
  <c r="N465" i="5"/>
  <c r="H466" i="5"/>
  <c r="G466" i="5"/>
  <c r="F467" i="5"/>
  <c r="J466" i="5" s="1"/>
  <c r="J465" i="5"/>
  <c r="I465" i="5"/>
  <c r="K466" i="5" l="1"/>
  <c r="N466" i="5"/>
  <c r="N467" i="5" s="1"/>
  <c r="K465" i="5"/>
  <c r="L465" i="5" s="1"/>
  <c r="G467" i="5"/>
  <c r="H467" i="5"/>
  <c r="F468" i="5"/>
  <c r="I467" i="5" s="1"/>
  <c r="I466" i="5"/>
  <c r="M464" i="5"/>
  <c r="J467" i="5" l="1"/>
  <c r="N468" i="5" s="1"/>
  <c r="M465" i="5"/>
  <c r="L466" i="5"/>
  <c r="F469" i="5"/>
  <c r="G468" i="5"/>
  <c r="H468" i="5"/>
  <c r="K467" i="5" l="1"/>
  <c r="L467" i="5" s="1"/>
  <c r="M467" i="5" s="1"/>
  <c r="F470" i="5"/>
  <c r="I469" i="5" s="1"/>
  <c r="G469" i="5"/>
  <c r="J469" i="5" s="1"/>
  <c r="H469" i="5"/>
  <c r="M466" i="5"/>
  <c r="J468" i="5"/>
  <c r="I468" i="5"/>
  <c r="K468" i="5" l="1"/>
  <c r="L468" i="5" s="1"/>
  <c r="M468" i="5" s="1"/>
  <c r="N469" i="5"/>
  <c r="K469" i="5"/>
  <c r="L469" i="5" s="1"/>
  <c r="N470" i="5"/>
  <c r="G470" i="5"/>
  <c r="H470" i="5"/>
  <c r="F471" i="5"/>
  <c r="I470" i="5" s="1"/>
  <c r="H471" i="5" l="1"/>
  <c r="G471" i="5"/>
  <c r="F472" i="5"/>
  <c r="J470" i="5"/>
  <c r="M469" i="5"/>
  <c r="G472" i="5" l="1"/>
  <c r="H472" i="5"/>
  <c r="F473" i="5"/>
  <c r="K470" i="5"/>
  <c r="L470" i="5" s="1"/>
  <c r="N471" i="5"/>
  <c r="J471" i="5"/>
  <c r="I471" i="5"/>
  <c r="H473" i="5" l="1"/>
  <c r="G473" i="5"/>
  <c r="F474" i="5"/>
  <c r="K471" i="5"/>
  <c r="L471" i="5" s="1"/>
  <c r="N472" i="5"/>
  <c r="M470" i="5"/>
  <c r="J472" i="5"/>
  <c r="I472" i="5"/>
  <c r="H474" i="5" l="1"/>
  <c r="G474" i="5"/>
  <c r="F475" i="5"/>
  <c r="J474" i="5" s="1"/>
  <c r="M472" i="5"/>
  <c r="I473" i="5"/>
  <c r="M471" i="5"/>
  <c r="J473" i="5"/>
  <c r="K472" i="5"/>
  <c r="L472" i="5" s="1"/>
  <c r="N473" i="5"/>
  <c r="H475" i="5" l="1"/>
  <c r="G475" i="5"/>
  <c r="F476" i="5"/>
  <c r="K474" i="5"/>
  <c r="I474" i="5"/>
  <c r="N474" i="5"/>
  <c r="N475" i="5" s="1"/>
  <c r="K473" i="5"/>
  <c r="L473" i="5" s="1"/>
  <c r="L474" i="5" l="1"/>
  <c r="M474" i="5" s="1"/>
  <c r="H476" i="5"/>
  <c r="F477" i="5"/>
  <c r="J476" i="5" s="1"/>
  <c r="G476" i="5"/>
  <c r="J475" i="5"/>
  <c r="I475" i="5"/>
  <c r="M473" i="5"/>
  <c r="I476" i="5" l="1"/>
  <c r="N476" i="5"/>
  <c r="K475" i="5"/>
  <c r="L475" i="5" s="1"/>
  <c r="K476" i="5"/>
  <c r="L476" i="5" s="1"/>
  <c r="N477" i="5"/>
  <c r="F478" i="5"/>
  <c r="J477" i="5" s="1"/>
  <c r="G477" i="5"/>
  <c r="H477" i="5"/>
  <c r="G478" i="5" l="1"/>
  <c r="H478" i="5"/>
  <c r="F479" i="5"/>
  <c r="K477" i="5"/>
  <c r="L477" i="5" s="1"/>
  <c r="N478" i="5"/>
  <c r="M477" i="5"/>
  <c r="M476" i="5"/>
  <c r="M475" i="5"/>
  <c r="I477" i="5"/>
  <c r="G479" i="5" l="1"/>
  <c r="H479" i="5"/>
  <c r="F480" i="5"/>
  <c r="I478" i="5"/>
  <c r="J478" i="5"/>
  <c r="H480" i="5" l="1"/>
  <c r="G480" i="5"/>
  <c r="F481" i="5"/>
  <c r="J479" i="5"/>
  <c r="K478" i="5"/>
  <c r="L478" i="5" s="1"/>
  <c r="N479" i="5"/>
  <c r="I479" i="5"/>
  <c r="K479" i="5" l="1"/>
  <c r="L479" i="5" s="1"/>
  <c r="N480" i="5"/>
  <c r="M479" i="5"/>
  <c r="M478" i="5"/>
  <c r="H481" i="5"/>
  <c r="G481" i="5"/>
  <c r="J481" i="5"/>
  <c r="I481" i="5"/>
  <c r="F482" i="5"/>
  <c r="J480" i="5"/>
  <c r="I480" i="5"/>
  <c r="K481" i="5" l="1"/>
  <c r="K480" i="5"/>
  <c r="L480" i="5" s="1"/>
  <c r="N481" i="5"/>
  <c r="N482" i="5" s="1"/>
  <c r="H482" i="5"/>
  <c r="G482" i="5"/>
  <c r="F483" i="5"/>
  <c r="J482" i="5" s="1"/>
  <c r="I482" i="5" l="1"/>
  <c r="N483" i="5"/>
  <c r="K482" i="5"/>
  <c r="L481" i="5"/>
  <c r="M481" i="5" s="1"/>
  <c r="M480" i="5"/>
  <c r="G483" i="5"/>
  <c r="I483" i="5"/>
  <c r="J483" i="5"/>
  <c r="H483" i="5"/>
  <c r="F484" i="5"/>
  <c r="K483" i="5" l="1"/>
  <c r="L483" i="5" s="1"/>
  <c r="N484" i="5"/>
  <c r="H484" i="5"/>
  <c r="F485" i="5"/>
  <c r="I484" i="5" s="1"/>
  <c r="G484" i="5"/>
  <c r="L482" i="5"/>
  <c r="M483" i="5" s="1"/>
  <c r="J484" i="5" l="1"/>
  <c r="M482" i="5"/>
  <c r="F486" i="5"/>
  <c r="G485" i="5"/>
  <c r="I485" i="5"/>
  <c r="H485" i="5"/>
  <c r="J485" i="5"/>
  <c r="K484" i="5"/>
  <c r="L484" i="5" s="1"/>
  <c r="M484" i="5" s="1"/>
  <c r="N485" i="5"/>
  <c r="K485" i="5" l="1"/>
  <c r="L485" i="5" s="1"/>
  <c r="N486" i="5"/>
  <c r="H486" i="5"/>
  <c r="G486" i="5"/>
  <c r="F487" i="5"/>
  <c r="G487" i="5" l="1"/>
  <c r="H487" i="5"/>
  <c r="F488" i="5"/>
  <c r="J486" i="5"/>
  <c r="I486" i="5"/>
  <c r="M485" i="5"/>
  <c r="K486" i="5" l="1"/>
  <c r="L486" i="5" s="1"/>
  <c r="N487" i="5"/>
  <c r="G488" i="5"/>
  <c r="H488" i="5"/>
  <c r="F489" i="5"/>
  <c r="J487" i="5"/>
  <c r="I487" i="5"/>
  <c r="K487" i="5" l="1"/>
  <c r="L487" i="5" s="1"/>
  <c r="M487" i="5" s="1"/>
  <c r="N488" i="5"/>
  <c r="M486" i="5"/>
  <c r="H489" i="5"/>
  <c r="G489" i="5"/>
  <c r="F490" i="5"/>
  <c r="I489" i="5" s="1"/>
  <c r="J488" i="5"/>
  <c r="I488" i="5"/>
  <c r="J489" i="5" l="1"/>
  <c r="K489" i="5"/>
  <c r="K488" i="5"/>
  <c r="L488" i="5" s="1"/>
  <c r="N489" i="5"/>
  <c r="N490" i="5" s="1"/>
  <c r="H490" i="5"/>
  <c r="G490" i="5"/>
  <c r="I490" i="5"/>
  <c r="J490" i="5"/>
  <c r="F491" i="5"/>
  <c r="N491" i="5" l="1"/>
  <c r="K490" i="5"/>
  <c r="L489" i="5"/>
  <c r="M488" i="5"/>
  <c r="H491" i="5"/>
  <c r="G491" i="5"/>
  <c r="F492" i="5"/>
  <c r="I491" i="5" s="1"/>
  <c r="L490" i="5" l="1"/>
  <c r="F493" i="5"/>
  <c r="H492" i="5"/>
  <c r="G492" i="5"/>
  <c r="I492" i="5"/>
  <c r="J492" i="5"/>
  <c r="J491" i="5"/>
  <c r="M489" i="5"/>
  <c r="K492" i="5" l="1"/>
  <c r="N492" i="5"/>
  <c r="N493" i="5" s="1"/>
  <c r="K491" i="5"/>
  <c r="L491" i="5" s="1"/>
  <c r="F494" i="5"/>
  <c r="G493" i="5"/>
  <c r="H493" i="5"/>
  <c r="I493" i="5"/>
  <c r="M490" i="5"/>
  <c r="G494" i="5" l="1"/>
  <c r="H494" i="5"/>
  <c r="F495" i="5"/>
  <c r="M491" i="5"/>
  <c r="J493" i="5"/>
  <c r="L492" i="5"/>
  <c r="M492" i="5" s="1"/>
  <c r="G495" i="5" l="1"/>
  <c r="H495" i="5"/>
  <c r="F496" i="5"/>
  <c r="J494" i="5"/>
  <c r="I494" i="5"/>
  <c r="K493" i="5"/>
  <c r="L493" i="5" s="1"/>
  <c r="N494" i="5"/>
  <c r="G496" i="5" l="1"/>
  <c r="H496" i="5"/>
  <c r="F497" i="5"/>
  <c r="K494" i="5"/>
  <c r="L494" i="5" s="1"/>
  <c r="N495" i="5"/>
  <c r="J495" i="5"/>
  <c r="M493" i="5"/>
  <c r="I495" i="5"/>
  <c r="H497" i="5" l="1"/>
  <c r="G497" i="5"/>
  <c r="F498" i="5"/>
  <c r="J497" i="5" s="1"/>
  <c r="J496" i="5"/>
  <c r="I496" i="5"/>
  <c r="K495" i="5"/>
  <c r="L495" i="5" s="1"/>
  <c r="M495" i="5" s="1"/>
  <c r="N496" i="5"/>
  <c r="M494" i="5"/>
  <c r="K496" i="5" l="1"/>
  <c r="L496" i="5" s="1"/>
  <c r="N497" i="5"/>
  <c r="H498" i="5"/>
  <c r="G498" i="5"/>
  <c r="F499" i="5"/>
  <c r="N498" i="5"/>
  <c r="K497" i="5"/>
  <c r="L497" i="5" s="1"/>
  <c r="I497" i="5"/>
  <c r="M496" i="5"/>
  <c r="G499" i="5" l="1"/>
  <c r="H499" i="5"/>
  <c r="F500" i="5"/>
  <c r="J498" i="5"/>
  <c r="I498" i="5"/>
  <c r="M497" i="5"/>
  <c r="F501" i="5" l="1"/>
  <c r="I500" i="5" s="1"/>
  <c r="H500" i="5"/>
  <c r="G500" i="5"/>
  <c r="N499" i="5"/>
  <c r="K498" i="5"/>
  <c r="L498" i="5" s="1"/>
  <c r="I499" i="5"/>
  <c r="J499" i="5"/>
  <c r="J500" i="5" l="1"/>
  <c r="K500" i="5" s="1"/>
  <c r="M498" i="5"/>
  <c r="K499" i="5"/>
  <c r="L499" i="5" s="1"/>
  <c r="N500" i="5"/>
  <c r="G501" i="5"/>
  <c r="H501" i="5"/>
  <c r="F502" i="5"/>
  <c r="I501" i="5"/>
  <c r="J501" i="5"/>
  <c r="N501" i="5" l="1"/>
  <c r="N502" i="5" s="1"/>
  <c r="L500" i="5"/>
  <c r="K501" i="5"/>
  <c r="G502" i="5"/>
  <c r="H502" i="5"/>
  <c r="F503" i="5"/>
  <c r="I502" i="5" s="1"/>
  <c r="M499" i="5"/>
  <c r="J502" i="5" l="1"/>
  <c r="K502" i="5" s="1"/>
  <c r="L502" i="5" s="1"/>
  <c r="L501" i="5"/>
  <c r="M501" i="5" s="1"/>
  <c r="H503" i="5"/>
  <c r="I503" i="5"/>
  <c r="G503" i="5"/>
  <c r="J503" i="5"/>
  <c r="F504" i="5"/>
  <c r="M500" i="5"/>
  <c r="M502" i="5" l="1"/>
  <c r="N503" i="5"/>
  <c r="K503" i="5"/>
  <c r="L503" i="5" s="1"/>
  <c r="N504" i="5"/>
  <c r="G504" i="5"/>
  <c r="H504" i="5"/>
  <c r="F505" i="5"/>
  <c r="M503" i="5"/>
  <c r="G505" i="5" l="1"/>
  <c r="H505" i="5"/>
  <c r="F506" i="5"/>
  <c r="I504" i="5"/>
  <c r="J504" i="5"/>
  <c r="K504" i="5" l="1"/>
  <c r="L504" i="5" s="1"/>
  <c r="N505" i="5"/>
  <c r="G506" i="5"/>
  <c r="H506" i="5"/>
  <c r="F507" i="5"/>
  <c r="I505" i="5"/>
  <c r="J505" i="5"/>
  <c r="N506" i="5" l="1"/>
  <c r="K505" i="5"/>
  <c r="L505" i="5" s="1"/>
  <c r="M505" i="5"/>
  <c r="M504" i="5"/>
  <c r="G507" i="5"/>
  <c r="H507" i="5"/>
  <c r="F508" i="5"/>
  <c r="J506" i="5"/>
  <c r="I506" i="5"/>
  <c r="F509" i="5" l="1"/>
  <c r="G508" i="5"/>
  <c r="H508" i="5"/>
  <c r="I507" i="5"/>
  <c r="J507" i="5"/>
  <c r="N507" i="5"/>
  <c r="K506" i="5"/>
  <c r="L506" i="5" s="1"/>
  <c r="M507" i="5" l="1"/>
  <c r="N508" i="5"/>
  <c r="K507" i="5"/>
  <c r="L507" i="5" s="1"/>
  <c r="F510" i="5"/>
  <c r="G509" i="5"/>
  <c r="H509" i="5"/>
  <c r="I509" i="5"/>
  <c r="J509" i="5"/>
  <c r="J508" i="5"/>
  <c r="I508" i="5"/>
  <c r="M506" i="5"/>
  <c r="K508" i="5" l="1"/>
  <c r="L508" i="5" s="1"/>
  <c r="N509" i="5"/>
  <c r="N510" i="5" s="1"/>
  <c r="K509" i="5"/>
  <c r="L509" i="5" s="1"/>
  <c r="G510" i="5"/>
  <c r="H510" i="5"/>
  <c r="F511" i="5"/>
  <c r="I510" i="5" s="1"/>
  <c r="G511" i="5" l="1"/>
  <c r="H511" i="5"/>
  <c r="F512" i="5"/>
  <c r="I511" i="5" s="1"/>
  <c r="M509" i="5"/>
  <c r="J510" i="5"/>
  <c r="M508" i="5"/>
  <c r="J511" i="5" l="1"/>
  <c r="K510" i="5"/>
  <c r="L510" i="5" s="1"/>
  <c r="N511" i="5"/>
  <c r="G512" i="5"/>
  <c r="H512" i="5"/>
  <c r="F513" i="5"/>
  <c r="J512" i="5" s="1"/>
  <c r="K512" i="5" l="1"/>
  <c r="H513" i="5"/>
  <c r="G513" i="5"/>
  <c r="F514" i="5"/>
  <c r="I512" i="5"/>
  <c r="M510" i="5"/>
  <c r="K511" i="5"/>
  <c r="L511" i="5" s="1"/>
  <c r="N512" i="5"/>
  <c r="N513" i="5" s="1"/>
  <c r="G514" i="5" l="1"/>
  <c r="H514" i="5"/>
  <c r="F515" i="5"/>
  <c r="J513" i="5"/>
  <c r="I513" i="5"/>
  <c r="M511" i="5"/>
  <c r="L512" i="5"/>
  <c r="M512" i="5" s="1"/>
  <c r="G515" i="5" l="1"/>
  <c r="H515" i="5"/>
  <c r="F516" i="5"/>
  <c r="N514" i="5"/>
  <c r="K513" i="5"/>
  <c r="L513" i="5" s="1"/>
  <c r="I514" i="5"/>
  <c r="J514" i="5"/>
  <c r="H516" i="5" l="1"/>
  <c r="G516" i="5"/>
  <c r="F517" i="5"/>
  <c r="J516" i="5" s="1"/>
  <c r="J515" i="5"/>
  <c r="I515" i="5"/>
  <c r="M513" i="5"/>
  <c r="N515" i="5"/>
  <c r="K514" i="5"/>
  <c r="L514" i="5" s="1"/>
  <c r="M514" i="5" s="1"/>
  <c r="I516" i="5" l="1"/>
  <c r="K516" i="5"/>
  <c r="K515" i="5"/>
  <c r="L515" i="5" s="1"/>
  <c r="N516" i="5"/>
  <c r="N517" i="5" s="1"/>
  <c r="F518" i="5"/>
  <c r="G517" i="5"/>
  <c r="H517" i="5"/>
  <c r="I517" i="5"/>
  <c r="G518" i="5" l="1"/>
  <c r="H518" i="5"/>
  <c r="F519" i="5"/>
  <c r="M515" i="5"/>
  <c r="J517" i="5"/>
  <c r="L516" i="5"/>
  <c r="M516" i="5" s="1"/>
  <c r="G519" i="5" l="1"/>
  <c r="H519" i="5"/>
  <c r="F520" i="5"/>
  <c r="I518" i="5"/>
  <c r="K517" i="5"/>
  <c r="L517" i="5" s="1"/>
  <c r="N518" i="5"/>
  <c r="J518" i="5"/>
  <c r="G520" i="5" l="1"/>
  <c r="H520" i="5"/>
  <c r="F521" i="5"/>
  <c r="J519" i="5"/>
  <c r="M517" i="5"/>
  <c r="K518" i="5"/>
  <c r="L518" i="5" s="1"/>
  <c r="M518" i="5" s="1"/>
  <c r="N519" i="5"/>
  <c r="I519" i="5"/>
  <c r="H521" i="5" l="1"/>
  <c r="G521" i="5"/>
  <c r="F522" i="5"/>
  <c r="K519" i="5"/>
  <c r="L519" i="5" s="1"/>
  <c r="N520" i="5"/>
  <c r="J520" i="5"/>
  <c r="I520" i="5"/>
  <c r="H522" i="5" l="1"/>
  <c r="G522" i="5"/>
  <c r="F523" i="5"/>
  <c r="K520" i="5"/>
  <c r="L520" i="5" s="1"/>
  <c r="N521" i="5"/>
  <c r="I521" i="5"/>
  <c r="J521" i="5"/>
  <c r="M519" i="5"/>
  <c r="G523" i="5" l="1"/>
  <c r="H523" i="5"/>
  <c r="F524" i="5"/>
  <c r="M521" i="5"/>
  <c r="J522" i="5"/>
  <c r="N522" i="5"/>
  <c r="K521" i="5"/>
  <c r="L521" i="5" s="1"/>
  <c r="I522" i="5"/>
  <c r="M520" i="5"/>
  <c r="N523" i="5" l="1"/>
  <c r="K522" i="5"/>
  <c r="L522" i="5" s="1"/>
  <c r="F525" i="5"/>
  <c r="I524" i="5" s="1"/>
  <c r="G524" i="5"/>
  <c r="H524" i="5"/>
  <c r="J523" i="5"/>
  <c r="I523" i="5"/>
  <c r="M522" i="5"/>
  <c r="J524" i="5" l="1"/>
  <c r="K524" i="5" s="1"/>
  <c r="G525" i="5"/>
  <c r="F526" i="5"/>
  <c r="I525" i="5" s="1"/>
  <c r="H525" i="5"/>
  <c r="N524" i="5"/>
  <c r="K523" i="5"/>
  <c r="L523" i="5" s="1"/>
  <c r="M523" i="5"/>
  <c r="N525" i="5" l="1"/>
  <c r="J525" i="5"/>
  <c r="G526" i="5"/>
  <c r="H526" i="5"/>
  <c r="F527" i="5"/>
  <c r="J526" i="5" s="1"/>
  <c r="I526" i="5"/>
  <c r="L524" i="5"/>
  <c r="K526" i="5" l="1"/>
  <c r="M524" i="5"/>
  <c r="G527" i="5"/>
  <c r="H527" i="5"/>
  <c r="F528" i="5"/>
  <c r="I527" i="5" s="1"/>
  <c r="K525" i="5"/>
  <c r="L525" i="5" s="1"/>
  <c r="M525" i="5" s="1"/>
  <c r="N526" i="5"/>
  <c r="N527" i="5" s="1"/>
  <c r="J527" i="5" l="1"/>
  <c r="K527" i="5"/>
  <c r="L527" i="5" s="1"/>
  <c r="N528" i="5"/>
  <c r="G528" i="5"/>
  <c r="H528" i="5"/>
  <c r="F529" i="5"/>
  <c r="L526" i="5"/>
  <c r="M527" i="5" s="1"/>
  <c r="M526" i="5" l="1"/>
  <c r="H529" i="5"/>
  <c r="G529" i="5"/>
  <c r="F530" i="5"/>
  <c r="J528" i="5"/>
  <c r="I528" i="5"/>
  <c r="H530" i="5" l="1"/>
  <c r="G530" i="5"/>
  <c r="F531" i="5"/>
  <c r="N529" i="5"/>
  <c r="K528" i="5"/>
  <c r="L528" i="5" s="1"/>
  <c r="I529" i="5"/>
  <c r="J529" i="5"/>
  <c r="M528" i="5" l="1"/>
  <c r="G531" i="5"/>
  <c r="H531" i="5"/>
  <c r="F532" i="5"/>
  <c r="J530" i="5"/>
  <c r="I530" i="5"/>
  <c r="N530" i="5"/>
  <c r="K529" i="5"/>
  <c r="L529" i="5" s="1"/>
  <c r="G532" i="5" l="1"/>
  <c r="H532" i="5"/>
  <c r="F533" i="5"/>
  <c r="I532" i="5" s="1"/>
  <c r="I531" i="5"/>
  <c r="J531" i="5"/>
  <c r="M530" i="5"/>
  <c r="N531" i="5"/>
  <c r="K530" i="5"/>
  <c r="L530" i="5" s="1"/>
  <c r="M529" i="5"/>
  <c r="J532" i="5" l="1"/>
  <c r="K531" i="5"/>
  <c r="L531" i="5" s="1"/>
  <c r="N532" i="5"/>
  <c r="F534" i="5"/>
  <c r="G533" i="5"/>
  <c r="H533" i="5"/>
  <c r="I533" i="5"/>
  <c r="J533" i="5"/>
  <c r="K532" i="5"/>
  <c r="L532" i="5" s="1"/>
  <c r="N533" i="5"/>
  <c r="M531" i="5"/>
  <c r="G534" i="5" l="1"/>
  <c r="H534" i="5"/>
  <c r="F535" i="5"/>
  <c r="J534" i="5" s="1"/>
  <c r="K533" i="5"/>
  <c r="L533" i="5" s="1"/>
  <c r="N534" i="5"/>
  <c r="M532" i="5"/>
  <c r="K534" i="5" l="1"/>
  <c r="L534" i="5" s="1"/>
  <c r="N535" i="5"/>
  <c r="G535" i="5"/>
  <c r="H535" i="5"/>
  <c r="F536" i="5"/>
  <c r="M534" i="5"/>
  <c r="I534" i="5"/>
  <c r="M533" i="5"/>
  <c r="G536" i="5" l="1"/>
  <c r="H536" i="5"/>
  <c r="F537" i="5"/>
  <c r="J535" i="5"/>
  <c r="I535" i="5"/>
  <c r="K535" i="5" l="1"/>
  <c r="L535" i="5" s="1"/>
  <c r="N536" i="5"/>
  <c r="H537" i="5"/>
  <c r="G537" i="5"/>
  <c r="F538" i="5"/>
  <c r="J536" i="5"/>
  <c r="I536" i="5"/>
  <c r="H538" i="5" l="1"/>
  <c r="G538" i="5"/>
  <c r="F539" i="5"/>
  <c r="J537" i="5"/>
  <c r="I537" i="5"/>
  <c r="K536" i="5"/>
  <c r="L536" i="5" s="1"/>
  <c r="N537" i="5"/>
  <c r="M535" i="5"/>
  <c r="G539" i="5" l="1"/>
  <c r="H539" i="5"/>
  <c r="F540" i="5"/>
  <c r="J538" i="5"/>
  <c r="I538" i="5"/>
  <c r="N538" i="5"/>
  <c r="K537" i="5"/>
  <c r="L537" i="5" s="1"/>
  <c r="M536" i="5"/>
  <c r="F541" i="5" l="1"/>
  <c r="H540" i="5"/>
  <c r="G540" i="5"/>
  <c r="I540" i="5"/>
  <c r="J540" i="5"/>
  <c r="J539" i="5"/>
  <c r="N539" i="5"/>
  <c r="K538" i="5"/>
  <c r="L538" i="5" s="1"/>
  <c r="I539" i="5"/>
  <c r="M537" i="5"/>
  <c r="N540" i="5" l="1"/>
  <c r="K539" i="5"/>
  <c r="L539" i="5" s="1"/>
  <c r="K540" i="5"/>
  <c r="L540" i="5" s="1"/>
  <c r="N541" i="5"/>
  <c r="M539" i="5"/>
  <c r="M538" i="5"/>
  <c r="G541" i="5"/>
  <c r="F542" i="5"/>
  <c r="H541" i="5"/>
  <c r="G542" i="5" l="1"/>
  <c r="H542" i="5"/>
  <c r="F543" i="5"/>
  <c r="J542" i="5" s="1"/>
  <c r="J541" i="5"/>
  <c r="I541" i="5"/>
  <c r="M540" i="5"/>
  <c r="K542" i="5" l="1"/>
  <c r="G543" i="5"/>
  <c r="H543" i="5"/>
  <c r="F544" i="5"/>
  <c r="K541" i="5"/>
  <c r="L541" i="5" s="1"/>
  <c r="N542" i="5"/>
  <c r="N543" i="5" s="1"/>
  <c r="I542" i="5"/>
  <c r="M541" i="5" l="1"/>
  <c r="G544" i="5"/>
  <c r="H544" i="5"/>
  <c r="F545" i="5"/>
  <c r="J543" i="5"/>
  <c r="I543" i="5"/>
  <c r="L542" i="5"/>
  <c r="K543" i="5" l="1"/>
  <c r="L543" i="5" s="1"/>
  <c r="N544" i="5"/>
  <c r="H545" i="5"/>
  <c r="G545" i="5"/>
  <c r="F546" i="5"/>
  <c r="J544" i="5"/>
  <c r="I544" i="5"/>
  <c r="M542" i="5"/>
  <c r="H546" i="5" l="1"/>
  <c r="G546" i="5"/>
  <c r="F547" i="5"/>
  <c r="J545" i="5"/>
  <c r="K544" i="5"/>
  <c r="L544" i="5" s="1"/>
  <c r="N545" i="5"/>
  <c r="I545" i="5"/>
  <c r="M543" i="5"/>
  <c r="G547" i="5" l="1"/>
  <c r="H547" i="5"/>
  <c r="F548" i="5"/>
  <c r="J547" i="5" s="1"/>
  <c r="N546" i="5"/>
  <c r="K545" i="5"/>
  <c r="L545" i="5" s="1"/>
  <c r="M544" i="5"/>
  <c r="J546" i="5"/>
  <c r="I546" i="5"/>
  <c r="K547" i="5" l="1"/>
  <c r="I547" i="5"/>
  <c r="F549" i="5"/>
  <c r="H548" i="5"/>
  <c r="G548" i="5"/>
  <c r="N547" i="5"/>
  <c r="N548" i="5" s="1"/>
  <c r="K546" i="5"/>
  <c r="L546" i="5" s="1"/>
  <c r="M546" i="5" s="1"/>
  <c r="M545" i="5"/>
  <c r="F550" i="5" l="1"/>
  <c r="G549" i="5"/>
  <c r="H549" i="5"/>
  <c r="I549" i="5"/>
  <c r="J549" i="5"/>
  <c r="J548" i="5"/>
  <c r="I548" i="5"/>
  <c r="M547" i="5"/>
  <c r="L547" i="5"/>
  <c r="K548" i="5" l="1"/>
  <c r="L548" i="5" s="1"/>
  <c r="N549" i="5"/>
  <c r="K549" i="5"/>
  <c r="L549" i="5" s="1"/>
  <c r="N550" i="5"/>
  <c r="M548" i="5"/>
  <c r="G550" i="5"/>
  <c r="H550" i="5"/>
  <c r="I550" i="5"/>
  <c r="F551" i="5"/>
  <c r="H551" i="5" l="1"/>
  <c r="F552" i="5"/>
  <c r="G551" i="5"/>
  <c r="J551" i="5"/>
  <c r="J550" i="5"/>
  <c r="M549" i="5"/>
  <c r="K551" i="5" l="1"/>
  <c r="L551" i="5" s="1"/>
  <c r="N552" i="5"/>
  <c r="K550" i="5"/>
  <c r="L550" i="5" s="1"/>
  <c r="N551" i="5"/>
  <c r="G552" i="5"/>
  <c r="I552" i="5"/>
  <c r="H552" i="5"/>
  <c r="J552" i="5"/>
  <c r="F553" i="5"/>
  <c r="I551" i="5"/>
  <c r="M551" i="5" l="1"/>
  <c r="M550" i="5"/>
  <c r="K552" i="5"/>
  <c r="L552" i="5" s="1"/>
  <c r="N553" i="5"/>
  <c r="H553" i="5"/>
  <c r="G553" i="5"/>
  <c r="J553" i="5"/>
  <c r="I553" i="5"/>
  <c r="F554" i="5"/>
  <c r="N554" i="5" l="1"/>
  <c r="K553" i="5"/>
  <c r="L553" i="5" s="1"/>
  <c r="M552" i="5"/>
  <c r="H554" i="5"/>
  <c r="G554" i="5"/>
  <c r="F555" i="5"/>
  <c r="J554" i="5" s="1"/>
  <c r="I554" i="5" l="1"/>
  <c r="N555" i="5"/>
  <c r="K554" i="5"/>
  <c r="L554" i="5" s="1"/>
  <c r="M554" i="5"/>
  <c r="H555" i="5"/>
  <c r="G555" i="5"/>
  <c r="F556" i="5"/>
  <c r="M553" i="5"/>
  <c r="F557" i="5" l="1"/>
  <c r="H556" i="5"/>
  <c r="G556" i="5"/>
  <c r="J556" i="5"/>
  <c r="I556" i="5"/>
  <c r="I555" i="5"/>
  <c r="J555" i="5"/>
  <c r="N556" i="5" l="1"/>
  <c r="K555" i="5"/>
  <c r="L555" i="5" s="1"/>
  <c r="K556" i="5"/>
  <c r="L556" i="5" s="1"/>
  <c r="N557" i="5"/>
  <c r="G557" i="5"/>
  <c r="H557" i="5"/>
  <c r="F558" i="5"/>
  <c r="G558" i="5" l="1"/>
  <c r="H558" i="5"/>
  <c r="F559" i="5"/>
  <c r="J557" i="5"/>
  <c r="M556" i="5"/>
  <c r="M555" i="5"/>
  <c r="I557" i="5"/>
  <c r="G559" i="5" l="1"/>
  <c r="F560" i="5"/>
  <c r="H559" i="5"/>
  <c r="J559" i="5"/>
  <c r="I558" i="5"/>
  <c r="K557" i="5"/>
  <c r="L557" i="5" s="1"/>
  <c r="N558" i="5"/>
  <c r="J558" i="5"/>
  <c r="K559" i="5" l="1"/>
  <c r="M557" i="5"/>
  <c r="G560" i="5"/>
  <c r="H560" i="5"/>
  <c r="F561" i="5"/>
  <c r="I560" i="5" s="1"/>
  <c r="I559" i="5"/>
  <c r="K558" i="5"/>
  <c r="L558" i="5" s="1"/>
  <c r="N559" i="5"/>
  <c r="N560" i="5" s="1"/>
  <c r="J560" i="5" l="1"/>
  <c r="M558" i="5"/>
  <c r="K560" i="5"/>
  <c r="L560" i="5" s="1"/>
  <c r="N561" i="5"/>
  <c r="H561" i="5"/>
  <c r="G561" i="5"/>
  <c r="I561" i="5"/>
  <c r="J561" i="5"/>
  <c r="F562" i="5"/>
  <c r="L559" i="5"/>
  <c r="N562" i="5" l="1"/>
  <c r="K561" i="5"/>
  <c r="L561" i="5" s="1"/>
  <c r="M561" i="5"/>
  <c r="M560" i="5"/>
  <c r="H562" i="5"/>
  <c r="G562" i="5"/>
  <c r="I562" i="5"/>
  <c r="J562" i="5"/>
  <c r="F563" i="5"/>
  <c r="M559" i="5"/>
  <c r="N563" i="5" l="1"/>
  <c r="K562" i="5"/>
  <c r="L562" i="5" s="1"/>
  <c r="M562" i="5"/>
  <c r="H563" i="5"/>
  <c r="G563" i="5"/>
  <c r="F564" i="5"/>
  <c r="I563" i="5" s="1"/>
  <c r="J563" i="5" l="1"/>
  <c r="F565" i="5"/>
  <c r="H564" i="5"/>
  <c r="G564" i="5"/>
  <c r="I564" i="5"/>
  <c r="J564" i="5"/>
  <c r="K564" i="5" l="1"/>
  <c r="N565" i="5"/>
  <c r="F566" i="5"/>
  <c r="G565" i="5"/>
  <c r="H565" i="5"/>
  <c r="I565" i="5"/>
  <c r="J565" i="5"/>
  <c r="K563" i="5"/>
  <c r="L563" i="5" s="1"/>
  <c r="N564" i="5"/>
  <c r="M563" i="5" l="1"/>
  <c r="K565" i="5"/>
  <c r="N566" i="5"/>
  <c r="G566" i="5"/>
  <c r="H566" i="5"/>
  <c r="J566" i="5" s="1"/>
  <c r="F567" i="5"/>
  <c r="I566" i="5" s="1"/>
  <c r="L564" i="5"/>
  <c r="L565" i="5" l="1"/>
  <c r="K566" i="5"/>
  <c r="L566" i="5" s="1"/>
  <c r="N567" i="5"/>
  <c r="M566" i="5"/>
  <c r="M565" i="5"/>
  <c r="G567" i="5"/>
  <c r="H567" i="5"/>
  <c r="I567" i="5"/>
  <c r="F568" i="5"/>
  <c r="J567" i="5" s="1"/>
  <c r="M564" i="5"/>
  <c r="K567" i="5" l="1"/>
  <c r="L567" i="5" s="1"/>
  <c r="M567" i="5" s="1"/>
  <c r="N568" i="5"/>
  <c r="G568" i="5"/>
  <c r="H568" i="5"/>
  <c r="F569" i="5"/>
  <c r="I568" i="5" s="1"/>
  <c r="H569" i="5" l="1"/>
  <c r="G569" i="5"/>
  <c r="F570" i="5"/>
  <c r="J568" i="5"/>
  <c r="K568" i="5" l="1"/>
  <c r="L568" i="5" s="1"/>
  <c r="N569" i="5"/>
  <c r="H570" i="5"/>
  <c r="G570" i="5"/>
  <c r="F571" i="5"/>
  <c r="J570" i="5" s="1"/>
  <c r="I569" i="5"/>
  <c r="J569" i="5"/>
  <c r="N571" i="5" l="1"/>
  <c r="K570" i="5"/>
  <c r="L570" i="5" s="1"/>
  <c r="M568" i="5"/>
  <c r="N570" i="5"/>
  <c r="K569" i="5"/>
  <c r="L569" i="5" s="1"/>
  <c r="M570" i="5" s="1"/>
  <c r="H571" i="5"/>
  <c r="G571" i="5"/>
  <c r="F572" i="5"/>
  <c r="I570" i="5"/>
  <c r="F573" i="5" l="1"/>
  <c r="I572" i="5" s="1"/>
  <c r="H572" i="5"/>
  <c r="G572" i="5"/>
  <c r="M569" i="5"/>
  <c r="J571" i="5"/>
  <c r="I571" i="5"/>
  <c r="J572" i="5" l="1"/>
  <c r="K572" i="5" s="1"/>
  <c r="N572" i="5"/>
  <c r="K571" i="5"/>
  <c r="L571" i="5" s="1"/>
  <c r="F574" i="5"/>
  <c r="G573" i="5"/>
  <c r="H573" i="5"/>
  <c r="I573" i="5"/>
  <c r="N573" i="5" l="1"/>
  <c r="G574" i="5"/>
  <c r="H574" i="5"/>
  <c r="F575" i="5"/>
  <c r="M571" i="5"/>
  <c r="J573" i="5"/>
  <c r="L572" i="5"/>
  <c r="M572" i="5" s="1"/>
  <c r="H575" i="5" l="1"/>
  <c r="G575" i="5"/>
  <c r="F576" i="5"/>
  <c r="I574" i="5"/>
  <c r="K573" i="5"/>
  <c r="L573" i="5" s="1"/>
  <c r="N574" i="5"/>
  <c r="J574" i="5"/>
  <c r="G576" i="5" l="1"/>
  <c r="H576" i="5"/>
  <c r="F577" i="5"/>
  <c r="J575" i="5"/>
  <c r="M573" i="5"/>
  <c r="I575" i="5"/>
  <c r="K574" i="5"/>
  <c r="L574" i="5" s="1"/>
  <c r="M574" i="5" s="1"/>
  <c r="N575" i="5"/>
  <c r="H577" i="5" l="1"/>
  <c r="G577" i="5"/>
  <c r="F578" i="5"/>
  <c r="J577" i="5" s="1"/>
  <c r="I576" i="5"/>
  <c r="K575" i="5"/>
  <c r="L575" i="5" s="1"/>
  <c r="N576" i="5"/>
  <c r="J576" i="5"/>
  <c r="K577" i="5" l="1"/>
  <c r="H578" i="5"/>
  <c r="G578" i="5"/>
  <c r="F579" i="5"/>
  <c r="I577" i="5"/>
  <c r="M575" i="5"/>
  <c r="N577" i="5"/>
  <c r="N578" i="5" s="1"/>
  <c r="K576" i="5"/>
  <c r="L576" i="5" s="1"/>
  <c r="G579" i="5" l="1"/>
  <c r="H579" i="5"/>
  <c r="F580" i="5"/>
  <c r="J578" i="5"/>
  <c r="I578" i="5"/>
  <c r="M576" i="5"/>
  <c r="L577" i="5"/>
  <c r="M577" i="5" s="1"/>
  <c r="F581" i="5" l="1"/>
  <c r="J580" i="5" s="1"/>
  <c r="H580" i="5"/>
  <c r="G580" i="5"/>
  <c r="N579" i="5"/>
  <c r="K578" i="5"/>
  <c r="L578" i="5" s="1"/>
  <c r="J579" i="5"/>
  <c r="I579" i="5"/>
  <c r="I580" i="5" l="1"/>
  <c r="K579" i="5"/>
  <c r="L579" i="5" s="1"/>
  <c r="N580" i="5"/>
  <c r="K580" i="5"/>
  <c r="L580" i="5" s="1"/>
  <c r="N581" i="5"/>
  <c r="M579" i="5"/>
  <c r="M578" i="5"/>
  <c r="F582" i="5"/>
  <c r="G581" i="5"/>
  <c r="H581" i="5"/>
  <c r="G582" i="5" l="1"/>
  <c r="H582" i="5"/>
  <c r="F583" i="5"/>
  <c r="J581" i="5"/>
  <c r="I581" i="5"/>
  <c r="M580" i="5"/>
  <c r="G583" i="5" l="1"/>
  <c r="H583" i="5"/>
  <c r="F584" i="5"/>
  <c r="J583" i="5" s="1"/>
  <c r="K581" i="5"/>
  <c r="L581" i="5" s="1"/>
  <c r="N582" i="5"/>
  <c r="I582" i="5"/>
  <c r="J582" i="5"/>
  <c r="K583" i="5" l="1"/>
  <c r="K582" i="5"/>
  <c r="L582" i="5" s="1"/>
  <c r="N583" i="5"/>
  <c r="N584" i="5" s="1"/>
  <c r="M582" i="5"/>
  <c r="M581" i="5"/>
  <c r="G584" i="5"/>
  <c r="I584" i="5"/>
  <c r="H584" i="5"/>
  <c r="F585" i="5"/>
  <c r="I583" i="5"/>
  <c r="H585" i="5" l="1"/>
  <c r="G585" i="5"/>
  <c r="F586" i="5"/>
  <c r="J584" i="5"/>
  <c r="L583" i="5"/>
  <c r="M583" i="5" s="1"/>
  <c r="K584" i="5" l="1"/>
  <c r="L584" i="5" s="1"/>
  <c r="N585" i="5"/>
  <c r="H586" i="5"/>
  <c r="G586" i="5"/>
  <c r="F587" i="5"/>
  <c r="I586" i="5" s="1"/>
  <c r="J585" i="5"/>
  <c r="I585" i="5"/>
  <c r="G587" i="5" l="1"/>
  <c r="H587" i="5"/>
  <c r="F588" i="5"/>
  <c r="J587" i="5" s="1"/>
  <c r="J586" i="5"/>
  <c r="N586" i="5"/>
  <c r="K585" i="5"/>
  <c r="L585" i="5" s="1"/>
  <c r="M584" i="5"/>
  <c r="K587" i="5" l="1"/>
  <c r="N587" i="5"/>
  <c r="N588" i="5" s="1"/>
  <c r="K586" i="5"/>
  <c r="L586" i="5" s="1"/>
  <c r="M586" i="5" s="1"/>
  <c r="F589" i="5"/>
  <c r="H588" i="5"/>
  <c r="G588" i="5"/>
  <c r="I588" i="5"/>
  <c r="I587" i="5"/>
  <c r="M585" i="5"/>
  <c r="F590" i="5" l="1"/>
  <c r="I589" i="5" s="1"/>
  <c r="G589" i="5"/>
  <c r="H589" i="5"/>
  <c r="L587" i="5"/>
  <c r="M587" i="5"/>
  <c r="J588" i="5"/>
  <c r="J589" i="5" l="1"/>
  <c r="K589" i="5" s="1"/>
  <c r="L589" i="5" s="1"/>
  <c r="K588" i="5"/>
  <c r="L588" i="5" s="1"/>
  <c r="N589" i="5"/>
  <c r="M588" i="5"/>
  <c r="G590" i="5"/>
  <c r="H590" i="5"/>
  <c r="I590" i="5"/>
  <c r="F591" i="5"/>
  <c r="N590" i="5" l="1"/>
  <c r="G591" i="5"/>
  <c r="H591" i="5"/>
  <c r="F592" i="5"/>
  <c r="J590" i="5"/>
  <c r="M589" i="5"/>
  <c r="K590" i="5" l="1"/>
  <c r="L590" i="5" s="1"/>
  <c r="N591" i="5"/>
  <c r="G592" i="5"/>
  <c r="H592" i="5"/>
  <c r="F593" i="5"/>
  <c r="J591" i="5"/>
  <c r="I591" i="5"/>
  <c r="M590" i="5" l="1"/>
  <c r="K591" i="5"/>
  <c r="L591" i="5" s="1"/>
  <c r="N592" i="5"/>
  <c r="H593" i="5"/>
  <c r="G593" i="5"/>
  <c r="F594" i="5"/>
  <c r="I593" i="5" s="1"/>
  <c r="J592" i="5"/>
  <c r="I592" i="5"/>
  <c r="J593" i="5" l="1"/>
  <c r="K592" i="5"/>
  <c r="L592" i="5" s="1"/>
  <c r="N593" i="5"/>
  <c r="N594" i="5"/>
  <c r="K593" i="5"/>
  <c r="H594" i="5"/>
  <c r="G594" i="5"/>
  <c r="I594" i="5"/>
  <c r="F595" i="5"/>
  <c r="J594" i="5" s="1"/>
  <c r="M591" i="5"/>
  <c r="N595" i="5" l="1"/>
  <c r="K594" i="5"/>
  <c r="M592" i="5"/>
  <c r="L593" i="5"/>
  <c r="G595" i="5"/>
  <c r="H595" i="5"/>
  <c r="F596" i="5"/>
  <c r="I595" i="5" s="1"/>
  <c r="F597" i="5" l="1"/>
  <c r="H596" i="5"/>
  <c r="G596" i="5"/>
  <c r="M593" i="5"/>
  <c r="L594" i="5"/>
  <c r="J595" i="5"/>
  <c r="F598" i="5" l="1"/>
  <c r="G597" i="5"/>
  <c r="H597" i="5"/>
  <c r="K595" i="5"/>
  <c r="L595" i="5" s="1"/>
  <c r="N596" i="5"/>
  <c r="M595" i="5"/>
  <c r="M594" i="5"/>
  <c r="J596" i="5"/>
  <c r="I596" i="5"/>
  <c r="G598" i="5" l="1"/>
  <c r="F599" i="5"/>
  <c r="H598" i="5"/>
  <c r="I598" i="5"/>
  <c r="J598" i="5"/>
  <c r="J597" i="5"/>
  <c r="I597" i="5"/>
  <c r="K596" i="5"/>
  <c r="L596" i="5" s="1"/>
  <c r="M596" i="5" s="1"/>
  <c r="N597" i="5"/>
  <c r="K597" i="5" l="1"/>
  <c r="L597" i="5" s="1"/>
  <c r="M597" i="5" s="1"/>
  <c r="N598" i="5"/>
  <c r="K598" i="5"/>
  <c r="L598" i="5" s="1"/>
  <c r="N599" i="5"/>
  <c r="G599" i="5"/>
  <c r="I599" i="5"/>
  <c r="H599" i="5"/>
  <c r="F600" i="5"/>
  <c r="J599" i="5" s="1"/>
  <c r="K599" i="5" l="1"/>
  <c r="L599" i="5" s="1"/>
  <c r="N600" i="5"/>
  <c r="G600" i="5"/>
  <c r="H600" i="5"/>
  <c r="F601" i="5"/>
  <c r="M598" i="5"/>
  <c r="H601" i="5" l="1"/>
  <c r="G601" i="5"/>
  <c r="F602" i="5"/>
  <c r="J600" i="5"/>
  <c r="I600" i="5"/>
  <c r="M599" i="5"/>
  <c r="K600" i="5" l="1"/>
  <c r="L600" i="5" s="1"/>
  <c r="N601" i="5"/>
  <c r="G602" i="5"/>
  <c r="H602" i="5"/>
  <c r="F603" i="5"/>
  <c r="I602" i="5" s="1"/>
  <c r="J601" i="5"/>
  <c r="I601" i="5"/>
  <c r="G603" i="5" l="1"/>
  <c r="H603" i="5"/>
  <c r="F604" i="5"/>
  <c r="N602" i="5"/>
  <c r="K601" i="5"/>
  <c r="L601" i="5" s="1"/>
  <c r="J602" i="5"/>
  <c r="M601" i="5"/>
  <c r="M600" i="5"/>
  <c r="F605" i="5" l="1"/>
  <c r="H604" i="5"/>
  <c r="G604" i="5"/>
  <c r="I604" i="5"/>
  <c r="J604" i="5"/>
  <c r="J603" i="5"/>
  <c r="I603" i="5"/>
  <c r="N603" i="5"/>
  <c r="K602" i="5"/>
  <c r="L602" i="5" s="1"/>
  <c r="K604" i="5" l="1"/>
  <c r="N604" i="5"/>
  <c r="N605" i="5" s="1"/>
  <c r="K603" i="5"/>
  <c r="L603" i="5" s="1"/>
  <c r="F606" i="5"/>
  <c r="G605" i="5"/>
  <c r="H605" i="5"/>
  <c r="M602" i="5"/>
  <c r="M603" i="5" l="1"/>
  <c r="G606" i="5"/>
  <c r="H606" i="5"/>
  <c r="F607" i="5"/>
  <c r="J605" i="5"/>
  <c r="I605" i="5"/>
  <c r="L604" i="5"/>
  <c r="K605" i="5" l="1"/>
  <c r="L605" i="5" s="1"/>
  <c r="N606" i="5"/>
  <c r="M605" i="5"/>
  <c r="G607" i="5"/>
  <c r="H607" i="5"/>
  <c r="F608" i="5"/>
  <c r="J606" i="5"/>
  <c r="I606" i="5"/>
  <c r="M604" i="5"/>
  <c r="G608" i="5" l="1"/>
  <c r="H608" i="5"/>
  <c r="F609" i="5"/>
  <c r="J607" i="5"/>
  <c r="I607" i="5"/>
  <c r="K606" i="5"/>
  <c r="L606" i="5" s="1"/>
  <c r="N607" i="5"/>
  <c r="K607" i="5" l="1"/>
  <c r="L607" i="5" s="1"/>
  <c r="M607" i="5" s="1"/>
  <c r="N608" i="5"/>
  <c r="H609" i="5"/>
  <c r="G609" i="5"/>
  <c r="F610" i="5"/>
  <c r="J608" i="5"/>
  <c r="M606" i="5"/>
  <c r="I608" i="5"/>
  <c r="H610" i="5" l="1"/>
  <c r="G610" i="5"/>
  <c r="F611" i="5"/>
  <c r="J609" i="5"/>
  <c r="K608" i="5"/>
  <c r="L608" i="5" s="1"/>
  <c r="N609" i="5"/>
  <c r="I609" i="5"/>
  <c r="N610" i="5" l="1"/>
  <c r="K609" i="5"/>
  <c r="L609" i="5" s="1"/>
  <c r="H611" i="5"/>
  <c r="G611" i="5"/>
  <c r="F612" i="5"/>
  <c r="I611" i="5" s="1"/>
  <c r="J610" i="5"/>
  <c r="M608" i="5"/>
  <c r="I610" i="5"/>
  <c r="J611" i="5" l="1"/>
  <c r="F613" i="5"/>
  <c r="H612" i="5"/>
  <c r="G612" i="5"/>
  <c r="I612" i="5"/>
  <c r="J612" i="5"/>
  <c r="N611" i="5"/>
  <c r="K610" i="5"/>
  <c r="L610" i="5" s="1"/>
  <c r="M609" i="5"/>
  <c r="K611" i="5" l="1"/>
  <c r="L611" i="5" s="1"/>
  <c r="M611" i="5" s="1"/>
  <c r="N612" i="5"/>
  <c r="M610" i="5"/>
  <c r="K612" i="5"/>
  <c r="L612" i="5" s="1"/>
  <c r="N613" i="5"/>
  <c r="F614" i="5"/>
  <c r="G613" i="5"/>
  <c r="H613" i="5"/>
  <c r="G614" i="5" l="1"/>
  <c r="H614" i="5"/>
  <c r="F615" i="5"/>
  <c r="J613" i="5"/>
  <c r="I613" i="5"/>
  <c r="M612" i="5"/>
  <c r="K613" i="5" l="1"/>
  <c r="L613" i="5" s="1"/>
  <c r="N614" i="5"/>
  <c r="G615" i="5"/>
  <c r="H615" i="5"/>
  <c r="F616" i="5"/>
  <c r="J614" i="5"/>
  <c r="I614" i="5"/>
  <c r="M613" i="5" l="1"/>
  <c r="K614" i="5"/>
  <c r="L614" i="5" s="1"/>
  <c r="M614" i="5" s="1"/>
  <c r="N615" i="5"/>
  <c r="G616" i="5"/>
  <c r="H616" i="5"/>
  <c r="F617" i="5"/>
  <c r="I616" i="5" s="1"/>
  <c r="J615" i="5"/>
  <c r="I615" i="5"/>
  <c r="J616" i="5" l="1"/>
  <c r="G617" i="5"/>
  <c r="H617" i="5"/>
  <c r="F618" i="5"/>
  <c r="K615" i="5"/>
  <c r="L615" i="5" s="1"/>
  <c r="N616" i="5"/>
  <c r="H618" i="5" l="1"/>
  <c r="G618" i="5"/>
  <c r="F619" i="5"/>
  <c r="J617" i="5"/>
  <c r="I617" i="5"/>
  <c r="K616" i="5"/>
  <c r="L616" i="5" s="1"/>
  <c r="N617" i="5"/>
  <c r="M615" i="5"/>
  <c r="H619" i="5" l="1"/>
  <c r="G619" i="5"/>
  <c r="F620" i="5"/>
  <c r="J618" i="5"/>
  <c r="I618" i="5"/>
  <c r="N618" i="5"/>
  <c r="K617" i="5"/>
  <c r="L617" i="5" s="1"/>
  <c r="M617" i="5" s="1"/>
  <c r="M616" i="5"/>
  <c r="F621" i="5" l="1"/>
  <c r="H620" i="5"/>
  <c r="G620" i="5"/>
  <c r="J619" i="5"/>
  <c r="N619" i="5"/>
  <c r="K618" i="5"/>
  <c r="L618" i="5" s="1"/>
  <c r="I619" i="5"/>
  <c r="F622" i="5" l="1"/>
  <c r="G621" i="5"/>
  <c r="H621" i="5"/>
  <c r="N620" i="5"/>
  <c r="K619" i="5"/>
  <c r="L619" i="5" s="1"/>
  <c r="J620" i="5"/>
  <c r="I620" i="5"/>
  <c r="M618" i="5"/>
  <c r="G622" i="5" l="1"/>
  <c r="H622" i="5"/>
  <c r="F623" i="5"/>
  <c r="J621" i="5"/>
  <c r="K620" i="5"/>
  <c r="L620" i="5" s="1"/>
  <c r="M620" i="5" s="1"/>
  <c r="N621" i="5"/>
  <c r="M619" i="5"/>
  <c r="I621" i="5"/>
  <c r="I623" i="5" l="1"/>
  <c r="G623" i="5"/>
  <c r="H623" i="5"/>
  <c r="F624" i="5"/>
  <c r="K621" i="5"/>
  <c r="L621" i="5" s="1"/>
  <c r="N622" i="5"/>
  <c r="J622" i="5"/>
  <c r="I622" i="5"/>
  <c r="K622" i="5" l="1"/>
  <c r="L622" i="5" s="1"/>
  <c r="N623" i="5"/>
  <c r="M622" i="5"/>
  <c r="M621" i="5"/>
  <c r="G624" i="5"/>
  <c r="H624" i="5"/>
  <c r="F625" i="5"/>
  <c r="I624" i="5" s="1"/>
  <c r="J623" i="5"/>
  <c r="J624" i="5" l="1"/>
  <c r="K624" i="5"/>
  <c r="L624" i="5" s="1"/>
  <c r="N625" i="5"/>
  <c r="K623" i="5"/>
  <c r="L623" i="5" s="1"/>
  <c r="N624" i="5"/>
  <c r="G625" i="5"/>
  <c r="H625" i="5"/>
  <c r="F626" i="5"/>
  <c r="J625" i="5" s="1"/>
  <c r="N626" i="5" l="1"/>
  <c r="K625" i="5"/>
  <c r="L625" i="5" s="1"/>
  <c r="H626" i="5"/>
  <c r="G626" i="5"/>
  <c r="F627" i="5"/>
  <c r="M625" i="5"/>
  <c r="I625" i="5"/>
  <c r="M624" i="5"/>
  <c r="M623" i="5"/>
  <c r="H627" i="5" l="1"/>
  <c r="G627" i="5"/>
  <c r="F628" i="5"/>
  <c r="J626" i="5"/>
  <c r="I626" i="5"/>
  <c r="N627" i="5" l="1"/>
  <c r="K626" i="5"/>
  <c r="L626" i="5" s="1"/>
  <c r="F629" i="5"/>
  <c r="H628" i="5"/>
  <c r="G628" i="5"/>
  <c r="I628" i="5"/>
  <c r="J628" i="5"/>
  <c r="J627" i="5"/>
  <c r="I627" i="5"/>
  <c r="K628" i="5" l="1"/>
  <c r="F630" i="5"/>
  <c r="G629" i="5"/>
  <c r="H629" i="5"/>
  <c r="I629" i="5"/>
  <c r="J629" i="5"/>
  <c r="K627" i="5"/>
  <c r="L627" i="5" s="1"/>
  <c r="N628" i="5"/>
  <c r="N629" i="5" s="1"/>
  <c r="M626" i="5"/>
  <c r="K629" i="5" l="1"/>
  <c r="L629" i="5" s="1"/>
  <c r="N630" i="5"/>
  <c r="G630" i="5"/>
  <c r="H630" i="5"/>
  <c r="F631" i="5"/>
  <c r="M627" i="5"/>
  <c r="L628" i="5"/>
  <c r="M629" i="5" l="1"/>
  <c r="G631" i="5"/>
  <c r="H631" i="5"/>
  <c r="F632" i="5"/>
  <c r="J630" i="5"/>
  <c r="I630" i="5"/>
  <c r="M628" i="5"/>
  <c r="G632" i="5" l="1"/>
  <c r="H632" i="5"/>
  <c r="F633" i="5"/>
  <c r="J631" i="5"/>
  <c r="K630" i="5"/>
  <c r="L630" i="5" s="1"/>
  <c r="N631" i="5"/>
  <c r="I631" i="5"/>
  <c r="G633" i="5" l="1"/>
  <c r="H633" i="5"/>
  <c r="F634" i="5"/>
  <c r="J633" i="5" s="1"/>
  <c r="J632" i="5"/>
  <c r="M630" i="5"/>
  <c r="K631" i="5"/>
  <c r="L631" i="5" s="1"/>
  <c r="M631" i="5" s="1"/>
  <c r="N632" i="5"/>
  <c r="I632" i="5"/>
  <c r="K632" i="5" l="1"/>
  <c r="L632" i="5" s="1"/>
  <c r="M632" i="5" s="1"/>
  <c r="N633" i="5"/>
  <c r="G634" i="5"/>
  <c r="H634" i="5"/>
  <c r="F635" i="5"/>
  <c r="I634" i="5" s="1"/>
  <c r="I633" i="5"/>
  <c r="N634" i="5"/>
  <c r="K633" i="5"/>
  <c r="L633" i="5" l="1"/>
  <c r="M633" i="5" s="1"/>
  <c r="G635" i="5"/>
  <c r="H635" i="5"/>
  <c r="F636" i="5"/>
  <c r="J634" i="5"/>
  <c r="F637" i="5" l="1"/>
  <c r="H636" i="5"/>
  <c r="G636" i="5"/>
  <c r="I636" i="5"/>
  <c r="J636" i="5"/>
  <c r="N635" i="5"/>
  <c r="K634" i="5"/>
  <c r="L634" i="5" s="1"/>
  <c r="I635" i="5"/>
  <c r="J635" i="5"/>
  <c r="M634" i="5" l="1"/>
  <c r="K636" i="5"/>
  <c r="N636" i="5"/>
  <c r="N637" i="5" s="1"/>
  <c r="K635" i="5"/>
  <c r="L635" i="5" s="1"/>
  <c r="F638" i="5"/>
  <c r="I637" i="5" s="1"/>
  <c r="G637" i="5"/>
  <c r="H637" i="5"/>
  <c r="M636" i="5" l="1"/>
  <c r="L636" i="5"/>
  <c r="G638" i="5"/>
  <c r="H638" i="5"/>
  <c r="F639" i="5"/>
  <c r="J637" i="5"/>
  <c r="M635" i="5"/>
  <c r="G639" i="5" l="1"/>
  <c r="H639" i="5"/>
  <c r="F640" i="5"/>
  <c r="K637" i="5"/>
  <c r="L637" i="5" s="1"/>
  <c r="N638" i="5"/>
  <c r="J638" i="5"/>
  <c r="I638" i="5"/>
  <c r="K638" i="5" l="1"/>
  <c r="L638" i="5" s="1"/>
  <c r="M638" i="5" s="1"/>
  <c r="N639" i="5"/>
  <c r="G640" i="5"/>
  <c r="H640" i="5"/>
  <c r="F641" i="5"/>
  <c r="J640" i="5" s="1"/>
  <c r="J639" i="5"/>
  <c r="M637" i="5"/>
  <c r="I639" i="5"/>
  <c r="K640" i="5" l="1"/>
  <c r="H641" i="5"/>
  <c r="G641" i="5"/>
  <c r="F642" i="5"/>
  <c r="I640" i="5"/>
  <c r="K639" i="5"/>
  <c r="L639" i="5" s="1"/>
  <c r="N640" i="5"/>
  <c r="N641" i="5" s="1"/>
  <c r="L640" i="5" l="1"/>
  <c r="G642" i="5"/>
  <c r="H642" i="5"/>
  <c r="F643" i="5"/>
  <c r="J641" i="5"/>
  <c r="I641" i="5"/>
  <c r="M639" i="5"/>
  <c r="G643" i="5" l="1"/>
  <c r="H643" i="5"/>
  <c r="F644" i="5"/>
  <c r="J642" i="5"/>
  <c r="I642" i="5"/>
  <c r="N642" i="5"/>
  <c r="K641" i="5"/>
  <c r="L641" i="5" s="1"/>
  <c r="M641" i="5" s="1"/>
  <c r="M640" i="5"/>
  <c r="F645" i="5" l="1"/>
  <c r="I644" i="5" s="1"/>
  <c r="H644" i="5"/>
  <c r="G644" i="5"/>
  <c r="J643" i="5"/>
  <c r="I643" i="5"/>
  <c r="N643" i="5"/>
  <c r="K642" i="5"/>
  <c r="L642" i="5" s="1"/>
  <c r="M642" i="5" s="1"/>
  <c r="J644" i="5" l="1"/>
  <c r="K643" i="5"/>
  <c r="L643" i="5" s="1"/>
  <c r="N644" i="5"/>
  <c r="N645" i="5" s="1"/>
  <c r="K644" i="5"/>
  <c r="L644" i="5" s="1"/>
  <c r="M643" i="5"/>
  <c r="F646" i="5"/>
  <c r="G645" i="5"/>
  <c r="H645" i="5"/>
  <c r="G646" i="5" l="1"/>
  <c r="H646" i="5"/>
  <c r="F647" i="5"/>
  <c r="J645" i="5"/>
  <c r="I645" i="5"/>
  <c r="M644" i="5"/>
  <c r="H647" i="5" l="1"/>
  <c r="G647" i="5"/>
  <c r="F648" i="5"/>
  <c r="J646" i="5"/>
  <c r="K645" i="5"/>
  <c r="L645" i="5" s="1"/>
  <c r="N646" i="5"/>
  <c r="I646" i="5"/>
  <c r="M645" i="5" l="1"/>
  <c r="K646" i="5"/>
  <c r="L646" i="5" s="1"/>
  <c r="N647" i="5"/>
  <c r="G648" i="5"/>
  <c r="H648" i="5"/>
  <c r="F649" i="5"/>
  <c r="I648" i="5" s="1"/>
  <c r="J647" i="5"/>
  <c r="I647" i="5"/>
  <c r="J648" i="5" l="1"/>
  <c r="K648" i="5"/>
  <c r="L648" i="5" s="1"/>
  <c r="N649" i="5"/>
  <c r="K647" i="5"/>
  <c r="L647" i="5" s="1"/>
  <c r="M648" i="5" s="1"/>
  <c r="N648" i="5"/>
  <c r="H649" i="5"/>
  <c r="G649" i="5"/>
  <c r="I649" i="5"/>
  <c r="F650" i="5"/>
  <c r="M646" i="5"/>
  <c r="M647" i="5" l="1"/>
  <c r="G650" i="5"/>
  <c r="H650" i="5"/>
  <c r="F651" i="5"/>
  <c r="J649" i="5"/>
  <c r="G651" i="5" l="1"/>
  <c r="H651" i="5"/>
  <c r="F652" i="5"/>
  <c r="N650" i="5"/>
  <c r="K649" i="5"/>
  <c r="L649" i="5" s="1"/>
  <c r="J650" i="5"/>
  <c r="I650" i="5"/>
  <c r="M649" i="5" l="1"/>
  <c r="F653" i="5"/>
  <c r="H652" i="5"/>
  <c r="G652" i="5"/>
  <c r="I652" i="5"/>
  <c r="J652" i="5"/>
  <c r="J651" i="5"/>
  <c r="I651" i="5"/>
  <c r="N651" i="5"/>
  <c r="K650" i="5"/>
  <c r="L650" i="5" s="1"/>
  <c r="M650" i="5" s="1"/>
  <c r="N652" i="5" l="1"/>
  <c r="N653" i="5" s="1"/>
  <c r="K651" i="5"/>
  <c r="L651" i="5" s="1"/>
  <c r="K652" i="5"/>
  <c r="L652" i="5" s="1"/>
  <c r="M651" i="5"/>
  <c r="F654" i="5"/>
  <c r="G653" i="5"/>
  <c r="I653" i="5"/>
  <c r="H653" i="5"/>
  <c r="G654" i="5" l="1"/>
  <c r="H654" i="5"/>
  <c r="F655" i="5"/>
  <c r="I654" i="5" s="1"/>
  <c r="M652" i="5"/>
  <c r="J653" i="5"/>
  <c r="J654" i="5" l="1"/>
  <c r="K653" i="5"/>
  <c r="L653" i="5" s="1"/>
  <c r="N654" i="5"/>
  <c r="G655" i="5"/>
  <c r="H655" i="5"/>
  <c r="F656" i="5"/>
  <c r="G656" i="5" l="1"/>
  <c r="H656" i="5"/>
  <c r="F657" i="5"/>
  <c r="I655" i="5"/>
  <c r="J655" i="5"/>
  <c r="M653" i="5"/>
  <c r="K654" i="5"/>
  <c r="L654" i="5" s="1"/>
  <c r="M654" i="5" s="1"/>
  <c r="N655" i="5"/>
  <c r="K655" i="5" l="1"/>
  <c r="L655" i="5" s="1"/>
  <c r="N656" i="5"/>
  <c r="G657" i="5"/>
  <c r="H657" i="5"/>
  <c r="F658" i="5"/>
  <c r="I657" i="5" s="1"/>
  <c r="J656" i="5"/>
  <c r="I656" i="5"/>
  <c r="M655" i="5"/>
  <c r="K656" i="5" l="1"/>
  <c r="L656" i="5" s="1"/>
  <c r="M656" i="5" s="1"/>
  <c r="N657" i="5"/>
  <c r="H658" i="5"/>
  <c r="G658" i="5"/>
  <c r="F659" i="5"/>
  <c r="J657" i="5"/>
  <c r="G659" i="5" l="1"/>
  <c r="H659" i="5"/>
  <c r="F660" i="5"/>
  <c r="J659" i="5" s="1"/>
  <c r="J658" i="5"/>
  <c r="I658" i="5"/>
  <c r="N658" i="5"/>
  <c r="K657" i="5"/>
  <c r="L657" i="5" s="1"/>
  <c r="M657" i="5" s="1"/>
  <c r="K659" i="5" l="1"/>
  <c r="N659" i="5"/>
  <c r="N660" i="5" s="1"/>
  <c r="K658" i="5"/>
  <c r="L658" i="5" s="1"/>
  <c r="F661" i="5"/>
  <c r="J660" i="5" s="1"/>
  <c r="H660" i="5"/>
  <c r="G660" i="5"/>
  <c r="I660" i="5"/>
  <c r="I659" i="5"/>
  <c r="L659" i="5" l="1"/>
  <c r="K660" i="5"/>
  <c r="N661" i="5"/>
  <c r="F662" i="5"/>
  <c r="G661" i="5"/>
  <c r="H661" i="5"/>
  <c r="I661" i="5"/>
  <c r="J661" i="5"/>
  <c r="M659" i="5"/>
  <c r="M658" i="5"/>
  <c r="L660" i="5" l="1"/>
  <c r="K661" i="5"/>
  <c r="N662" i="5"/>
  <c r="G662" i="5"/>
  <c r="F663" i="5"/>
  <c r="I662" i="5"/>
  <c r="H662" i="5"/>
  <c r="J662" i="5"/>
  <c r="L661" i="5" l="1"/>
  <c r="M661" i="5" s="1"/>
  <c r="M660" i="5"/>
  <c r="K662" i="5"/>
  <c r="L662" i="5" s="1"/>
  <c r="N663" i="5"/>
  <c r="G663" i="5"/>
  <c r="H663" i="5"/>
  <c r="F664" i="5"/>
  <c r="I663" i="5" s="1"/>
  <c r="M662" i="5" l="1"/>
  <c r="J663" i="5"/>
  <c r="G664" i="5"/>
  <c r="H664" i="5"/>
  <c r="F665" i="5"/>
  <c r="J664" i="5" s="1"/>
  <c r="K664" i="5" l="1"/>
  <c r="H665" i="5"/>
  <c r="G665" i="5"/>
  <c r="F666" i="5"/>
  <c r="I665" i="5" s="1"/>
  <c r="I664" i="5"/>
  <c r="K663" i="5"/>
  <c r="L663" i="5" s="1"/>
  <c r="N664" i="5"/>
  <c r="N665" i="5" s="1"/>
  <c r="I666" i="5" l="1"/>
  <c r="H666" i="5"/>
  <c r="G666" i="5"/>
  <c r="F667" i="5"/>
  <c r="J665" i="5"/>
  <c r="M663" i="5"/>
  <c r="L664" i="5"/>
  <c r="M665" i="5" l="1"/>
  <c r="M664" i="5"/>
  <c r="N666" i="5"/>
  <c r="K665" i="5"/>
  <c r="L665" i="5" s="1"/>
  <c r="G667" i="5"/>
  <c r="H667" i="5"/>
  <c r="F668" i="5"/>
  <c r="J666" i="5"/>
  <c r="F669" i="5" l="1"/>
  <c r="I668" i="5" s="1"/>
  <c r="H668" i="5"/>
  <c r="G668" i="5"/>
  <c r="J667" i="5"/>
  <c r="I667" i="5"/>
  <c r="N667" i="5"/>
  <c r="K666" i="5"/>
  <c r="L666" i="5" s="1"/>
  <c r="M666" i="5" s="1"/>
  <c r="N668" i="5" l="1"/>
  <c r="K667" i="5"/>
  <c r="L667" i="5" s="1"/>
  <c r="J668" i="5"/>
  <c r="F670" i="5"/>
  <c r="G669" i="5"/>
  <c r="H669" i="5"/>
  <c r="I669" i="5"/>
  <c r="J669" i="5"/>
  <c r="M668" i="5" l="1"/>
  <c r="K669" i="5"/>
  <c r="G670" i="5"/>
  <c r="H670" i="5"/>
  <c r="F671" i="5"/>
  <c r="M667" i="5"/>
  <c r="K668" i="5"/>
  <c r="L668" i="5" s="1"/>
  <c r="N669" i="5"/>
  <c r="N670" i="5" s="1"/>
  <c r="I671" i="5" l="1"/>
  <c r="H671" i="5"/>
  <c r="G671" i="5"/>
  <c r="F672" i="5"/>
  <c r="J670" i="5"/>
  <c r="I670" i="5"/>
  <c r="L669" i="5"/>
  <c r="M669" i="5" l="1"/>
  <c r="K670" i="5"/>
  <c r="L670" i="5" s="1"/>
  <c r="N671" i="5"/>
  <c r="G672" i="5"/>
  <c r="H672" i="5"/>
  <c r="F673" i="5"/>
  <c r="I672" i="5" s="1"/>
  <c r="J671" i="5"/>
  <c r="J672" i="5" l="1"/>
  <c r="K672" i="5"/>
  <c r="K671" i="5"/>
  <c r="L671" i="5" s="1"/>
  <c r="N672" i="5"/>
  <c r="N673" i="5" s="1"/>
  <c r="H673" i="5"/>
  <c r="G673" i="5"/>
  <c r="J673" i="5"/>
  <c r="I673" i="5"/>
  <c r="F674" i="5"/>
  <c r="M670" i="5"/>
  <c r="L672" i="5" l="1"/>
  <c r="M672" i="5" s="1"/>
  <c r="M671" i="5"/>
  <c r="N674" i="5"/>
  <c r="K673" i="5"/>
  <c r="H674" i="5"/>
  <c r="G674" i="5"/>
  <c r="F675" i="5"/>
  <c r="L673" i="5" l="1"/>
  <c r="G675" i="5"/>
  <c r="H675" i="5"/>
  <c r="F676" i="5"/>
  <c r="I675" i="5" s="1"/>
  <c r="J674" i="5"/>
  <c r="I674" i="5"/>
  <c r="M673" i="5"/>
  <c r="N675" i="5" l="1"/>
  <c r="K674" i="5"/>
  <c r="L674" i="5" s="1"/>
  <c r="F677" i="5"/>
  <c r="H676" i="5"/>
  <c r="G676" i="5"/>
  <c r="I676" i="5"/>
  <c r="J676" i="5"/>
  <c r="J675" i="5"/>
  <c r="K675" i="5" l="1"/>
  <c r="L675" i="5" s="1"/>
  <c r="N676" i="5"/>
  <c r="K676" i="5"/>
  <c r="L676" i="5" s="1"/>
  <c r="N677" i="5"/>
  <c r="F678" i="5"/>
  <c r="I677" i="5" s="1"/>
  <c r="G677" i="5"/>
  <c r="H677" i="5"/>
  <c r="M675" i="5"/>
  <c r="M674" i="5"/>
  <c r="M676" i="5" l="1"/>
  <c r="J677" i="5"/>
  <c r="G678" i="5"/>
  <c r="H678" i="5"/>
  <c r="F679" i="5"/>
  <c r="G679" i="5" l="1"/>
  <c r="H679" i="5"/>
  <c r="F680" i="5"/>
  <c r="J678" i="5"/>
  <c r="I678" i="5"/>
  <c r="K677" i="5"/>
  <c r="L677" i="5" s="1"/>
  <c r="N678" i="5"/>
  <c r="M677" i="5" l="1"/>
  <c r="G680" i="5"/>
  <c r="H680" i="5"/>
  <c r="F681" i="5"/>
  <c r="J679" i="5"/>
  <c r="K678" i="5"/>
  <c r="L678" i="5" s="1"/>
  <c r="N679" i="5"/>
  <c r="I679" i="5"/>
  <c r="G681" i="5" l="1"/>
  <c r="H681" i="5"/>
  <c r="F682" i="5"/>
  <c r="J680" i="5"/>
  <c r="I680" i="5"/>
  <c r="K679" i="5"/>
  <c r="L679" i="5" s="1"/>
  <c r="N680" i="5"/>
  <c r="M678" i="5"/>
  <c r="K680" i="5" l="1"/>
  <c r="L680" i="5" s="1"/>
  <c r="N681" i="5"/>
  <c r="H682" i="5"/>
  <c r="G682" i="5"/>
  <c r="F683" i="5"/>
  <c r="I682" i="5" s="1"/>
  <c r="I681" i="5"/>
  <c r="J681" i="5"/>
  <c r="M679" i="5"/>
  <c r="J682" i="5" l="1"/>
  <c r="H683" i="5"/>
  <c r="G683" i="5"/>
  <c r="F684" i="5"/>
  <c r="N682" i="5"/>
  <c r="K681" i="5"/>
  <c r="L681" i="5" s="1"/>
  <c r="M680" i="5"/>
  <c r="F685" i="5" l="1"/>
  <c r="H684" i="5"/>
  <c r="G684" i="5"/>
  <c r="J684" i="5"/>
  <c r="I684" i="5"/>
  <c r="I683" i="5"/>
  <c r="J683" i="5"/>
  <c r="M681" i="5"/>
  <c r="N683" i="5"/>
  <c r="K682" i="5"/>
  <c r="L682" i="5" s="1"/>
  <c r="M682" i="5" s="1"/>
  <c r="N684" i="5" l="1"/>
  <c r="N685" i="5" s="1"/>
  <c r="K683" i="5"/>
  <c r="L683" i="5" s="1"/>
  <c r="M683" i="5" s="1"/>
  <c r="K684" i="5"/>
  <c r="L684" i="5" s="1"/>
  <c r="F686" i="5"/>
  <c r="G685" i="5"/>
  <c r="H685" i="5"/>
  <c r="G686" i="5" l="1"/>
  <c r="H686" i="5"/>
  <c r="F687" i="5"/>
  <c r="I686" i="5"/>
  <c r="I685" i="5"/>
  <c r="M684" i="5"/>
  <c r="J685" i="5"/>
  <c r="J686" i="5" l="1"/>
  <c r="K686" i="5" s="1"/>
  <c r="L686" i="5" s="1"/>
  <c r="H687" i="5"/>
  <c r="G687" i="5"/>
  <c r="F688" i="5"/>
  <c r="K685" i="5"/>
  <c r="L685" i="5" s="1"/>
  <c r="N686" i="5"/>
  <c r="N687" i="5" l="1"/>
  <c r="M686" i="5"/>
  <c r="M685" i="5"/>
  <c r="G688" i="5"/>
  <c r="H688" i="5"/>
  <c r="F689" i="5"/>
  <c r="J687" i="5"/>
  <c r="I687" i="5"/>
  <c r="H689" i="5" l="1"/>
  <c r="G689" i="5"/>
  <c r="F690" i="5"/>
  <c r="J688" i="5"/>
  <c r="I688" i="5"/>
  <c r="K687" i="5"/>
  <c r="L687" i="5" s="1"/>
  <c r="N688" i="5"/>
  <c r="M687" i="5" l="1"/>
  <c r="K688" i="5"/>
  <c r="L688" i="5" s="1"/>
  <c r="M688" i="5" s="1"/>
  <c r="N689" i="5"/>
  <c r="G690" i="5"/>
  <c r="H690" i="5"/>
  <c r="F691" i="5"/>
  <c r="I690" i="5" s="1"/>
  <c r="J689" i="5"/>
  <c r="I689" i="5"/>
  <c r="N690" i="5" l="1"/>
  <c r="K689" i="5"/>
  <c r="L689" i="5" s="1"/>
  <c r="J690" i="5"/>
  <c r="H691" i="5"/>
  <c r="G691" i="5"/>
  <c r="F692" i="5"/>
  <c r="F693" i="5" l="1"/>
  <c r="H692" i="5"/>
  <c r="G692" i="5"/>
  <c r="I692" i="5"/>
  <c r="J692" i="5"/>
  <c r="J691" i="5"/>
  <c r="I691" i="5"/>
  <c r="M689" i="5"/>
  <c r="N691" i="5"/>
  <c r="K690" i="5"/>
  <c r="L690" i="5" s="1"/>
  <c r="K691" i="5" l="1"/>
  <c r="L691" i="5" s="1"/>
  <c r="M691" i="5" s="1"/>
  <c r="N692" i="5"/>
  <c r="N693" i="5" s="1"/>
  <c r="F694" i="5"/>
  <c r="G693" i="5"/>
  <c r="H693" i="5"/>
  <c r="I693" i="5"/>
  <c r="J693" i="5"/>
  <c r="K692" i="5"/>
  <c r="M690" i="5"/>
  <c r="L692" i="5" l="1"/>
  <c r="K693" i="5"/>
  <c r="L693" i="5" s="1"/>
  <c r="N694" i="5"/>
  <c r="G694" i="5"/>
  <c r="H694" i="5"/>
  <c r="F695" i="5"/>
  <c r="M692" i="5"/>
  <c r="M693" i="5"/>
  <c r="G695" i="5" l="1"/>
  <c r="H695" i="5"/>
  <c r="F696" i="5"/>
  <c r="J694" i="5"/>
  <c r="I694" i="5"/>
  <c r="G696" i="5" l="1"/>
  <c r="H696" i="5"/>
  <c r="F697" i="5"/>
  <c r="J695" i="5"/>
  <c r="I695" i="5"/>
  <c r="K694" i="5"/>
  <c r="L694" i="5" s="1"/>
  <c r="N695" i="5"/>
  <c r="M694" i="5" l="1"/>
  <c r="K695" i="5"/>
  <c r="L695" i="5" s="1"/>
  <c r="M695" i="5" s="1"/>
  <c r="N696" i="5"/>
  <c r="G697" i="5"/>
  <c r="H697" i="5"/>
  <c r="F698" i="5"/>
  <c r="J696" i="5"/>
  <c r="I696" i="5"/>
  <c r="G698" i="5" l="1"/>
  <c r="H698" i="5"/>
  <c r="F699" i="5"/>
  <c r="I697" i="5"/>
  <c r="J697" i="5"/>
  <c r="K696" i="5"/>
  <c r="L696" i="5" s="1"/>
  <c r="N697" i="5"/>
  <c r="M697" i="5" l="1"/>
  <c r="M696" i="5"/>
  <c r="N698" i="5"/>
  <c r="K697" i="5"/>
  <c r="L697" i="5" s="1"/>
  <c r="G699" i="5"/>
  <c r="H699" i="5"/>
  <c r="F700" i="5"/>
  <c r="J698" i="5"/>
  <c r="I698" i="5"/>
  <c r="F701" i="5" l="1"/>
  <c r="H700" i="5"/>
  <c r="G700" i="5"/>
  <c r="J699" i="5"/>
  <c r="I699" i="5"/>
  <c r="N699" i="5"/>
  <c r="K698" i="5"/>
  <c r="L698" i="5" s="1"/>
  <c r="M698" i="5" s="1"/>
  <c r="F702" i="5" l="1"/>
  <c r="I701" i="5" s="1"/>
  <c r="G701" i="5"/>
  <c r="H701" i="5"/>
  <c r="N700" i="5"/>
  <c r="K699" i="5"/>
  <c r="L699" i="5" s="1"/>
  <c r="J700" i="5"/>
  <c r="I700" i="5"/>
  <c r="J701" i="5" l="1"/>
  <c r="M699" i="5"/>
  <c r="K700" i="5"/>
  <c r="L700" i="5" s="1"/>
  <c r="N701" i="5"/>
  <c r="G702" i="5"/>
  <c r="H702" i="5"/>
  <c r="F703" i="5"/>
  <c r="I702" i="5" s="1"/>
  <c r="J702" i="5" l="1"/>
  <c r="K702" i="5" s="1"/>
  <c r="G703" i="5"/>
  <c r="H703" i="5"/>
  <c r="F704" i="5"/>
  <c r="K701" i="5"/>
  <c r="L701" i="5" s="1"/>
  <c r="N702" i="5"/>
  <c r="M700" i="5"/>
  <c r="N703" i="5" l="1"/>
  <c r="G704" i="5"/>
  <c r="H704" i="5"/>
  <c r="F705" i="5"/>
  <c r="J703" i="5"/>
  <c r="I703" i="5"/>
  <c r="L702" i="5"/>
  <c r="M702" i="5" s="1"/>
  <c r="M701" i="5"/>
  <c r="G705" i="5" l="1"/>
  <c r="H705" i="5"/>
  <c r="F706" i="5"/>
  <c r="J704" i="5"/>
  <c r="I704" i="5"/>
  <c r="K703" i="5"/>
  <c r="L703" i="5" s="1"/>
  <c r="N704" i="5"/>
  <c r="N705" i="5" l="1"/>
  <c r="K704" i="5"/>
  <c r="L704" i="5" s="1"/>
  <c r="G706" i="5"/>
  <c r="H706" i="5"/>
  <c r="F707" i="5"/>
  <c r="J705" i="5"/>
  <c r="I705" i="5"/>
  <c r="M703" i="5"/>
  <c r="G707" i="5" l="1"/>
  <c r="H707" i="5"/>
  <c r="F708" i="5"/>
  <c r="J706" i="5"/>
  <c r="I706" i="5"/>
  <c r="N706" i="5"/>
  <c r="K705" i="5"/>
  <c r="L705" i="5" s="1"/>
  <c r="M705" i="5" s="1"/>
  <c r="M704" i="5"/>
  <c r="N707" i="5" l="1"/>
  <c r="K706" i="5"/>
  <c r="L706" i="5" s="1"/>
  <c r="F709" i="5"/>
  <c r="H708" i="5"/>
  <c r="G708" i="5"/>
  <c r="I708" i="5"/>
  <c r="J708" i="5"/>
  <c r="I707" i="5"/>
  <c r="J707" i="5"/>
  <c r="M706" i="5"/>
  <c r="K708" i="5" l="1"/>
  <c r="L708" i="5" s="1"/>
  <c r="N709" i="5"/>
  <c r="F710" i="5"/>
  <c r="G709" i="5"/>
  <c r="H709" i="5"/>
  <c r="I709" i="5"/>
  <c r="J709" i="5"/>
  <c r="K707" i="5"/>
  <c r="L707" i="5" s="1"/>
  <c r="M707" i="5" s="1"/>
  <c r="N708" i="5"/>
  <c r="M708" i="5" l="1"/>
  <c r="K709" i="5"/>
  <c r="L709" i="5" s="1"/>
  <c r="M709" i="5" s="1"/>
  <c r="N710" i="5"/>
  <c r="G710" i="5"/>
  <c r="H710" i="5"/>
  <c r="F711" i="5"/>
  <c r="H711" i="5" l="1"/>
  <c r="G711" i="5"/>
  <c r="F712" i="5"/>
  <c r="J710" i="5"/>
  <c r="I710" i="5"/>
  <c r="K710" i="5" l="1"/>
  <c r="L710" i="5" s="1"/>
  <c r="N711" i="5"/>
  <c r="G712" i="5"/>
  <c r="H712" i="5"/>
  <c r="F713" i="5"/>
  <c r="J711" i="5"/>
  <c r="I711" i="5"/>
  <c r="H713" i="5" l="1"/>
  <c r="G713" i="5"/>
  <c r="F714" i="5"/>
  <c r="I712" i="5"/>
  <c r="K711" i="5"/>
  <c r="L711" i="5" s="1"/>
  <c r="M711" i="5" s="1"/>
  <c r="N712" i="5"/>
  <c r="J712" i="5"/>
  <c r="M710" i="5"/>
  <c r="H714" i="5" l="1"/>
  <c r="G714" i="5"/>
  <c r="F715" i="5"/>
  <c r="I713" i="5"/>
  <c r="J713" i="5"/>
  <c r="K712" i="5"/>
  <c r="L712" i="5" s="1"/>
  <c r="M712" i="5" s="1"/>
  <c r="N713" i="5"/>
  <c r="N714" i="5" l="1"/>
  <c r="K713" i="5"/>
  <c r="L713" i="5" s="1"/>
  <c r="M713" i="5" s="1"/>
  <c r="H715" i="5"/>
  <c r="G715" i="5"/>
  <c r="F716" i="5"/>
  <c r="J715" i="5" s="1"/>
  <c r="J714" i="5"/>
  <c r="I714" i="5"/>
  <c r="K715" i="5" l="1"/>
  <c r="N715" i="5"/>
  <c r="N716" i="5" s="1"/>
  <c r="K714" i="5"/>
  <c r="L714" i="5" s="1"/>
  <c r="M714" i="5" s="1"/>
  <c r="F717" i="5"/>
  <c r="H716" i="5"/>
  <c r="G716" i="5"/>
  <c r="I715" i="5"/>
  <c r="F718" i="5" l="1"/>
  <c r="I717" i="5" s="1"/>
  <c r="G717" i="5"/>
  <c r="H717" i="5"/>
  <c r="J716" i="5"/>
  <c r="L715" i="5"/>
  <c r="M715" i="5"/>
  <c r="I716" i="5"/>
  <c r="K716" i="5" l="1"/>
  <c r="L716" i="5" s="1"/>
  <c r="M716" i="5" s="1"/>
  <c r="N717" i="5"/>
  <c r="J717" i="5"/>
  <c r="G718" i="5"/>
  <c r="H718" i="5"/>
  <c r="F719" i="5"/>
  <c r="I718" i="5" s="1"/>
  <c r="J718" i="5" l="1"/>
  <c r="K718" i="5" s="1"/>
  <c r="L718" i="5" s="1"/>
  <c r="K717" i="5"/>
  <c r="L717" i="5" s="1"/>
  <c r="M717" i="5" s="1"/>
  <c r="N718" i="5"/>
  <c r="G719" i="5"/>
  <c r="H719" i="5"/>
  <c r="F720" i="5"/>
  <c r="I719" i="5" s="1"/>
  <c r="J719" i="5" l="1"/>
  <c r="K719" i="5" s="1"/>
  <c r="L719" i="5" s="1"/>
  <c r="N719" i="5"/>
  <c r="G720" i="5"/>
  <c r="H720" i="5"/>
  <c r="F721" i="5"/>
  <c r="M718" i="5"/>
  <c r="N720" i="5" l="1"/>
  <c r="G721" i="5"/>
  <c r="H721" i="5"/>
  <c r="F722" i="5"/>
  <c r="J720" i="5"/>
  <c r="I720" i="5"/>
  <c r="M719" i="5"/>
  <c r="K720" i="5" l="1"/>
  <c r="L720" i="5" s="1"/>
  <c r="N721" i="5"/>
  <c r="H722" i="5"/>
  <c r="G722" i="5"/>
  <c r="F723" i="5"/>
  <c r="J721" i="5"/>
  <c r="I721" i="5"/>
  <c r="N722" i="5" l="1"/>
  <c r="K721" i="5"/>
  <c r="L721" i="5" s="1"/>
  <c r="G723" i="5"/>
  <c r="H723" i="5"/>
  <c r="F724" i="5"/>
  <c r="J722" i="5"/>
  <c r="I722" i="5"/>
  <c r="M721" i="5"/>
  <c r="M720" i="5"/>
  <c r="F725" i="5" l="1"/>
  <c r="I724" i="5" s="1"/>
  <c r="G724" i="5"/>
  <c r="H724" i="5"/>
  <c r="N723" i="5"/>
  <c r="K722" i="5"/>
  <c r="L722" i="5" s="1"/>
  <c r="J723" i="5"/>
  <c r="I723" i="5"/>
  <c r="M722" i="5" l="1"/>
  <c r="J724" i="5"/>
  <c r="K723" i="5"/>
  <c r="L723" i="5" s="1"/>
  <c r="N724" i="5"/>
  <c r="F726" i="5"/>
  <c r="J725" i="5" s="1"/>
  <c r="G725" i="5"/>
  <c r="I725" i="5"/>
  <c r="H725" i="5"/>
  <c r="K725" i="5" l="1"/>
  <c r="L725" i="5" s="1"/>
  <c r="K724" i="5"/>
  <c r="L724" i="5" s="1"/>
  <c r="N725" i="5"/>
  <c r="N726" i="5" s="1"/>
  <c r="G726" i="5"/>
  <c r="H726" i="5"/>
  <c r="F727" i="5"/>
  <c r="J726" i="5" s="1"/>
  <c r="M723" i="5"/>
  <c r="K726" i="5" l="1"/>
  <c r="L726" i="5" s="1"/>
  <c r="M726" i="5" s="1"/>
  <c r="N727" i="5"/>
  <c r="I726" i="5"/>
  <c r="M725" i="5"/>
  <c r="M724" i="5"/>
  <c r="H727" i="5"/>
  <c r="G727" i="5"/>
  <c r="F728" i="5"/>
  <c r="I727" i="5" s="1"/>
  <c r="J727" i="5" l="1"/>
  <c r="K727" i="5" s="1"/>
  <c r="L727" i="5" s="1"/>
  <c r="M727" i="5" s="1"/>
  <c r="G728" i="5"/>
  <c r="H728" i="5"/>
  <c r="F729" i="5"/>
  <c r="N728" i="5" l="1"/>
  <c r="H729" i="5"/>
  <c r="G729" i="5"/>
  <c r="F730" i="5"/>
  <c r="J728" i="5"/>
  <c r="I728" i="5"/>
  <c r="K728" i="5" l="1"/>
  <c r="L728" i="5" s="1"/>
  <c r="N729" i="5"/>
  <c r="H730" i="5"/>
  <c r="G730" i="5"/>
  <c r="F731" i="5"/>
  <c r="J730" i="5" s="1"/>
  <c r="J729" i="5"/>
  <c r="I729" i="5"/>
  <c r="K730" i="5" l="1"/>
  <c r="I730" i="5"/>
  <c r="N730" i="5"/>
  <c r="N731" i="5" s="1"/>
  <c r="K729" i="5"/>
  <c r="L729" i="5" s="1"/>
  <c r="G731" i="5"/>
  <c r="H731" i="5"/>
  <c r="F732" i="5"/>
  <c r="I731" i="5" s="1"/>
  <c r="M728" i="5"/>
  <c r="J731" i="5" l="1"/>
  <c r="N732" i="5" s="1"/>
  <c r="M729" i="5"/>
  <c r="F733" i="5"/>
  <c r="G732" i="5"/>
  <c r="H732" i="5"/>
  <c r="J732" i="5"/>
  <c r="L730" i="5"/>
  <c r="M730" i="5" s="1"/>
  <c r="K731" i="5" l="1"/>
  <c r="K732" i="5"/>
  <c r="L732" i="5" s="1"/>
  <c r="N733" i="5"/>
  <c r="F734" i="5"/>
  <c r="G733" i="5"/>
  <c r="H733" i="5"/>
  <c r="J733" i="5"/>
  <c r="I733" i="5"/>
  <c r="M731" i="5"/>
  <c r="L731" i="5"/>
  <c r="M732" i="5" s="1"/>
  <c r="I732" i="5"/>
  <c r="K733" i="5" l="1"/>
  <c r="L733" i="5" s="1"/>
  <c r="M733" i="5" s="1"/>
  <c r="N734" i="5"/>
  <c r="G734" i="5"/>
  <c r="H734" i="5"/>
  <c r="F735" i="5"/>
  <c r="H735" i="5" l="1"/>
  <c r="G735" i="5"/>
  <c r="F736" i="5"/>
  <c r="I734" i="5"/>
  <c r="J734" i="5"/>
  <c r="K734" i="5" l="1"/>
  <c r="L734" i="5" s="1"/>
  <c r="N735" i="5"/>
  <c r="G736" i="5"/>
  <c r="H736" i="5"/>
  <c r="F737" i="5"/>
  <c r="J735" i="5"/>
  <c r="I735" i="5"/>
  <c r="K735" i="5" l="1"/>
  <c r="L735" i="5" s="1"/>
  <c r="M735" i="5" s="1"/>
  <c r="N736" i="5"/>
  <c r="G737" i="5"/>
  <c r="H737" i="5"/>
  <c r="F738" i="5"/>
  <c r="J736" i="5"/>
  <c r="I736" i="5"/>
  <c r="M734" i="5"/>
  <c r="K736" i="5" l="1"/>
  <c r="L736" i="5" s="1"/>
  <c r="M736" i="5" s="1"/>
  <c r="N737" i="5"/>
  <c r="H738" i="5"/>
  <c r="G738" i="5"/>
  <c r="F739" i="5"/>
  <c r="I737" i="5"/>
  <c r="J737" i="5"/>
  <c r="H739" i="5" l="1"/>
  <c r="G739" i="5"/>
  <c r="F740" i="5"/>
  <c r="J738" i="5"/>
  <c r="I738" i="5"/>
  <c r="N738" i="5"/>
  <c r="K737" i="5"/>
  <c r="L737" i="5" s="1"/>
  <c r="M737" i="5"/>
  <c r="N739" i="5" l="1"/>
  <c r="K738" i="5"/>
  <c r="L738" i="5" s="1"/>
  <c r="F741" i="5"/>
  <c r="G740" i="5"/>
  <c r="H740" i="5"/>
  <c r="I740" i="5"/>
  <c r="J740" i="5"/>
  <c r="J739" i="5"/>
  <c r="I739" i="5"/>
  <c r="M738" i="5"/>
  <c r="K739" i="5" l="1"/>
  <c r="L739" i="5" s="1"/>
  <c r="M739" i="5" s="1"/>
  <c r="N740" i="5"/>
  <c r="N741" i="5" s="1"/>
  <c r="K740" i="5"/>
  <c r="F742" i="5"/>
  <c r="G741" i="5"/>
  <c r="H741" i="5"/>
  <c r="I741" i="5"/>
  <c r="L740" i="5" l="1"/>
  <c r="M740" i="5" s="1"/>
  <c r="G742" i="5"/>
  <c r="H742" i="5"/>
  <c r="F743" i="5"/>
  <c r="J741" i="5"/>
  <c r="K741" i="5" l="1"/>
  <c r="L741" i="5" s="1"/>
  <c r="N742" i="5"/>
  <c r="H743" i="5"/>
  <c r="G743" i="5"/>
  <c r="F744" i="5"/>
  <c r="J742" i="5"/>
  <c r="I742" i="5"/>
  <c r="M741" i="5" l="1"/>
  <c r="K742" i="5"/>
  <c r="L742" i="5" s="1"/>
  <c r="N743" i="5"/>
  <c r="G744" i="5"/>
  <c r="H744" i="5"/>
  <c r="F745" i="5"/>
  <c r="I744" i="5" s="1"/>
  <c r="J743" i="5"/>
  <c r="I743" i="5"/>
  <c r="J744" i="5" l="1"/>
  <c r="K744" i="5"/>
  <c r="K743" i="5"/>
  <c r="L743" i="5" s="1"/>
  <c r="N744" i="5"/>
  <c r="N745" i="5" s="1"/>
  <c r="G745" i="5"/>
  <c r="H745" i="5"/>
  <c r="F746" i="5"/>
  <c r="I745" i="5" s="1"/>
  <c r="M742" i="5"/>
  <c r="M743" i="5" l="1"/>
  <c r="G746" i="5"/>
  <c r="H746" i="5"/>
  <c r="F747" i="5"/>
  <c r="J746" i="5" s="1"/>
  <c r="J745" i="5"/>
  <c r="L744" i="5"/>
  <c r="K746" i="5" l="1"/>
  <c r="N746" i="5"/>
  <c r="N747" i="5" s="1"/>
  <c r="K745" i="5"/>
  <c r="L745" i="5" s="1"/>
  <c r="G747" i="5"/>
  <c r="H747" i="5"/>
  <c r="F748" i="5"/>
  <c r="I747" i="5" s="1"/>
  <c r="I746" i="5"/>
  <c r="M744" i="5"/>
  <c r="J747" i="5" l="1"/>
  <c r="M745" i="5"/>
  <c r="L746" i="5"/>
  <c r="M746" i="5" s="1"/>
  <c r="N748" i="5"/>
  <c r="K747" i="5"/>
  <c r="L747" i="5" s="1"/>
  <c r="M747" i="5" s="1"/>
  <c r="F749" i="5"/>
  <c r="I748" i="5" s="1"/>
  <c r="G748" i="5"/>
  <c r="H748" i="5"/>
  <c r="J748" i="5" l="1"/>
  <c r="K748" i="5"/>
  <c r="L748" i="5" s="1"/>
  <c r="N749" i="5"/>
  <c r="F750" i="5"/>
  <c r="I749" i="5" s="1"/>
  <c r="G749" i="5"/>
  <c r="H749" i="5"/>
  <c r="J749" i="5"/>
  <c r="M748" i="5"/>
  <c r="K749" i="5" l="1"/>
  <c r="L749" i="5" s="1"/>
  <c r="N750" i="5"/>
  <c r="G750" i="5"/>
  <c r="F751" i="5"/>
  <c r="H750" i="5"/>
  <c r="M749" i="5"/>
  <c r="H751" i="5" l="1"/>
  <c r="G751" i="5"/>
  <c r="F752" i="5"/>
  <c r="J750" i="5"/>
  <c r="I750" i="5"/>
  <c r="K750" i="5" l="1"/>
  <c r="L750" i="5" s="1"/>
  <c r="N751" i="5"/>
  <c r="G752" i="5"/>
  <c r="H752" i="5"/>
  <c r="F753" i="5"/>
  <c r="J752" i="5" s="1"/>
  <c r="J751" i="5"/>
  <c r="I751" i="5"/>
  <c r="K752" i="5" l="1"/>
  <c r="L752" i="5" s="1"/>
  <c r="N753" i="5"/>
  <c r="K751" i="5"/>
  <c r="L751" i="5" s="1"/>
  <c r="M752" i="5" s="1"/>
  <c r="N752" i="5"/>
  <c r="H753" i="5"/>
  <c r="G753" i="5"/>
  <c r="I753" i="5"/>
  <c r="J753" i="5"/>
  <c r="F754" i="5"/>
  <c r="I752" i="5"/>
  <c r="M750" i="5"/>
  <c r="M751" i="5" l="1"/>
  <c r="N754" i="5"/>
  <c r="K753" i="5"/>
  <c r="L753" i="5" s="1"/>
  <c r="H754" i="5"/>
  <c r="G754" i="5"/>
  <c r="F755" i="5"/>
  <c r="H755" i="5" l="1"/>
  <c r="G755" i="5"/>
  <c r="F756" i="5"/>
  <c r="J754" i="5"/>
  <c r="I754" i="5"/>
  <c r="M753" i="5"/>
  <c r="N755" i="5" l="1"/>
  <c r="K754" i="5"/>
  <c r="L754" i="5" s="1"/>
  <c r="F757" i="5"/>
  <c r="I756" i="5" s="1"/>
  <c r="G756" i="5"/>
  <c r="H756" i="5"/>
  <c r="J755" i="5"/>
  <c r="I755" i="5"/>
  <c r="K755" i="5" l="1"/>
  <c r="L755" i="5" s="1"/>
  <c r="N756" i="5"/>
  <c r="J756" i="5"/>
  <c r="F758" i="5"/>
  <c r="G757" i="5"/>
  <c r="H757" i="5"/>
  <c r="J757" i="5" s="1"/>
  <c r="I757" i="5"/>
  <c r="M755" i="5"/>
  <c r="M754" i="5"/>
  <c r="K757" i="5" l="1"/>
  <c r="L757" i="5" s="1"/>
  <c r="N758" i="5"/>
  <c r="G758" i="5"/>
  <c r="F759" i="5"/>
  <c r="H758" i="5"/>
  <c r="I758" i="5"/>
  <c r="J758" i="5"/>
  <c r="K756" i="5"/>
  <c r="L756" i="5" s="1"/>
  <c r="M757" i="5" s="1"/>
  <c r="N757" i="5"/>
  <c r="H759" i="5" l="1"/>
  <c r="G759" i="5"/>
  <c r="F760" i="5"/>
  <c r="J759" i="5" s="1"/>
  <c r="K758" i="5"/>
  <c r="L758" i="5" s="1"/>
  <c r="N759" i="5"/>
  <c r="M756" i="5"/>
  <c r="K759" i="5" l="1"/>
  <c r="L759" i="5" s="1"/>
  <c r="N760" i="5"/>
  <c r="M759" i="5"/>
  <c r="G760" i="5"/>
  <c r="H760" i="5"/>
  <c r="F761" i="5"/>
  <c r="I759" i="5"/>
  <c r="M758" i="5"/>
  <c r="G761" i="5" l="1"/>
  <c r="H761" i="5"/>
  <c r="F762" i="5"/>
  <c r="I760" i="5"/>
  <c r="J760" i="5"/>
  <c r="G762" i="5" l="1"/>
  <c r="H762" i="5"/>
  <c r="F763" i="5"/>
  <c r="K760" i="5"/>
  <c r="L760" i="5" s="1"/>
  <c r="N761" i="5"/>
  <c r="I761" i="5"/>
  <c r="J761" i="5"/>
  <c r="G763" i="5" l="1"/>
  <c r="H763" i="5"/>
  <c r="F764" i="5"/>
  <c r="I763" i="5" s="1"/>
  <c r="J762" i="5"/>
  <c r="M761" i="5"/>
  <c r="M760" i="5"/>
  <c r="I762" i="5"/>
  <c r="N762" i="5"/>
  <c r="K761" i="5"/>
  <c r="L761" i="5" s="1"/>
  <c r="N763" i="5" l="1"/>
  <c r="K762" i="5"/>
  <c r="L762" i="5" s="1"/>
  <c r="M762" i="5"/>
  <c r="J763" i="5"/>
  <c r="F765" i="5"/>
  <c r="I764" i="5" s="1"/>
  <c r="G764" i="5"/>
  <c r="H764" i="5"/>
  <c r="N764" i="5" l="1"/>
  <c r="K763" i="5"/>
  <c r="L763" i="5" s="1"/>
  <c r="M763" i="5"/>
  <c r="F766" i="5"/>
  <c r="G765" i="5"/>
  <c r="H765" i="5"/>
  <c r="I765" i="5"/>
  <c r="J765" i="5"/>
  <c r="J764" i="5"/>
  <c r="G766" i="5" l="1"/>
  <c r="H766" i="5"/>
  <c r="F767" i="5"/>
  <c r="K765" i="5"/>
  <c r="K764" i="5"/>
  <c r="L764" i="5" s="1"/>
  <c r="M764" i="5" s="1"/>
  <c r="N765" i="5"/>
  <c r="N766" i="5" s="1"/>
  <c r="L765" i="5" l="1"/>
  <c r="H767" i="5"/>
  <c r="G767" i="5"/>
  <c r="F768" i="5"/>
  <c r="J766" i="5"/>
  <c r="I766" i="5"/>
  <c r="M765" i="5"/>
  <c r="K766" i="5" l="1"/>
  <c r="L766" i="5" s="1"/>
  <c r="N767" i="5"/>
  <c r="G768" i="5"/>
  <c r="H768" i="5"/>
  <c r="F769" i="5"/>
  <c r="J768" i="5" s="1"/>
  <c r="J767" i="5"/>
  <c r="I767" i="5"/>
  <c r="K768" i="5" l="1"/>
  <c r="K767" i="5"/>
  <c r="L767" i="5" s="1"/>
  <c r="N768" i="5"/>
  <c r="N769" i="5" s="1"/>
  <c r="G769" i="5"/>
  <c r="H769" i="5"/>
  <c r="F770" i="5"/>
  <c r="I769" i="5" s="1"/>
  <c r="I768" i="5"/>
  <c r="M766" i="5"/>
  <c r="J769" i="5" l="1"/>
  <c r="N770" i="5"/>
  <c r="K769" i="5"/>
  <c r="M767" i="5"/>
  <c r="G770" i="5"/>
  <c r="H770" i="5"/>
  <c r="I770" i="5"/>
  <c r="J770" i="5"/>
  <c r="F771" i="5"/>
  <c r="L768" i="5"/>
  <c r="L769" i="5" l="1"/>
  <c r="M769" i="5" s="1"/>
  <c r="N771" i="5"/>
  <c r="K770" i="5"/>
  <c r="L770" i="5" s="1"/>
  <c r="G771" i="5"/>
  <c r="H771" i="5"/>
  <c r="F772" i="5"/>
  <c r="I771" i="5" s="1"/>
  <c r="M768" i="5"/>
  <c r="J771" i="5" l="1"/>
  <c r="K771" i="5"/>
  <c r="L771" i="5" s="1"/>
  <c r="N772" i="5"/>
  <c r="F773" i="5"/>
  <c r="H772" i="5"/>
  <c r="G772" i="5"/>
  <c r="J772" i="5" s="1"/>
  <c r="M770" i="5"/>
  <c r="K772" i="5" l="1"/>
  <c r="L772" i="5" s="1"/>
  <c r="N773" i="5"/>
  <c r="F774" i="5"/>
  <c r="G773" i="5"/>
  <c r="H773" i="5"/>
  <c r="I773" i="5"/>
  <c r="J773" i="5"/>
  <c r="M772" i="5"/>
  <c r="I772" i="5"/>
  <c r="M771" i="5"/>
  <c r="G774" i="5" l="1"/>
  <c r="H774" i="5"/>
  <c r="F775" i="5"/>
  <c r="J774" i="5" s="1"/>
  <c r="K773" i="5"/>
  <c r="L773" i="5" s="1"/>
  <c r="N774" i="5"/>
  <c r="K774" i="5" l="1"/>
  <c r="L774" i="5" s="1"/>
  <c r="N775" i="5"/>
  <c r="M774" i="5"/>
  <c r="M773" i="5"/>
  <c r="H775" i="5"/>
  <c r="G775" i="5"/>
  <c r="I775" i="5"/>
  <c r="J775" i="5"/>
  <c r="F776" i="5"/>
  <c r="I774" i="5"/>
  <c r="K775" i="5" l="1"/>
  <c r="L775" i="5" s="1"/>
  <c r="N776" i="5"/>
  <c r="G776" i="5"/>
  <c r="H776" i="5"/>
  <c r="F777" i="5"/>
  <c r="I776" i="5" s="1"/>
  <c r="M775" i="5"/>
  <c r="G777" i="5" l="1"/>
  <c r="H777" i="5"/>
  <c r="F778" i="5"/>
  <c r="J776" i="5"/>
  <c r="H778" i="5" l="1"/>
  <c r="G778" i="5"/>
  <c r="F779" i="5"/>
  <c r="J777" i="5"/>
  <c r="K776" i="5"/>
  <c r="L776" i="5" s="1"/>
  <c r="N777" i="5"/>
  <c r="I777" i="5"/>
  <c r="H779" i="5" l="1"/>
  <c r="G779" i="5"/>
  <c r="F780" i="5"/>
  <c r="M776" i="5"/>
  <c r="I778" i="5"/>
  <c r="N778" i="5"/>
  <c r="K777" i="5"/>
  <c r="L777" i="5" s="1"/>
  <c r="M777" i="5" s="1"/>
  <c r="J778" i="5"/>
  <c r="F781" i="5" l="1"/>
  <c r="G780" i="5"/>
  <c r="H780" i="5"/>
  <c r="I780" i="5"/>
  <c r="J780" i="5"/>
  <c r="N779" i="5"/>
  <c r="K778" i="5"/>
  <c r="L778" i="5" s="1"/>
  <c r="I779" i="5"/>
  <c r="J779" i="5"/>
  <c r="K780" i="5" l="1"/>
  <c r="N780" i="5"/>
  <c r="N781" i="5" s="1"/>
  <c r="K779" i="5"/>
  <c r="L779" i="5" s="1"/>
  <c r="M778" i="5"/>
  <c r="F782" i="5"/>
  <c r="I781" i="5" s="1"/>
  <c r="G781" i="5"/>
  <c r="H781" i="5"/>
  <c r="J781" i="5" l="1"/>
  <c r="G782" i="5"/>
  <c r="H782" i="5"/>
  <c r="F783" i="5"/>
  <c r="M779" i="5"/>
  <c r="L780" i="5"/>
  <c r="G783" i="5" l="1"/>
  <c r="H783" i="5"/>
  <c r="F784" i="5"/>
  <c r="J782" i="5"/>
  <c r="K781" i="5"/>
  <c r="L781" i="5" s="1"/>
  <c r="N782" i="5"/>
  <c r="I782" i="5"/>
  <c r="M780" i="5"/>
  <c r="G784" i="5" l="1"/>
  <c r="H784" i="5"/>
  <c r="F785" i="5"/>
  <c r="I783" i="5"/>
  <c r="K782" i="5"/>
  <c r="L782" i="5" s="1"/>
  <c r="N783" i="5"/>
  <c r="J783" i="5"/>
  <c r="M781" i="5"/>
  <c r="G785" i="5" l="1"/>
  <c r="H785" i="5"/>
  <c r="F786" i="5"/>
  <c r="J784" i="5"/>
  <c r="I784" i="5"/>
  <c r="K783" i="5"/>
  <c r="L783" i="5" s="1"/>
  <c r="N784" i="5"/>
  <c r="M782" i="5"/>
  <c r="H786" i="5" l="1"/>
  <c r="G786" i="5"/>
  <c r="F787" i="5"/>
  <c r="I785" i="5"/>
  <c r="J785" i="5"/>
  <c r="N785" i="5"/>
  <c r="K784" i="5"/>
  <c r="L784" i="5" s="1"/>
  <c r="M784" i="5" s="1"/>
  <c r="M783" i="5"/>
  <c r="N786" i="5" l="1"/>
  <c r="K785" i="5"/>
  <c r="L785" i="5" s="1"/>
  <c r="G787" i="5"/>
  <c r="H787" i="5"/>
  <c r="F788" i="5"/>
  <c r="I787" i="5" s="1"/>
  <c r="J786" i="5"/>
  <c r="I786" i="5"/>
  <c r="N787" i="5" l="1"/>
  <c r="K786" i="5"/>
  <c r="L786" i="5" s="1"/>
  <c r="M786" i="5"/>
  <c r="F789" i="5"/>
  <c r="G788" i="5"/>
  <c r="H788" i="5"/>
  <c r="J788" i="5"/>
  <c r="I788" i="5"/>
  <c r="J787" i="5"/>
  <c r="M785" i="5"/>
  <c r="K788" i="5" l="1"/>
  <c r="F790" i="5"/>
  <c r="G789" i="5"/>
  <c r="I789" i="5"/>
  <c r="H789" i="5"/>
  <c r="J789" i="5"/>
  <c r="K787" i="5"/>
  <c r="L787" i="5" s="1"/>
  <c r="M787" i="5" s="1"/>
  <c r="N788" i="5"/>
  <c r="N789" i="5" s="1"/>
  <c r="G790" i="5" l="1"/>
  <c r="F791" i="5"/>
  <c r="I790" i="5" s="1"/>
  <c r="H790" i="5"/>
  <c r="K789" i="5"/>
  <c r="N790" i="5"/>
  <c r="L788" i="5"/>
  <c r="M788" i="5" s="1"/>
  <c r="L789" i="5" l="1"/>
  <c r="J790" i="5"/>
  <c r="H791" i="5"/>
  <c r="G791" i="5"/>
  <c r="F792" i="5"/>
  <c r="J791" i="5" s="1"/>
  <c r="M789" i="5"/>
  <c r="K791" i="5" l="1"/>
  <c r="L791" i="5" s="1"/>
  <c r="N792" i="5"/>
  <c r="K790" i="5"/>
  <c r="L790" i="5" s="1"/>
  <c r="N791" i="5"/>
  <c r="G792" i="5"/>
  <c r="H792" i="5"/>
  <c r="F793" i="5"/>
  <c r="I792" i="5" s="1"/>
  <c r="I791" i="5"/>
  <c r="J792" i="5" l="1"/>
  <c r="M791" i="5"/>
  <c r="M790" i="5"/>
  <c r="G793" i="5"/>
  <c r="H793" i="5"/>
  <c r="F794" i="5"/>
  <c r="J793" i="5" s="1"/>
  <c r="K793" i="5" l="1"/>
  <c r="H794" i="5"/>
  <c r="G794" i="5"/>
  <c r="F795" i="5"/>
  <c r="I793" i="5"/>
  <c r="K792" i="5"/>
  <c r="L792" i="5" s="1"/>
  <c r="N793" i="5"/>
  <c r="N794" i="5" s="1"/>
  <c r="L793" i="5" l="1"/>
  <c r="G795" i="5"/>
  <c r="H795" i="5"/>
  <c r="F796" i="5"/>
  <c r="J794" i="5"/>
  <c r="I794" i="5"/>
  <c r="M793" i="5"/>
  <c r="M792" i="5"/>
  <c r="F797" i="5" l="1"/>
  <c r="G796" i="5"/>
  <c r="H796" i="5"/>
  <c r="J796" i="5" s="1"/>
  <c r="I796" i="5"/>
  <c r="I795" i="5"/>
  <c r="N795" i="5"/>
  <c r="K794" i="5"/>
  <c r="L794" i="5" s="1"/>
  <c r="J795" i="5"/>
  <c r="K796" i="5" l="1"/>
  <c r="L796" i="5" s="1"/>
  <c r="N797" i="5"/>
  <c r="M794" i="5"/>
  <c r="N796" i="5"/>
  <c r="K795" i="5"/>
  <c r="L795" i="5" s="1"/>
  <c r="M796" i="5" s="1"/>
  <c r="F798" i="5"/>
  <c r="J797" i="5" s="1"/>
  <c r="G797" i="5"/>
  <c r="H797" i="5"/>
  <c r="K797" i="5" l="1"/>
  <c r="L797" i="5" s="1"/>
  <c r="N798" i="5"/>
  <c r="M795" i="5"/>
  <c r="G798" i="5"/>
  <c r="H798" i="5"/>
  <c r="F799" i="5"/>
  <c r="J798" i="5" s="1"/>
  <c r="I797" i="5"/>
  <c r="M797" i="5"/>
  <c r="K798" i="5" l="1"/>
  <c r="L798" i="5" s="1"/>
  <c r="N799" i="5"/>
  <c r="H799" i="5"/>
  <c r="G799" i="5"/>
  <c r="F800" i="5"/>
  <c r="I799" i="5" s="1"/>
  <c r="I798" i="5"/>
  <c r="M798" i="5"/>
  <c r="G800" i="5" l="1"/>
  <c r="H800" i="5"/>
  <c r="F801" i="5"/>
  <c r="J800" i="5" s="1"/>
  <c r="J799" i="5"/>
  <c r="K800" i="5" l="1"/>
  <c r="K799" i="5"/>
  <c r="L799" i="5" s="1"/>
  <c r="N800" i="5"/>
  <c r="N801" i="5" s="1"/>
  <c r="G801" i="5"/>
  <c r="H801" i="5"/>
  <c r="F802" i="5"/>
  <c r="J801" i="5" s="1"/>
  <c r="I800" i="5"/>
  <c r="I801" i="5" l="1"/>
  <c r="N802" i="5"/>
  <c r="K801" i="5"/>
  <c r="L801" i="5" s="1"/>
  <c r="M800" i="5"/>
  <c r="M799" i="5"/>
  <c r="H802" i="5"/>
  <c r="I802" i="5"/>
  <c r="G802" i="5"/>
  <c r="F803" i="5"/>
  <c r="J802" i="5" s="1"/>
  <c r="L800" i="5"/>
  <c r="M801" i="5" s="1"/>
  <c r="N803" i="5" l="1"/>
  <c r="K802" i="5"/>
  <c r="L802" i="5" s="1"/>
  <c r="M802" i="5"/>
  <c r="G803" i="5"/>
  <c r="H803" i="5"/>
  <c r="F804" i="5"/>
  <c r="F805" i="5" l="1"/>
  <c r="H804" i="5"/>
  <c r="G804" i="5"/>
  <c r="I804" i="5"/>
  <c r="J804" i="5"/>
  <c r="J803" i="5"/>
  <c r="I803" i="5"/>
  <c r="K804" i="5" l="1"/>
  <c r="K803" i="5"/>
  <c r="L803" i="5" s="1"/>
  <c r="N804" i="5"/>
  <c r="N805" i="5" s="1"/>
  <c r="F806" i="5"/>
  <c r="G805" i="5"/>
  <c r="H805" i="5"/>
  <c r="I805" i="5"/>
  <c r="J805" i="5"/>
  <c r="L804" i="5" l="1"/>
  <c r="G806" i="5"/>
  <c r="H806" i="5"/>
  <c r="F807" i="5"/>
  <c r="I806" i="5" s="1"/>
  <c r="M804" i="5"/>
  <c r="M803" i="5"/>
  <c r="K805" i="5"/>
  <c r="L805" i="5" s="1"/>
  <c r="N806" i="5"/>
  <c r="M805" i="5" l="1"/>
  <c r="H807" i="5"/>
  <c r="G807" i="5"/>
  <c r="F808" i="5"/>
  <c r="J806" i="5"/>
  <c r="G808" i="5" l="1"/>
  <c r="H808" i="5"/>
  <c r="F809" i="5"/>
  <c r="I807" i="5"/>
  <c r="J807" i="5"/>
  <c r="K806" i="5"/>
  <c r="L806" i="5" s="1"/>
  <c r="N807" i="5"/>
  <c r="G809" i="5" l="1"/>
  <c r="H809" i="5"/>
  <c r="F810" i="5"/>
  <c r="J808" i="5"/>
  <c r="M806" i="5"/>
  <c r="I808" i="5"/>
  <c r="K807" i="5"/>
  <c r="L807" i="5" s="1"/>
  <c r="M807" i="5" s="1"/>
  <c r="N808" i="5"/>
  <c r="G810" i="5" l="1"/>
  <c r="H810" i="5"/>
  <c r="F811" i="5"/>
  <c r="I810" i="5" s="1"/>
  <c r="I809" i="5"/>
  <c r="J809" i="5"/>
  <c r="K808" i="5"/>
  <c r="L808" i="5" s="1"/>
  <c r="N809" i="5"/>
  <c r="N810" i="5" l="1"/>
  <c r="K809" i="5"/>
  <c r="L809" i="5" s="1"/>
  <c r="J810" i="5"/>
  <c r="H811" i="5"/>
  <c r="G811" i="5"/>
  <c r="F812" i="5"/>
  <c r="J811" i="5" s="1"/>
  <c r="M808" i="5"/>
  <c r="I811" i="5" l="1"/>
  <c r="N811" i="5"/>
  <c r="K810" i="5"/>
  <c r="L810" i="5" s="1"/>
  <c r="M810" i="5"/>
  <c r="N812" i="5"/>
  <c r="K811" i="5"/>
  <c r="L811" i="5" s="1"/>
  <c r="F813" i="5"/>
  <c r="G812" i="5"/>
  <c r="H812" i="5"/>
  <c r="M809" i="5"/>
  <c r="F814" i="5" l="1"/>
  <c r="G813" i="5"/>
  <c r="H813" i="5"/>
  <c r="J813" i="5"/>
  <c r="I813" i="5"/>
  <c r="I812" i="5"/>
  <c r="M811" i="5"/>
  <c r="J812" i="5"/>
  <c r="K813" i="5" l="1"/>
  <c r="G814" i="5"/>
  <c r="H814" i="5"/>
  <c r="F815" i="5"/>
  <c r="K812" i="5"/>
  <c r="L812" i="5" s="1"/>
  <c r="N813" i="5"/>
  <c r="N814" i="5" s="1"/>
  <c r="H815" i="5" l="1"/>
  <c r="G815" i="5"/>
  <c r="F816" i="5"/>
  <c r="I814" i="5"/>
  <c r="M812" i="5"/>
  <c r="J814" i="5"/>
  <c r="L813" i="5"/>
  <c r="M813" i="5" s="1"/>
  <c r="G816" i="5" l="1"/>
  <c r="H816" i="5"/>
  <c r="F817" i="5"/>
  <c r="J815" i="5"/>
  <c r="I815" i="5"/>
  <c r="K814" i="5"/>
  <c r="L814" i="5" s="1"/>
  <c r="M814" i="5" s="1"/>
  <c r="N815" i="5"/>
  <c r="H817" i="5" l="1"/>
  <c r="G817" i="5"/>
  <c r="F818" i="5"/>
  <c r="J816" i="5"/>
  <c r="K815" i="5"/>
  <c r="L815" i="5" s="1"/>
  <c r="M815" i="5" s="1"/>
  <c r="N816" i="5"/>
  <c r="I816" i="5"/>
  <c r="H818" i="5" l="1"/>
  <c r="G818" i="5"/>
  <c r="F819" i="5"/>
  <c r="J817" i="5"/>
  <c r="K816" i="5"/>
  <c r="L816" i="5" s="1"/>
  <c r="N817" i="5"/>
  <c r="I817" i="5"/>
  <c r="H819" i="5" l="1"/>
  <c r="G819" i="5"/>
  <c r="F820" i="5"/>
  <c r="J818" i="5"/>
  <c r="N818" i="5"/>
  <c r="K817" i="5"/>
  <c r="L817" i="5" s="1"/>
  <c r="I818" i="5"/>
  <c r="M816" i="5"/>
  <c r="N819" i="5" l="1"/>
  <c r="K818" i="5"/>
  <c r="L818" i="5" s="1"/>
  <c r="F821" i="5"/>
  <c r="I820" i="5" s="1"/>
  <c r="G820" i="5"/>
  <c r="H820" i="5"/>
  <c r="J819" i="5"/>
  <c r="I819" i="5"/>
  <c r="M818" i="5"/>
  <c r="M817" i="5"/>
  <c r="J820" i="5" l="1"/>
  <c r="K819" i="5"/>
  <c r="L819" i="5" s="1"/>
  <c r="M819" i="5" s="1"/>
  <c r="N820" i="5"/>
  <c r="F822" i="5"/>
  <c r="G821" i="5"/>
  <c r="H821" i="5"/>
  <c r="I821" i="5"/>
  <c r="J821" i="5"/>
  <c r="K820" i="5"/>
  <c r="L820" i="5" s="1"/>
  <c r="N821" i="5"/>
  <c r="K821" i="5" l="1"/>
  <c r="L821" i="5" s="1"/>
  <c r="N822" i="5"/>
  <c r="G822" i="5"/>
  <c r="H822" i="5"/>
  <c r="F823" i="5"/>
  <c r="J822" i="5" s="1"/>
  <c r="M820" i="5"/>
  <c r="K822" i="5" l="1"/>
  <c r="L822" i="5" s="1"/>
  <c r="M822" i="5" s="1"/>
  <c r="N823" i="5"/>
  <c r="H823" i="5"/>
  <c r="G823" i="5"/>
  <c r="F824" i="5"/>
  <c r="I823" i="5" s="1"/>
  <c r="I822" i="5"/>
  <c r="M821" i="5"/>
  <c r="J823" i="5" l="1"/>
  <c r="G824" i="5"/>
  <c r="H824" i="5"/>
  <c r="F825" i="5"/>
  <c r="I824" i="5" s="1"/>
  <c r="J824" i="5" l="1"/>
  <c r="G825" i="5"/>
  <c r="H825" i="5"/>
  <c r="F826" i="5"/>
  <c r="K823" i="5"/>
  <c r="L823" i="5" s="1"/>
  <c r="N824" i="5"/>
  <c r="G826" i="5" l="1"/>
  <c r="H826" i="5"/>
  <c r="F827" i="5"/>
  <c r="J825" i="5"/>
  <c r="M823" i="5"/>
  <c r="I825" i="5"/>
  <c r="K824" i="5"/>
  <c r="L824" i="5" s="1"/>
  <c r="M824" i="5" s="1"/>
  <c r="N825" i="5"/>
  <c r="N826" i="5" l="1"/>
  <c r="K825" i="5"/>
  <c r="L825" i="5" s="1"/>
  <c r="H827" i="5"/>
  <c r="G827" i="5"/>
  <c r="F828" i="5"/>
  <c r="J826" i="5"/>
  <c r="I826" i="5"/>
  <c r="F829" i="5" l="1"/>
  <c r="G828" i="5"/>
  <c r="H828" i="5"/>
  <c r="J828" i="5"/>
  <c r="I828" i="5"/>
  <c r="I827" i="5"/>
  <c r="J827" i="5"/>
  <c r="M826" i="5"/>
  <c r="N827" i="5"/>
  <c r="K826" i="5"/>
  <c r="L826" i="5" s="1"/>
  <c r="M825" i="5"/>
  <c r="N828" i="5" l="1"/>
  <c r="N829" i="5" s="1"/>
  <c r="K827" i="5"/>
  <c r="L827" i="5" s="1"/>
  <c r="K828" i="5"/>
  <c r="L828" i="5" s="1"/>
  <c r="F830" i="5"/>
  <c r="G829" i="5"/>
  <c r="H829" i="5"/>
  <c r="G830" i="5" l="1"/>
  <c r="H830" i="5"/>
  <c r="F831" i="5"/>
  <c r="M828" i="5"/>
  <c r="M827" i="5"/>
  <c r="J829" i="5"/>
  <c r="I829" i="5"/>
  <c r="H831" i="5" l="1"/>
  <c r="G831" i="5"/>
  <c r="F832" i="5"/>
  <c r="J830" i="5"/>
  <c r="I830" i="5"/>
  <c r="K829" i="5"/>
  <c r="L829" i="5" s="1"/>
  <c r="N830" i="5"/>
  <c r="G832" i="5" l="1"/>
  <c r="H832" i="5"/>
  <c r="F833" i="5"/>
  <c r="J831" i="5"/>
  <c r="I831" i="5"/>
  <c r="M829" i="5"/>
  <c r="K830" i="5"/>
  <c r="L830" i="5" s="1"/>
  <c r="M830" i="5" s="1"/>
  <c r="N831" i="5"/>
  <c r="G833" i="5" l="1"/>
  <c r="H833" i="5"/>
  <c r="F834" i="5"/>
  <c r="J832" i="5"/>
  <c r="I832" i="5"/>
  <c r="K831" i="5"/>
  <c r="L831" i="5" s="1"/>
  <c r="N832" i="5"/>
  <c r="G834" i="5" l="1"/>
  <c r="H834" i="5"/>
  <c r="F835" i="5"/>
  <c r="I834" i="5" s="1"/>
  <c r="J833" i="5"/>
  <c r="M831" i="5"/>
  <c r="I833" i="5"/>
  <c r="N833" i="5"/>
  <c r="K832" i="5"/>
  <c r="L832" i="5" s="1"/>
  <c r="N834" i="5" l="1"/>
  <c r="K833" i="5"/>
  <c r="L833" i="5" s="1"/>
  <c r="J834" i="5"/>
  <c r="M833" i="5"/>
  <c r="G835" i="5"/>
  <c r="H835" i="5"/>
  <c r="F836" i="5"/>
  <c r="I835" i="5" s="1"/>
  <c r="M832" i="5"/>
  <c r="J835" i="5" l="1"/>
  <c r="K835" i="5"/>
  <c r="L835" i="5" s="1"/>
  <c r="N836" i="5"/>
  <c r="N835" i="5"/>
  <c r="K834" i="5"/>
  <c r="L834" i="5" s="1"/>
  <c r="M835" i="5" s="1"/>
  <c r="F837" i="5"/>
  <c r="I836" i="5" s="1"/>
  <c r="G836" i="5"/>
  <c r="H836" i="5"/>
  <c r="M834" i="5" l="1"/>
  <c r="F838" i="5"/>
  <c r="G837" i="5"/>
  <c r="H837" i="5"/>
  <c r="I837" i="5"/>
  <c r="J837" i="5"/>
  <c r="J836" i="5"/>
  <c r="K836" i="5" l="1"/>
  <c r="L836" i="5" s="1"/>
  <c r="N837" i="5"/>
  <c r="K837" i="5"/>
  <c r="L837" i="5" s="1"/>
  <c r="N838" i="5"/>
  <c r="G838" i="5"/>
  <c r="H838" i="5"/>
  <c r="F839" i="5"/>
  <c r="I838" i="5" s="1"/>
  <c r="J838" i="5" l="1"/>
  <c r="K838" i="5" s="1"/>
  <c r="L838" i="5" s="1"/>
  <c r="M838" i="5" s="1"/>
  <c r="H839" i="5"/>
  <c r="G839" i="5"/>
  <c r="F840" i="5"/>
  <c r="I839" i="5" s="1"/>
  <c r="M837" i="5"/>
  <c r="M836" i="5"/>
  <c r="N839" i="5" l="1"/>
  <c r="J839" i="5"/>
  <c r="G840" i="5"/>
  <c r="H840" i="5"/>
  <c r="F841" i="5"/>
  <c r="G841" i="5" l="1"/>
  <c r="H841" i="5"/>
  <c r="F842" i="5"/>
  <c r="I840" i="5"/>
  <c r="J840" i="5"/>
  <c r="K839" i="5"/>
  <c r="L839" i="5" s="1"/>
  <c r="N840" i="5"/>
  <c r="M839" i="5" l="1"/>
  <c r="K840" i="5"/>
  <c r="L840" i="5" s="1"/>
  <c r="N841" i="5"/>
  <c r="H842" i="5"/>
  <c r="I842" i="5"/>
  <c r="G842" i="5"/>
  <c r="F843" i="5"/>
  <c r="J842" i="5" s="1"/>
  <c r="I841" i="5"/>
  <c r="J841" i="5"/>
  <c r="N842" i="5" l="1"/>
  <c r="N843" i="5" s="1"/>
  <c r="K841" i="5"/>
  <c r="L841" i="5" s="1"/>
  <c r="K842" i="5"/>
  <c r="L842" i="5" s="1"/>
  <c r="M841" i="5"/>
  <c r="G843" i="5"/>
  <c r="H843" i="5"/>
  <c r="F844" i="5"/>
  <c r="I843" i="5" s="1"/>
  <c r="M840" i="5"/>
  <c r="M842" i="5" l="1"/>
  <c r="F845" i="5"/>
  <c r="H844" i="5"/>
  <c r="G844" i="5"/>
  <c r="I844" i="5"/>
  <c r="J844" i="5"/>
  <c r="J843" i="5"/>
  <c r="N844" i="5" l="1"/>
  <c r="N845" i="5" s="1"/>
  <c r="K843" i="5"/>
  <c r="L843" i="5" s="1"/>
  <c r="K844" i="5"/>
  <c r="L844" i="5" s="1"/>
  <c r="F846" i="5"/>
  <c r="G845" i="5"/>
  <c r="H845" i="5"/>
  <c r="I845" i="5"/>
  <c r="G846" i="5" l="1"/>
  <c r="H846" i="5"/>
  <c r="F847" i="5"/>
  <c r="M844" i="5"/>
  <c r="M843" i="5"/>
  <c r="J845" i="5"/>
  <c r="G847" i="5" l="1"/>
  <c r="H847" i="5"/>
  <c r="F848" i="5"/>
  <c r="I847" i="5" s="1"/>
  <c r="J846" i="5"/>
  <c r="I846" i="5"/>
  <c r="K845" i="5"/>
  <c r="L845" i="5" s="1"/>
  <c r="N846" i="5"/>
  <c r="K846" i="5" l="1"/>
  <c r="L846" i="5" s="1"/>
  <c r="N847" i="5"/>
  <c r="G848" i="5"/>
  <c r="H848" i="5"/>
  <c r="F849" i="5"/>
  <c r="M846" i="5"/>
  <c r="M845" i="5"/>
  <c r="J847" i="5"/>
  <c r="G849" i="5" l="1"/>
  <c r="H849" i="5"/>
  <c r="F850" i="5"/>
  <c r="I848" i="5"/>
  <c r="J848" i="5"/>
  <c r="K847" i="5"/>
  <c r="L847" i="5" s="1"/>
  <c r="N848" i="5"/>
  <c r="H850" i="5" l="1"/>
  <c r="G850" i="5"/>
  <c r="F851" i="5"/>
  <c r="I849" i="5"/>
  <c r="J849" i="5"/>
  <c r="K848" i="5"/>
  <c r="L848" i="5" s="1"/>
  <c r="M848" i="5" s="1"/>
  <c r="N849" i="5"/>
  <c r="M847" i="5"/>
  <c r="N850" i="5" l="1"/>
  <c r="K849" i="5"/>
  <c r="L849" i="5" s="1"/>
  <c r="G851" i="5"/>
  <c r="H851" i="5"/>
  <c r="F852" i="5"/>
  <c r="J851" i="5" s="1"/>
  <c r="J850" i="5"/>
  <c r="I850" i="5"/>
  <c r="M849" i="5"/>
  <c r="K851" i="5" l="1"/>
  <c r="I851" i="5"/>
  <c r="N851" i="5"/>
  <c r="N852" i="5" s="1"/>
  <c r="K850" i="5"/>
  <c r="L850" i="5" s="1"/>
  <c r="M850" i="5" s="1"/>
  <c r="F853" i="5"/>
  <c r="I852" i="5" s="1"/>
  <c r="G852" i="5"/>
  <c r="H852" i="5"/>
  <c r="J852" i="5" l="1"/>
  <c r="F854" i="5"/>
  <c r="J853" i="5" s="1"/>
  <c r="G853" i="5"/>
  <c r="H853" i="5"/>
  <c r="L851" i="5"/>
  <c r="K853" i="5" l="1"/>
  <c r="I853" i="5"/>
  <c r="K852" i="5"/>
  <c r="L852" i="5" s="1"/>
  <c r="M852" i="5" s="1"/>
  <c r="N853" i="5"/>
  <c r="N854" i="5" s="1"/>
  <c r="G854" i="5"/>
  <c r="H854" i="5"/>
  <c r="F855" i="5"/>
  <c r="J854" i="5" s="1"/>
  <c r="M851" i="5"/>
  <c r="K854" i="5" l="1"/>
  <c r="N855" i="5"/>
  <c r="M853" i="5"/>
  <c r="H855" i="5"/>
  <c r="G855" i="5"/>
  <c r="F856" i="5"/>
  <c r="I855" i="5" s="1"/>
  <c r="I854" i="5"/>
  <c r="L853" i="5"/>
  <c r="J855" i="5" l="1"/>
  <c r="G856" i="5"/>
  <c r="H856" i="5"/>
  <c r="F857" i="5"/>
  <c r="L854" i="5"/>
  <c r="M854" i="5" s="1"/>
  <c r="H857" i="5" l="1"/>
  <c r="G857" i="5"/>
  <c r="F858" i="5"/>
  <c r="J856" i="5"/>
  <c r="I856" i="5"/>
  <c r="K855" i="5"/>
  <c r="L855" i="5" s="1"/>
  <c r="M855" i="5" s="1"/>
  <c r="N856" i="5"/>
  <c r="K856" i="5" l="1"/>
  <c r="L856" i="5" s="1"/>
  <c r="M856" i="5" s="1"/>
  <c r="N857" i="5"/>
  <c r="H858" i="5"/>
  <c r="G858" i="5"/>
  <c r="F859" i="5"/>
  <c r="J857" i="5"/>
  <c r="I857" i="5"/>
  <c r="N858" i="5" l="1"/>
  <c r="K857" i="5"/>
  <c r="L857" i="5" s="1"/>
  <c r="G859" i="5"/>
  <c r="H859" i="5"/>
  <c r="F860" i="5"/>
  <c r="I858" i="5"/>
  <c r="J858" i="5"/>
  <c r="F861" i="5" l="1"/>
  <c r="G860" i="5"/>
  <c r="H860" i="5"/>
  <c r="I860" i="5"/>
  <c r="J860" i="5"/>
  <c r="J859" i="5"/>
  <c r="I859" i="5"/>
  <c r="M857" i="5"/>
  <c r="N859" i="5"/>
  <c r="K858" i="5"/>
  <c r="L858" i="5" s="1"/>
  <c r="N860" i="5" l="1"/>
  <c r="K859" i="5"/>
  <c r="L859" i="5" s="1"/>
  <c r="K860" i="5"/>
  <c r="L860" i="5" s="1"/>
  <c r="N861" i="5"/>
  <c r="M858" i="5"/>
  <c r="F862" i="5"/>
  <c r="I861" i="5" s="1"/>
  <c r="G861" i="5"/>
  <c r="H861" i="5"/>
  <c r="J861" i="5" l="1"/>
  <c r="G862" i="5"/>
  <c r="H862" i="5"/>
  <c r="F863" i="5"/>
  <c r="I862" i="5" s="1"/>
  <c r="M860" i="5"/>
  <c r="M859" i="5"/>
  <c r="J862" i="5" l="1"/>
  <c r="H863" i="5"/>
  <c r="G863" i="5"/>
  <c r="F864" i="5"/>
  <c r="I863" i="5" s="1"/>
  <c r="K861" i="5"/>
  <c r="L861" i="5" s="1"/>
  <c r="N862" i="5"/>
  <c r="M861" i="5" l="1"/>
  <c r="G864" i="5"/>
  <c r="H864" i="5"/>
  <c r="F865" i="5"/>
  <c r="J864" i="5" s="1"/>
  <c r="J863" i="5"/>
  <c r="K862" i="5"/>
  <c r="L862" i="5" s="1"/>
  <c r="N863" i="5"/>
  <c r="K864" i="5" l="1"/>
  <c r="L864" i="5" s="1"/>
  <c r="N865" i="5"/>
  <c r="G865" i="5"/>
  <c r="H865" i="5"/>
  <c r="F866" i="5"/>
  <c r="I865" i="5" s="1"/>
  <c r="K863" i="5"/>
  <c r="L863" i="5" s="1"/>
  <c r="N864" i="5"/>
  <c r="I864" i="5"/>
  <c r="M862" i="5"/>
  <c r="M864" i="5" l="1"/>
  <c r="H866" i="5"/>
  <c r="G866" i="5"/>
  <c r="F867" i="5"/>
  <c r="M863" i="5"/>
  <c r="J865" i="5"/>
  <c r="G867" i="5" l="1"/>
  <c r="H867" i="5"/>
  <c r="F868" i="5"/>
  <c r="J867" i="5" s="1"/>
  <c r="J866" i="5"/>
  <c r="N866" i="5"/>
  <c r="K865" i="5"/>
  <c r="L865" i="5" s="1"/>
  <c r="I866" i="5"/>
  <c r="K867" i="5" l="1"/>
  <c r="M865" i="5"/>
  <c r="I867" i="5"/>
  <c r="N867" i="5"/>
  <c r="N868" i="5" s="1"/>
  <c r="K866" i="5"/>
  <c r="L866" i="5" s="1"/>
  <c r="M866" i="5" s="1"/>
  <c r="F869" i="5"/>
  <c r="J868" i="5" s="1"/>
  <c r="H868" i="5"/>
  <c r="G868" i="5"/>
  <c r="K868" i="5" l="1"/>
  <c r="N869" i="5"/>
  <c r="F870" i="5"/>
  <c r="G869" i="5"/>
  <c r="H869" i="5"/>
  <c r="I869" i="5"/>
  <c r="J869" i="5"/>
  <c r="I868" i="5"/>
  <c r="L867" i="5"/>
  <c r="M867" i="5" s="1"/>
  <c r="G870" i="5" l="1"/>
  <c r="H870" i="5"/>
  <c r="F871" i="5"/>
  <c r="K869" i="5"/>
  <c r="L869" i="5" s="1"/>
  <c r="N870" i="5"/>
  <c r="L868" i="5"/>
  <c r="M868" i="5" s="1"/>
  <c r="H871" i="5" l="1"/>
  <c r="G871" i="5"/>
  <c r="F872" i="5"/>
  <c r="J870" i="5"/>
  <c r="I870" i="5"/>
  <c r="M869" i="5"/>
  <c r="K870" i="5" l="1"/>
  <c r="L870" i="5" s="1"/>
  <c r="N871" i="5"/>
  <c r="G872" i="5"/>
  <c r="H872" i="5"/>
  <c r="F873" i="5"/>
  <c r="J872" i="5" s="1"/>
  <c r="J871" i="5"/>
  <c r="I871" i="5"/>
  <c r="K872" i="5" l="1"/>
  <c r="K871" i="5"/>
  <c r="L871" i="5" s="1"/>
  <c r="N872" i="5"/>
  <c r="N873" i="5" s="1"/>
  <c r="G873" i="5"/>
  <c r="H873" i="5"/>
  <c r="F874" i="5"/>
  <c r="I873" i="5" s="1"/>
  <c r="I872" i="5"/>
  <c r="M871" i="5"/>
  <c r="M870" i="5"/>
  <c r="J873" i="5" l="1"/>
  <c r="N874" i="5" s="1"/>
  <c r="G874" i="5"/>
  <c r="H874" i="5"/>
  <c r="F875" i="5"/>
  <c r="J874" i="5" s="1"/>
  <c r="L872" i="5"/>
  <c r="M872" i="5" s="1"/>
  <c r="K873" i="5" l="1"/>
  <c r="L873" i="5" s="1"/>
  <c r="M873" i="5"/>
  <c r="N875" i="5"/>
  <c r="K874" i="5"/>
  <c r="L874" i="5" s="1"/>
  <c r="G875" i="5"/>
  <c r="H875" i="5"/>
  <c r="F876" i="5"/>
  <c r="I874" i="5"/>
  <c r="M874" i="5" l="1"/>
  <c r="F877" i="5"/>
  <c r="J876" i="5" s="1"/>
  <c r="G876" i="5"/>
  <c r="H876" i="5"/>
  <c r="I875" i="5"/>
  <c r="J875" i="5"/>
  <c r="I876" i="5" l="1"/>
  <c r="N876" i="5"/>
  <c r="K875" i="5"/>
  <c r="L875" i="5" s="1"/>
  <c r="F878" i="5"/>
  <c r="I877" i="5" s="1"/>
  <c r="G877" i="5"/>
  <c r="H877" i="5"/>
  <c r="K876" i="5"/>
  <c r="L876" i="5" s="1"/>
  <c r="N877" i="5"/>
  <c r="J877" i="5" l="1"/>
  <c r="M876" i="5"/>
  <c r="M875" i="5"/>
  <c r="G878" i="5"/>
  <c r="H878" i="5"/>
  <c r="F879" i="5"/>
  <c r="I878" i="5" s="1"/>
  <c r="J878" i="5" l="1"/>
  <c r="K878" i="5"/>
  <c r="K877" i="5"/>
  <c r="L877" i="5" s="1"/>
  <c r="N878" i="5"/>
  <c r="H879" i="5"/>
  <c r="G879" i="5"/>
  <c r="F880" i="5"/>
  <c r="I879" i="5" s="1"/>
  <c r="J879" i="5" l="1"/>
  <c r="K879" i="5" s="1"/>
  <c r="L879" i="5" s="1"/>
  <c r="N879" i="5"/>
  <c r="M877" i="5"/>
  <c r="G880" i="5"/>
  <c r="H880" i="5"/>
  <c r="F881" i="5"/>
  <c r="J880" i="5" s="1"/>
  <c r="L878" i="5"/>
  <c r="M879" i="5" l="1"/>
  <c r="N880" i="5"/>
  <c r="N881" i="5" s="1"/>
  <c r="K880" i="5"/>
  <c r="L880" i="5" s="1"/>
  <c r="I880" i="5"/>
  <c r="M878" i="5"/>
  <c r="H881" i="5"/>
  <c r="G881" i="5"/>
  <c r="J881" i="5"/>
  <c r="F882" i="5"/>
  <c r="I881" i="5" s="1"/>
  <c r="M880" i="5"/>
  <c r="N882" i="5" l="1"/>
  <c r="K881" i="5"/>
  <c r="L881" i="5" s="1"/>
  <c r="M881" i="5" s="1"/>
  <c r="H882" i="5"/>
  <c r="G882" i="5"/>
  <c r="F883" i="5"/>
  <c r="I882" i="5" s="1"/>
  <c r="J882" i="5" l="1"/>
  <c r="G883" i="5"/>
  <c r="H883" i="5"/>
  <c r="F884" i="5"/>
  <c r="F885" i="5" l="1"/>
  <c r="I884" i="5" s="1"/>
  <c r="G884" i="5"/>
  <c r="H884" i="5"/>
  <c r="J884" i="5" s="1"/>
  <c r="I883" i="5"/>
  <c r="J883" i="5"/>
  <c r="N883" i="5"/>
  <c r="K882" i="5"/>
  <c r="L882" i="5" s="1"/>
  <c r="K884" i="5" l="1"/>
  <c r="L884" i="5" s="1"/>
  <c r="N885" i="5"/>
  <c r="K883" i="5"/>
  <c r="L883" i="5" s="1"/>
  <c r="N884" i="5"/>
  <c r="M882" i="5"/>
  <c r="F886" i="5"/>
  <c r="G885" i="5"/>
  <c r="H885" i="5"/>
  <c r="M884" i="5" l="1"/>
  <c r="G886" i="5"/>
  <c r="H886" i="5"/>
  <c r="F887" i="5"/>
  <c r="I886" i="5" s="1"/>
  <c r="M883" i="5"/>
  <c r="J885" i="5"/>
  <c r="I885" i="5"/>
  <c r="J886" i="5" l="1"/>
  <c r="K885" i="5"/>
  <c r="L885" i="5" s="1"/>
  <c r="N886" i="5"/>
  <c r="H887" i="5"/>
  <c r="G887" i="5"/>
  <c r="F888" i="5"/>
  <c r="G888" i="5" l="1"/>
  <c r="H888" i="5"/>
  <c r="F889" i="5"/>
  <c r="I887" i="5"/>
  <c r="M885" i="5"/>
  <c r="J887" i="5"/>
  <c r="K886" i="5"/>
  <c r="L886" i="5" s="1"/>
  <c r="M886" i="5" s="1"/>
  <c r="N887" i="5"/>
  <c r="G889" i="5" l="1"/>
  <c r="H889" i="5"/>
  <c r="F890" i="5"/>
  <c r="J888" i="5"/>
  <c r="I888" i="5"/>
  <c r="K887" i="5"/>
  <c r="L887" i="5" s="1"/>
  <c r="M887" i="5" s="1"/>
  <c r="N888" i="5"/>
  <c r="K888" i="5" l="1"/>
  <c r="L888" i="5" s="1"/>
  <c r="M888" i="5" s="1"/>
  <c r="N889" i="5"/>
  <c r="G890" i="5"/>
  <c r="H890" i="5"/>
  <c r="F891" i="5"/>
  <c r="I890" i="5" s="1"/>
  <c r="I889" i="5"/>
  <c r="J889" i="5"/>
  <c r="H891" i="5" l="1"/>
  <c r="G891" i="5"/>
  <c r="F892" i="5"/>
  <c r="J890" i="5"/>
  <c r="N890" i="5"/>
  <c r="K889" i="5"/>
  <c r="L889" i="5" s="1"/>
  <c r="F893" i="5" l="1"/>
  <c r="J892" i="5" s="1"/>
  <c r="G892" i="5"/>
  <c r="H892" i="5"/>
  <c r="I891" i="5"/>
  <c r="J891" i="5"/>
  <c r="N891" i="5"/>
  <c r="K890" i="5"/>
  <c r="L890" i="5" s="1"/>
  <c r="M890" i="5" s="1"/>
  <c r="M889" i="5"/>
  <c r="I892" i="5" l="1"/>
  <c r="N892" i="5"/>
  <c r="N893" i="5" s="1"/>
  <c r="K891" i="5"/>
  <c r="L891" i="5" s="1"/>
  <c r="M891" i="5" s="1"/>
  <c r="K892" i="5"/>
  <c r="F894" i="5"/>
  <c r="G893" i="5"/>
  <c r="H893" i="5"/>
  <c r="L892" i="5" l="1"/>
  <c r="M892" i="5" s="1"/>
  <c r="G894" i="5"/>
  <c r="H894" i="5"/>
  <c r="F895" i="5"/>
  <c r="J893" i="5"/>
  <c r="I893" i="5"/>
  <c r="H895" i="5" l="1"/>
  <c r="G895" i="5"/>
  <c r="F896" i="5"/>
  <c r="K893" i="5"/>
  <c r="L893" i="5" s="1"/>
  <c r="N894" i="5"/>
  <c r="J894" i="5"/>
  <c r="I894" i="5"/>
  <c r="K894" i="5" l="1"/>
  <c r="L894" i="5" s="1"/>
  <c r="N895" i="5"/>
  <c r="G896" i="5"/>
  <c r="H896" i="5"/>
  <c r="F897" i="5"/>
  <c r="J895" i="5"/>
  <c r="M894" i="5"/>
  <c r="M893" i="5"/>
  <c r="I895" i="5"/>
  <c r="H897" i="5" l="1"/>
  <c r="G897" i="5"/>
  <c r="F898" i="5"/>
  <c r="J897" i="5" s="1"/>
  <c r="K895" i="5"/>
  <c r="L895" i="5" s="1"/>
  <c r="N896" i="5"/>
  <c r="J896" i="5"/>
  <c r="I896" i="5"/>
  <c r="K897" i="5" l="1"/>
  <c r="K896" i="5"/>
  <c r="L896" i="5" s="1"/>
  <c r="N897" i="5"/>
  <c r="N898" i="5" s="1"/>
  <c r="G898" i="5"/>
  <c r="H898" i="5"/>
  <c r="F899" i="5"/>
  <c r="I898" i="5" s="1"/>
  <c r="M895" i="5"/>
  <c r="I897" i="5"/>
  <c r="L897" i="5" l="1"/>
  <c r="M897" i="5"/>
  <c r="M896" i="5"/>
  <c r="G899" i="5"/>
  <c r="H899" i="5"/>
  <c r="F900" i="5"/>
  <c r="J898" i="5"/>
  <c r="F901" i="5" l="1"/>
  <c r="G900" i="5"/>
  <c r="I900" i="5"/>
  <c r="H900" i="5"/>
  <c r="J900" i="5"/>
  <c r="J899" i="5"/>
  <c r="I899" i="5"/>
  <c r="N899" i="5"/>
  <c r="K898" i="5"/>
  <c r="L898" i="5" s="1"/>
  <c r="K900" i="5" l="1"/>
  <c r="K899" i="5"/>
  <c r="L899" i="5" s="1"/>
  <c r="N900" i="5"/>
  <c r="N901" i="5" s="1"/>
  <c r="M899" i="5"/>
  <c r="M898" i="5"/>
  <c r="F902" i="5"/>
  <c r="G901" i="5"/>
  <c r="H901" i="5"/>
  <c r="G902" i="5" l="1"/>
  <c r="H902" i="5"/>
  <c r="F903" i="5"/>
  <c r="J901" i="5"/>
  <c r="I901" i="5"/>
  <c r="L900" i="5"/>
  <c r="M900" i="5" s="1"/>
  <c r="K901" i="5" l="1"/>
  <c r="L901" i="5" s="1"/>
  <c r="N902" i="5"/>
  <c r="H903" i="5"/>
  <c r="G903" i="5"/>
  <c r="F904" i="5"/>
  <c r="J902" i="5"/>
  <c r="I902" i="5"/>
  <c r="M901" i="5"/>
  <c r="G904" i="5" l="1"/>
  <c r="H904" i="5"/>
  <c r="F905" i="5"/>
  <c r="J904" i="5" s="1"/>
  <c r="J903" i="5"/>
  <c r="I903" i="5"/>
  <c r="K902" i="5"/>
  <c r="L902" i="5" s="1"/>
  <c r="N903" i="5"/>
  <c r="K904" i="5" l="1"/>
  <c r="K903" i="5"/>
  <c r="L903" i="5" s="1"/>
  <c r="N904" i="5"/>
  <c r="N905" i="5" s="1"/>
  <c r="G905" i="5"/>
  <c r="H905" i="5"/>
  <c r="F906" i="5"/>
  <c r="J905" i="5" s="1"/>
  <c r="I904" i="5"/>
  <c r="M902" i="5"/>
  <c r="M903" i="5" l="1"/>
  <c r="N906" i="5"/>
  <c r="K905" i="5"/>
  <c r="H906" i="5"/>
  <c r="G906" i="5"/>
  <c r="F907" i="5"/>
  <c r="I906" i="5" s="1"/>
  <c r="I905" i="5"/>
  <c r="L904" i="5"/>
  <c r="J906" i="5" l="1"/>
  <c r="L905" i="5"/>
  <c r="N907" i="5"/>
  <c r="K906" i="5"/>
  <c r="L906" i="5" s="1"/>
  <c r="M905" i="5"/>
  <c r="G907" i="5"/>
  <c r="H907" i="5"/>
  <c r="I907" i="5"/>
  <c r="F908" i="5"/>
  <c r="J907" i="5" s="1"/>
  <c r="M904" i="5"/>
  <c r="N908" i="5" l="1"/>
  <c r="K907" i="5"/>
  <c r="L907" i="5" s="1"/>
  <c r="M907" i="5" s="1"/>
  <c r="F909" i="5"/>
  <c r="G908" i="5"/>
  <c r="H908" i="5"/>
  <c r="I908" i="5"/>
  <c r="J908" i="5"/>
  <c r="M906" i="5"/>
  <c r="F910" i="5" l="1"/>
  <c r="I909" i="5" s="1"/>
  <c r="G909" i="5"/>
  <c r="H909" i="5"/>
  <c r="K908" i="5"/>
  <c r="L908" i="5" s="1"/>
  <c r="N909" i="5"/>
  <c r="M908" i="5"/>
  <c r="J909" i="5" l="1"/>
  <c r="K909" i="5"/>
  <c r="L909" i="5" s="1"/>
  <c r="N910" i="5"/>
  <c r="G910" i="5"/>
  <c r="H910" i="5"/>
  <c r="F911" i="5"/>
  <c r="G911" i="5" l="1"/>
  <c r="H911" i="5"/>
  <c r="F912" i="5"/>
  <c r="I910" i="5"/>
  <c r="J910" i="5"/>
  <c r="M909" i="5"/>
  <c r="K910" i="5" l="1"/>
  <c r="L910" i="5" s="1"/>
  <c r="N911" i="5"/>
  <c r="G912" i="5"/>
  <c r="H912" i="5"/>
  <c r="F913" i="5"/>
  <c r="I912" i="5" s="1"/>
  <c r="J911" i="5"/>
  <c r="I911" i="5"/>
  <c r="J912" i="5" l="1"/>
  <c r="K911" i="5"/>
  <c r="L911" i="5" s="1"/>
  <c r="N912" i="5"/>
  <c r="G913" i="5"/>
  <c r="H913" i="5"/>
  <c r="F914" i="5"/>
  <c r="M910" i="5"/>
  <c r="H914" i="5" l="1"/>
  <c r="G914" i="5"/>
  <c r="F915" i="5"/>
  <c r="I913" i="5"/>
  <c r="J913" i="5"/>
  <c r="M911" i="5"/>
  <c r="N913" i="5"/>
  <c r="K912" i="5"/>
  <c r="L912" i="5" s="1"/>
  <c r="M912" i="5" s="1"/>
  <c r="G915" i="5" l="1"/>
  <c r="H915" i="5"/>
  <c r="F916" i="5"/>
  <c r="J915" i="5" s="1"/>
  <c r="J914" i="5"/>
  <c r="I914" i="5"/>
  <c r="N914" i="5"/>
  <c r="K913" i="5"/>
  <c r="L913" i="5" s="1"/>
  <c r="M913" i="5"/>
  <c r="K915" i="5" l="1"/>
  <c r="N916" i="5"/>
  <c r="N915" i="5"/>
  <c r="K914" i="5"/>
  <c r="L914" i="5" s="1"/>
  <c r="F917" i="5"/>
  <c r="G916" i="5"/>
  <c r="H916" i="5"/>
  <c r="I915" i="5"/>
  <c r="F918" i="5" l="1"/>
  <c r="I917" i="5" s="1"/>
  <c r="G917" i="5"/>
  <c r="H917" i="5"/>
  <c r="M914" i="5"/>
  <c r="J916" i="5"/>
  <c r="I916" i="5"/>
  <c r="L915" i="5"/>
  <c r="M915" i="5" s="1"/>
  <c r="J917" i="5" l="1"/>
  <c r="K917" i="5" s="1"/>
  <c r="L917" i="5" s="1"/>
  <c r="K916" i="5"/>
  <c r="L916" i="5" s="1"/>
  <c r="N917" i="5"/>
  <c r="G918" i="5"/>
  <c r="H918" i="5"/>
  <c r="F919" i="5"/>
  <c r="I918" i="5" s="1"/>
  <c r="M917" i="5" l="1"/>
  <c r="N918" i="5"/>
  <c r="M916" i="5"/>
  <c r="H919" i="5"/>
  <c r="G919" i="5"/>
  <c r="F920" i="5"/>
  <c r="J918" i="5"/>
  <c r="G920" i="5" l="1"/>
  <c r="H920" i="5"/>
  <c r="F921" i="5"/>
  <c r="I919" i="5"/>
  <c r="K918" i="5"/>
  <c r="L918" i="5" s="1"/>
  <c r="N919" i="5"/>
  <c r="J919" i="5"/>
  <c r="H921" i="5" l="1"/>
  <c r="G921" i="5"/>
  <c r="F922" i="5"/>
  <c r="I921" i="5" s="1"/>
  <c r="J920" i="5"/>
  <c r="M918" i="5"/>
  <c r="I920" i="5"/>
  <c r="K919" i="5"/>
  <c r="L919" i="5" s="1"/>
  <c r="M919" i="5" s="1"/>
  <c r="N920" i="5"/>
  <c r="K920" i="5" l="1"/>
  <c r="L920" i="5" s="1"/>
  <c r="M920" i="5" s="1"/>
  <c r="N921" i="5"/>
  <c r="J921" i="5"/>
  <c r="H922" i="5"/>
  <c r="G922" i="5"/>
  <c r="F923" i="5"/>
  <c r="I922" i="5" s="1"/>
  <c r="J922" i="5" l="1"/>
  <c r="K922" i="5"/>
  <c r="N922" i="5"/>
  <c r="N923" i="5" s="1"/>
  <c r="K921" i="5"/>
  <c r="L921" i="5" s="1"/>
  <c r="G923" i="5"/>
  <c r="H923" i="5"/>
  <c r="I923" i="5"/>
  <c r="J923" i="5"/>
  <c r="F924" i="5"/>
  <c r="N924" i="5" l="1"/>
  <c r="K923" i="5"/>
  <c r="L922" i="5"/>
  <c r="M922" i="5" s="1"/>
  <c r="M921" i="5"/>
  <c r="F925" i="5"/>
  <c r="G924" i="5"/>
  <c r="H924" i="5"/>
  <c r="F926" i="5" l="1"/>
  <c r="I925" i="5" s="1"/>
  <c r="G925" i="5"/>
  <c r="H925" i="5"/>
  <c r="J924" i="5"/>
  <c r="L923" i="5"/>
  <c r="I924" i="5"/>
  <c r="G926" i="5" l="1"/>
  <c r="H926" i="5"/>
  <c r="F927" i="5"/>
  <c r="K924" i="5"/>
  <c r="L924" i="5" s="1"/>
  <c r="N925" i="5"/>
  <c r="J925" i="5"/>
  <c r="M923" i="5"/>
  <c r="J926" i="5" l="1"/>
  <c r="K926" i="5" s="1"/>
  <c r="L926" i="5" s="1"/>
  <c r="H927" i="5"/>
  <c r="G927" i="5"/>
  <c r="F928" i="5"/>
  <c r="I926" i="5"/>
  <c r="K925" i="5"/>
  <c r="L925" i="5" s="1"/>
  <c r="N926" i="5"/>
  <c r="M924" i="5"/>
  <c r="M926" i="5" l="1"/>
  <c r="M925" i="5"/>
  <c r="N927" i="5"/>
  <c r="G928" i="5"/>
  <c r="H928" i="5"/>
  <c r="F929" i="5"/>
  <c r="I928" i="5" s="1"/>
  <c r="J927" i="5"/>
  <c r="I927" i="5"/>
  <c r="K927" i="5" l="1"/>
  <c r="L927" i="5" s="1"/>
  <c r="N928" i="5"/>
  <c r="J928" i="5"/>
  <c r="G929" i="5"/>
  <c r="H929" i="5"/>
  <c r="F930" i="5"/>
  <c r="I929" i="5" s="1"/>
  <c r="H930" i="5" l="1"/>
  <c r="G930" i="5"/>
  <c r="F931" i="5"/>
  <c r="J929" i="5"/>
  <c r="K928" i="5"/>
  <c r="L928" i="5" s="1"/>
  <c r="N929" i="5"/>
  <c r="M927" i="5"/>
  <c r="G931" i="5" l="1"/>
  <c r="H931" i="5"/>
  <c r="F932" i="5"/>
  <c r="I930" i="5"/>
  <c r="N930" i="5"/>
  <c r="K929" i="5"/>
  <c r="L929" i="5" s="1"/>
  <c r="M929" i="5" s="1"/>
  <c r="J930" i="5"/>
  <c r="M928" i="5"/>
  <c r="F933" i="5" l="1"/>
  <c r="I932" i="5" s="1"/>
  <c r="H932" i="5"/>
  <c r="G932" i="5"/>
  <c r="N931" i="5"/>
  <c r="K930" i="5"/>
  <c r="L930" i="5" s="1"/>
  <c r="J931" i="5"/>
  <c r="I931" i="5"/>
  <c r="J932" i="5" l="1"/>
  <c r="K931" i="5"/>
  <c r="L931" i="5" s="1"/>
  <c r="N932" i="5"/>
  <c r="M930" i="5"/>
  <c r="F934" i="5"/>
  <c r="G933" i="5"/>
  <c r="H933" i="5"/>
  <c r="G934" i="5" l="1"/>
  <c r="H934" i="5"/>
  <c r="F935" i="5"/>
  <c r="J933" i="5"/>
  <c r="K932" i="5"/>
  <c r="L932" i="5" s="1"/>
  <c r="N933" i="5"/>
  <c r="I933" i="5"/>
  <c r="M931" i="5"/>
  <c r="H935" i="5" l="1"/>
  <c r="G935" i="5"/>
  <c r="F936" i="5"/>
  <c r="J934" i="5"/>
  <c r="I934" i="5"/>
  <c r="M932" i="5"/>
  <c r="K933" i="5"/>
  <c r="L933" i="5" s="1"/>
  <c r="M933" i="5" s="1"/>
  <c r="N934" i="5"/>
  <c r="G936" i="5" l="1"/>
  <c r="H936" i="5"/>
  <c r="F937" i="5"/>
  <c r="J935" i="5"/>
  <c r="I935" i="5"/>
  <c r="K934" i="5"/>
  <c r="L934" i="5" s="1"/>
  <c r="M934" i="5" s="1"/>
  <c r="N935" i="5"/>
  <c r="G937" i="5" l="1"/>
  <c r="H937" i="5"/>
  <c r="F938" i="5"/>
  <c r="K935" i="5"/>
  <c r="L935" i="5" s="1"/>
  <c r="N936" i="5"/>
  <c r="J936" i="5"/>
  <c r="I936" i="5"/>
  <c r="K936" i="5" l="1"/>
  <c r="L936" i="5" s="1"/>
  <c r="N937" i="5"/>
  <c r="G938" i="5"/>
  <c r="H938" i="5"/>
  <c r="F939" i="5"/>
  <c r="I937" i="5"/>
  <c r="J937" i="5"/>
  <c r="M935" i="5"/>
  <c r="G939" i="5" l="1"/>
  <c r="H939" i="5"/>
  <c r="F940" i="5"/>
  <c r="J939" i="5" s="1"/>
  <c r="J938" i="5"/>
  <c r="I938" i="5"/>
  <c r="N938" i="5"/>
  <c r="K937" i="5"/>
  <c r="L937" i="5" s="1"/>
  <c r="M937" i="5"/>
  <c r="M936" i="5"/>
  <c r="N939" i="5" l="1"/>
  <c r="K938" i="5"/>
  <c r="L938" i="5" s="1"/>
  <c r="F941" i="5"/>
  <c r="I940" i="5" s="1"/>
  <c r="G940" i="5"/>
  <c r="H940" i="5"/>
  <c r="I939" i="5"/>
  <c r="N940" i="5"/>
  <c r="K939" i="5"/>
  <c r="L939" i="5" s="1"/>
  <c r="M938" i="5"/>
  <c r="J940" i="5" l="1"/>
  <c r="F942" i="5"/>
  <c r="I941" i="5" s="1"/>
  <c r="G941" i="5"/>
  <c r="H941" i="5"/>
  <c r="M939" i="5"/>
  <c r="J941" i="5" l="1"/>
  <c r="G942" i="5"/>
  <c r="H942" i="5"/>
  <c r="F943" i="5"/>
  <c r="K940" i="5"/>
  <c r="L940" i="5" s="1"/>
  <c r="N941" i="5"/>
  <c r="H943" i="5" l="1"/>
  <c r="G943" i="5"/>
  <c r="F944" i="5"/>
  <c r="I942" i="5"/>
  <c r="M940" i="5"/>
  <c r="J942" i="5"/>
  <c r="K941" i="5"/>
  <c r="L941" i="5" s="1"/>
  <c r="M941" i="5" s="1"/>
  <c r="N942" i="5"/>
  <c r="G944" i="5" l="1"/>
  <c r="H944" i="5"/>
  <c r="F945" i="5"/>
  <c r="J943" i="5"/>
  <c r="I943" i="5"/>
  <c r="K942" i="5"/>
  <c r="L942" i="5" s="1"/>
  <c r="M942" i="5" s="1"/>
  <c r="N943" i="5"/>
  <c r="H945" i="5" l="1"/>
  <c r="G945" i="5"/>
  <c r="F946" i="5"/>
  <c r="J944" i="5"/>
  <c r="K943" i="5"/>
  <c r="L943" i="5" s="1"/>
  <c r="N944" i="5"/>
  <c r="I944" i="5"/>
  <c r="H946" i="5" l="1"/>
  <c r="G946" i="5"/>
  <c r="F947" i="5"/>
  <c r="K944" i="5"/>
  <c r="L944" i="5" s="1"/>
  <c r="N945" i="5"/>
  <c r="I945" i="5"/>
  <c r="J945" i="5"/>
  <c r="M943" i="5"/>
  <c r="H947" i="5" l="1"/>
  <c r="G947" i="5"/>
  <c r="F948" i="5"/>
  <c r="N946" i="5"/>
  <c r="K945" i="5"/>
  <c r="L945" i="5" s="1"/>
  <c r="J946" i="5"/>
  <c r="I946" i="5"/>
  <c r="M944" i="5"/>
  <c r="F949" i="5" l="1"/>
  <c r="G948" i="5"/>
  <c r="H948" i="5"/>
  <c r="I948" i="5"/>
  <c r="J948" i="5"/>
  <c r="J947" i="5"/>
  <c r="I947" i="5"/>
  <c r="M946" i="5"/>
  <c r="M945" i="5"/>
  <c r="N947" i="5"/>
  <c r="K946" i="5"/>
  <c r="L946" i="5" s="1"/>
  <c r="K948" i="5" l="1"/>
  <c r="N949" i="5"/>
  <c r="K947" i="5"/>
  <c r="L947" i="5" s="1"/>
  <c r="M947" i="5" s="1"/>
  <c r="N948" i="5"/>
  <c r="F950" i="5"/>
  <c r="G949" i="5"/>
  <c r="H949" i="5"/>
  <c r="M948" i="5" l="1"/>
  <c r="L948" i="5"/>
  <c r="G950" i="5"/>
  <c r="H950" i="5"/>
  <c r="F951" i="5"/>
  <c r="J950" i="5" s="1"/>
  <c r="J949" i="5"/>
  <c r="I949" i="5"/>
  <c r="K950" i="5" l="1"/>
  <c r="K949" i="5"/>
  <c r="L949" i="5" s="1"/>
  <c r="N950" i="5"/>
  <c r="N951" i="5" s="1"/>
  <c r="H951" i="5"/>
  <c r="G951" i="5"/>
  <c r="F952" i="5"/>
  <c r="I951" i="5" s="1"/>
  <c r="I950" i="5"/>
  <c r="J951" i="5" l="1"/>
  <c r="K951" i="5" s="1"/>
  <c r="M949" i="5"/>
  <c r="N952" i="5"/>
  <c r="G952" i="5"/>
  <c r="H952" i="5"/>
  <c r="F953" i="5"/>
  <c r="I952" i="5" s="1"/>
  <c r="L950" i="5"/>
  <c r="J952" i="5" l="1"/>
  <c r="N953" i="5" s="1"/>
  <c r="L951" i="5"/>
  <c r="K952" i="5"/>
  <c r="L952" i="5" s="1"/>
  <c r="M951" i="5"/>
  <c r="G953" i="5"/>
  <c r="H953" i="5"/>
  <c r="J953" i="5"/>
  <c r="F954" i="5"/>
  <c r="I953" i="5" s="1"/>
  <c r="M950" i="5"/>
  <c r="N954" i="5" l="1"/>
  <c r="K953" i="5"/>
  <c r="L953" i="5" s="1"/>
  <c r="M953" i="5" s="1"/>
  <c r="G954" i="5"/>
  <c r="H954" i="5"/>
  <c r="F955" i="5"/>
  <c r="M952" i="5"/>
  <c r="G955" i="5" l="1"/>
  <c r="H955" i="5"/>
  <c r="F956" i="5"/>
  <c r="J955" i="5" s="1"/>
  <c r="J954" i="5"/>
  <c r="I954" i="5"/>
  <c r="K955" i="5" l="1"/>
  <c r="L955" i="5" s="1"/>
  <c r="N955" i="5"/>
  <c r="N956" i="5" s="1"/>
  <c r="K954" i="5"/>
  <c r="L954" i="5" s="1"/>
  <c r="I955" i="5"/>
  <c r="F957" i="5"/>
  <c r="G956" i="5"/>
  <c r="H956" i="5"/>
  <c r="M955" i="5" l="1"/>
  <c r="M954" i="5"/>
  <c r="F958" i="5"/>
  <c r="I957" i="5" s="1"/>
  <c r="G957" i="5"/>
  <c r="H957" i="5"/>
  <c r="I956" i="5"/>
  <c r="J956" i="5"/>
  <c r="J957" i="5" l="1"/>
  <c r="K957" i="5" s="1"/>
  <c r="G958" i="5"/>
  <c r="H958" i="5"/>
  <c r="F959" i="5"/>
  <c r="J958" i="5" s="1"/>
  <c r="K956" i="5"/>
  <c r="L956" i="5" s="1"/>
  <c r="N957" i="5"/>
  <c r="N958" i="5" l="1"/>
  <c r="K958" i="5"/>
  <c r="L958" i="5" s="1"/>
  <c r="N959" i="5"/>
  <c r="M956" i="5"/>
  <c r="H959" i="5"/>
  <c r="G959" i="5"/>
  <c r="F960" i="5"/>
  <c r="I959" i="5" s="1"/>
  <c r="I958" i="5"/>
  <c r="L957" i="5"/>
  <c r="M958" i="5" s="1"/>
  <c r="J959" i="5" l="1"/>
  <c r="M957" i="5"/>
  <c r="K959" i="5"/>
  <c r="L959" i="5" s="1"/>
  <c r="N960" i="5"/>
  <c r="G960" i="5"/>
  <c r="H960" i="5"/>
  <c r="F961" i="5"/>
  <c r="G961" i="5" l="1"/>
  <c r="H961" i="5"/>
  <c r="F962" i="5"/>
  <c r="I961" i="5" s="1"/>
  <c r="I960" i="5"/>
  <c r="J960" i="5"/>
  <c r="M959" i="5"/>
  <c r="N961" i="5" l="1"/>
  <c r="K960" i="5"/>
  <c r="L960" i="5" s="1"/>
  <c r="G962" i="5"/>
  <c r="H962" i="5"/>
  <c r="F963" i="5"/>
  <c r="J961" i="5"/>
  <c r="G963" i="5" l="1"/>
  <c r="H963" i="5"/>
  <c r="F964" i="5"/>
  <c r="J962" i="5"/>
  <c r="N962" i="5"/>
  <c r="K961" i="5"/>
  <c r="L961" i="5" s="1"/>
  <c r="I962" i="5"/>
  <c r="M960" i="5"/>
  <c r="N963" i="5" l="1"/>
  <c r="K962" i="5"/>
  <c r="L962" i="5" s="1"/>
  <c r="F965" i="5"/>
  <c r="I964" i="5" s="1"/>
  <c r="H964" i="5"/>
  <c r="G964" i="5"/>
  <c r="J963" i="5"/>
  <c r="I963" i="5"/>
  <c r="M961" i="5"/>
  <c r="F966" i="5" l="1"/>
  <c r="G965" i="5"/>
  <c r="H965" i="5"/>
  <c r="I965" i="5"/>
  <c r="J965" i="5"/>
  <c r="K963" i="5"/>
  <c r="L963" i="5" s="1"/>
  <c r="N964" i="5"/>
  <c r="J964" i="5"/>
  <c r="M962" i="5"/>
  <c r="K964" i="5" l="1"/>
  <c r="L964" i="5" s="1"/>
  <c r="N965" i="5"/>
  <c r="K965" i="5"/>
  <c r="L965" i="5" s="1"/>
  <c r="N966" i="5"/>
  <c r="M964" i="5"/>
  <c r="M963" i="5"/>
  <c r="G966" i="5"/>
  <c r="H966" i="5"/>
  <c r="F967" i="5"/>
  <c r="H967" i="5" l="1"/>
  <c r="G967" i="5"/>
  <c r="F968" i="5"/>
  <c r="J967" i="5" s="1"/>
  <c r="J966" i="5"/>
  <c r="I966" i="5"/>
  <c r="M965" i="5"/>
  <c r="K967" i="5" l="1"/>
  <c r="K966" i="5"/>
  <c r="L966" i="5" s="1"/>
  <c r="N967" i="5"/>
  <c r="N968" i="5" s="1"/>
  <c r="G968" i="5"/>
  <c r="H968" i="5"/>
  <c r="F969" i="5"/>
  <c r="J968" i="5" s="1"/>
  <c r="I967" i="5"/>
  <c r="I968" i="5" l="1"/>
  <c r="M966" i="5"/>
  <c r="K968" i="5"/>
  <c r="L968" i="5" s="1"/>
  <c r="N969" i="5"/>
  <c r="G969" i="5"/>
  <c r="H969" i="5"/>
  <c r="F970" i="5"/>
  <c r="J969" i="5" s="1"/>
  <c r="L967" i="5"/>
  <c r="M968" i="5" s="1"/>
  <c r="I969" i="5" l="1"/>
  <c r="N970" i="5"/>
  <c r="K969" i="5"/>
  <c r="L969" i="5" s="1"/>
  <c r="M969" i="5"/>
  <c r="H970" i="5"/>
  <c r="G970" i="5"/>
  <c r="F971" i="5"/>
  <c r="J970" i="5" s="1"/>
  <c r="M967" i="5"/>
  <c r="N971" i="5" l="1"/>
  <c r="K970" i="5"/>
  <c r="L970" i="5" s="1"/>
  <c r="I970" i="5"/>
  <c r="H971" i="5"/>
  <c r="G971" i="5"/>
  <c r="F972" i="5"/>
  <c r="F973" i="5" l="1"/>
  <c r="H972" i="5"/>
  <c r="G972" i="5"/>
  <c r="J972" i="5" s="1"/>
  <c r="I972" i="5"/>
  <c r="J971" i="5"/>
  <c r="I971" i="5"/>
  <c r="M970" i="5"/>
  <c r="K972" i="5" l="1"/>
  <c r="L972" i="5" s="1"/>
  <c r="N973" i="5"/>
  <c r="N972" i="5"/>
  <c r="K971" i="5"/>
  <c r="L971" i="5" s="1"/>
  <c r="F974" i="5"/>
  <c r="G973" i="5"/>
  <c r="H973" i="5"/>
  <c r="I973" i="5"/>
  <c r="G974" i="5" l="1"/>
  <c r="H974" i="5"/>
  <c r="F975" i="5"/>
  <c r="M972" i="5"/>
  <c r="M971" i="5"/>
  <c r="J973" i="5"/>
  <c r="G975" i="5" l="1"/>
  <c r="H975" i="5"/>
  <c r="F976" i="5"/>
  <c r="J975" i="5" s="1"/>
  <c r="K973" i="5"/>
  <c r="L973" i="5" s="1"/>
  <c r="N974" i="5"/>
  <c r="J974" i="5"/>
  <c r="I974" i="5"/>
  <c r="K975" i="5" l="1"/>
  <c r="M973" i="5"/>
  <c r="K974" i="5"/>
  <c r="L974" i="5" s="1"/>
  <c r="M974" i="5" s="1"/>
  <c r="N975" i="5"/>
  <c r="N976" i="5" s="1"/>
  <c r="G976" i="5"/>
  <c r="H976" i="5"/>
  <c r="F977" i="5"/>
  <c r="J976" i="5" s="1"/>
  <c r="I975" i="5"/>
  <c r="G977" i="5" l="1"/>
  <c r="H977" i="5"/>
  <c r="F978" i="5"/>
  <c r="K976" i="5"/>
  <c r="N977" i="5"/>
  <c r="I976" i="5"/>
  <c r="L975" i="5"/>
  <c r="M975" i="5" s="1"/>
  <c r="J977" i="5" l="1"/>
  <c r="L976" i="5"/>
  <c r="N978" i="5"/>
  <c r="K977" i="5"/>
  <c r="L977" i="5" s="1"/>
  <c r="M977" i="5" s="1"/>
  <c r="H978" i="5"/>
  <c r="G978" i="5"/>
  <c r="F979" i="5"/>
  <c r="J978" i="5" s="1"/>
  <c r="I977" i="5"/>
  <c r="M976" i="5"/>
  <c r="N979" i="5" l="1"/>
  <c r="K978" i="5"/>
  <c r="L978" i="5" s="1"/>
  <c r="M978" i="5" s="1"/>
  <c r="G979" i="5"/>
  <c r="H979" i="5"/>
  <c r="F980" i="5"/>
  <c r="I978" i="5"/>
  <c r="F981" i="5" l="1"/>
  <c r="J980" i="5" s="1"/>
  <c r="G980" i="5"/>
  <c r="H980" i="5"/>
  <c r="I979" i="5"/>
  <c r="J979" i="5"/>
  <c r="I980" i="5" l="1"/>
  <c r="K980" i="5"/>
  <c r="K979" i="5"/>
  <c r="L979" i="5" s="1"/>
  <c r="N980" i="5"/>
  <c r="N981" i="5" s="1"/>
  <c r="F982" i="5"/>
  <c r="G981" i="5"/>
  <c r="H981" i="5"/>
  <c r="I981" i="5"/>
  <c r="G982" i="5" l="1"/>
  <c r="H982" i="5"/>
  <c r="F983" i="5"/>
  <c r="I982" i="5" s="1"/>
  <c r="M979" i="5"/>
  <c r="J981" i="5"/>
  <c r="L980" i="5"/>
  <c r="M980" i="5" s="1"/>
  <c r="J982" i="5" l="1"/>
  <c r="K981" i="5"/>
  <c r="L981" i="5" s="1"/>
  <c r="N982" i="5"/>
  <c r="H983" i="5"/>
  <c r="G983" i="5"/>
  <c r="F984" i="5"/>
  <c r="G984" i="5" l="1"/>
  <c r="H984" i="5"/>
  <c r="F985" i="5"/>
  <c r="J983" i="5"/>
  <c r="I983" i="5"/>
  <c r="M981" i="5"/>
  <c r="K982" i="5"/>
  <c r="L982" i="5" s="1"/>
  <c r="M982" i="5" s="1"/>
  <c r="N983" i="5"/>
  <c r="H985" i="5" l="1"/>
  <c r="G985" i="5"/>
  <c r="F986" i="5"/>
  <c r="I985" i="5" s="1"/>
  <c r="I984" i="5"/>
  <c r="K983" i="5"/>
  <c r="L983" i="5" s="1"/>
  <c r="N984" i="5"/>
  <c r="J984" i="5"/>
  <c r="H986" i="5" l="1"/>
  <c r="G986" i="5"/>
  <c r="F987" i="5"/>
  <c r="J985" i="5"/>
  <c r="M983" i="5"/>
  <c r="K984" i="5"/>
  <c r="L984" i="5" s="1"/>
  <c r="N985" i="5"/>
  <c r="G987" i="5" l="1"/>
  <c r="H987" i="5"/>
  <c r="F988" i="5"/>
  <c r="I987" i="5" s="1"/>
  <c r="J986" i="5"/>
  <c r="I986" i="5"/>
  <c r="N986" i="5"/>
  <c r="K985" i="5"/>
  <c r="L985" i="5" s="1"/>
  <c r="M985" i="5"/>
  <c r="M984" i="5"/>
  <c r="N987" i="5" l="1"/>
  <c r="K986" i="5"/>
  <c r="L986" i="5" s="1"/>
  <c r="J987" i="5"/>
  <c r="F989" i="5"/>
  <c r="G988" i="5"/>
  <c r="H988" i="5"/>
  <c r="I988" i="5"/>
  <c r="J988" i="5"/>
  <c r="F990" i="5" l="1"/>
  <c r="I989" i="5" s="1"/>
  <c r="G989" i="5"/>
  <c r="H989" i="5"/>
  <c r="K988" i="5"/>
  <c r="N988" i="5"/>
  <c r="N989" i="5" s="1"/>
  <c r="K987" i="5"/>
  <c r="L987" i="5" s="1"/>
  <c r="M987" i="5" s="1"/>
  <c r="M986" i="5"/>
  <c r="L988" i="5" l="1"/>
  <c r="M988" i="5" s="1"/>
  <c r="J989" i="5"/>
  <c r="K989" i="5"/>
  <c r="N990" i="5"/>
  <c r="G990" i="5"/>
  <c r="H990" i="5"/>
  <c r="J990" i="5"/>
  <c r="I990" i="5"/>
  <c r="F991" i="5"/>
  <c r="L989" i="5" l="1"/>
  <c r="M989" i="5" s="1"/>
  <c r="K990" i="5"/>
  <c r="N991" i="5"/>
  <c r="H991" i="5"/>
  <c r="G991" i="5"/>
  <c r="F992" i="5"/>
  <c r="I991" i="5" s="1"/>
  <c r="L990" i="5" l="1"/>
  <c r="J991" i="5"/>
  <c r="G992" i="5"/>
  <c r="H992" i="5"/>
  <c r="F993" i="5"/>
  <c r="M990" i="5"/>
  <c r="G993" i="5" l="1"/>
  <c r="H993" i="5"/>
  <c r="F994" i="5"/>
  <c r="I992" i="5"/>
  <c r="J992" i="5"/>
  <c r="K991" i="5"/>
  <c r="L991" i="5" s="1"/>
  <c r="N992" i="5"/>
  <c r="M991" i="5" l="1"/>
  <c r="H994" i="5"/>
  <c r="G994" i="5"/>
  <c r="F995" i="5"/>
  <c r="I993" i="5"/>
  <c r="J993" i="5"/>
  <c r="K992" i="5"/>
  <c r="L992" i="5" s="1"/>
  <c r="N993" i="5"/>
  <c r="G995" i="5" l="1"/>
  <c r="H995" i="5"/>
  <c r="F996" i="5"/>
  <c r="J994" i="5"/>
  <c r="I994" i="5"/>
  <c r="N994" i="5"/>
  <c r="K993" i="5"/>
  <c r="L993" i="5" s="1"/>
  <c r="M993" i="5" s="1"/>
  <c r="M992" i="5"/>
  <c r="N995" i="5" l="1"/>
  <c r="K994" i="5"/>
  <c r="L994" i="5" s="1"/>
  <c r="M994" i="5" s="1"/>
  <c r="F997" i="5"/>
  <c r="I996" i="5" s="1"/>
  <c r="H996" i="5"/>
  <c r="G996" i="5"/>
  <c r="I995" i="5"/>
  <c r="J995" i="5"/>
  <c r="J996" i="5" l="1"/>
  <c r="K996" i="5"/>
  <c r="F998" i="5"/>
  <c r="G997" i="5"/>
  <c r="H997" i="5"/>
  <c r="J997" i="5" s="1"/>
  <c r="I997" i="5"/>
  <c r="M995" i="5"/>
  <c r="K995" i="5"/>
  <c r="L995" i="5" s="1"/>
  <c r="N996" i="5"/>
  <c r="N997" i="5" s="1"/>
  <c r="K997" i="5" l="1"/>
  <c r="L997" i="5" s="1"/>
  <c r="N998" i="5"/>
  <c r="G998" i="5"/>
  <c r="H998" i="5"/>
  <c r="F999" i="5"/>
  <c r="L996" i="5"/>
  <c r="M997" i="5" l="1"/>
  <c r="M996" i="5"/>
  <c r="H999" i="5"/>
  <c r="G999" i="5"/>
  <c r="F1000" i="5"/>
  <c r="J999" i="5" s="1"/>
  <c r="J998" i="5"/>
  <c r="I998" i="5"/>
  <c r="K999" i="5" l="1"/>
  <c r="G1000" i="5"/>
  <c r="H1000" i="5"/>
  <c r="F1001" i="5"/>
  <c r="J1000" i="5" s="1"/>
  <c r="K998" i="5"/>
  <c r="L998" i="5" s="1"/>
  <c r="N999" i="5"/>
  <c r="N1000" i="5" s="1"/>
  <c r="I999" i="5"/>
  <c r="K1000" i="5" l="1"/>
  <c r="N1001" i="5"/>
  <c r="G1001" i="5"/>
  <c r="H1001" i="5"/>
  <c r="F1002" i="5"/>
  <c r="I1000" i="5"/>
  <c r="M998" i="5"/>
  <c r="L999" i="5"/>
  <c r="G1002" i="5" l="1"/>
  <c r="H1002" i="5"/>
  <c r="F1003" i="5"/>
  <c r="J1001" i="5"/>
  <c r="I1001" i="5"/>
  <c r="M999" i="5"/>
  <c r="L1000" i="5"/>
  <c r="M1000" i="5" s="1"/>
  <c r="G1003" i="5" l="1"/>
  <c r="H1003" i="5"/>
  <c r="F1004" i="5"/>
  <c r="I1003" i="5" s="1"/>
  <c r="J1002" i="5"/>
  <c r="I1002" i="5"/>
  <c r="N1002" i="5"/>
  <c r="K1001" i="5"/>
  <c r="L1001" i="5" s="1"/>
  <c r="M1001" i="5" s="1"/>
  <c r="N1003" i="5" l="1"/>
  <c r="K1002" i="5"/>
  <c r="L1002" i="5" s="1"/>
  <c r="F1005" i="5"/>
  <c r="G1004" i="5"/>
  <c r="H1004" i="5"/>
  <c r="I1004" i="5"/>
  <c r="J1004" i="5"/>
  <c r="J1003" i="5"/>
  <c r="N1004" i="5" l="1"/>
  <c r="K1003" i="5"/>
  <c r="L1003" i="5" s="1"/>
  <c r="K1004" i="5"/>
  <c r="L1004" i="5" s="1"/>
  <c r="N1005" i="5"/>
  <c r="F1006" i="5"/>
  <c r="G1005" i="5"/>
  <c r="H1005" i="5"/>
  <c r="M1002" i="5"/>
  <c r="G1006" i="5" l="1"/>
  <c r="H1006" i="5"/>
  <c r="F1007" i="5"/>
  <c r="M1004" i="5"/>
  <c r="J1005" i="5"/>
  <c r="I1005" i="5"/>
  <c r="M1003" i="5"/>
  <c r="H1007" i="5" l="1"/>
  <c r="G1007" i="5"/>
  <c r="F1008" i="5"/>
  <c r="K1005" i="5"/>
  <c r="L1005" i="5" s="1"/>
  <c r="N1006" i="5"/>
  <c r="J1006" i="5"/>
  <c r="I1006" i="5"/>
  <c r="K1006" i="5" l="1"/>
  <c r="L1006" i="5" s="1"/>
  <c r="M1006" i="5" s="1"/>
  <c r="N1007" i="5"/>
  <c r="G1008" i="5"/>
  <c r="H1008" i="5"/>
  <c r="F1009" i="5"/>
  <c r="I1008" i="5" s="1"/>
  <c r="J1007" i="5"/>
  <c r="I1007" i="5"/>
  <c r="M1005" i="5"/>
  <c r="J1008" i="5" l="1"/>
  <c r="K1007" i="5"/>
  <c r="L1007" i="5" s="1"/>
  <c r="N1008" i="5"/>
  <c r="G1009" i="5"/>
  <c r="H1009" i="5"/>
  <c r="F1010" i="5"/>
  <c r="H1010" i="5" l="1"/>
  <c r="G1010" i="5"/>
  <c r="F1011" i="5"/>
  <c r="J1010" i="5" s="1"/>
  <c r="I1009" i="5"/>
  <c r="J1009" i="5"/>
  <c r="M1007" i="5"/>
  <c r="K1008" i="5"/>
  <c r="L1008" i="5" s="1"/>
  <c r="M1008" i="5" s="1"/>
  <c r="N1009" i="5"/>
  <c r="H1011" i="5" l="1"/>
  <c r="G1011" i="5"/>
  <c r="F1012" i="5"/>
  <c r="K1010" i="5"/>
  <c r="I1010" i="5"/>
  <c r="N1010" i="5"/>
  <c r="N1011" i="5" s="1"/>
  <c r="K1009" i="5"/>
  <c r="L1009" i="5" s="1"/>
  <c r="L1010" i="5" l="1"/>
  <c r="M1010" i="5" s="1"/>
  <c r="F1013" i="5"/>
  <c r="G1012" i="5"/>
  <c r="I1012" i="5"/>
  <c r="H1012" i="5"/>
  <c r="J1012" i="5"/>
  <c r="J1011" i="5"/>
  <c r="M1009" i="5"/>
  <c r="I1011" i="5"/>
  <c r="K1011" i="5" l="1"/>
  <c r="L1011" i="5" s="1"/>
  <c r="N1012" i="5"/>
  <c r="N1013" i="5" s="1"/>
  <c r="K1012" i="5"/>
  <c r="F1014" i="5"/>
  <c r="G1013" i="5"/>
  <c r="H1013" i="5"/>
  <c r="I1013" i="5"/>
  <c r="L1012" i="5" l="1"/>
  <c r="G1014" i="5"/>
  <c r="H1014" i="5"/>
  <c r="F1015" i="5"/>
  <c r="J1013" i="5"/>
  <c r="M1012" i="5"/>
  <c r="M1011" i="5"/>
  <c r="H1015" i="5" l="1"/>
  <c r="G1015" i="5"/>
  <c r="F1016" i="5"/>
  <c r="J1015" i="5" s="1"/>
  <c r="J1014" i="5"/>
  <c r="K1013" i="5"/>
  <c r="L1013" i="5" s="1"/>
  <c r="N1014" i="5"/>
  <c r="I1014" i="5"/>
  <c r="K1015" i="5" l="1"/>
  <c r="M1013" i="5"/>
  <c r="K1014" i="5"/>
  <c r="L1014" i="5" s="1"/>
  <c r="N1015" i="5"/>
  <c r="N1016" i="5" s="1"/>
  <c r="G1016" i="5"/>
  <c r="H1016" i="5"/>
  <c r="F1017" i="5"/>
  <c r="I1015" i="5"/>
  <c r="G1017" i="5" l="1"/>
  <c r="H1017" i="5"/>
  <c r="F1018" i="5"/>
  <c r="I1017" i="5" s="1"/>
  <c r="J1016" i="5"/>
  <c r="M1014" i="5"/>
  <c r="I1016" i="5"/>
  <c r="L1015" i="5"/>
  <c r="G1018" i="5" l="1"/>
  <c r="H1018" i="5"/>
  <c r="F1019" i="5"/>
  <c r="K1016" i="5"/>
  <c r="L1016" i="5" s="1"/>
  <c r="M1016" i="5" s="1"/>
  <c r="N1017" i="5"/>
  <c r="J1017" i="5"/>
  <c r="M1015" i="5"/>
  <c r="G1019" i="5" l="1"/>
  <c r="H1019" i="5"/>
  <c r="F1020" i="5"/>
  <c r="J1018" i="5"/>
  <c r="I1018" i="5"/>
  <c r="N1018" i="5"/>
  <c r="K1017" i="5"/>
  <c r="L1017" i="5" s="1"/>
  <c r="M1017" i="5" s="1"/>
  <c r="F1021" i="5" l="1"/>
  <c r="I1020" i="5" s="1"/>
  <c r="G1020" i="5"/>
  <c r="H1020" i="5"/>
  <c r="N1019" i="5"/>
  <c r="K1018" i="5"/>
  <c r="L1018" i="5" s="1"/>
  <c r="I1019" i="5"/>
  <c r="J1019" i="5"/>
  <c r="J1020" i="5" l="1"/>
  <c r="K1020" i="5" s="1"/>
  <c r="M1018" i="5"/>
  <c r="N1020" i="5"/>
  <c r="K1019" i="5"/>
  <c r="L1019" i="5" s="1"/>
  <c r="F1022" i="5"/>
  <c r="G1021" i="5"/>
  <c r="H1021" i="5"/>
  <c r="N1021" i="5" l="1"/>
  <c r="G1022" i="5"/>
  <c r="H1022" i="5"/>
  <c r="F1023" i="5"/>
  <c r="I1022" i="5" s="1"/>
  <c r="J1021" i="5"/>
  <c r="L1020" i="5"/>
  <c r="M1020" i="5" s="1"/>
  <c r="I1021" i="5"/>
  <c r="M1019" i="5"/>
  <c r="K1021" i="5" l="1"/>
  <c r="L1021" i="5" s="1"/>
  <c r="M1021" i="5" s="1"/>
  <c r="N1022" i="5"/>
  <c r="J1022" i="5"/>
  <c r="H1023" i="5"/>
  <c r="G1023" i="5"/>
  <c r="F1024" i="5"/>
  <c r="I1023" i="5" s="1"/>
  <c r="J1023" i="5" l="1"/>
  <c r="K1023" i="5" s="1"/>
  <c r="L1023" i="5" s="1"/>
  <c r="K1022" i="5"/>
  <c r="L1022" i="5" s="1"/>
  <c r="M1022" i="5" s="1"/>
  <c r="N1023" i="5"/>
  <c r="G1024" i="5"/>
  <c r="H1024" i="5"/>
  <c r="F1025" i="5"/>
  <c r="I1024" i="5" s="1"/>
  <c r="J1024" i="5" l="1"/>
  <c r="N1024" i="5"/>
  <c r="K1024" i="5"/>
  <c r="L1024" i="5" s="1"/>
  <c r="N1025" i="5"/>
  <c r="M1024" i="5"/>
  <c r="G1025" i="5"/>
  <c r="H1025" i="5"/>
  <c r="F1026" i="5"/>
  <c r="M1023" i="5"/>
  <c r="G1026" i="5" l="1"/>
  <c r="H1026" i="5"/>
  <c r="F1027" i="5"/>
  <c r="J1025" i="5"/>
  <c r="I1025" i="5"/>
  <c r="G1027" i="5" l="1"/>
  <c r="H1027" i="5"/>
  <c r="F1028" i="5"/>
  <c r="I1027" i="5" s="1"/>
  <c r="I1026" i="5"/>
  <c r="N1026" i="5"/>
  <c r="K1025" i="5"/>
  <c r="L1025" i="5" s="1"/>
  <c r="J1026" i="5"/>
  <c r="M1025" i="5" l="1"/>
  <c r="J1027" i="5"/>
  <c r="F1029" i="5"/>
  <c r="G1028" i="5"/>
  <c r="H1028" i="5"/>
  <c r="N1027" i="5"/>
  <c r="K1026" i="5"/>
  <c r="L1026" i="5" s="1"/>
  <c r="F1030" i="5" l="1"/>
  <c r="I1029" i="5" s="1"/>
  <c r="G1029" i="5"/>
  <c r="H1029" i="5"/>
  <c r="K1027" i="5"/>
  <c r="L1027" i="5" s="1"/>
  <c r="N1028" i="5"/>
  <c r="J1028" i="5"/>
  <c r="I1028" i="5"/>
  <c r="M1026" i="5"/>
  <c r="J1029" i="5" l="1"/>
  <c r="K1029" i="5" s="1"/>
  <c r="K1028" i="5"/>
  <c r="L1028" i="5" s="1"/>
  <c r="N1029" i="5"/>
  <c r="M1028" i="5"/>
  <c r="M1027" i="5"/>
  <c r="G1030" i="5"/>
  <c r="H1030" i="5"/>
  <c r="F1031" i="5"/>
  <c r="N1030" i="5" l="1"/>
  <c r="H1031" i="5"/>
  <c r="G1031" i="5"/>
  <c r="F1032" i="5"/>
  <c r="I1030" i="5"/>
  <c r="J1030" i="5"/>
  <c r="L1029" i="5"/>
  <c r="M1029" i="5" s="1"/>
  <c r="K1030" i="5" l="1"/>
  <c r="L1030" i="5" s="1"/>
  <c r="M1030" i="5" s="1"/>
  <c r="N1031" i="5"/>
  <c r="G1032" i="5"/>
  <c r="H1032" i="5"/>
  <c r="F1033" i="5"/>
  <c r="J1031" i="5"/>
  <c r="I1031" i="5"/>
  <c r="G1033" i="5" l="1"/>
  <c r="H1033" i="5"/>
  <c r="F1034" i="5"/>
  <c r="I1032" i="5"/>
  <c r="K1031" i="5"/>
  <c r="L1031" i="5" s="1"/>
  <c r="N1032" i="5"/>
  <c r="J1032" i="5"/>
  <c r="H1034" i="5" l="1"/>
  <c r="G1034" i="5"/>
  <c r="F1035" i="5"/>
  <c r="I1034" i="5" s="1"/>
  <c r="I1033" i="5"/>
  <c r="M1031" i="5"/>
  <c r="J1033" i="5"/>
  <c r="K1032" i="5"/>
  <c r="L1032" i="5" s="1"/>
  <c r="N1033" i="5"/>
  <c r="J1034" i="5" l="1"/>
  <c r="H1035" i="5"/>
  <c r="G1035" i="5"/>
  <c r="F1036" i="5"/>
  <c r="M1033" i="5"/>
  <c r="N1034" i="5"/>
  <c r="K1033" i="5"/>
  <c r="L1033" i="5" s="1"/>
  <c r="M1032" i="5"/>
  <c r="F1037" i="5" l="1"/>
  <c r="H1036" i="5"/>
  <c r="I1036" i="5"/>
  <c r="G1036" i="5"/>
  <c r="J1036" i="5" s="1"/>
  <c r="I1035" i="5"/>
  <c r="J1035" i="5"/>
  <c r="M1034" i="5"/>
  <c r="N1035" i="5"/>
  <c r="K1034" i="5"/>
  <c r="L1034" i="5" s="1"/>
  <c r="N1036" i="5" l="1"/>
  <c r="K1035" i="5"/>
  <c r="L1035" i="5" s="1"/>
  <c r="K1036" i="5"/>
  <c r="L1036" i="5" s="1"/>
  <c r="N1037" i="5"/>
  <c r="M1035" i="5"/>
  <c r="F1038" i="5"/>
  <c r="G1037" i="5"/>
  <c r="I1037" i="5"/>
  <c r="H1037" i="5"/>
  <c r="G1038" i="5" l="1"/>
  <c r="H1038" i="5"/>
  <c r="F1039" i="5"/>
  <c r="J1038" i="5" s="1"/>
  <c r="M1036" i="5"/>
  <c r="J1037" i="5"/>
  <c r="K1038" i="5" l="1"/>
  <c r="K1037" i="5"/>
  <c r="L1037" i="5" s="1"/>
  <c r="N1038" i="5"/>
  <c r="N1039" i="5" s="1"/>
  <c r="I1038" i="5"/>
  <c r="G1039" i="5"/>
  <c r="H1039" i="5"/>
  <c r="F1040" i="5"/>
  <c r="I1039" i="5" s="1"/>
  <c r="M1037" i="5" l="1"/>
  <c r="G1040" i="5"/>
  <c r="H1040" i="5"/>
  <c r="F1041" i="5"/>
  <c r="J1040" i="5" s="1"/>
  <c r="J1039" i="5"/>
  <c r="L1038" i="5"/>
  <c r="K1040" i="5" l="1"/>
  <c r="G1041" i="5"/>
  <c r="H1041" i="5"/>
  <c r="F1042" i="5"/>
  <c r="I1041" i="5" s="1"/>
  <c r="I1040" i="5"/>
  <c r="K1039" i="5"/>
  <c r="L1039" i="5" s="1"/>
  <c r="N1040" i="5"/>
  <c r="N1041" i="5" s="1"/>
  <c r="M1039" i="5"/>
  <c r="M1038" i="5"/>
  <c r="L1040" i="5" l="1"/>
  <c r="M1040" i="5" s="1"/>
  <c r="H1042" i="5"/>
  <c r="G1042" i="5"/>
  <c r="F1043" i="5"/>
  <c r="J1041" i="5"/>
  <c r="N1042" i="5" l="1"/>
  <c r="K1041" i="5"/>
  <c r="L1041" i="5" s="1"/>
  <c r="G1043" i="5"/>
  <c r="H1043" i="5"/>
  <c r="F1044" i="5"/>
  <c r="J1042" i="5"/>
  <c r="I1042" i="5"/>
  <c r="F1045" i="5" l="1"/>
  <c r="J1044" i="5" s="1"/>
  <c r="H1044" i="5"/>
  <c r="I1044" i="5"/>
  <c r="G1044" i="5"/>
  <c r="M1041" i="5"/>
  <c r="N1043" i="5"/>
  <c r="K1042" i="5"/>
  <c r="L1042" i="5" s="1"/>
  <c r="M1042" i="5" s="1"/>
  <c r="J1043" i="5"/>
  <c r="I1043" i="5"/>
  <c r="K1044" i="5" l="1"/>
  <c r="K1043" i="5"/>
  <c r="L1043" i="5" s="1"/>
  <c r="N1044" i="5"/>
  <c r="N1045" i="5" s="1"/>
  <c r="F1046" i="5"/>
  <c r="J1045" i="5" s="1"/>
  <c r="G1045" i="5"/>
  <c r="H1045" i="5"/>
  <c r="K1045" i="5" l="1"/>
  <c r="L1045" i="5" s="1"/>
  <c r="N1046" i="5"/>
  <c r="G1046" i="5"/>
  <c r="H1046" i="5"/>
  <c r="F1047" i="5"/>
  <c r="I1046" i="5" s="1"/>
  <c r="M1043" i="5"/>
  <c r="I1045" i="5"/>
  <c r="L1044" i="5"/>
  <c r="M1045" i="5" s="1"/>
  <c r="M1044" i="5" l="1"/>
  <c r="H1047" i="5"/>
  <c r="G1047" i="5"/>
  <c r="F1048" i="5"/>
  <c r="J1046" i="5"/>
  <c r="G1048" i="5" l="1"/>
  <c r="H1048" i="5"/>
  <c r="F1049" i="5"/>
  <c r="I1047" i="5"/>
  <c r="K1046" i="5"/>
  <c r="L1046" i="5" s="1"/>
  <c r="N1047" i="5"/>
  <c r="J1047" i="5"/>
  <c r="M1046" i="5" l="1"/>
  <c r="G1049" i="5"/>
  <c r="H1049" i="5"/>
  <c r="F1050" i="5"/>
  <c r="I1049" i="5" s="1"/>
  <c r="I1048" i="5"/>
  <c r="J1048" i="5"/>
  <c r="K1047" i="5"/>
  <c r="L1047" i="5" s="1"/>
  <c r="N1048" i="5"/>
  <c r="H1050" i="5" l="1"/>
  <c r="G1050" i="5"/>
  <c r="F1051" i="5"/>
  <c r="J1049" i="5"/>
  <c r="K1048" i="5"/>
  <c r="L1048" i="5" s="1"/>
  <c r="M1048" i="5" s="1"/>
  <c r="N1049" i="5"/>
  <c r="M1047" i="5"/>
  <c r="G1051" i="5" l="1"/>
  <c r="H1051" i="5"/>
  <c r="F1052" i="5"/>
  <c r="J1051" i="5" s="1"/>
  <c r="I1050" i="5"/>
  <c r="N1050" i="5"/>
  <c r="K1049" i="5"/>
  <c r="L1049" i="5" s="1"/>
  <c r="M1049" i="5" s="1"/>
  <c r="J1050" i="5"/>
  <c r="K1051" i="5" l="1"/>
  <c r="I1051" i="5"/>
  <c r="F1053" i="5"/>
  <c r="G1052" i="5"/>
  <c r="H1052" i="5"/>
  <c r="I1052" i="5"/>
  <c r="J1052" i="5"/>
  <c r="N1051" i="5"/>
  <c r="N1052" i="5" s="1"/>
  <c r="K1050" i="5"/>
  <c r="L1050" i="5" s="1"/>
  <c r="M1050" i="5" s="1"/>
  <c r="K1052" i="5" l="1"/>
  <c r="N1053" i="5"/>
  <c r="F1054" i="5"/>
  <c r="G1053" i="5"/>
  <c r="H1053" i="5"/>
  <c r="I1053" i="5"/>
  <c r="J1053" i="5"/>
  <c r="L1051" i="5"/>
  <c r="K1053" i="5" l="1"/>
  <c r="N1054" i="5"/>
  <c r="G1054" i="5"/>
  <c r="H1054" i="5"/>
  <c r="F1055" i="5"/>
  <c r="J1054" i="5" s="1"/>
  <c r="M1051" i="5"/>
  <c r="L1052" i="5"/>
  <c r="M1052" i="5" s="1"/>
  <c r="K1054" i="5" l="1"/>
  <c r="N1055" i="5"/>
  <c r="I1054" i="5"/>
  <c r="H1055" i="5"/>
  <c r="G1055" i="5"/>
  <c r="F1056" i="5"/>
  <c r="J1055" i="5" s="1"/>
  <c r="L1053" i="5"/>
  <c r="K1055" i="5" l="1"/>
  <c r="L1055" i="5" s="1"/>
  <c r="N1056" i="5"/>
  <c r="G1056" i="5"/>
  <c r="H1056" i="5"/>
  <c r="F1057" i="5"/>
  <c r="I1055" i="5"/>
  <c r="M1053" i="5"/>
  <c r="L1054" i="5"/>
  <c r="M1055" i="5" l="1"/>
  <c r="G1057" i="5"/>
  <c r="H1057" i="5"/>
  <c r="F1058" i="5"/>
  <c r="J1056" i="5"/>
  <c r="M1054" i="5"/>
  <c r="I1056" i="5"/>
  <c r="K1056" i="5" l="1"/>
  <c r="L1056" i="5" s="1"/>
  <c r="N1057" i="5"/>
  <c r="H1058" i="5"/>
  <c r="G1058" i="5"/>
  <c r="F1059" i="5"/>
  <c r="I1058" i="5" s="1"/>
  <c r="I1057" i="5"/>
  <c r="J1057" i="5"/>
  <c r="G1059" i="5" l="1"/>
  <c r="H1059" i="5"/>
  <c r="F1060" i="5"/>
  <c r="J1058" i="5"/>
  <c r="N1058" i="5"/>
  <c r="K1057" i="5"/>
  <c r="L1057" i="5" s="1"/>
  <c r="M1056" i="5"/>
  <c r="N1059" i="5" l="1"/>
  <c r="K1058" i="5"/>
  <c r="L1058" i="5" s="1"/>
  <c r="F1061" i="5"/>
  <c r="H1060" i="5"/>
  <c r="G1060" i="5"/>
  <c r="I1059" i="5"/>
  <c r="J1059" i="5"/>
  <c r="M1057" i="5"/>
  <c r="F1062" i="5" l="1"/>
  <c r="I1061" i="5" s="1"/>
  <c r="G1061" i="5"/>
  <c r="H1061" i="5"/>
  <c r="J1060" i="5"/>
  <c r="I1060" i="5"/>
  <c r="K1059" i="5"/>
  <c r="L1059" i="5" s="1"/>
  <c r="M1059" i="5" s="1"/>
  <c r="N1060" i="5"/>
  <c r="M1058" i="5"/>
  <c r="J1061" i="5" l="1"/>
  <c r="K1061" i="5" s="1"/>
  <c r="K1060" i="5"/>
  <c r="L1060" i="5" s="1"/>
  <c r="M1060" i="5" s="1"/>
  <c r="N1061" i="5"/>
  <c r="G1062" i="5"/>
  <c r="H1062" i="5"/>
  <c r="F1063" i="5"/>
  <c r="I1062" i="5" s="1"/>
  <c r="N1062" i="5" l="1"/>
  <c r="H1063" i="5"/>
  <c r="G1063" i="5"/>
  <c r="F1064" i="5"/>
  <c r="I1063" i="5" s="1"/>
  <c r="J1062" i="5"/>
  <c r="L1061" i="5"/>
  <c r="K1062" i="5" l="1"/>
  <c r="L1062" i="5" s="1"/>
  <c r="N1063" i="5"/>
  <c r="M1062" i="5"/>
  <c r="G1064" i="5"/>
  <c r="H1064" i="5"/>
  <c r="F1065" i="5"/>
  <c r="J1064" i="5" s="1"/>
  <c r="J1063" i="5"/>
  <c r="M1061" i="5"/>
  <c r="K1064" i="5" l="1"/>
  <c r="G1065" i="5"/>
  <c r="H1065" i="5"/>
  <c r="F1066" i="5"/>
  <c r="I1065" i="5" s="1"/>
  <c r="I1064" i="5"/>
  <c r="K1063" i="5"/>
  <c r="L1063" i="5" s="1"/>
  <c r="N1064" i="5"/>
  <c r="N1065" i="5" s="1"/>
  <c r="M1063" i="5"/>
  <c r="G1066" i="5" l="1"/>
  <c r="H1066" i="5"/>
  <c r="F1067" i="5"/>
  <c r="J1065" i="5"/>
  <c r="L1064" i="5"/>
  <c r="H1067" i="5" l="1"/>
  <c r="G1067" i="5"/>
  <c r="F1068" i="5"/>
  <c r="I1066" i="5"/>
  <c r="M1064" i="5"/>
  <c r="N1066" i="5"/>
  <c r="K1065" i="5"/>
  <c r="L1065" i="5" s="1"/>
  <c r="J1066" i="5"/>
  <c r="N1067" i="5" l="1"/>
  <c r="K1066" i="5"/>
  <c r="L1066" i="5" s="1"/>
  <c r="F1069" i="5"/>
  <c r="I1068" i="5" s="1"/>
  <c r="G1068" i="5"/>
  <c r="H1068" i="5"/>
  <c r="J1068" i="5"/>
  <c r="J1067" i="5"/>
  <c r="I1067" i="5"/>
  <c r="M1066" i="5"/>
  <c r="M1065" i="5"/>
  <c r="K1068" i="5" l="1"/>
  <c r="F1070" i="5"/>
  <c r="G1069" i="5"/>
  <c r="H1069" i="5"/>
  <c r="J1069" i="5" s="1"/>
  <c r="I1069" i="5"/>
  <c r="N1068" i="5"/>
  <c r="N1069" i="5" s="1"/>
  <c r="K1067" i="5"/>
  <c r="L1067" i="5" s="1"/>
  <c r="M1067" i="5" s="1"/>
  <c r="K1069" i="5" l="1"/>
  <c r="L1069" i="5" s="1"/>
  <c r="N1070" i="5"/>
  <c r="G1070" i="5"/>
  <c r="H1070" i="5"/>
  <c r="F1071" i="5"/>
  <c r="L1068" i="5"/>
  <c r="M1069" i="5" l="1"/>
  <c r="M1068" i="5"/>
  <c r="H1071" i="5"/>
  <c r="G1071" i="5"/>
  <c r="F1072" i="5"/>
  <c r="J1070" i="5"/>
  <c r="I1070" i="5"/>
  <c r="G1072" i="5" l="1"/>
  <c r="H1072" i="5"/>
  <c r="F1073" i="5"/>
  <c r="K1070" i="5"/>
  <c r="L1070" i="5" s="1"/>
  <c r="N1071" i="5"/>
  <c r="J1071" i="5"/>
  <c r="I1071" i="5"/>
  <c r="M1070" i="5" l="1"/>
  <c r="G1073" i="5"/>
  <c r="H1073" i="5"/>
  <c r="F1074" i="5"/>
  <c r="I1073" i="5" s="1"/>
  <c r="I1072" i="5"/>
  <c r="K1071" i="5"/>
  <c r="L1071" i="5" s="1"/>
  <c r="N1072" i="5"/>
  <c r="J1072" i="5"/>
  <c r="K1072" i="5" l="1"/>
  <c r="L1072" i="5" s="1"/>
  <c r="M1072" i="5" s="1"/>
  <c r="N1073" i="5"/>
  <c r="H1074" i="5"/>
  <c r="G1074" i="5"/>
  <c r="F1075" i="5"/>
  <c r="I1074" i="5" s="1"/>
  <c r="J1073" i="5"/>
  <c r="M1071" i="5"/>
  <c r="J1074" i="5" l="1"/>
  <c r="H1075" i="5"/>
  <c r="G1075" i="5"/>
  <c r="F1076" i="5"/>
  <c r="N1074" i="5"/>
  <c r="K1073" i="5"/>
  <c r="L1073" i="5" s="1"/>
  <c r="F1077" i="5" l="1"/>
  <c r="I1076" i="5" s="1"/>
  <c r="G1076" i="5"/>
  <c r="H1076" i="5"/>
  <c r="I1075" i="5"/>
  <c r="M1074" i="5"/>
  <c r="J1075" i="5"/>
  <c r="M1073" i="5"/>
  <c r="N1075" i="5"/>
  <c r="K1074" i="5"/>
  <c r="L1074" i="5" s="1"/>
  <c r="J1076" i="5" l="1"/>
  <c r="K1076" i="5" s="1"/>
  <c r="L1076" i="5" s="1"/>
  <c r="K1075" i="5"/>
  <c r="L1075" i="5" s="1"/>
  <c r="M1075" i="5" s="1"/>
  <c r="N1076" i="5"/>
  <c r="F1078" i="5"/>
  <c r="G1077" i="5"/>
  <c r="H1077" i="5"/>
  <c r="N1077" i="5" l="1"/>
  <c r="G1078" i="5"/>
  <c r="F1079" i="5"/>
  <c r="H1078" i="5"/>
  <c r="J1078" i="5"/>
  <c r="J1077" i="5"/>
  <c r="I1077" i="5"/>
  <c r="M1076" i="5"/>
  <c r="K1077" i="5" l="1"/>
  <c r="L1077" i="5" s="1"/>
  <c r="N1078" i="5"/>
  <c r="N1079" i="5" s="1"/>
  <c r="H1079" i="5"/>
  <c r="G1079" i="5"/>
  <c r="F1080" i="5"/>
  <c r="K1078" i="5"/>
  <c r="I1078" i="5"/>
  <c r="L1078" i="5" l="1"/>
  <c r="M1078" i="5" s="1"/>
  <c r="G1080" i="5"/>
  <c r="H1080" i="5"/>
  <c r="F1081" i="5"/>
  <c r="J1079" i="5"/>
  <c r="I1079" i="5"/>
  <c r="M1077" i="5"/>
  <c r="K1079" i="5" l="1"/>
  <c r="L1079" i="5" s="1"/>
  <c r="N1080" i="5"/>
  <c r="G1081" i="5"/>
  <c r="H1081" i="5"/>
  <c r="F1082" i="5"/>
  <c r="J1080" i="5"/>
  <c r="I1080" i="5"/>
  <c r="G1082" i="5" l="1"/>
  <c r="H1082" i="5"/>
  <c r="F1083" i="5"/>
  <c r="K1080" i="5"/>
  <c r="L1080" i="5" s="1"/>
  <c r="N1081" i="5"/>
  <c r="J1081" i="5"/>
  <c r="I1081" i="5"/>
  <c r="M1079" i="5"/>
  <c r="N1082" i="5" l="1"/>
  <c r="K1081" i="5"/>
  <c r="L1081" i="5" s="1"/>
  <c r="M1081" i="5" s="1"/>
  <c r="G1083" i="5"/>
  <c r="H1083" i="5"/>
  <c r="F1084" i="5"/>
  <c r="J1082" i="5"/>
  <c r="M1080" i="5"/>
  <c r="I1082" i="5"/>
  <c r="F1085" i="5" l="1"/>
  <c r="I1084" i="5" s="1"/>
  <c r="H1084" i="5"/>
  <c r="G1084" i="5"/>
  <c r="I1083" i="5"/>
  <c r="J1083" i="5"/>
  <c r="N1083" i="5"/>
  <c r="K1082" i="5"/>
  <c r="L1082" i="5" s="1"/>
  <c r="M1082" i="5" s="1"/>
  <c r="J1084" i="5" l="1"/>
  <c r="N1085" i="5" s="1"/>
  <c r="N1084" i="5"/>
  <c r="K1083" i="5"/>
  <c r="L1083" i="5" s="1"/>
  <c r="M1083" i="5"/>
  <c r="F1086" i="5"/>
  <c r="G1085" i="5"/>
  <c r="H1085" i="5"/>
  <c r="K1084" i="5" l="1"/>
  <c r="L1084" i="5" s="1"/>
  <c r="M1084" i="5" s="1"/>
  <c r="G1086" i="5"/>
  <c r="H1086" i="5"/>
  <c r="F1087" i="5"/>
  <c r="I1086" i="5" s="1"/>
  <c r="J1085" i="5"/>
  <c r="I1085" i="5"/>
  <c r="K1085" i="5" l="1"/>
  <c r="L1085" i="5" s="1"/>
  <c r="N1086" i="5"/>
  <c r="J1086" i="5"/>
  <c r="H1087" i="5"/>
  <c r="G1087" i="5"/>
  <c r="F1088" i="5"/>
  <c r="G1088" i="5" l="1"/>
  <c r="H1088" i="5"/>
  <c r="F1089" i="5"/>
  <c r="J1087" i="5"/>
  <c r="I1087" i="5"/>
  <c r="K1086" i="5"/>
  <c r="L1086" i="5" s="1"/>
  <c r="N1087" i="5"/>
  <c r="M1085" i="5"/>
  <c r="G1089" i="5" l="1"/>
  <c r="H1089" i="5"/>
  <c r="F1090" i="5"/>
  <c r="J1088" i="5"/>
  <c r="K1087" i="5"/>
  <c r="L1087" i="5" s="1"/>
  <c r="N1088" i="5"/>
  <c r="I1088" i="5"/>
  <c r="M1086" i="5"/>
  <c r="G1090" i="5" l="1"/>
  <c r="H1090" i="5"/>
  <c r="F1091" i="5"/>
  <c r="N1089" i="5"/>
  <c r="K1088" i="5"/>
  <c r="L1088" i="5" s="1"/>
  <c r="M1088" i="5" s="1"/>
  <c r="M1087" i="5"/>
  <c r="I1089" i="5"/>
  <c r="J1089" i="5"/>
  <c r="G1091" i="5" l="1"/>
  <c r="H1091" i="5"/>
  <c r="F1092" i="5"/>
  <c r="J1090" i="5"/>
  <c r="N1090" i="5"/>
  <c r="K1089" i="5"/>
  <c r="L1089" i="5" s="1"/>
  <c r="M1089" i="5" s="1"/>
  <c r="I1090" i="5"/>
  <c r="F1093" i="5" l="1"/>
  <c r="I1092" i="5" s="1"/>
  <c r="G1092" i="5"/>
  <c r="H1092" i="5"/>
  <c r="I1091" i="5"/>
  <c r="J1091" i="5"/>
  <c r="N1091" i="5"/>
  <c r="K1090" i="5"/>
  <c r="L1090" i="5" s="1"/>
  <c r="M1090" i="5"/>
  <c r="J1092" i="5" l="1"/>
  <c r="K1092" i="5" s="1"/>
  <c r="K1091" i="5"/>
  <c r="L1091" i="5" s="1"/>
  <c r="N1092" i="5"/>
  <c r="M1091" i="5"/>
  <c r="F1094" i="5"/>
  <c r="G1093" i="5"/>
  <c r="H1093" i="5"/>
  <c r="N1093" i="5" l="1"/>
  <c r="G1094" i="5"/>
  <c r="H1094" i="5"/>
  <c r="F1095" i="5"/>
  <c r="J1093" i="5"/>
  <c r="I1093" i="5"/>
  <c r="L1092" i="5"/>
  <c r="M1092" i="5" s="1"/>
  <c r="K1093" i="5" l="1"/>
  <c r="L1093" i="5" s="1"/>
  <c r="M1093" i="5" s="1"/>
  <c r="N1094" i="5"/>
  <c r="H1095" i="5"/>
  <c r="G1095" i="5"/>
  <c r="F1096" i="5"/>
  <c r="J1094" i="5"/>
  <c r="I1094" i="5"/>
  <c r="G1096" i="5" l="1"/>
  <c r="H1096" i="5"/>
  <c r="F1097" i="5"/>
  <c r="J1096" i="5" s="1"/>
  <c r="K1094" i="5"/>
  <c r="L1094" i="5" s="1"/>
  <c r="N1095" i="5"/>
  <c r="J1095" i="5"/>
  <c r="I1095" i="5"/>
  <c r="K1096" i="5" l="1"/>
  <c r="K1095" i="5"/>
  <c r="L1095" i="5" s="1"/>
  <c r="M1095" i="5" s="1"/>
  <c r="N1096" i="5"/>
  <c r="N1097" i="5" s="1"/>
  <c r="G1097" i="5"/>
  <c r="H1097" i="5"/>
  <c r="F1098" i="5"/>
  <c r="J1097" i="5" s="1"/>
  <c r="I1096" i="5"/>
  <c r="M1094" i="5"/>
  <c r="N1098" i="5" l="1"/>
  <c r="K1097" i="5"/>
  <c r="L1097" i="5" s="1"/>
  <c r="M1096" i="5"/>
  <c r="H1098" i="5"/>
  <c r="G1098" i="5"/>
  <c r="F1099" i="5"/>
  <c r="I1097" i="5"/>
  <c r="L1096" i="5"/>
  <c r="H1099" i="5" l="1"/>
  <c r="G1099" i="5"/>
  <c r="F1100" i="5"/>
  <c r="J1099" i="5" s="1"/>
  <c r="I1098" i="5"/>
  <c r="J1098" i="5"/>
  <c r="M1097" i="5"/>
  <c r="N1100" i="5" l="1"/>
  <c r="K1099" i="5"/>
  <c r="L1099" i="5" s="1"/>
  <c r="N1099" i="5"/>
  <c r="K1098" i="5"/>
  <c r="L1098" i="5" s="1"/>
  <c r="F1101" i="5"/>
  <c r="H1100" i="5"/>
  <c r="G1100" i="5"/>
  <c r="I1100" i="5"/>
  <c r="I1099" i="5"/>
  <c r="F1102" i="5" l="1"/>
  <c r="I1101" i="5" s="1"/>
  <c r="G1101" i="5"/>
  <c r="H1101" i="5"/>
  <c r="M1099" i="5"/>
  <c r="M1098" i="5"/>
  <c r="J1100" i="5"/>
  <c r="J1101" i="5" l="1"/>
  <c r="K1101" i="5" s="1"/>
  <c r="K1100" i="5"/>
  <c r="L1100" i="5" s="1"/>
  <c r="N1101" i="5"/>
  <c r="G1102" i="5"/>
  <c r="H1102" i="5"/>
  <c r="F1103" i="5"/>
  <c r="I1102" i="5" s="1"/>
  <c r="J1102" i="5" l="1"/>
  <c r="K1102" i="5" s="1"/>
  <c r="L1102" i="5" s="1"/>
  <c r="N1102" i="5"/>
  <c r="M1100" i="5"/>
  <c r="G1103" i="5"/>
  <c r="H1103" i="5"/>
  <c r="J1103" i="5"/>
  <c r="F1104" i="5"/>
  <c r="I1103" i="5" s="1"/>
  <c r="L1101" i="5"/>
  <c r="N1103" i="5" l="1"/>
  <c r="N1104" i="5" s="1"/>
  <c r="K1103" i="5"/>
  <c r="L1103" i="5" s="1"/>
  <c r="M1102" i="5"/>
  <c r="G1104" i="5"/>
  <c r="H1104" i="5"/>
  <c r="F1105" i="5"/>
  <c r="I1104" i="5" s="1"/>
  <c r="M1101" i="5"/>
  <c r="J1104" i="5" l="1"/>
  <c r="K1104" i="5"/>
  <c r="L1104" i="5" s="1"/>
  <c r="N1105" i="5"/>
  <c r="M1104" i="5"/>
  <c r="G1105" i="5"/>
  <c r="H1105" i="5"/>
  <c r="F1106" i="5"/>
  <c r="J1105" i="5" s="1"/>
  <c r="M1103" i="5"/>
  <c r="N1106" i="5" l="1"/>
  <c r="K1105" i="5"/>
  <c r="L1105" i="5" s="1"/>
  <c r="I1105" i="5"/>
  <c r="H1106" i="5"/>
  <c r="G1106" i="5"/>
  <c r="F1107" i="5"/>
  <c r="J1106" i="5" s="1"/>
  <c r="N1107" i="5" l="1"/>
  <c r="K1106" i="5"/>
  <c r="L1106" i="5" s="1"/>
  <c r="I1106" i="5"/>
  <c r="M1106" i="5"/>
  <c r="G1107" i="5"/>
  <c r="H1107" i="5"/>
  <c r="I1107" i="5"/>
  <c r="J1107" i="5"/>
  <c r="F1108" i="5"/>
  <c r="M1105" i="5"/>
  <c r="K1107" i="5" l="1"/>
  <c r="L1107" i="5" s="1"/>
  <c r="N1108" i="5"/>
  <c r="M1107" i="5"/>
  <c r="F1109" i="5"/>
  <c r="G1108" i="5"/>
  <c r="H1108" i="5"/>
  <c r="J1108" i="5"/>
  <c r="K1108" i="5" l="1"/>
  <c r="L1108" i="5" s="1"/>
  <c r="M1108" i="5" s="1"/>
  <c r="N1109" i="5"/>
  <c r="F1110" i="5"/>
  <c r="G1109" i="5"/>
  <c r="H1109" i="5"/>
  <c r="J1109" i="5" s="1"/>
  <c r="I1109" i="5"/>
  <c r="I1108" i="5"/>
  <c r="K1109" i="5" l="1"/>
  <c r="L1109" i="5" s="1"/>
  <c r="M1109" i="5" s="1"/>
  <c r="N1110" i="5"/>
  <c r="G1110" i="5"/>
  <c r="H1110" i="5"/>
  <c r="F1111" i="5"/>
  <c r="J1110" i="5" s="1"/>
  <c r="K1110" i="5" l="1"/>
  <c r="L1110" i="5" s="1"/>
  <c r="M1110" i="5" s="1"/>
  <c r="N1111" i="5"/>
  <c r="I1110" i="5"/>
  <c r="H1111" i="5"/>
  <c r="G1111" i="5"/>
  <c r="F1112" i="5"/>
  <c r="J1111" i="5" s="1"/>
  <c r="K1111" i="5" l="1"/>
  <c r="L1111" i="5" s="1"/>
  <c r="N1112" i="5"/>
  <c r="I1111" i="5"/>
  <c r="G1112" i="5"/>
  <c r="H1112" i="5"/>
  <c r="F1113" i="5"/>
  <c r="M1111" i="5"/>
  <c r="H1113" i="5" l="1"/>
  <c r="G1113" i="5"/>
  <c r="F1114" i="5"/>
  <c r="J1112" i="5"/>
  <c r="I1112" i="5"/>
  <c r="K1112" i="5" l="1"/>
  <c r="L1112" i="5" s="1"/>
  <c r="N1113" i="5"/>
  <c r="H1114" i="5"/>
  <c r="G1114" i="5"/>
  <c r="F1115" i="5"/>
  <c r="I1114" i="5" s="1"/>
  <c r="J1113" i="5"/>
  <c r="I1113" i="5"/>
  <c r="J1114" i="5" l="1"/>
  <c r="N1114" i="5"/>
  <c r="K1113" i="5"/>
  <c r="L1113" i="5" s="1"/>
  <c r="G1115" i="5"/>
  <c r="H1115" i="5"/>
  <c r="F1116" i="5"/>
  <c r="M1112" i="5"/>
  <c r="F1117" i="5" l="1"/>
  <c r="J1116" i="5" s="1"/>
  <c r="G1116" i="5"/>
  <c r="H1116" i="5"/>
  <c r="I1115" i="5"/>
  <c r="J1115" i="5"/>
  <c r="M1114" i="5"/>
  <c r="M1113" i="5"/>
  <c r="N1115" i="5"/>
  <c r="K1114" i="5"/>
  <c r="L1114" i="5" s="1"/>
  <c r="I1116" i="5" l="1"/>
  <c r="K1116" i="5"/>
  <c r="N1116" i="5"/>
  <c r="N1117" i="5" s="1"/>
  <c r="K1115" i="5"/>
  <c r="L1115" i="5" s="1"/>
  <c r="F1118" i="5"/>
  <c r="G1117" i="5"/>
  <c r="H1117" i="5"/>
  <c r="G1118" i="5" l="1"/>
  <c r="H1118" i="5"/>
  <c r="F1119" i="5"/>
  <c r="M1115" i="5"/>
  <c r="I1117" i="5"/>
  <c r="J1117" i="5"/>
  <c r="L1116" i="5"/>
  <c r="M1116" i="5" s="1"/>
  <c r="H1119" i="5" l="1"/>
  <c r="G1119" i="5"/>
  <c r="F1120" i="5"/>
  <c r="I1118" i="5"/>
  <c r="J1118" i="5"/>
  <c r="K1117" i="5"/>
  <c r="L1117" i="5" s="1"/>
  <c r="N1118" i="5"/>
  <c r="G1120" i="5" l="1"/>
  <c r="H1120" i="5"/>
  <c r="F1121" i="5"/>
  <c r="I1120" i="5" s="1"/>
  <c r="K1118" i="5"/>
  <c r="L1118" i="5" s="1"/>
  <c r="N1119" i="5"/>
  <c r="J1119" i="5"/>
  <c r="I1119" i="5"/>
  <c r="M1117" i="5"/>
  <c r="K1119" i="5" l="1"/>
  <c r="L1119" i="5" s="1"/>
  <c r="M1119" i="5" s="1"/>
  <c r="N1120" i="5"/>
  <c r="G1121" i="5"/>
  <c r="H1121" i="5"/>
  <c r="F1122" i="5"/>
  <c r="J1121" i="5" s="1"/>
  <c r="J1120" i="5"/>
  <c r="M1118" i="5"/>
  <c r="K1121" i="5" l="1"/>
  <c r="L1121" i="5" s="1"/>
  <c r="H1122" i="5"/>
  <c r="G1122" i="5"/>
  <c r="F1123" i="5"/>
  <c r="I1122" i="5" s="1"/>
  <c r="I1121" i="5"/>
  <c r="K1120" i="5"/>
  <c r="L1120" i="5" s="1"/>
  <c r="N1121" i="5"/>
  <c r="N1122" i="5" s="1"/>
  <c r="M1120" i="5"/>
  <c r="J1122" i="5" l="1"/>
  <c r="H1123" i="5"/>
  <c r="G1123" i="5"/>
  <c r="F1124" i="5"/>
  <c r="M1121" i="5"/>
  <c r="F1125" i="5" l="1"/>
  <c r="I1124" i="5" s="1"/>
  <c r="H1124" i="5"/>
  <c r="G1124" i="5"/>
  <c r="J1123" i="5"/>
  <c r="I1123" i="5"/>
  <c r="N1123" i="5"/>
  <c r="K1122" i="5"/>
  <c r="L1122" i="5" s="1"/>
  <c r="J1124" i="5" l="1"/>
  <c r="K1124" i="5" s="1"/>
  <c r="K1123" i="5"/>
  <c r="L1123" i="5" s="1"/>
  <c r="M1123" i="5" s="1"/>
  <c r="N1124" i="5"/>
  <c r="M1122" i="5"/>
  <c r="F1126" i="5"/>
  <c r="I1125" i="5" s="1"/>
  <c r="G1125" i="5"/>
  <c r="H1125" i="5"/>
  <c r="N1125" i="5" l="1"/>
  <c r="J1125" i="5"/>
  <c r="G1126" i="5"/>
  <c r="H1126" i="5"/>
  <c r="F1127" i="5"/>
  <c r="J1126" i="5" s="1"/>
  <c r="L1124" i="5"/>
  <c r="K1126" i="5" l="1"/>
  <c r="I1126" i="5"/>
  <c r="H1127" i="5"/>
  <c r="G1127" i="5"/>
  <c r="F1128" i="5"/>
  <c r="I1127" i="5" s="1"/>
  <c r="M1124" i="5"/>
  <c r="K1125" i="5"/>
  <c r="L1125" i="5" s="1"/>
  <c r="M1125" i="5" s="1"/>
  <c r="N1126" i="5"/>
  <c r="N1127" i="5" s="1"/>
  <c r="J1127" i="5" l="1"/>
  <c r="K1127" i="5"/>
  <c r="N1128" i="5"/>
  <c r="G1128" i="5"/>
  <c r="H1128" i="5"/>
  <c r="F1129" i="5"/>
  <c r="I1128" i="5" s="1"/>
  <c r="L1126" i="5"/>
  <c r="M1126" i="5" s="1"/>
  <c r="G1129" i="5" l="1"/>
  <c r="H1129" i="5"/>
  <c r="F1130" i="5"/>
  <c r="I1129" i="5" s="1"/>
  <c r="J1128" i="5"/>
  <c r="L1127" i="5"/>
  <c r="M1127" i="5" l="1"/>
  <c r="K1128" i="5"/>
  <c r="L1128" i="5" s="1"/>
  <c r="N1129" i="5"/>
  <c r="G1130" i="5"/>
  <c r="H1130" i="5"/>
  <c r="F1131" i="5"/>
  <c r="J1130" i="5" s="1"/>
  <c r="J1129" i="5"/>
  <c r="I1130" i="5" l="1"/>
  <c r="N1130" i="5"/>
  <c r="K1129" i="5"/>
  <c r="L1129" i="5" s="1"/>
  <c r="N1131" i="5"/>
  <c r="K1130" i="5"/>
  <c r="L1130" i="5" s="1"/>
  <c r="G1131" i="5"/>
  <c r="I1131" i="5"/>
  <c r="J1131" i="5"/>
  <c r="H1131" i="5"/>
  <c r="F1132" i="5"/>
  <c r="M1128" i="5"/>
  <c r="F1133" i="5" l="1"/>
  <c r="G1132" i="5"/>
  <c r="I1132" i="5"/>
  <c r="J1132" i="5"/>
  <c r="H1132" i="5"/>
  <c r="N1132" i="5"/>
  <c r="K1131" i="5"/>
  <c r="L1131" i="5" s="1"/>
  <c r="M1130" i="5"/>
  <c r="M1129" i="5"/>
  <c r="K1132" i="5" l="1"/>
  <c r="L1132" i="5" s="1"/>
  <c r="N1133" i="5"/>
  <c r="F1134" i="5"/>
  <c r="I1133" i="5" s="1"/>
  <c r="G1133" i="5"/>
  <c r="H1133" i="5"/>
  <c r="M1131" i="5"/>
  <c r="J1133" i="5" l="1"/>
  <c r="G1134" i="5"/>
  <c r="F1135" i="5"/>
  <c r="H1134" i="5"/>
  <c r="M1132" i="5"/>
  <c r="H1135" i="5" l="1"/>
  <c r="G1135" i="5"/>
  <c r="F1136" i="5"/>
  <c r="I1135" i="5" s="1"/>
  <c r="J1134" i="5"/>
  <c r="I1134" i="5"/>
  <c r="K1133" i="5"/>
  <c r="L1133" i="5" s="1"/>
  <c r="N1134" i="5"/>
  <c r="J1135" i="5" l="1"/>
  <c r="K1134" i="5"/>
  <c r="L1134" i="5" s="1"/>
  <c r="M1134" i="5" s="1"/>
  <c r="N1135" i="5"/>
  <c r="M1133" i="5"/>
  <c r="G1136" i="5"/>
  <c r="H1136" i="5"/>
  <c r="F1137" i="5"/>
  <c r="I1136" i="5" s="1"/>
  <c r="H1137" i="5" l="1"/>
  <c r="G1137" i="5"/>
  <c r="F1138" i="5"/>
  <c r="J1136" i="5"/>
  <c r="K1135" i="5"/>
  <c r="L1135" i="5" s="1"/>
  <c r="N1136" i="5"/>
  <c r="H1138" i="5" l="1"/>
  <c r="G1138" i="5"/>
  <c r="F1139" i="5"/>
  <c r="I1138" i="5" s="1"/>
  <c r="M1135" i="5"/>
  <c r="I1137" i="5"/>
  <c r="K1136" i="5"/>
  <c r="L1136" i="5" s="1"/>
  <c r="N1137" i="5"/>
  <c r="J1137" i="5"/>
  <c r="J1138" i="5" l="1"/>
  <c r="G1139" i="5"/>
  <c r="H1139" i="5"/>
  <c r="F1140" i="5"/>
  <c r="N1138" i="5"/>
  <c r="K1137" i="5"/>
  <c r="L1137" i="5" s="1"/>
  <c r="M1136" i="5"/>
  <c r="F1141" i="5" l="1"/>
  <c r="G1140" i="5"/>
  <c r="H1140" i="5"/>
  <c r="I1140" i="5"/>
  <c r="J1140" i="5"/>
  <c r="I1139" i="5"/>
  <c r="J1139" i="5"/>
  <c r="M1137" i="5"/>
  <c r="N1139" i="5"/>
  <c r="K1138" i="5"/>
  <c r="L1138" i="5" s="1"/>
  <c r="K1139" i="5" l="1"/>
  <c r="L1139" i="5" s="1"/>
  <c r="N1140" i="5"/>
  <c r="N1141" i="5" s="1"/>
  <c r="F1142" i="5"/>
  <c r="J1141" i="5" s="1"/>
  <c r="G1141" i="5"/>
  <c r="H1141" i="5"/>
  <c r="K1140" i="5"/>
  <c r="M1138" i="5"/>
  <c r="K1141" i="5" l="1"/>
  <c r="N1142" i="5"/>
  <c r="I1141" i="5"/>
  <c r="M1140" i="5"/>
  <c r="G1142" i="5"/>
  <c r="H1142" i="5"/>
  <c r="I1142" i="5"/>
  <c r="J1142" i="5"/>
  <c r="F1143" i="5"/>
  <c r="L1140" i="5"/>
  <c r="M1139" i="5"/>
  <c r="K1142" i="5" l="1"/>
  <c r="L1142" i="5" s="1"/>
  <c r="N1143" i="5"/>
  <c r="H1143" i="5"/>
  <c r="G1143" i="5"/>
  <c r="F1144" i="5"/>
  <c r="L1141" i="5"/>
  <c r="M1142" i="5" s="1"/>
  <c r="M1141" i="5" l="1"/>
  <c r="G1144" i="5"/>
  <c r="H1144" i="5"/>
  <c r="F1145" i="5"/>
  <c r="I1143" i="5"/>
  <c r="J1143" i="5"/>
  <c r="G1145" i="5" l="1"/>
  <c r="H1145" i="5"/>
  <c r="F1146" i="5"/>
  <c r="I1144" i="5"/>
  <c r="K1143" i="5"/>
  <c r="L1143" i="5" s="1"/>
  <c r="N1144" i="5"/>
  <c r="J1144" i="5"/>
  <c r="M1143" i="5" l="1"/>
  <c r="G1146" i="5"/>
  <c r="H1146" i="5"/>
  <c r="F1147" i="5"/>
  <c r="I1145" i="5"/>
  <c r="J1145" i="5"/>
  <c r="K1144" i="5"/>
  <c r="L1144" i="5" s="1"/>
  <c r="N1145" i="5"/>
  <c r="H1147" i="5" l="1"/>
  <c r="G1147" i="5"/>
  <c r="F1148" i="5"/>
  <c r="I1146" i="5"/>
  <c r="J1146" i="5"/>
  <c r="N1146" i="5"/>
  <c r="K1145" i="5"/>
  <c r="L1145" i="5" s="1"/>
  <c r="M1145" i="5" s="1"/>
  <c r="M1144" i="5"/>
  <c r="F1149" i="5" l="1"/>
  <c r="G1148" i="5"/>
  <c r="H1148" i="5"/>
  <c r="I1148" i="5"/>
  <c r="J1148" i="5"/>
  <c r="N1147" i="5"/>
  <c r="K1146" i="5"/>
  <c r="L1146" i="5" s="1"/>
  <c r="J1147" i="5"/>
  <c r="I1147" i="5"/>
  <c r="N1148" i="5" l="1"/>
  <c r="K1147" i="5"/>
  <c r="L1147" i="5" s="1"/>
  <c r="K1148" i="5"/>
  <c r="L1148" i="5" s="1"/>
  <c r="N1149" i="5"/>
  <c r="M1146" i="5"/>
  <c r="F1150" i="5"/>
  <c r="G1149" i="5"/>
  <c r="H1149" i="5"/>
  <c r="G1150" i="5" l="1"/>
  <c r="H1150" i="5"/>
  <c r="F1151" i="5"/>
  <c r="J1150" i="5" s="1"/>
  <c r="J1149" i="5"/>
  <c r="M1148" i="5"/>
  <c r="I1149" i="5"/>
  <c r="M1147" i="5"/>
  <c r="K1150" i="5" l="1"/>
  <c r="K1149" i="5"/>
  <c r="L1149" i="5" s="1"/>
  <c r="N1150" i="5"/>
  <c r="N1151" i="5" s="1"/>
  <c r="H1151" i="5"/>
  <c r="G1151" i="5"/>
  <c r="F1152" i="5"/>
  <c r="I1151" i="5" s="1"/>
  <c r="I1150" i="5"/>
  <c r="J1151" i="5" l="1"/>
  <c r="K1151" i="5"/>
  <c r="N1152" i="5"/>
  <c r="M1150" i="5"/>
  <c r="M1149" i="5"/>
  <c r="G1152" i="5"/>
  <c r="H1152" i="5"/>
  <c r="I1152" i="5"/>
  <c r="F1153" i="5"/>
  <c r="J1152" i="5" s="1"/>
  <c r="L1150" i="5"/>
  <c r="K1152" i="5" l="1"/>
  <c r="L1152" i="5" s="1"/>
  <c r="N1153" i="5"/>
  <c r="G1153" i="5"/>
  <c r="H1153" i="5"/>
  <c r="F1154" i="5"/>
  <c r="I1153" i="5" s="1"/>
  <c r="L1151" i="5"/>
  <c r="M1152" i="5" s="1"/>
  <c r="M1151" i="5" l="1"/>
  <c r="J1153" i="5"/>
  <c r="G1154" i="5"/>
  <c r="H1154" i="5"/>
  <c r="F1155" i="5"/>
  <c r="G1155" i="5" l="1"/>
  <c r="H1155" i="5"/>
  <c r="F1156" i="5"/>
  <c r="J1154" i="5"/>
  <c r="I1154" i="5"/>
  <c r="N1154" i="5"/>
  <c r="K1153" i="5"/>
  <c r="L1153" i="5" s="1"/>
  <c r="F1157" i="5" l="1"/>
  <c r="G1156" i="5"/>
  <c r="H1156" i="5"/>
  <c r="I1156" i="5"/>
  <c r="J1156" i="5"/>
  <c r="I1155" i="5"/>
  <c r="J1155" i="5"/>
  <c r="N1155" i="5"/>
  <c r="K1154" i="5"/>
  <c r="L1154" i="5" s="1"/>
  <c r="M1154" i="5" s="1"/>
  <c r="M1153" i="5"/>
  <c r="K1155" i="5" l="1"/>
  <c r="L1155" i="5" s="1"/>
  <c r="N1156" i="5"/>
  <c r="K1156" i="5"/>
  <c r="L1156" i="5" s="1"/>
  <c r="N1157" i="5"/>
  <c r="M1155" i="5"/>
  <c r="F1158" i="5"/>
  <c r="G1157" i="5"/>
  <c r="H1157" i="5"/>
  <c r="G1158" i="5" l="1"/>
  <c r="H1158" i="5"/>
  <c r="F1159" i="5"/>
  <c r="J1157" i="5"/>
  <c r="I1157" i="5"/>
  <c r="M1156" i="5"/>
  <c r="K1157" i="5" l="1"/>
  <c r="L1157" i="5" s="1"/>
  <c r="N1158" i="5"/>
  <c r="H1159" i="5"/>
  <c r="G1159" i="5"/>
  <c r="F1160" i="5"/>
  <c r="I1158" i="5"/>
  <c r="J1158" i="5"/>
  <c r="G1160" i="5" l="1"/>
  <c r="H1160" i="5"/>
  <c r="F1161" i="5"/>
  <c r="I1159" i="5"/>
  <c r="J1159" i="5"/>
  <c r="K1158" i="5"/>
  <c r="L1158" i="5" s="1"/>
  <c r="N1159" i="5"/>
  <c r="M1157" i="5"/>
  <c r="H1161" i="5" l="1"/>
  <c r="G1161" i="5"/>
  <c r="F1162" i="5"/>
  <c r="I1160" i="5"/>
  <c r="K1159" i="5"/>
  <c r="L1159" i="5" s="1"/>
  <c r="M1159" i="5" s="1"/>
  <c r="N1160" i="5"/>
  <c r="J1160" i="5"/>
  <c r="M1158" i="5"/>
  <c r="H1162" i="5" l="1"/>
  <c r="G1162" i="5"/>
  <c r="F1163" i="5"/>
  <c r="I1161" i="5"/>
  <c r="J1161" i="5"/>
  <c r="K1160" i="5"/>
  <c r="L1160" i="5" s="1"/>
  <c r="M1160" i="5" s="1"/>
  <c r="N1161" i="5"/>
  <c r="G1163" i="5" l="1"/>
  <c r="H1163" i="5"/>
  <c r="F1164" i="5"/>
  <c r="N1162" i="5"/>
  <c r="K1161" i="5"/>
  <c r="L1161" i="5" s="1"/>
  <c r="J1162" i="5"/>
  <c r="I1162" i="5"/>
  <c r="N1163" i="5" l="1"/>
  <c r="K1162" i="5"/>
  <c r="L1162" i="5" s="1"/>
  <c r="F1165" i="5"/>
  <c r="G1164" i="5"/>
  <c r="H1164" i="5"/>
  <c r="J1163" i="5"/>
  <c r="M1161" i="5"/>
  <c r="I1163" i="5"/>
  <c r="F1166" i="5" l="1"/>
  <c r="I1165" i="5" s="1"/>
  <c r="G1165" i="5"/>
  <c r="H1165" i="5"/>
  <c r="J1164" i="5"/>
  <c r="I1164" i="5"/>
  <c r="N1164" i="5"/>
  <c r="K1163" i="5"/>
  <c r="L1163" i="5" s="1"/>
  <c r="M1163" i="5" s="1"/>
  <c r="M1162" i="5"/>
  <c r="J1165" i="5" l="1"/>
  <c r="K1165" i="5"/>
  <c r="K1164" i="5"/>
  <c r="L1164" i="5" s="1"/>
  <c r="N1165" i="5"/>
  <c r="N1166" i="5" s="1"/>
  <c r="M1164" i="5"/>
  <c r="G1166" i="5"/>
  <c r="H1166" i="5"/>
  <c r="I1166" i="5"/>
  <c r="F1167" i="5"/>
  <c r="G1167" i="5" l="1"/>
  <c r="H1167" i="5"/>
  <c r="F1168" i="5"/>
  <c r="J1167" i="5" s="1"/>
  <c r="J1166" i="5"/>
  <c r="L1165" i="5"/>
  <c r="K1167" i="5" l="1"/>
  <c r="K1166" i="5"/>
  <c r="L1166" i="5" s="1"/>
  <c r="M1166" i="5" s="1"/>
  <c r="N1167" i="5"/>
  <c r="N1168" i="5" s="1"/>
  <c r="G1168" i="5"/>
  <c r="H1168" i="5"/>
  <c r="F1169" i="5"/>
  <c r="I1168" i="5" s="1"/>
  <c r="I1167" i="5"/>
  <c r="M1165" i="5"/>
  <c r="G1169" i="5" l="1"/>
  <c r="H1169" i="5"/>
  <c r="F1170" i="5"/>
  <c r="J1169" i="5" s="1"/>
  <c r="J1168" i="5"/>
  <c r="L1167" i="5"/>
  <c r="K1169" i="5" l="1"/>
  <c r="N1169" i="5"/>
  <c r="N1170" i="5" s="1"/>
  <c r="K1168" i="5"/>
  <c r="L1168" i="5" s="1"/>
  <c r="M1168" i="5" s="1"/>
  <c r="H1170" i="5"/>
  <c r="G1170" i="5"/>
  <c r="F1171" i="5"/>
  <c r="I1170" i="5" s="1"/>
  <c r="I1169" i="5"/>
  <c r="M1167" i="5"/>
  <c r="L1169" i="5" l="1"/>
  <c r="G1171" i="5"/>
  <c r="H1171" i="5"/>
  <c r="F1172" i="5"/>
  <c r="I1171" i="5" s="1"/>
  <c r="J1170" i="5"/>
  <c r="N1171" i="5" l="1"/>
  <c r="K1170" i="5"/>
  <c r="L1170" i="5" s="1"/>
  <c r="J1171" i="5"/>
  <c r="F1173" i="5"/>
  <c r="I1172" i="5" s="1"/>
  <c r="G1172" i="5"/>
  <c r="H1172" i="5"/>
  <c r="J1172" i="5"/>
  <c r="M1169" i="5"/>
  <c r="K1172" i="5" l="1"/>
  <c r="L1172" i="5" s="1"/>
  <c r="F1174" i="5"/>
  <c r="G1173" i="5"/>
  <c r="H1173" i="5"/>
  <c r="I1173" i="5"/>
  <c r="J1173" i="5"/>
  <c r="K1171" i="5"/>
  <c r="L1171" i="5" s="1"/>
  <c r="N1172" i="5"/>
  <c r="N1173" i="5" s="1"/>
  <c r="M1170" i="5"/>
  <c r="G1174" i="5" l="1"/>
  <c r="H1174" i="5"/>
  <c r="F1175" i="5"/>
  <c r="K1173" i="5"/>
  <c r="L1173" i="5" s="1"/>
  <c r="N1174" i="5"/>
  <c r="M1172" i="5"/>
  <c r="M1171" i="5"/>
  <c r="M1173" i="5" l="1"/>
  <c r="H1175" i="5"/>
  <c r="G1175" i="5"/>
  <c r="F1176" i="5"/>
  <c r="J1174" i="5"/>
  <c r="I1174" i="5"/>
  <c r="G1176" i="5" l="1"/>
  <c r="H1176" i="5"/>
  <c r="F1177" i="5"/>
  <c r="K1174" i="5"/>
  <c r="L1174" i="5" s="1"/>
  <c r="N1175" i="5"/>
  <c r="J1175" i="5"/>
  <c r="I1175" i="5"/>
  <c r="M1174" i="5" l="1"/>
  <c r="K1175" i="5"/>
  <c r="L1175" i="5" s="1"/>
  <c r="N1176" i="5"/>
  <c r="H1177" i="5"/>
  <c r="G1177" i="5"/>
  <c r="F1178" i="5"/>
  <c r="I1177" i="5" s="1"/>
  <c r="J1176" i="5"/>
  <c r="I1176" i="5"/>
  <c r="J1177" i="5" l="1"/>
  <c r="K1177" i="5"/>
  <c r="K1176" i="5"/>
  <c r="L1176" i="5" s="1"/>
  <c r="N1177" i="5"/>
  <c r="N1178" i="5" s="1"/>
  <c r="H1178" i="5"/>
  <c r="G1178" i="5"/>
  <c r="F1179" i="5"/>
  <c r="I1178" i="5" s="1"/>
  <c r="M1175" i="5"/>
  <c r="L1177" i="5" l="1"/>
  <c r="M1177" i="5"/>
  <c r="G1179" i="5"/>
  <c r="H1179" i="5"/>
  <c r="F1180" i="5"/>
  <c r="J1178" i="5"/>
  <c r="M1176" i="5"/>
  <c r="N1179" i="5" l="1"/>
  <c r="K1178" i="5"/>
  <c r="L1178" i="5" s="1"/>
  <c r="M1178" i="5" s="1"/>
  <c r="F1181" i="5"/>
  <c r="G1180" i="5"/>
  <c r="H1180" i="5"/>
  <c r="J1179" i="5"/>
  <c r="I1179" i="5"/>
  <c r="J1180" i="5" l="1"/>
  <c r="N1181" i="5" s="1"/>
  <c r="K1180" i="5"/>
  <c r="L1180" i="5" s="1"/>
  <c r="N1180" i="5"/>
  <c r="K1179" i="5"/>
  <c r="L1179" i="5" s="1"/>
  <c r="F1182" i="5"/>
  <c r="G1181" i="5"/>
  <c r="H1181" i="5"/>
  <c r="I1181" i="5"/>
  <c r="I1180" i="5"/>
  <c r="M1180" i="5" l="1"/>
  <c r="M1179" i="5"/>
  <c r="G1182" i="5"/>
  <c r="H1182" i="5"/>
  <c r="F1183" i="5"/>
  <c r="J1182" i="5" s="1"/>
  <c r="J1181" i="5"/>
  <c r="K1182" i="5" l="1"/>
  <c r="H1183" i="5"/>
  <c r="G1183" i="5"/>
  <c r="F1184" i="5"/>
  <c r="I1182" i="5"/>
  <c r="K1181" i="5"/>
  <c r="L1181" i="5" s="1"/>
  <c r="N1182" i="5"/>
  <c r="N1183" i="5" s="1"/>
  <c r="G1184" i="5" l="1"/>
  <c r="H1184" i="5"/>
  <c r="F1185" i="5"/>
  <c r="J1183" i="5"/>
  <c r="I1183" i="5"/>
  <c r="M1181" i="5"/>
  <c r="L1182" i="5"/>
  <c r="M1182" i="5" s="1"/>
  <c r="G1185" i="5" l="1"/>
  <c r="H1185" i="5"/>
  <c r="F1186" i="5"/>
  <c r="J1184" i="5"/>
  <c r="K1183" i="5"/>
  <c r="L1183" i="5" s="1"/>
  <c r="N1184" i="5"/>
  <c r="I1184" i="5"/>
  <c r="H1186" i="5" l="1"/>
  <c r="G1186" i="5"/>
  <c r="F1187" i="5"/>
  <c r="J1186" i="5" s="1"/>
  <c r="I1185" i="5"/>
  <c r="M1183" i="5"/>
  <c r="K1184" i="5"/>
  <c r="L1184" i="5" s="1"/>
  <c r="N1185" i="5"/>
  <c r="J1185" i="5"/>
  <c r="K1186" i="5" l="1"/>
  <c r="N1186" i="5"/>
  <c r="N1187" i="5" s="1"/>
  <c r="K1185" i="5"/>
  <c r="L1185" i="5" s="1"/>
  <c r="G1187" i="5"/>
  <c r="H1187" i="5"/>
  <c r="F1188" i="5"/>
  <c r="I1187" i="5" s="1"/>
  <c r="I1186" i="5"/>
  <c r="M1184" i="5"/>
  <c r="J1187" i="5" l="1"/>
  <c r="K1187" i="5" s="1"/>
  <c r="L1186" i="5"/>
  <c r="M1185" i="5"/>
  <c r="F1189" i="5"/>
  <c r="H1188" i="5"/>
  <c r="G1188" i="5"/>
  <c r="N1188" i="5" l="1"/>
  <c r="F1190" i="5"/>
  <c r="I1189" i="5" s="1"/>
  <c r="G1189" i="5"/>
  <c r="H1189" i="5"/>
  <c r="J1188" i="5"/>
  <c r="L1187" i="5"/>
  <c r="M1187" i="5" s="1"/>
  <c r="I1188" i="5"/>
  <c r="M1186" i="5"/>
  <c r="J1189" i="5" l="1"/>
  <c r="K1189" i="5" s="1"/>
  <c r="L1189" i="5" s="1"/>
  <c r="K1188" i="5"/>
  <c r="L1188" i="5" s="1"/>
  <c r="N1189" i="5"/>
  <c r="G1190" i="5"/>
  <c r="H1190" i="5"/>
  <c r="F1191" i="5"/>
  <c r="I1190" i="5" s="1"/>
  <c r="M1189" i="5" l="1"/>
  <c r="N1190" i="5"/>
  <c r="M1188" i="5"/>
  <c r="H1191" i="5"/>
  <c r="G1191" i="5"/>
  <c r="F1192" i="5"/>
  <c r="J1190" i="5"/>
  <c r="G1192" i="5" l="1"/>
  <c r="H1192" i="5"/>
  <c r="F1193" i="5"/>
  <c r="K1190" i="5"/>
  <c r="L1190" i="5" s="1"/>
  <c r="N1191" i="5"/>
  <c r="J1191" i="5"/>
  <c r="I1191" i="5"/>
  <c r="M1190" i="5" l="1"/>
  <c r="K1191" i="5"/>
  <c r="L1191" i="5" s="1"/>
  <c r="N1192" i="5"/>
  <c r="G1193" i="5"/>
  <c r="H1193" i="5"/>
  <c r="F1194" i="5"/>
  <c r="I1193" i="5" s="1"/>
  <c r="J1192" i="5"/>
  <c r="I1192" i="5"/>
  <c r="J1193" i="5" l="1"/>
  <c r="N1194" i="5" s="1"/>
  <c r="K1192" i="5"/>
  <c r="L1192" i="5" s="1"/>
  <c r="N1193" i="5"/>
  <c r="G1194" i="5"/>
  <c r="H1194" i="5"/>
  <c r="F1195" i="5"/>
  <c r="I1194" i="5" s="1"/>
  <c r="M1191" i="5"/>
  <c r="K1193" i="5" l="1"/>
  <c r="L1193" i="5" s="1"/>
  <c r="M1193" i="5" s="1"/>
  <c r="M1192" i="5"/>
  <c r="H1195" i="5"/>
  <c r="G1195" i="5"/>
  <c r="F1196" i="5"/>
  <c r="J1194" i="5"/>
  <c r="F1197" i="5" l="1"/>
  <c r="G1196" i="5"/>
  <c r="H1196" i="5"/>
  <c r="J1196" i="5"/>
  <c r="I1196" i="5"/>
  <c r="I1195" i="5"/>
  <c r="N1195" i="5"/>
  <c r="K1194" i="5"/>
  <c r="L1194" i="5" s="1"/>
  <c r="J1195" i="5"/>
  <c r="M1194" i="5" l="1"/>
  <c r="K1196" i="5"/>
  <c r="N1196" i="5"/>
  <c r="N1197" i="5" s="1"/>
  <c r="K1195" i="5"/>
  <c r="L1195" i="5" s="1"/>
  <c r="F1198" i="5"/>
  <c r="G1197" i="5"/>
  <c r="H1197" i="5"/>
  <c r="G1198" i="5" l="1"/>
  <c r="H1198" i="5"/>
  <c r="F1199" i="5"/>
  <c r="I1197" i="5"/>
  <c r="L1196" i="5"/>
  <c r="M1196" i="5"/>
  <c r="J1197" i="5"/>
  <c r="M1195" i="5"/>
  <c r="H1199" i="5" l="1"/>
  <c r="G1199" i="5"/>
  <c r="F1200" i="5"/>
  <c r="J1199" i="5" s="1"/>
  <c r="I1198" i="5"/>
  <c r="J1198" i="5"/>
  <c r="K1197" i="5"/>
  <c r="L1197" i="5" s="1"/>
  <c r="N1198" i="5"/>
  <c r="K1199" i="5" l="1"/>
  <c r="G1200" i="5"/>
  <c r="H1200" i="5"/>
  <c r="F1201" i="5"/>
  <c r="I1200" i="5" s="1"/>
  <c r="I1199" i="5"/>
  <c r="K1198" i="5"/>
  <c r="L1198" i="5" s="1"/>
  <c r="N1199" i="5"/>
  <c r="N1200" i="5" s="1"/>
  <c r="M1198" i="5"/>
  <c r="M1197" i="5"/>
  <c r="H1201" i="5" l="1"/>
  <c r="G1201" i="5"/>
  <c r="F1202" i="5"/>
  <c r="J1200" i="5"/>
  <c r="L1199" i="5"/>
  <c r="H1202" i="5" l="1"/>
  <c r="G1202" i="5"/>
  <c r="F1203" i="5"/>
  <c r="J1201" i="5"/>
  <c r="I1201" i="5"/>
  <c r="M1199" i="5"/>
  <c r="K1200" i="5"/>
  <c r="L1200" i="5" s="1"/>
  <c r="N1201" i="5"/>
  <c r="H1203" i="5" l="1"/>
  <c r="G1203" i="5"/>
  <c r="F1204" i="5"/>
  <c r="I1203" i="5" s="1"/>
  <c r="J1202" i="5"/>
  <c r="I1202" i="5"/>
  <c r="M1200" i="5"/>
  <c r="N1202" i="5"/>
  <c r="K1201" i="5"/>
  <c r="L1201" i="5" s="1"/>
  <c r="N1203" i="5" l="1"/>
  <c r="K1202" i="5"/>
  <c r="L1202" i="5" s="1"/>
  <c r="F1205" i="5"/>
  <c r="G1204" i="5"/>
  <c r="I1204" i="5"/>
  <c r="H1204" i="5"/>
  <c r="J1204" i="5"/>
  <c r="J1203" i="5"/>
  <c r="M1201" i="5"/>
  <c r="F1206" i="5" l="1"/>
  <c r="G1205" i="5"/>
  <c r="H1205" i="5"/>
  <c r="I1205" i="5"/>
  <c r="J1205" i="5"/>
  <c r="K1203" i="5"/>
  <c r="L1203" i="5" s="1"/>
  <c r="N1204" i="5"/>
  <c r="N1205" i="5" s="1"/>
  <c r="K1204" i="5"/>
  <c r="M1202" i="5"/>
  <c r="M1203" i="5" l="1"/>
  <c r="K1205" i="5"/>
  <c r="N1206" i="5"/>
  <c r="L1204" i="5"/>
  <c r="G1206" i="5"/>
  <c r="H1206" i="5"/>
  <c r="F1207" i="5"/>
  <c r="H1207" i="5" l="1"/>
  <c r="G1207" i="5"/>
  <c r="F1208" i="5"/>
  <c r="J1207" i="5" s="1"/>
  <c r="I1206" i="5"/>
  <c r="L1205" i="5"/>
  <c r="J1206" i="5"/>
  <c r="M1204" i="5"/>
  <c r="K1207" i="5" l="1"/>
  <c r="L1207" i="5" s="1"/>
  <c r="N1208" i="5"/>
  <c r="G1208" i="5"/>
  <c r="H1208" i="5"/>
  <c r="F1209" i="5"/>
  <c r="I1208" i="5" s="1"/>
  <c r="I1207" i="5"/>
  <c r="K1206" i="5"/>
  <c r="L1206" i="5" s="1"/>
  <c r="M1207" i="5" s="1"/>
  <c r="N1207" i="5"/>
  <c r="M1205" i="5"/>
  <c r="M1206" i="5" l="1"/>
  <c r="J1208" i="5"/>
  <c r="H1209" i="5"/>
  <c r="G1209" i="5"/>
  <c r="F1210" i="5"/>
  <c r="G1210" i="5" l="1"/>
  <c r="H1210" i="5"/>
  <c r="F1211" i="5"/>
  <c r="J1209" i="5"/>
  <c r="I1209" i="5"/>
  <c r="K1208" i="5"/>
  <c r="L1208" i="5" s="1"/>
  <c r="N1209" i="5"/>
  <c r="G1211" i="5" l="1"/>
  <c r="H1211" i="5"/>
  <c r="F1212" i="5"/>
  <c r="J1210" i="5"/>
  <c r="M1209" i="5"/>
  <c r="M1208" i="5"/>
  <c r="I1210" i="5"/>
  <c r="N1210" i="5"/>
  <c r="K1209" i="5"/>
  <c r="L1209" i="5" s="1"/>
  <c r="N1211" i="5" l="1"/>
  <c r="K1210" i="5"/>
  <c r="L1210" i="5" s="1"/>
  <c r="M1210" i="5"/>
  <c r="F1213" i="5"/>
  <c r="G1212" i="5"/>
  <c r="H1212" i="5"/>
  <c r="I1212" i="5"/>
  <c r="J1212" i="5"/>
  <c r="J1211" i="5"/>
  <c r="I1211" i="5"/>
  <c r="F1214" i="5" l="1"/>
  <c r="G1213" i="5"/>
  <c r="H1213" i="5"/>
  <c r="I1213" i="5"/>
  <c r="J1213" i="5"/>
  <c r="K1212" i="5"/>
  <c r="L1212" i="5" s="1"/>
  <c r="N1213" i="5"/>
  <c r="M1211" i="5"/>
  <c r="N1212" i="5"/>
  <c r="K1211" i="5"/>
  <c r="L1211" i="5" s="1"/>
  <c r="K1213" i="5" l="1"/>
  <c r="L1213" i="5" s="1"/>
  <c r="N1214" i="5"/>
  <c r="M1212" i="5"/>
  <c r="G1214" i="5"/>
  <c r="H1214" i="5"/>
  <c r="F1215" i="5"/>
  <c r="J1214" i="5" s="1"/>
  <c r="I1214" i="5" l="1"/>
  <c r="K1214" i="5"/>
  <c r="L1214" i="5" s="1"/>
  <c r="N1215" i="5"/>
  <c r="H1215" i="5"/>
  <c r="G1215" i="5"/>
  <c r="F1216" i="5"/>
  <c r="M1213" i="5"/>
  <c r="G1216" i="5" l="1"/>
  <c r="H1216" i="5"/>
  <c r="F1217" i="5"/>
  <c r="J1215" i="5"/>
  <c r="I1215" i="5"/>
  <c r="M1214" i="5"/>
  <c r="K1215" i="5" l="1"/>
  <c r="L1215" i="5" s="1"/>
  <c r="N1216" i="5"/>
  <c r="G1217" i="5"/>
  <c r="H1217" i="5"/>
  <c r="F1218" i="5"/>
  <c r="J1216" i="5"/>
  <c r="I1216" i="5"/>
  <c r="G1218" i="5" l="1"/>
  <c r="H1218" i="5"/>
  <c r="F1219" i="5"/>
  <c r="N1217" i="5"/>
  <c r="K1216" i="5"/>
  <c r="L1216" i="5" s="1"/>
  <c r="J1217" i="5"/>
  <c r="I1217" i="5"/>
  <c r="M1215" i="5"/>
  <c r="N1218" i="5" l="1"/>
  <c r="K1217" i="5"/>
  <c r="L1217" i="5" s="1"/>
  <c r="G1219" i="5"/>
  <c r="H1219" i="5"/>
  <c r="F1220" i="5"/>
  <c r="J1218" i="5"/>
  <c r="I1218" i="5"/>
  <c r="M1216" i="5"/>
  <c r="F1221" i="5" l="1"/>
  <c r="I1220" i="5" s="1"/>
  <c r="G1220" i="5"/>
  <c r="H1220" i="5"/>
  <c r="J1220" i="5"/>
  <c r="I1219" i="5"/>
  <c r="J1219" i="5"/>
  <c r="M1218" i="5"/>
  <c r="N1219" i="5"/>
  <c r="K1218" i="5"/>
  <c r="L1218" i="5" s="1"/>
  <c r="M1217" i="5"/>
  <c r="K1219" i="5" l="1"/>
  <c r="L1219" i="5" s="1"/>
  <c r="N1220" i="5"/>
  <c r="K1220" i="5"/>
  <c r="L1220" i="5" s="1"/>
  <c r="N1221" i="5"/>
  <c r="M1219" i="5"/>
  <c r="F1222" i="5"/>
  <c r="G1221" i="5"/>
  <c r="I1221" i="5"/>
  <c r="H1221" i="5"/>
  <c r="G1222" i="5" l="1"/>
  <c r="H1222" i="5"/>
  <c r="F1223" i="5"/>
  <c r="J1221" i="5"/>
  <c r="M1220" i="5"/>
  <c r="K1221" i="5" l="1"/>
  <c r="L1221" i="5" s="1"/>
  <c r="N1222" i="5"/>
  <c r="H1223" i="5"/>
  <c r="G1223" i="5"/>
  <c r="F1224" i="5"/>
  <c r="I1223" i="5" s="1"/>
  <c r="J1222" i="5"/>
  <c r="I1222" i="5"/>
  <c r="J1223" i="5" l="1"/>
  <c r="K1222" i="5"/>
  <c r="L1222" i="5" s="1"/>
  <c r="N1223" i="5"/>
  <c r="G1224" i="5"/>
  <c r="H1224" i="5"/>
  <c r="F1225" i="5"/>
  <c r="M1221" i="5"/>
  <c r="G1225" i="5" l="1"/>
  <c r="H1225" i="5"/>
  <c r="F1226" i="5"/>
  <c r="I1224" i="5"/>
  <c r="J1224" i="5"/>
  <c r="M1222" i="5"/>
  <c r="K1223" i="5"/>
  <c r="L1223" i="5" s="1"/>
  <c r="M1223" i="5" s="1"/>
  <c r="N1224" i="5"/>
  <c r="H1226" i="5" l="1"/>
  <c r="G1226" i="5"/>
  <c r="F1227" i="5"/>
  <c r="J1225" i="5"/>
  <c r="K1224" i="5"/>
  <c r="L1224" i="5" s="1"/>
  <c r="N1225" i="5"/>
  <c r="I1225" i="5"/>
  <c r="H1227" i="5" l="1"/>
  <c r="G1227" i="5"/>
  <c r="F1228" i="5"/>
  <c r="I1227" i="5" s="1"/>
  <c r="I1226" i="5"/>
  <c r="N1226" i="5"/>
  <c r="K1225" i="5"/>
  <c r="L1225" i="5" s="1"/>
  <c r="M1225" i="5" s="1"/>
  <c r="M1224" i="5"/>
  <c r="J1226" i="5"/>
  <c r="F1229" i="5" l="1"/>
  <c r="I1228" i="5" s="1"/>
  <c r="H1228" i="5"/>
  <c r="G1228" i="5"/>
  <c r="J1227" i="5"/>
  <c r="N1227" i="5"/>
  <c r="K1226" i="5"/>
  <c r="L1226" i="5" s="1"/>
  <c r="J1228" i="5" l="1"/>
  <c r="N1229" i="5" s="1"/>
  <c r="K1228" i="5"/>
  <c r="N1228" i="5"/>
  <c r="K1227" i="5"/>
  <c r="L1227" i="5" s="1"/>
  <c r="M1226" i="5"/>
  <c r="F1230" i="5"/>
  <c r="G1229" i="5"/>
  <c r="H1229" i="5"/>
  <c r="G1230" i="5" l="1"/>
  <c r="H1230" i="5"/>
  <c r="F1231" i="5"/>
  <c r="J1230" i="5" s="1"/>
  <c r="J1229" i="5"/>
  <c r="L1228" i="5"/>
  <c r="I1229" i="5"/>
  <c r="M1227" i="5"/>
  <c r="K1230" i="5" l="1"/>
  <c r="M1229" i="5"/>
  <c r="G1231" i="5"/>
  <c r="H1231" i="5"/>
  <c r="F1232" i="5"/>
  <c r="J1231" i="5" s="1"/>
  <c r="K1229" i="5"/>
  <c r="L1229" i="5" s="1"/>
  <c r="N1230" i="5"/>
  <c r="N1231" i="5" s="1"/>
  <c r="I1230" i="5"/>
  <c r="M1228" i="5"/>
  <c r="K1231" i="5" l="1"/>
  <c r="L1231" i="5" s="1"/>
  <c r="N1232" i="5"/>
  <c r="G1232" i="5"/>
  <c r="H1232" i="5"/>
  <c r="F1233" i="5"/>
  <c r="I1232" i="5" s="1"/>
  <c r="I1231" i="5"/>
  <c r="L1230" i="5"/>
  <c r="M1231" i="5" l="1"/>
  <c r="J1232" i="5"/>
  <c r="G1233" i="5"/>
  <c r="H1233" i="5"/>
  <c r="F1234" i="5"/>
  <c r="J1233" i="5" s="1"/>
  <c r="M1230" i="5"/>
  <c r="K1233" i="5" l="1"/>
  <c r="L1233" i="5" s="1"/>
  <c r="H1234" i="5"/>
  <c r="G1234" i="5"/>
  <c r="F1235" i="5"/>
  <c r="I1234" i="5" s="1"/>
  <c r="I1233" i="5"/>
  <c r="K1232" i="5"/>
  <c r="L1232" i="5" s="1"/>
  <c r="N1233" i="5"/>
  <c r="N1234" i="5" s="1"/>
  <c r="G1235" i="5" l="1"/>
  <c r="H1235" i="5"/>
  <c r="F1236" i="5"/>
  <c r="J1234" i="5"/>
  <c r="M1233" i="5"/>
  <c r="M1232" i="5"/>
  <c r="N1235" i="5" l="1"/>
  <c r="K1234" i="5"/>
  <c r="L1234" i="5" s="1"/>
  <c r="F1237" i="5"/>
  <c r="G1236" i="5"/>
  <c r="H1236" i="5"/>
  <c r="J1236" i="5" s="1"/>
  <c r="I1236" i="5"/>
  <c r="J1235" i="5"/>
  <c r="I1235" i="5"/>
  <c r="K1236" i="5" l="1"/>
  <c r="L1236" i="5" s="1"/>
  <c r="N1237" i="5"/>
  <c r="K1235" i="5"/>
  <c r="L1235" i="5" s="1"/>
  <c r="N1236" i="5"/>
  <c r="M1234" i="5"/>
  <c r="F1238" i="5"/>
  <c r="G1237" i="5"/>
  <c r="H1237" i="5"/>
  <c r="M1236" i="5" l="1"/>
  <c r="G1238" i="5"/>
  <c r="H1238" i="5"/>
  <c r="F1239" i="5"/>
  <c r="I1238" i="5" s="1"/>
  <c r="M1235" i="5"/>
  <c r="J1237" i="5"/>
  <c r="I1237" i="5"/>
  <c r="J1238" i="5" l="1"/>
  <c r="N1239" i="5" s="1"/>
  <c r="K1237" i="5"/>
  <c r="L1237" i="5" s="1"/>
  <c r="N1238" i="5"/>
  <c r="H1239" i="5"/>
  <c r="I1239" i="5"/>
  <c r="G1239" i="5"/>
  <c r="J1239" i="5"/>
  <c r="F1240" i="5"/>
  <c r="K1238" i="5" l="1"/>
  <c r="L1238" i="5" s="1"/>
  <c r="K1239" i="5"/>
  <c r="L1239" i="5" s="1"/>
  <c r="N1240" i="5"/>
  <c r="M1239" i="5"/>
  <c r="G1240" i="5"/>
  <c r="H1240" i="5"/>
  <c r="F1241" i="5"/>
  <c r="M1238" i="5"/>
  <c r="M1237" i="5"/>
  <c r="H1241" i="5" l="1"/>
  <c r="G1241" i="5"/>
  <c r="F1242" i="5"/>
  <c r="I1240" i="5"/>
  <c r="J1240" i="5"/>
  <c r="H1242" i="5" l="1"/>
  <c r="G1242" i="5"/>
  <c r="F1243" i="5"/>
  <c r="I1241" i="5"/>
  <c r="K1240" i="5"/>
  <c r="L1240" i="5" s="1"/>
  <c r="N1241" i="5"/>
  <c r="J1241" i="5"/>
  <c r="G1243" i="5" l="1"/>
  <c r="H1243" i="5"/>
  <c r="F1244" i="5"/>
  <c r="M1240" i="5"/>
  <c r="J1242" i="5"/>
  <c r="I1242" i="5"/>
  <c r="N1242" i="5"/>
  <c r="K1241" i="5"/>
  <c r="L1241" i="5" s="1"/>
  <c r="F1245" i="5" l="1"/>
  <c r="G1244" i="5"/>
  <c r="H1244" i="5"/>
  <c r="J1244" i="5"/>
  <c r="I1244" i="5"/>
  <c r="N1243" i="5"/>
  <c r="K1242" i="5"/>
  <c r="L1242" i="5" s="1"/>
  <c r="M1241" i="5"/>
  <c r="J1243" i="5"/>
  <c r="I1243" i="5"/>
  <c r="K1244" i="5" l="1"/>
  <c r="N1244" i="5"/>
  <c r="N1245" i="5" s="1"/>
  <c r="K1243" i="5"/>
  <c r="L1243" i="5" s="1"/>
  <c r="M1242" i="5"/>
  <c r="F1246" i="5"/>
  <c r="G1245" i="5"/>
  <c r="H1245" i="5"/>
  <c r="G1246" i="5" l="1"/>
  <c r="H1246" i="5"/>
  <c r="F1247" i="5"/>
  <c r="I1245" i="5"/>
  <c r="L1244" i="5"/>
  <c r="J1245" i="5"/>
  <c r="M1243" i="5"/>
  <c r="H1247" i="5" l="1"/>
  <c r="G1247" i="5"/>
  <c r="F1248" i="5"/>
  <c r="J1246" i="5"/>
  <c r="I1246" i="5"/>
  <c r="K1245" i="5"/>
  <c r="L1245" i="5" s="1"/>
  <c r="N1246" i="5"/>
  <c r="M1244" i="5"/>
  <c r="G1248" i="5" l="1"/>
  <c r="H1248" i="5"/>
  <c r="F1249" i="5"/>
  <c r="J1247" i="5"/>
  <c r="K1246" i="5"/>
  <c r="L1246" i="5" s="1"/>
  <c r="N1247" i="5"/>
  <c r="I1247" i="5"/>
  <c r="M1245" i="5"/>
  <c r="G1249" i="5" l="1"/>
  <c r="H1249" i="5"/>
  <c r="F1250" i="5"/>
  <c r="K1247" i="5"/>
  <c r="L1247" i="5" s="1"/>
  <c r="M1247" i="5" s="1"/>
  <c r="N1248" i="5"/>
  <c r="J1248" i="5"/>
  <c r="I1248" i="5"/>
  <c r="M1246" i="5"/>
  <c r="H1250" i="5" l="1"/>
  <c r="G1250" i="5"/>
  <c r="F1251" i="5"/>
  <c r="J1249" i="5"/>
  <c r="I1249" i="5"/>
  <c r="K1248" i="5"/>
  <c r="L1248" i="5" s="1"/>
  <c r="M1248" i="5" s="1"/>
  <c r="N1249" i="5"/>
  <c r="G1251" i="5" l="1"/>
  <c r="H1251" i="5"/>
  <c r="F1252" i="5"/>
  <c r="J1250" i="5"/>
  <c r="N1250" i="5"/>
  <c r="K1249" i="5"/>
  <c r="L1249" i="5" s="1"/>
  <c r="I1250" i="5"/>
  <c r="F1253" i="5" l="1"/>
  <c r="G1252" i="5"/>
  <c r="H1252" i="5"/>
  <c r="I1252" i="5"/>
  <c r="J1252" i="5"/>
  <c r="M1250" i="5"/>
  <c r="J1251" i="5"/>
  <c r="N1251" i="5"/>
  <c r="K1250" i="5"/>
  <c r="L1250" i="5" s="1"/>
  <c r="M1249" i="5"/>
  <c r="I1251" i="5"/>
  <c r="K1252" i="5" l="1"/>
  <c r="K1251" i="5"/>
  <c r="L1251" i="5" s="1"/>
  <c r="M1251" i="5" s="1"/>
  <c r="N1252" i="5"/>
  <c r="N1253" i="5" s="1"/>
  <c r="F1254" i="5"/>
  <c r="G1253" i="5"/>
  <c r="H1253" i="5"/>
  <c r="G1254" i="5" l="1"/>
  <c r="H1254" i="5"/>
  <c r="F1255" i="5"/>
  <c r="J1253" i="5"/>
  <c r="I1253" i="5"/>
  <c r="L1252" i="5"/>
  <c r="K1253" i="5" l="1"/>
  <c r="L1253" i="5" s="1"/>
  <c r="M1253" i="5" s="1"/>
  <c r="N1254" i="5"/>
  <c r="H1255" i="5"/>
  <c r="G1255" i="5"/>
  <c r="F1256" i="5"/>
  <c r="I1255" i="5" s="1"/>
  <c r="J1254" i="5"/>
  <c r="I1254" i="5"/>
  <c r="M1252" i="5"/>
  <c r="K1254" i="5" l="1"/>
  <c r="L1254" i="5" s="1"/>
  <c r="N1255" i="5"/>
  <c r="G1256" i="5"/>
  <c r="H1256" i="5"/>
  <c r="F1257" i="5"/>
  <c r="I1256" i="5" s="1"/>
  <c r="J1255" i="5"/>
  <c r="M1254" i="5"/>
  <c r="J1256" i="5" l="1"/>
  <c r="G1257" i="5"/>
  <c r="H1257" i="5"/>
  <c r="F1258" i="5"/>
  <c r="K1255" i="5"/>
  <c r="L1255" i="5" s="1"/>
  <c r="N1256" i="5"/>
  <c r="G1258" i="5" l="1"/>
  <c r="H1258" i="5"/>
  <c r="F1259" i="5"/>
  <c r="J1257" i="5"/>
  <c r="I1257" i="5"/>
  <c r="M1255" i="5"/>
  <c r="K1256" i="5"/>
  <c r="L1256" i="5" s="1"/>
  <c r="M1256" i="5" s="1"/>
  <c r="N1257" i="5"/>
  <c r="G1259" i="5" l="1"/>
  <c r="H1259" i="5"/>
  <c r="F1260" i="5"/>
  <c r="J1258" i="5"/>
  <c r="I1258" i="5"/>
  <c r="N1258" i="5"/>
  <c r="K1257" i="5"/>
  <c r="L1257" i="5" s="1"/>
  <c r="M1257" i="5" s="1"/>
  <c r="F1261" i="5" l="1"/>
  <c r="G1260" i="5"/>
  <c r="H1260" i="5"/>
  <c r="I1260" i="5"/>
  <c r="J1260" i="5"/>
  <c r="N1259" i="5"/>
  <c r="K1258" i="5"/>
  <c r="L1258" i="5" s="1"/>
  <c r="J1259" i="5"/>
  <c r="I1259" i="5"/>
  <c r="K1260" i="5" l="1"/>
  <c r="N1260" i="5"/>
  <c r="N1261" i="5" s="1"/>
  <c r="K1259" i="5"/>
  <c r="L1259" i="5" s="1"/>
  <c r="M1259" i="5" s="1"/>
  <c r="M1258" i="5"/>
  <c r="F1262" i="5"/>
  <c r="I1261" i="5" s="1"/>
  <c r="G1261" i="5"/>
  <c r="H1261" i="5"/>
  <c r="J1261" i="5" l="1"/>
  <c r="G1262" i="5"/>
  <c r="H1262" i="5"/>
  <c r="F1263" i="5"/>
  <c r="I1262" i="5" s="1"/>
  <c r="L1260" i="5"/>
  <c r="J1262" i="5" l="1"/>
  <c r="H1263" i="5"/>
  <c r="G1263" i="5"/>
  <c r="F1264" i="5"/>
  <c r="I1263" i="5" s="1"/>
  <c r="K1261" i="5"/>
  <c r="L1261" i="5" s="1"/>
  <c r="N1262" i="5"/>
  <c r="M1260" i="5"/>
  <c r="J1263" i="5" l="1"/>
  <c r="M1261" i="5"/>
  <c r="G1264" i="5"/>
  <c r="H1264" i="5"/>
  <c r="F1265" i="5"/>
  <c r="J1264" i="5" s="1"/>
  <c r="K1262" i="5"/>
  <c r="L1262" i="5" s="1"/>
  <c r="N1263" i="5"/>
  <c r="K1264" i="5" l="1"/>
  <c r="H1265" i="5"/>
  <c r="G1265" i="5"/>
  <c r="F1266" i="5"/>
  <c r="I1264" i="5"/>
  <c r="K1263" i="5"/>
  <c r="L1263" i="5" s="1"/>
  <c r="N1264" i="5"/>
  <c r="N1265" i="5" s="1"/>
  <c r="M1263" i="5"/>
  <c r="M1262" i="5"/>
  <c r="H1266" i="5" l="1"/>
  <c r="G1266" i="5"/>
  <c r="F1267" i="5"/>
  <c r="J1266" i="5" s="1"/>
  <c r="I1265" i="5"/>
  <c r="J1265" i="5"/>
  <c r="L1264" i="5"/>
  <c r="M1264" i="5" s="1"/>
  <c r="K1266" i="5" l="1"/>
  <c r="H1267" i="5"/>
  <c r="G1267" i="5"/>
  <c r="F1268" i="5"/>
  <c r="I1267" i="5" s="1"/>
  <c r="N1266" i="5"/>
  <c r="N1267" i="5" s="1"/>
  <c r="K1265" i="5"/>
  <c r="L1265" i="5" s="1"/>
  <c r="M1265" i="5" s="1"/>
  <c r="I1266" i="5"/>
  <c r="L1266" i="5" l="1"/>
  <c r="J1267" i="5"/>
  <c r="F1269" i="5"/>
  <c r="I1268" i="5" s="1"/>
  <c r="G1268" i="5"/>
  <c r="H1268" i="5"/>
  <c r="J1268" i="5"/>
  <c r="M1266" i="5"/>
  <c r="K1268" i="5" l="1"/>
  <c r="N1269" i="5"/>
  <c r="F1270" i="5"/>
  <c r="G1269" i="5"/>
  <c r="H1269" i="5"/>
  <c r="I1269" i="5"/>
  <c r="J1269" i="5"/>
  <c r="K1267" i="5"/>
  <c r="L1267" i="5" s="1"/>
  <c r="N1268" i="5"/>
  <c r="M1267" i="5" l="1"/>
  <c r="K1269" i="5"/>
  <c r="L1269" i="5" s="1"/>
  <c r="N1270" i="5"/>
  <c r="G1270" i="5"/>
  <c r="H1270" i="5"/>
  <c r="F1271" i="5"/>
  <c r="I1270" i="5" s="1"/>
  <c r="L1268" i="5"/>
  <c r="J1270" i="5" l="1"/>
  <c r="K1270" i="5"/>
  <c r="L1270" i="5" s="1"/>
  <c r="N1271" i="5"/>
  <c r="M1269" i="5"/>
  <c r="M1270" i="5"/>
  <c r="H1271" i="5"/>
  <c r="G1271" i="5"/>
  <c r="J1271" i="5"/>
  <c r="F1272" i="5"/>
  <c r="I1271" i="5" s="1"/>
  <c r="M1268" i="5"/>
  <c r="K1271" i="5" l="1"/>
  <c r="L1271" i="5" s="1"/>
  <c r="N1272" i="5"/>
  <c r="G1272" i="5"/>
  <c r="H1272" i="5"/>
  <c r="F1273" i="5"/>
  <c r="M1271" i="5"/>
  <c r="G1273" i="5" l="1"/>
  <c r="H1273" i="5"/>
  <c r="F1274" i="5"/>
  <c r="J1272" i="5"/>
  <c r="I1272" i="5"/>
  <c r="G1274" i="5" l="1"/>
  <c r="H1274" i="5"/>
  <c r="F1275" i="5"/>
  <c r="J1274" i="5" s="1"/>
  <c r="K1272" i="5"/>
  <c r="L1272" i="5" s="1"/>
  <c r="N1273" i="5"/>
  <c r="I1273" i="5"/>
  <c r="J1273" i="5"/>
  <c r="K1274" i="5" l="1"/>
  <c r="G1275" i="5"/>
  <c r="H1275" i="5"/>
  <c r="F1276" i="5"/>
  <c r="J1275" i="5" s="1"/>
  <c r="I1274" i="5"/>
  <c r="M1272" i="5"/>
  <c r="N1274" i="5"/>
  <c r="N1275" i="5" s="1"/>
  <c r="K1273" i="5"/>
  <c r="L1273" i="5" s="1"/>
  <c r="N1276" i="5" l="1"/>
  <c r="K1275" i="5"/>
  <c r="L1275" i="5" s="1"/>
  <c r="F1277" i="5"/>
  <c r="G1276" i="5"/>
  <c r="H1276" i="5"/>
  <c r="I1276" i="5"/>
  <c r="L1274" i="5"/>
  <c r="M1275" i="5" s="1"/>
  <c r="I1275" i="5"/>
  <c r="M1273" i="5"/>
  <c r="F1278" i="5" l="1"/>
  <c r="G1277" i="5"/>
  <c r="H1277" i="5"/>
  <c r="I1277" i="5"/>
  <c r="J1277" i="5"/>
  <c r="J1276" i="5"/>
  <c r="M1274" i="5"/>
  <c r="K1277" i="5" l="1"/>
  <c r="K1276" i="5"/>
  <c r="L1276" i="5" s="1"/>
  <c r="N1277" i="5"/>
  <c r="N1278" i="5" s="1"/>
  <c r="G1278" i="5"/>
  <c r="H1278" i="5"/>
  <c r="F1279" i="5"/>
  <c r="J1278" i="5" s="1"/>
  <c r="I1278" i="5" l="1"/>
  <c r="K1278" i="5"/>
  <c r="N1279" i="5"/>
  <c r="M1276" i="5"/>
  <c r="H1279" i="5"/>
  <c r="G1279" i="5"/>
  <c r="I1279" i="5"/>
  <c r="F1280" i="5"/>
  <c r="J1279" i="5" s="1"/>
  <c r="L1277" i="5"/>
  <c r="M1277" i="5" s="1"/>
  <c r="K1279" i="5" l="1"/>
  <c r="N1280" i="5"/>
  <c r="G1280" i="5"/>
  <c r="H1280" i="5"/>
  <c r="F1281" i="5"/>
  <c r="J1280" i="5" s="1"/>
  <c r="L1278" i="5"/>
  <c r="L1279" i="5" l="1"/>
  <c r="K1280" i="5"/>
  <c r="L1280" i="5" s="1"/>
  <c r="N1281" i="5"/>
  <c r="G1281" i="5"/>
  <c r="H1281" i="5"/>
  <c r="F1282" i="5"/>
  <c r="M1280" i="5"/>
  <c r="I1280" i="5"/>
  <c r="M1279" i="5"/>
  <c r="M1278" i="5"/>
  <c r="G1282" i="5" l="1"/>
  <c r="H1282" i="5"/>
  <c r="F1283" i="5"/>
  <c r="I1281" i="5"/>
  <c r="J1281" i="5"/>
  <c r="G1283" i="5" l="1"/>
  <c r="H1283" i="5"/>
  <c r="F1284" i="5"/>
  <c r="I1282" i="5"/>
  <c r="N1282" i="5"/>
  <c r="K1281" i="5"/>
  <c r="L1281" i="5" s="1"/>
  <c r="J1282" i="5"/>
  <c r="F1285" i="5" l="1"/>
  <c r="G1284" i="5"/>
  <c r="H1284" i="5"/>
  <c r="I1284" i="5"/>
  <c r="J1284" i="5"/>
  <c r="I1283" i="5"/>
  <c r="J1283" i="5"/>
  <c r="M1281" i="5"/>
  <c r="N1283" i="5"/>
  <c r="K1282" i="5"/>
  <c r="L1282" i="5" s="1"/>
  <c r="K1284" i="5" l="1"/>
  <c r="K1283" i="5"/>
  <c r="L1283" i="5" s="1"/>
  <c r="M1283" i="5" s="1"/>
  <c r="N1284" i="5"/>
  <c r="N1285" i="5" s="1"/>
  <c r="M1282" i="5"/>
  <c r="F1286" i="5"/>
  <c r="G1285" i="5"/>
  <c r="H1285" i="5"/>
  <c r="G1286" i="5" l="1"/>
  <c r="H1286" i="5"/>
  <c r="F1287" i="5"/>
  <c r="J1285" i="5"/>
  <c r="I1285" i="5"/>
  <c r="L1284" i="5"/>
  <c r="M1284" i="5" s="1"/>
  <c r="H1287" i="5" l="1"/>
  <c r="G1287" i="5"/>
  <c r="F1288" i="5"/>
  <c r="K1285" i="5"/>
  <c r="L1285" i="5" s="1"/>
  <c r="N1286" i="5"/>
  <c r="J1286" i="5"/>
  <c r="I1286" i="5"/>
  <c r="K1286" i="5" l="1"/>
  <c r="L1286" i="5" s="1"/>
  <c r="N1287" i="5"/>
  <c r="G1288" i="5"/>
  <c r="H1288" i="5"/>
  <c r="F1289" i="5"/>
  <c r="J1288" i="5" s="1"/>
  <c r="J1287" i="5"/>
  <c r="M1286" i="5"/>
  <c r="I1287" i="5"/>
  <c r="M1285" i="5"/>
  <c r="K1288" i="5" l="1"/>
  <c r="K1287" i="5"/>
  <c r="L1287" i="5" s="1"/>
  <c r="M1287" i="5" s="1"/>
  <c r="N1288" i="5"/>
  <c r="N1289" i="5" s="1"/>
  <c r="I1288" i="5"/>
  <c r="G1289" i="5"/>
  <c r="H1289" i="5"/>
  <c r="F1290" i="5"/>
  <c r="I1289" i="5" s="1"/>
  <c r="H1290" i="5" l="1"/>
  <c r="G1290" i="5"/>
  <c r="F1291" i="5"/>
  <c r="J1289" i="5"/>
  <c r="L1288" i="5"/>
  <c r="H1291" i="5" l="1"/>
  <c r="G1291" i="5"/>
  <c r="F1292" i="5"/>
  <c r="I1291" i="5" s="1"/>
  <c r="I1290" i="5"/>
  <c r="N1290" i="5"/>
  <c r="K1289" i="5"/>
  <c r="L1289" i="5" s="1"/>
  <c r="J1290" i="5"/>
  <c r="M1288" i="5"/>
  <c r="J1291" i="5" l="1"/>
  <c r="F1293" i="5"/>
  <c r="H1292" i="5"/>
  <c r="G1292" i="5"/>
  <c r="I1292" i="5"/>
  <c r="J1292" i="5"/>
  <c r="N1291" i="5"/>
  <c r="K1290" i="5"/>
  <c r="L1290" i="5" s="1"/>
  <c r="M1289" i="5"/>
  <c r="K1292" i="5" l="1"/>
  <c r="F1294" i="5"/>
  <c r="I1293" i="5" s="1"/>
  <c r="G1293" i="5"/>
  <c r="H1293" i="5"/>
  <c r="J1293" i="5"/>
  <c r="M1291" i="5"/>
  <c r="M1290" i="5"/>
  <c r="N1292" i="5"/>
  <c r="N1293" i="5" s="1"/>
  <c r="K1291" i="5"/>
  <c r="L1291" i="5" s="1"/>
  <c r="G1294" i="5" l="1"/>
  <c r="H1294" i="5"/>
  <c r="F1295" i="5"/>
  <c r="J1294" i="5" s="1"/>
  <c r="K1293" i="5"/>
  <c r="N1294" i="5"/>
  <c r="L1292" i="5"/>
  <c r="M1292" i="5" s="1"/>
  <c r="L1293" i="5" l="1"/>
  <c r="K1294" i="5"/>
  <c r="L1294" i="5" s="1"/>
  <c r="N1295" i="5"/>
  <c r="M1294" i="5"/>
  <c r="G1295" i="5"/>
  <c r="H1295" i="5"/>
  <c r="F1296" i="5"/>
  <c r="I1294" i="5"/>
  <c r="M1293" i="5"/>
  <c r="G1296" i="5" l="1"/>
  <c r="H1296" i="5"/>
  <c r="F1297" i="5"/>
  <c r="I1296" i="5" s="1"/>
  <c r="J1295" i="5"/>
  <c r="I1295" i="5"/>
  <c r="K1295" i="5" l="1"/>
  <c r="L1295" i="5" s="1"/>
  <c r="N1296" i="5"/>
  <c r="G1297" i="5"/>
  <c r="H1297" i="5"/>
  <c r="F1298" i="5"/>
  <c r="J1296" i="5"/>
  <c r="H1298" i="5" l="1"/>
  <c r="G1298" i="5"/>
  <c r="F1299" i="5"/>
  <c r="I1298" i="5" s="1"/>
  <c r="I1297" i="5"/>
  <c r="N1297" i="5"/>
  <c r="K1296" i="5"/>
  <c r="L1296" i="5" s="1"/>
  <c r="J1297" i="5"/>
  <c r="M1295" i="5"/>
  <c r="G1299" i="5" l="1"/>
  <c r="H1299" i="5"/>
  <c r="F1300" i="5"/>
  <c r="I1299" i="5" s="1"/>
  <c r="J1298" i="5"/>
  <c r="M1296" i="5"/>
  <c r="N1298" i="5"/>
  <c r="K1297" i="5"/>
  <c r="L1297" i="5" s="1"/>
  <c r="N1299" i="5" l="1"/>
  <c r="K1298" i="5"/>
  <c r="L1298" i="5" s="1"/>
  <c r="F1301" i="5"/>
  <c r="I1300" i="5" s="1"/>
  <c r="G1300" i="5"/>
  <c r="H1300" i="5"/>
  <c r="J1299" i="5"/>
  <c r="M1297" i="5"/>
  <c r="J1300" i="5" l="1"/>
  <c r="K1300" i="5"/>
  <c r="K1299" i="5"/>
  <c r="L1299" i="5" s="1"/>
  <c r="N1300" i="5"/>
  <c r="N1301" i="5" s="1"/>
  <c r="F1302" i="5"/>
  <c r="G1301" i="5"/>
  <c r="H1301" i="5"/>
  <c r="M1298" i="5"/>
  <c r="G1302" i="5" l="1"/>
  <c r="H1302" i="5"/>
  <c r="F1303" i="5"/>
  <c r="J1301" i="5"/>
  <c r="M1299" i="5"/>
  <c r="I1301" i="5"/>
  <c r="L1300" i="5"/>
  <c r="M1300" i="5" s="1"/>
  <c r="K1301" i="5" l="1"/>
  <c r="L1301" i="5" s="1"/>
  <c r="N1302" i="5"/>
  <c r="H1303" i="5"/>
  <c r="G1303" i="5"/>
  <c r="F1304" i="5"/>
  <c r="J1303" i="5" s="1"/>
  <c r="J1302" i="5"/>
  <c r="I1302" i="5"/>
  <c r="M1301" i="5"/>
  <c r="K1303" i="5" l="1"/>
  <c r="G1304" i="5"/>
  <c r="H1304" i="5"/>
  <c r="F1305" i="5"/>
  <c r="J1304" i="5" s="1"/>
  <c r="I1303" i="5"/>
  <c r="K1302" i="5"/>
  <c r="L1302" i="5" s="1"/>
  <c r="N1303" i="5"/>
  <c r="N1304" i="5" s="1"/>
  <c r="M1302" i="5"/>
  <c r="K1304" i="5" l="1"/>
  <c r="L1304" i="5" s="1"/>
  <c r="N1305" i="5"/>
  <c r="H1305" i="5"/>
  <c r="G1305" i="5"/>
  <c r="F1306" i="5"/>
  <c r="I1304" i="5"/>
  <c r="M1303" i="5"/>
  <c r="L1303" i="5"/>
  <c r="M1304" i="5" s="1"/>
  <c r="H1306" i="5" l="1"/>
  <c r="G1306" i="5"/>
  <c r="F1307" i="5"/>
  <c r="I1305" i="5"/>
  <c r="J1305" i="5"/>
  <c r="N1306" i="5" l="1"/>
  <c r="K1305" i="5"/>
  <c r="L1305" i="5" s="1"/>
  <c r="G1307" i="5"/>
  <c r="H1307" i="5"/>
  <c r="F1308" i="5"/>
  <c r="J1306" i="5"/>
  <c r="I1306" i="5"/>
  <c r="F1309" i="5" l="1"/>
  <c r="G1308" i="5"/>
  <c r="H1308" i="5"/>
  <c r="J1308" i="5"/>
  <c r="I1308" i="5"/>
  <c r="J1307" i="5"/>
  <c r="N1307" i="5"/>
  <c r="K1306" i="5"/>
  <c r="L1306" i="5" s="1"/>
  <c r="M1306" i="5" s="1"/>
  <c r="I1307" i="5"/>
  <c r="M1305" i="5"/>
  <c r="N1308" i="5" l="1"/>
  <c r="K1307" i="5"/>
  <c r="L1307" i="5" s="1"/>
  <c r="K1308" i="5"/>
  <c r="L1308" i="5" s="1"/>
  <c r="N1309" i="5"/>
  <c r="F1310" i="5"/>
  <c r="G1309" i="5"/>
  <c r="H1309" i="5"/>
  <c r="M1308" i="5" l="1"/>
  <c r="G1310" i="5"/>
  <c r="H1310" i="5"/>
  <c r="F1311" i="5"/>
  <c r="I1310" i="5" s="1"/>
  <c r="M1307" i="5"/>
  <c r="J1309" i="5"/>
  <c r="I1309" i="5"/>
  <c r="K1309" i="5" l="1"/>
  <c r="L1309" i="5" s="1"/>
  <c r="N1310" i="5"/>
  <c r="J1310" i="5"/>
  <c r="H1311" i="5"/>
  <c r="G1311" i="5"/>
  <c r="F1312" i="5"/>
  <c r="J1311" i="5" s="1"/>
  <c r="K1311" i="5" l="1"/>
  <c r="G1312" i="5"/>
  <c r="H1312" i="5"/>
  <c r="F1313" i="5"/>
  <c r="I1312" i="5" s="1"/>
  <c r="I1311" i="5"/>
  <c r="K1310" i="5"/>
  <c r="L1310" i="5" s="1"/>
  <c r="N1311" i="5"/>
  <c r="N1312" i="5" s="1"/>
  <c r="M1310" i="5"/>
  <c r="M1309" i="5"/>
  <c r="J1312" i="5" l="1"/>
  <c r="G1313" i="5"/>
  <c r="H1313" i="5"/>
  <c r="F1314" i="5"/>
  <c r="L1311" i="5"/>
  <c r="M1311" i="5" s="1"/>
  <c r="H1314" i="5" l="1"/>
  <c r="G1314" i="5"/>
  <c r="F1315" i="5"/>
  <c r="I1314" i="5" s="1"/>
  <c r="I1313" i="5"/>
  <c r="J1313" i="5"/>
  <c r="K1312" i="5"/>
  <c r="L1312" i="5" s="1"/>
  <c r="N1313" i="5"/>
  <c r="N1314" i="5" l="1"/>
  <c r="K1313" i="5"/>
  <c r="L1313" i="5" s="1"/>
  <c r="J1314" i="5"/>
  <c r="G1315" i="5"/>
  <c r="H1315" i="5"/>
  <c r="F1316" i="5"/>
  <c r="I1315" i="5" s="1"/>
  <c r="M1312" i="5"/>
  <c r="J1315" i="5" l="1"/>
  <c r="N1315" i="5"/>
  <c r="K1314" i="5"/>
  <c r="L1314" i="5" s="1"/>
  <c r="F1317" i="5"/>
  <c r="H1316" i="5"/>
  <c r="G1316" i="5"/>
  <c r="I1316" i="5"/>
  <c r="J1316" i="5"/>
  <c r="M1313" i="5"/>
  <c r="F1318" i="5" l="1"/>
  <c r="G1317" i="5"/>
  <c r="H1317" i="5"/>
  <c r="I1317" i="5"/>
  <c r="J1317" i="5"/>
  <c r="K1316" i="5"/>
  <c r="L1316" i="5" s="1"/>
  <c r="N1317" i="5"/>
  <c r="M1315" i="5"/>
  <c r="M1314" i="5"/>
  <c r="K1315" i="5"/>
  <c r="L1315" i="5" s="1"/>
  <c r="N1316" i="5"/>
  <c r="K1317" i="5" l="1"/>
  <c r="L1317" i="5" s="1"/>
  <c r="M1317" i="5" s="1"/>
  <c r="N1318" i="5"/>
  <c r="M1316" i="5"/>
  <c r="G1318" i="5"/>
  <c r="H1318" i="5"/>
  <c r="F1319" i="5"/>
  <c r="I1318" i="5" s="1"/>
  <c r="J1318" i="5" l="1"/>
  <c r="K1318" i="5"/>
  <c r="L1318" i="5" s="1"/>
  <c r="N1319" i="5"/>
  <c r="H1319" i="5"/>
  <c r="G1319" i="5"/>
  <c r="F1320" i="5"/>
  <c r="M1318" i="5"/>
  <c r="G1320" i="5" l="1"/>
  <c r="H1320" i="5"/>
  <c r="F1321" i="5"/>
  <c r="I1320" i="5" s="1"/>
  <c r="J1319" i="5"/>
  <c r="I1319" i="5"/>
  <c r="K1319" i="5" l="1"/>
  <c r="L1319" i="5" s="1"/>
  <c r="N1320" i="5"/>
  <c r="G1321" i="5"/>
  <c r="H1321" i="5"/>
  <c r="F1322" i="5"/>
  <c r="J1320" i="5"/>
  <c r="K1320" i="5" l="1"/>
  <c r="L1320" i="5" s="1"/>
  <c r="N1321" i="5"/>
  <c r="G1322" i="5"/>
  <c r="H1322" i="5"/>
  <c r="F1323" i="5"/>
  <c r="I1321" i="5"/>
  <c r="J1321" i="5"/>
  <c r="M1320" i="5"/>
  <c r="M1319" i="5"/>
  <c r="G1323" i="5" l="1"/>
  <c r="H1323" i="5"/>
  <c r="F1324" i="5"/>
  <c r="I1322" i="5"/>
  <c r="J1322" i="5"/>
  <c r="N1322" i="5"/>
  <c r="K1321" i="5"/>
  <c r="L1321" i="5" s="1"/>
  <c r="M1321" i="5" s="1"/>
  <c r="N1323" i="5" l="1"/>
  <c r="K1322" i="5"/>
  <c r="L1322" i="5" s="1"/>
  <c r="F1325" i="5"/>
  <c r="J1324" i="5" s="1"/>
  <c r="G1324" i="5"/>
  <c r="H1324" i="5"/>
  <c r="J1323" i="5"/>
  <c r="I1323" i="5"/>
  <c r="M1322" i="5"/>
  <c r="K1324" i="5" l="1"/>
  <c r="I1324" i="5"/>
  <c r="N1324" i="5"/>
  <c r="N1325" i="5" s="1"/>
  <c r="K1323" i="5"/>
  <c r="L1323" i="5" s="1"/>
  <c r="F1326" i="5"/>
  <c r="G1325" i="5"/>
  <c r="H1325" i="5"/>
  <c r="G1326" i="5" l="1"/>
  <c r="H1326" i="5"/>
  <c r="F1327" i="5"/>
  <c r="M1323" i="5"/>
  <c r="I1325" i="5"/>
  <c r="J1325" i="5"/>
  <c r="L1324" i="5"/>
  <c r="M1324" i="5" s="1"/>
  <c r="H1327" i="5" l="1"/>
  <c r="G1327" i="5"/>
  <c r="F1328" i="5"/>
  <c r="I1327" i="5" s="1"/>
  <c r="J1326" i="5"/>
  <c r="I1326" i="5"/>
  <c r="K1325" i="5"/>
  <c r="L1325" i="5" s="1"/>
  <c r="N1326" i="5"/>
  <c r="K1326" i="5" l="1"/>
  <c r="L1326" i="5" s="1"/>
  <c r="N1327" i="5"/>
  <c r="J1327" i="5"/>
  <c r="G1328" i="5"/>
  <c r="H1328" i="5"/>
  <c r="F1329" i="5"/>
  <c r="M1326" i="5"/>
  <c r="M1325" i="5"/>
  <c r="H1329" i="5" l="1"/>
  <c r="G1329" i="5"/>
  <c r="F1330" i="5"/>
  <c r="I1328" i="5"/>
  <c r="K1327" i="5"/>
  <c r="L1327" i="5" s="1"/>
  <c r="N1328" i="5"/>
  <c r="J1328" i="5"/>
  <c r="H1330" i="5" l="1"/>
  <c r="G1330" i="5"/>
  <c r="F1331" i="5"/>
  <c r="I1330" i="5" s="1"/>
  <c r="I1329" i="5"/>
  <c r="J1329" i="5"/>
  <c r="M1327" i="5"/>
  <c r="K1328" i="5"/>
  <c r="L1328" i="5" s="1"/>
  <c r="M1328" i="5" s="1"/>
  <c r="N1329" i="5"/>
  <c r="N1330" i="5" l="1"/>
  <c r="K1329" i="5"/>
  <c r="L1329" i="5" s="1"/>
  <c r="J1330" i="5"/>
  <c r="H1331" i="5"/>
  <c r="G1331" i="5"/>
  <c r="F1332" i="5"/>
  <c r="I1331" i="5" s="1"/>
  <c r="J1331" i="5" l="1"/>
  <c r="K1331" i="5"/>
  <c r="M1329" i="5"/>
  <c r="N1331" i="5"/>
  <c r="N1332" i="5" s="1"/>
  <c r="K1330" i="5"/>
  <c r="L1330" i="5" s="1"/>
  <c r="F1333" i="5"/>
  <c r="J1332" i="5" s="1"/>
  <c r="G1332" i="5"/>
  <c r="H1332" i="5"/>
  <c r="K1332" i="5" l="1"/>
  <c r="N1333" i="5"/>
  <c r="L1331" i="5"/>
  <c r="F1334" i="5"/>
  <c r="G1333" i="5"/>
  <c r="H1333" i="5"/>
  <c r="I1332" i="5"/>
  <c r="M1330" i="5"/>
  <c r="G1334" i="5" l="1"/>
  <c r="H1334" i="5"/>
  <c r="F1335" i="5"/>
  <c r="I1333" i="5"/>
  <c r="M1331" i="5"/>
  <c r="J1333" i="5"/>
  <c r="L1332" i="5"/>
  <c r="M1332" i="5" s="1"/>
  <c r="H1335" i="5" l="1"/>
  <c r="G1335" i="5"/>
  <c r="F1336" i="5"/>
  <c r="J1334" i="5"/>
  <c r="I1334" i="5"/>
  <c r="K1333" i="5"/>
  <c r="L1333" i="5" s="1"/>
  <c r="M1333" i="5" s="1"/>
  <c r="N1334" i="5"/>
  <c r="G1336" i="5" l="1"/>
  <c r="H1336" i="5"/>
  <c r="F1337" i="5"/>
  <c r="J1336" i="5" s="1"/>
  <c r="K1334" i="5"/>
  <c r="L1334" i="5" s="1"/>
  <c r="N1335" i="5"/>
  <c r="I1335" i="5"/>
  <c r="J1335" i="5"/>
  <c r="K1336" i="5" l="1"/>
  <c r="M1334" i="5"/>
  <c r="H1337" i="5"/>
  <c r="G1337" i="5"/>
  <c r="F1338" i="5"/>
  <c r="J1337" i="5" s="1"/>
  <c r="I1336" i="5"/>
  <c r="K1335" i="5"/>
  <c r="L1335" i="5" s="1"/>
  <c r="M1335" i="5" s="1"/>
  <c r="N1336" i="5"/>
  <c r="N1337" i="5" s="1"/>
  <c r="I1337" i="5" l="1"/>
  <c r="N1338" i="5"/>
  <c r="K1337" i="5"/>
  <c r="G1338" i="5"/>
  <c r="H1338" i="5"/>
  <c r="F1339" i="5"/>
  <c r="I1338" i="5" s="1"/>
  <c r="L1336" i="5"/>
  <c r="M1336" i="5" s="1"/>
  <c r="L1337" i="5" l="1"/>
  <c r="G1339" i="5"/>
  <c r="H1339" i="5"/>
  <c r="F1340" i="5"/>
  <c r="J1338" i="5"/>
  <c r="M1337" i="5"/>
  <c r="F1341" i="5" l="1"/>
  <c r="G1340" i="5"/>
  <c r="H1340" i="5"/>
  <c r="J1340" i="5"/>
  <c r="I1340" i="5"/>
  <c r="I1339" i="5"/>
  <c r="J1339" i="5"/>
  <c r="N1339" i="5"/>
  <c r="K1338" i="5"/>
  <c r="L1338" i="5" s="1"/>
  <c r="N1340" i="5" l="1"/>
  <c r="K1339" i="5"/>
  <c r="L1339" i="5" s="1"/>
  <c r="K1340" i="5"/>
  <c r="L1340" i="5" s="1"/>
  <c r="N1341" i="5"/>
  <c r="M1339" i="5"/>
  <c r="M1338" i="5"/>
  <c r="F1342" i="5"/>
  <c r="G1341" i="5"/>
  <c r="H1341" i="5"/>
  <c r="G1342" i="5" l="1"/>
  <c r="H1342" i="5"/>
  <c r="F1343" i="5"/>
  <c r="J1341" i="5"/>
  <c r="M1340" i="5"/>
  <c r="I1341" i="5"/>
  <c r="K1341" i="5" l="1"/>
  <c r="L1341" i="5" s="1"/>
  <c r="N1342" i="5"/>
  <c r="H1343" i="5"/>
  <c r="G1343" i="5"/>
  <c r="F1344" i="5"/>
  <c r="J1342" i="5"/>
  <c r="I1342" i="5"/>
  <c r="G1344" i="5" l="1"/>
  <c r="H1344" i="5"/>
  <c r="F1345" i="5"/>
  <c r="K1342" i="5"/>
  <c r="L1342" i="5" s="1"/>
  <c r="N1343" i="5"/>
  <c r="J1343" i="5"/>
  <c r="I1343" i="5"/>
  <c r="M1341" i="5"/>
  <c r="G1345" i="5" l="1"/>
  <c r="H1345" i="5"/>
  <c r="F1346" i="5"/>
  <c r="K1343" i="5"/>
  <c r="N1344" i="5"/>
  <c r="J1344" i="5"/>
  <c r="I1344" i="5"/>
  <c r="M1342" i="5"/>
  <c r="G1346" i="5" l="1"/>
  <c r="H1346" i="5"/>
  <c r="F1347" i="5"/>
  <c r="L1343" i="5"/>
  <c r="I5" i="12"/>
  <c r="L57" i="4" s="1"/>
  <c r="I1345" i="5"/>
  <c r="J1345" i="5"/>
  <c r="N1345" i="5"/>
  <c r="K1344" i="5"/>
  <c r="G1347" i="5" l="1"/>
  <c r="H1347" i="5"/>
  <c r="F1348" i="5"/>
  <c r="M1343" i="5"/>
  <c r="J1346" i="5"/>
  <c r="L1344" i="5"/>
  <c r="M1344" i="5" s="1"/>
  <c r="I1346" i="5"/>
  <c r="N1346" i="5"/>
  <c r="K1345" i="5"/>
  <c r="L1345" i="5" l="1"/>
  <c r="N1347" i="5"/>
  <c r="K1346" i="5"/>
  <c r="L1346" i="5" s="1"/>
  <c r="F1349" i="5"/>
  <c r="I1348" i="5" s="1"/>
  <c r="G1348" i="5"/>
  <c r="H1348" i="5"/>
  <c r="J1348" i="5" s="1"/>
  <c r="M1346" i="5"/>
  <c r="I1347" i="5"/>
  <c r="J1347" i="5"/>
  <c r="M1345" i="5"/>
  <c r="K1348" i="5" l="1"/>
  <c r="L1348" i="5" s="1"/>
  <c r="N1349" i="5"/>
  <c r="F1350" i="5"/>
  <c r="G1349" i="5"/>
  <c r="H1349" i="5"/>
  <c r="I1349" i="5"/>
  <c r="J1349" i="5"/>
  <c r="K1347" i="5"/>
  <c r="L1347" i="5" s="1"/>
  <c r="M1348" i="5" s="1"/>
  <c r="N1348" i="5"/>
  <c r="G1350" i="5" l="1"/>
  <c r="H1350" i="5"/>
  <c r="F1351" i="5"/>
  <c r="K1349" i="5"/>
  <c r="L1349" i="5" s="1"/>
  <c r="N1350" i="5"/>
  <c r="M1347" i="5"/>
  <c r="H1351" i="5" l="1"/>
  <c r="G1351" i="5"/>
  <c r="F1352" i="5"/>
  <c r="I1350" i="5"/>
  <c r="J1350" i="5"/>
  <c r="M1349" i="5"/>
  <c r="G1352" i="5" l="1"/>
  <c r="H1352" i="5"/>
  <c r="F1353" i="5"/>
  <c r="I1352" i="5" s="1"/>
  <c r="K1350" i="5"/>
  <c r="L1350" i="5" s="1"/>
  <c r="N1351" i="5"/>
  <c r="I1351" i="5"/>
  <c r="J1351" i="5"/>
  <c r="M1350" i="5" l="1"/>
  <c r="J1352" i="5"/>
  <c r="G1353" i="5"/>
  <c r="H1353" i="5"/>
  <c r="F1354" i="5"/>
  <c r="I1353" i="5" s="1"/>
  <c r="K1351" i="5"/>
  <c r="L1351" i="5" s="1"/>
  <c r="N1352" i="5"/>
  <c r="H1354" i="5" l="1"/>
  <c r="G1354" i="5"/>
  <c r="F1355" i="5"/>
  <c r="I1354" i="5" s="1"/>
  <c r="J1353" i="5"/>
  <c r="K1352" i="5"/>
  <c r="L1352" i="5" s="1"/>
  <c r="N1353" i="5"/>
  <c r="M1351" i="5"/>
  <c r="N1354" i="5" l="1"/>
  <c r="K1353" i="5"/>
  <c r="L1353" i="5" s="1"/>
  <c r="J1354" i="5"/>
  <c r="H1355" i="5"/>
  <c r="G1355" i="5"/>
  <c r="F1356" i="5"/>
  <c r="J1355" i="5" s="1"/>
  <c r="M1352" i="5"/>
  <c r="I1355" i="5" l="1"/>
  <c r="K1355" i="5"/>
  <c r="N1355" i="5"/>
  <c r="N1356" i="5" s="1"/>
  <c r="K1354" i="5"/>
  <c r="L1354" i="5" s="1"/>
  <c r="M1354" i="5" s="1"/>
  <c r="F1357" i="5"/>
  <c r="H1356" i="5"/>
  <c r="G1356" i="5"/>
  <c r="M1353" i="5"/>
  <c r="F1358" i="5" l="1"/>
  <c r="J1357" i="5" s="1"/>
  <c r="G1357" i="5"/>
  <c r="H1357" i="5"/>
  <c r="I1356" i="5"/>
  <c r="L1355" i="5"/>
  <c r="J1356" i="5"/>
  <c r="I1357" i="5" l="1"/>
  <c r="M1355" i="5"/>
  <c r="K1357" i="5"/>
  <c r="K1356" i="5"/>
  <c r="L1356" i="5" s="1"/>
  <c r="N1357" i="5"/>
  <c r="N1358" i="5" s="1"/>
  <c r="G1358" i="5"/>
  <c r="H1358" i="5"/>
  <c r="F1359" i="5"/>
  <c r="G1359" i="5" l="1"/>
  <c r="H1359" i="5"/>
  <c r="F1360" i="5"/>
  <c r="J1359" i="5" s="1"/>
  <c r="L1357" i="5"/>
  <c r="J1358" i="5"/>
  <c r="I1358" i="5"/>
  <c r="M1356" i="5"/>
  <c r="K1359" i="5" l="1"/>
  <c r="G1360" i="5"/>
  <c r="H1360" i="5"/>
  <c r="F1361" i="5"/>
  <c r="I1359" i="5"/>
  <c r="K1358" i="5"/>
  <c r="L1358" i="5" s="1"/>
  <c r="M1358" i="5" s="1"/>
  <c r="N1359" i="5"/>
  <c r="N1360" i="5" s="1"/>
  <c r="M1357" i="5"/>
  <c r="G1361" i="5" l="1"/>
  <c r="H1361" i="5"/>
  <c r="F1362" i="5"/>
  <c r="J1360" i="5"/>
  <c r="I1360" i="5"/>
  <c r="L1359" i="5"/>
  <c r="M1359" i="5" s="1"/>
  <c r="H1362" i="5" l="1"/>
  <c r="G1362" i="5"/>
  <c r="F1363" i="5"/>
  <c r="I1361" i="5"/>
  <c r="J1361" i="5"/>
  <c r="K1360" i="5"/>
  <c r="L1360" i="5" s="1"/>
  <c r="N1361" i="5"/>
  <c r="G1363" i="5" l="1"/>
  <c r="H1363" i="5"/>
  <c r="F1364" i="5"/>
  <c r="N1362" i="5"/>
  <c r="K1361" i="5"/>
  <c r="L1361" i="5" s="1"/>
  <c r="I1362" i="5"/>
  <c r="M1360" i="5"/>
  <c r="J1362" i="5"/>
  <c r="F1365" i="5" l="1"/>
  <c r="I1364" i="5" s="1"/>
  <c r="G1364" i="5"/>
  <c r="H1364" i="5"/>
  <c r="N1363" i="5"/>
  <c r="K1362" i="5"/>
  <c r="L1362" i="5" s="1"/>
  <c r="M1362" i="5" s="1"/>
  <c r="I1363" i="5"/>
  <c r="J1363" i="5"/>
  <c r="M1361" i="5"/>
  <c r="J1364" i="5" l="1"/>
  <c r="K1364" i="5" s="1"/>
  <c r="L1364" i="5" s="1"/>
  <c r="K1363" i="5"/>
  <c r="L1363" i="5" s="1"/>
  <c r="N1364" i="5"/>
  <c r="F1366" i="5"/>
  <c r="I1365" i="5" s="1"/>
  <c r="G1365" i="5"/>
  <c r="H1365" i="5"/>
  <c r="N1365" i="5" l="1"/>
  <c r="G1366" i="5"/>
  <c r="H1366" i="5"/>
  <c r="F1367" i="5"/>
  <c r="M1364" i="5"/>
  <c r="J1365" i="5"/>
  <c r="M1363" i="5"/>
  <c r="K1365" i="5" l="1"/>
  <c r="L1365" i="5" s="1"/>
  <c r="N1366" i="5"/>
  <c r="H1367" i="5"/>
  <c r="G1367" i="5"/>
  <c r="F1368" i="5"/>
  <c r="I1367" i="5" s="1"/>
  <c r="J1366" i="5"/>
  <c r="I1366" i="5"/>
  <c r="J1367" i="5" l="1"/>
  <c r="K1366" i="5"/>
  <c r="L1366" i="5" s="1"/>
  <c r="N1367" i="5"/>
  <c r="G1368" i="5"/>
  <c r="H1368" i="5"/>
  <c r="F1369" i="5"/>
  <c r="J1368" i="5" s="1"/>
  <c r="M1365" i="5"/>
  <c r="K1368" i="5" l="1"/>
  <c r="H1369" i="5"/>
  <c r="G1369" i="5"/>
  <c r="F1370" i="5"/>
  <c r="I1369" i="5" s="1"/>
  <c r="I1368" i="5"/>
  <c r="M1366" i="5"/>
  <c r="K1367" i="5"/>
  <c r="L1367" i="5" s="1"/>
  <c r="N1368" i="5"/>
  <c r="N1369" i="5" s="1"/>
  <c r="J1369" i="5" l="1"/>
  <c r="H1370" i="5"/>
  <c r="G1370" i="5"/>
  <c r="F1371" i="5"/>
  <c r="M1367" i="5"/>
  <c r="L1368" i="5"/>
  <c r="G1371" i="5" l="1"/>
  <c r="H1371" i="5"/>
  <c r="F1372" i="5"/>
  <c r="I1370" i="5"/>
  <c r="J1370" i="5"/>
  <c r="N1370" i="5"/>
  <c r="K1369" i="5"/>
  <c r="L1369" i="5" s="1"/>
  <c r="M1369" i="5" s="1"/>
  <c r="M1368" i="5"/>
  <c r="F1373" i="5" l="1"/>
  <c r="G1372" i="5"/>
  <c r="H1372" i="5"/>
  <c r="I1372" i="5"/>
  <c r="I1371" i="5"/>
  <c r="J1371" i="5"/>
  <c r="N1371" i="5"/>
  <c r="K1370" i="5"/>
  <c r="L1370" i="5" s="1"/>
  <c r="M1370" i="5" s="1"/>
  <c r="J1372" i="5" l="1"/>
  <c r="K1372" i="5"/>
  <c r="L1372" i="5" s="1"/>
  <c r="N1373" i="5"/>
  <c r="N1372" i="5"/>
  <c r="K1371" i="5"/>
  <c r="L1371" i="5" s="1"/>
  <c r="M1372" i="5" s="1"/>
  <c r="F1374" i="5"/>
  <c r="G1373" i="5"/>
  <c r="H1373" i="5"/>
  <c r="M1371" i="5" l="1"/>
  <c r="G1374" i="5"/>
  <c r="H1374" i="5"/>
  <c r="F1375" i="5"/>
  <c r="J1373" i="5"/>
  <c r="I1373" i="5"/>
  <c r="H1375" i="5" l="1"/>
  <c r="G1375" i="5"/>
  <c r="F1376" i="5"/>
  <c r="J1375" i="5" s="1"/>
  <c r="J1374" i="5"/>
  <c r="K1373" i="5"/>
  <c r="L1373" i="5" s="1"/>
  <c r="N1374" i="5"/>
  <c r="I1374" i="5"/>
  <c r="K1375" i="5" l="1"/>
  <c r="M1373" i="5"/>
  <c r="K1374" i="5"/>
  <c r="L1374" i="5" s="1"/>
  <c r="N1375" i="5"/>
  <c r="N1376" i="5" s="1"/>
  <c r="G1376" i="5"/>
  <c r="H1376" i="5"/>
  <c r="F1377" i="5"/>
  <c r="I1375" i="5"/>
  <c r="G1377" i="5" l="1"/>
  <c r="H1377" i="5"/>
  <c r="F1378" i="5"/>
  <c r="I1377" i="5" s="1"/>
  <c r="J1376" i="5"/>
  <c r="M1374" i="5"/>
  <c r="I1376" i="5"/>
  <c r="L1375" i="5"/>
  <c r="H1378" i="5" l="1"/>
  <c r="G1378" i="5"/>
  <c r="F1379" i="5"/>
  <c r="I1378" i="5" s="1"/>
  <c r="J1377" i="5"/>
  <c r="K1376" i="5"/>
  <c r="L1376" i="5" s="1"/>
  <c r="N1377" i="5"/>
  <c r="M1375" i="5"/>
  <c r="M1376" i="5" l="1"/>
  <c r="N1378" i="5"/>
  <c r="K1377" i="5"/>
  <c r="L1377" i="5" s="1"/>
  <c r="G1379" i="5"/>
  <c r="H1379" i="5"/>
  <c r="F1380" i="5"/>
  <c r="J1379" i="5" s="1"/>
  <c r="J1378" i="5"/>
  <c r="I1379" i="5" l="1"/>
  <c r="K1379" i="5"/>
  <c r="N1379" i="5"/>
  <c r="N1380" i="5" s="1"/>
  <c r="K1378" i="5"/>
  <c r="L1378" i="5" s="1"/>
  <c r="F1381" i="5"/>
  <c r="G1380" i="5"/>
  <c r="H1380" i="5"/>
  <c r="M1377" i="5"/>
  <c r="F1382" i="5" l="1"/>
  <c r="G1381" i="5"/>
  <c r="H1381" i="5"/>
  <c r="I1381" i="5"/>
  <c r="J1381" i="5"/>
  <c r="I1380" i="5"/>
  <c r="L1379" i="5"/>
  <c r="J1380" i="5"/>
  <c r="M1378" i="5"/>
  <c r="K1381" i="5" l="1"/>
  <c r="G1382" i="5"/>
  <c r="H1382" i="5"/>
  <c r="F1383" i="5"/>
  <c r="I1382" i="5" s="1"/>
  <c r="K1380" i="5"/>
  <c r="L1380" i="5" s="1"/>
  <c r="N1381" i="5"/>
  <c r="N1382" i="5" s="1"/>
  <c r="M1379" i="5"/>
  <c r="L1381" i="5" l="1"/>
  <c r="J1382" i="5"/>
  <c r="H1383" i="5"/>
  <c r="G1383" i="5"/>
  <c r="F1384" i="5"/>
  <c r="M1381" i="5"/>
  <c r="M1380" i="5"/>
  <c r="G1384" i="5" l="1"/>
  <c r="H1384" i="5"/>
  <c r="F1385" i="5"/>
  <c r="I1383" i="5"/>
  <c r="J1383" i="5"/>
  <c r="K1382" i="5"/>
  <c r="L1382" i="5" s="1"/>
  <c r="N1383" i="5"/>
  <c r="M1382" i="5" l="1"/>
  <c r="K1383" i="5"/>
  <c r="L1383" i="5" s="1"/>
  <c r="N1384" i="5"/>
  <c r="G1385" i="5"/>
  <c r="H1385" i="5"/>
  <c r="F1386" i="5"/>
  <c r="I1385" i="5" s="1"/>
  <c r="J1384" i="5"/>
  <c r="I1384" i="5"/>
  <c r="J1385" i="5" l="1"/>
  <c r="K1385" i="5"/>
  <c r="K1384" i="5"/>
  <c r="L1384" i="5" s="1"/>
  <c r="M1384" i="5" s="1"/>
  <c r="N1385" i="5"/>
  <c r="N1386" i="5" s="1"/>
  <c r="G1386" i="5"/>
  <c r="H1386" i="5"/>
  <c r="F1387" i="5"/>
  <c r="I1386" i="5" s="1"/>
  <c r="M1383" i="5"/>
  <c r="G1387" i="5" l="1"/>
  <c r="H1387" i="5"/>
  <c r="F1388" i="5"/>
  <c r="I1387" i="5" s="1"/>
  <c r="L1385" i="5"/>
  <c r="J1386" i="5"/>
  <c r="N1387" i="5" l="1"/>
  <c r="K1386" i="5"/>
  <c r="L1386" i="5" s="1"/>
  <c r="M1386" i="5" s="1"/>
  <c r="J1387" i="5"/>
  <c r="F1389" i="5"/>
  <c r="G1388" i="5"/>
  <c r="H1388" i="5"/>
  <c r="I1388" i="5"/>
  <c r="M1385" i="5"/>
  <c r="F1390" i="5" l="1"/>
  <c r="G1389" i="5"/>
  <c r="H1389" i="5"/>
  <c r="I1389" i="5"/>
  <c r="J1389" i="5"/>
  <c r="N1388" i="5"/>
  <c r="K1387" i="5"/>
  <c r="L1387" i="5" s="1"/>
  <c r="M1387" i="5" s="1"/>
  <c r="J1388" i="5"/>
  <c r="K1389" i="5" l="1"/>
  <c r="K1388" i="5"/>
  <c r="L1388" i="5" s="1"/>
  <c r="N1389" i="5"/>
  <c r="N1390" i="5" s="1"/>
  <c r="G1390" i="5"/>
  <c r="H1390" i="5"/>
  <c r="F1391" i="5"/>
  <c r="J1390" i="5" s="1"/>
  <c r="I1390" i="5" l="1"/>
  <c r="M1388" i="5"/>
  <c r="H1391" i="5"/>
  <c r="G1391" i="5"/>
  <c r="F1392" i="5"/>
  <c r="I1391" i="5" s="1"/>
  <c r="K1390" i="5"/>
  <c r="N1391" i="5"/>
  <c r="L1389" i="5"/>
  <c r="L1390" i="5" l="1"/>
  <c r="G1392" i="5"/>
  <c r="H1392" i="5"/>
  <c r="F1393" i="5"/>
  <c r="J1391" i="5"/>
  <c r="M1390" i="5"/>
  <c r="M1389" i="5"/>
  <c r="H1393" i="5" l="1"/>
  <c r="G1393" i="5"/>
  <c r="F1394" i="5"/>
  <c r="K1391" i="5"/>
  <c r="L1391" i="5" s="1"/>
  <c r="N1392" i="5"/>
  <c r="J1392" i="5"/>
  <c r="I1392" i="5"/>
  <c r="K1392" i="5" l="1"/>
  <c r="L1392" i="5" s="1"/>
  <c r="N1393" i="5"/>
  <c r="H1394" i="5"/>
  <c r="G1394" i="5"/>
  <c r="F1395" i="5"/>
  <c r="I1394" i="5" s="1"/>
  <c r="M1392" i="5"/>
  <c r="M1391" i="5"/>
  <c r="J1393" i="5"/>
  <c r="I1393" i="5"/>
  <c r="J1394" i="5" l="1"/>
  <c r="N1394" i="5"/>
  <c r="K1393" i="5"/>
  <c r="L1393" i="5" s="1"/>
  <c r="H1395" i="5"/>
  <c r="G1395" i="5"/>
  <c r="F1396" i="5"/>
  <c r="I1395" i="5" s="1"/>
  <c r="G1396" i="5" l="1"/>
  <c r="H1396" i="5"/>
  <c r="F1397" i="5"/>
  <c r="I1396" i="5" s="1"/>
  <c r="J1395" i="5"/>
  <c r="M1393" i="5"/>
  <c r="N1395" i="5"/>
  <c r="K1394" i="5"/>
  <c r="L1394" i="5" s="1"/>
  <c r="J1396" i="5" l="1"/>
  <c r="K1395" i="5"/>
  <c r="L1395" i="5" s="1"/>
  <c r="N1396" i="5"/>
  <c r="F1398" i="5"/>
  <c r="G1397" i="5"/>
  <c r="H1397" i="5"/>
  <c r="J1397" i="5"/>
  <c r="M1394" i="5"/>
  <c r="G1398" i="5" l="1"/>
  <c r="H1398" i="5"/>
  <c r="F1399" i="5"/>
  <c r="K1397" i="5"/>
  <c r="I1397" i="5"/>
  <c r="M1395" i="5"/>
  <c r="K1396" i="5"/>
  <c r="L1396" i="5" s="1"/>
  <c r="M1396" i="5" s="1"/>
  <c r="N1397" i="5"/>
  <c r="N1398" i="5" s="1"/>
  <c r="L1397" i="5" l="1"/>
  <c r="H1399" i="5"/>
  <c r="G1399" i="5"/>
  <c r="F1400" i="5"/>
  <c r="I1399" i="5" s="1"/>
  <c r="I1398" i="5"/>
  <c r="J1398" i="5"/>
  <c r="M1397" i="5"/>
  <c r="K1398" i="5" l="1"/>
  <c r="L1398" i="5" s="1"/>
  <c r="N1399" i="5"/>
  <c r="G1400" i="5"/>
  <c r="H1400" i="5"/>
  <c r="F1401" i="5"/>
  <c r="J1400" i="5" s="1"/>
  <c r="J1399" i="5"/>
  <c r="K1400" i="5" l="1"/>
  <c r="K1399" i="5"/>
  <c r="L1399" i="5" s="1"/>
  <c r="N1400" i="5"/>
  <c r="N1401" i="5" s="1"/>
  <c r="G1401" i="5"/>
  <c r="H1401" i="5"/>
  <c r="F1402" i="5"/>
  <c r="I1401" i="5" s="1"/>
  <c r="I1400" i="5"/>
  <c r="M1398" i="5"/>
  <c r="J1401" i="5" l="1"/>
  <c r="N1402" i="5"/>
  <c r="K1401" i="5"/>
  <c r="L1401" i="5" s="1"/>
  <c r="M1399" i="5"/>
  <c r="G1402" i="5"/>
  <c r="H1402" i="5"/>
  <c r="I1402" i="5"/>
  <c r="J1402" i="5"/>
  <c r="F1403" i="5"/>
  <c r="L1400" i="5"/>
  <c r="M1401" i="5" s="1"/>
  <c r="N1403" i="5" l="1"/>
  <c r="K1402" i="5"/>
  <c r="L1402" i="5" s="1"/>
  <c r="M1402" i="5" s="1"/>
  <c r="M1400" i="5"/>
  <c r="G1403" i="5"/>
  <c r="H1403" i="5"/>
  <c r="F1404" i="5"/>
  <c r="I1403" i="5" s="1"/>
  <c r="J1403" i="5" l="1"/>
  <c r="N1404" i="5"/>
  <c r="K1403" i="5"/>
  <c r="L1403" i="5" s="1"/>
  <c r="M1403" i="5"/>
  <c r="F1405" i="5"/>
  <c r="J1404" i="5" s="1"/>
  <c r="G1404" i="5"/>
  <c r="H1404" i="5"/>
  <c r="I1404" i="5"/>
  <c r="K1404" i="5" l="1"/>
  <c r="L1404" i="5" s="1"/>
  <c r="N1405" i="5"/>
  <c r="G1405" i="5"/>
  <c r="F1406" i="5"/>
  <c r="H1405" i="5"/>
  <c r="I1405" i="5"/>
  <c r="J1405" i="5"/>
  <c r="M1404" i="5"/>
  <c r="K1405" i="5" l="1"/>
  <c r="L1405" i="5" s="1"/>
  <c r="N1406" i="5"/>
  <c r="G1406" i="5"/>
  <c r="H1406" i="5"/>
  <c r="F1407" i="5"/>
  <c r="M1405" i="5"/>
  <c r="H1407" i="5" l="1"/>
  <c r="G1407" i="5"/>
  <c r="F1408" i="5"/>
  <c r="J1406" i="5"/>
  <c r="I1406" i="5"/>
  <c r="K1406" i="5" l="1"/>
  <c r="L1406" i="5" s="1"/>
  <c r="N1407" i="5"/>
  <c r="G1408" i="5"/>
  <c r="H1408" i="5"/>
  <c r="F1409" i="5"/>
  <c r="J1408" i="5" s="1"/>
  <c r="J1407" i="5"/>
  <c r="I1407" i="5"/>
  <c r="K1408" i="5" l="1"/>
  <c r="K1407" i="5"/>
  <c r="L1407" i="5" s="1"/>
  <c r="N1408" i="5"/>
  <c r="N1409" i="5" s="1"/>
  <c r="G1409" i="5"/>
  <c r="H1409" i="5"/>
  <c r="F1410" i="5"/>
  <c r="J1409" i="5" s="1"/>
  <c r="I1408" i="5"/>
  <c r="M1406" i="5"/>
  <c r="I1409" i="5" l="1"/>
  <c r="M1407" i="5"/>
  <c r="N1410" i="5"/>
  <c r="K1409" i="5"/>
  <c r="L1409" i="5" s="1"/>
  <c r="G1410" i="5"/>
  <c r="H1410" i="5"/>
  <c r="I1410" i="5"/>
  <c r="J1410" i="5"/>
  <c r="F1411" i="5"/>
  <c r="L1408" i="5"/>
  <c r="N1411" i="5" l="1"/>
  <c r="K1410" i="5"/>
  <c r="L1410" i="5" s="1"/>
  <c r="M1409" i="5"/>
  <c r="M1410" i="5"/>
  <c r="G1411" i="5"/>
  <c r="H1411" i="5"/>
  <c r="I1411" i="5"/>
  <c r="J1411" i="5"/>
  <c r="F1412" i="5"/>
  <c r="M1408" i="5"/>
  <c r="K1411" i="5" l="1"/>
  <c r="L1411" i="5" s="1"/>
  <c r="N1412" i="5"/>
  <c r="M1411" i="5"/>
  <c r="F1413" i="5"/>
  <c r="I1412" i="5" s="1"/>
  <c r="G1412" i="5"/>
  <c r="H1412" i="5"/>
  <c r="J1412" i="5" l="1"/>
  <c r="F1414" i="5"/>
  <c r="G1413" i="5"/>
  <c r="H1413" i="5"/>
  <c r="I1413" i="5"/>
  <c r="J1413" i="5"/>
  <c r="K1413" i="5" l="1"/>
  <c r="G1414" i="5"/>
  <c r="H1414" i="5"/>
  <c r="F1415" i="5"/>
  <c r="I1414" i="5" s="1"/>
  <c r="K1412" i="5"/>
  <c r="L1412" i="5" s="1"/>
  <c r="N1413" i="5"/>
  <c r="N1414" i="5" s="1"/>
  <c r="H1415" i="5" l="1"/>
  <c r="G1415" i="5"/>
  <c r="F1416" i="5"/>
  <c r="I1415" i="5" s="1"/>
  <c r="M1412" i="5"/>
  <c r="J1414" i="5"/>
  <c r="L1413" i="5"/>
  <c r="M1413" i="5" s="1"/>
  <c r="K1414" i="5" l="1"/>
  <c r="L1414" i="5" s="1"/>
  <c r="M1414" i="5" s="1"/>
  <c r="N1415" i="5"/>
  <c r="G1416" i="5"/>
  <c r="H1416" i="5"/>
  <c r="F1417" i="5"/>
  <c r="I1416" i="5" s="1"/>
  <c r="J1415" i="5"/>
  <c r="G1417" i="5" l="1"/>
  <c r="H1417" i="5"/>
  <c r="F1418" i="5"/>
  <c r="K1415" i="5"/>
  <c r="L1415" i="5" s="1"/>
  <c r="N1416" i="5"/>
  <c r="J1416" i="5"/>
  <c r="K1416" i="5" l="1"/>
  <c r="L1416" i="5" s="1"/>
  <c r="N1417" i="5"/>
  <c r="H1418" i="5"/>
  <c r="G1418" i="5"/>
  <c r="F1419" i="5"/>
  <c r="J1417" i="5"/>
  <c r="I1417" i="5"/>
  <c r="M1415" i="5"/>
  <c r="H1419" i="5" l="1"/>
  <c r="G1419" i="5"/>
  <c r="F1420" i="5"/>
  <c r="I1418" i="5"/>
  <c r="J1418" i="5"/>
  <c r="N1418" i="5"/>
  <c r="K1417" i="5"/>
  <c r="L1417" i="5" s="1"/>
  <c r="M1417" i="5" s="1"/>
  <c r="M1416" i="5"/>
  <c r="F1421" i="5" l="1"/>
  <c r="G1420" i="5"/>
  <c r="H1420" i="5"/>
  <c r="I1420" i="5"/>
  <c r="J1419" i="5"/>
  <c r="I1419" i="5"/>
  <c r="N1419" i="5"/>
  <c r="K1418" i="5"/>
  <c r="L1418" i="5" s="1"/>
  <c r="M1418" i="5" s="1"/>
  <c r="J1420" i="5" l="1"/>
  <c r="K1420" i="5" s="1"/>
  <c r="L1420" i="5" s="1"/>
  <c r="N1420" i="5"/>
  <c r="K1419" i="5"/>
  <c r="L1419" i="5" s="1"/>
  <c r="F1422" i="5"/>
  <c r="G1421" i="5"/>
  <c r="H1421" i="5"/>
  <c r="M1420" i="5" l="1"/>
  <c r="N1421" i="5"/>
  <c r="M1419" i="5"/>
  <c r="G1422" i="5"/>
  <c r="H1422" i="5"/>
  <c r="F1423" i="5"/>
  <c r="J1421" i="5"/>
  <c r="I1421" i="5"/>
  <c r="K1421" i="5" l="1"/>
  <c r="L1421" i="5" s="1"/>
  <c r="N1422" i="5"/>
  <c r="G1423" i="5"/>
  <c r="H1423" i="5"/>
  <c r="F1424" i="5"/>
  <c r="J1423" i="5" s="1"/>
  <c r="J1422" i="5"/>
  <c r="I1422" i="5"/>
  <c r="K1423" i="5" l="1"/>
  <c r="K1422" i="5"/>
  <c r="L1422" i="5" s="1"/>
  <c r="N1423" i="5"/>
  <c r="N1424" i="5" s="1"/>
  <c r="G1424" i="5"/>
  <c r="H1424" i="5"/>
  <c r="F1425" i="5"/>
  <c r="I1424" i="5" s="1"/>
  <c r="I1423" i="5"/>
  <c r="M1421" i="5"/>
  <c r="J1424" i="5" l="1"/>
  <c r="N1425" i="5" s="1"/>
  <c r="M1422" i="5"/>
  <c r="G1425" i="5"/>
  <c r="H1425" i="5"/>
  <c r="J1425" i="5"/>
  <c r="I1425" i="5"/>
  <c r="F1426" i="5"/>
  <c r="L1423" i="5"/>
  <c r="M1423" i="5" s="1"/>
  <c r="K1424" i="5" l="1"/>
  <c r="L1424" i="5" s="1"/>
  <c r="M1424" i="5" s="1"/>
  <c r="N1426" i="5"/>
  <c r="K1425" i="5"/>
  <c r="L1425" i="5" s="1"/>
  <c r="H1426" i="5"/>
  <c r="G1426" i="5"/>
  <c r="F1427" i="5"/>
  <c r="J1426" i="5" s="1"/>
  <c r="I1426" i="5" l="1"/>
  <c r="N1427" i="5"/>
  <c r="K1426" i="5"/>
  <c r="L1426" i="5" s="1"/>
  <c r="M1425" i="5"/>
  <c r="G1427" i="5"/>
  <c r="H1427" i="5"/>
  <c r="F1428" i="5"/>
  <c r="J1427" i="5" s="1"/>
  <c r="I1427" i="5" l="1"/>
  <c r="K1427" i="5"/>
  <c r="L1427" i="5" s="1"/>
  <c r="N1428" i="5"/>
  <c r="M1426" i="5"/>
  <c r="F1429" i="5"/>
  <c r="I1428" i="5" s="1"/>
  <c r="G1428" i="5"/>
  <c r="H1428" i="5"/>
  <c r="F1430" i="5" l="1"/>
  <c r="G1429" i="5"/>
  <c r="H1429" i="5"/>
  <c r="J1429" i="5"/>
  <c r="I1429" i="5"/>
  <c r="J1428" i="5"/>
  <c r="M1427" i="5"/>
  <c r="K1428" i="5" l="1"/>
  <c r="L1428" i="5" s="1"/>
  <c r="N1429" i="5"/>
  <c r="K1429" i="5"/>
  <c r="L1429" i="5" s="1"/>
  <c r="N1430" i="5"/>
  <c r="G1430" i="5"/>
  <c r="H1430" i="5"/>
  <c r="J1430" i="5" s="1"/>
  <c r="I1430" i="5"/>
  <c r="F1431" i="5"/>
  <c r="K1430" i="5" l="1"/>
  <c r="L1430" i="5" s="1"/>
  <c r="M1430" i="5" s="1"/>
  <c r="N1431" i="5"/>
  <c r="H1431" i="5"/>
  <c r="G1431" i="5"/>
  <c r="F1432" i="5"/>
  <c r="J1431" i="5" s="1"/>
  <c r="M1429" i="5"/>
  <c r="M1428" i="5"/>
  <c r="K1431" i="5" l="1"/>
  <c r="L1431" i="5" s="1"/>
  <c r="N1432" i="5"/>
  <c r="G1432" i="5"/>
  <c r="H1432" i="5"/>
  <c r="F1433" i="5"/>
  <c r="I1432" i="5" s="1"/>
  <c r="I1431" i="5"/>
  <c r="M1431" i="5"/>
  <c r="J1432" i="5" l="1"/>
  <c r="H1433" i="5"/>
  <c r="G1433" i="5"/>
  <c r="F1434" i="5"/>
  <c r="H1434" i="5" l="1"/>
  <c r="G1434" i="5"/>
  <c r="F1435" i="5"/>
  <c r="I1434" i="5" s="1"/>
  <c r="I1433" i="5"/>
  <c r="J1433" i="5"/>
  <c r="K1432" i="5"/>
  <c r="L1432" i="5" s="1"/>
  <c r="N1433" i="5"/>
  <c r="N1434" i="5" l="1"/>
  <c r="K1433" i="5"/>
  <c r="L1433" i="5" s="1"/>
  <c r="M1433" i="5"/>
  <c r="M1432" i="5"/>
  <c r="J1434" i="5"/>
  <c r="G1435" i="5"/>
  <c r="H1435" i="5"/>
  <c r="I1435" i="5"/>
  <c r="F1436" i="5"/>
  <c r="N1435" i="5" l="1"/>
  <c r="K1434" i="5"/>
  <c r="L1434" i="5" s="1"/>
  <c r="F1437" i="5"/>
  <c r="G1436" i="5"/>
  <c r="H1436" i="5"/>
  <c r="I1436" i="5"/>
  <c r="J1436" i="5"/>
  <c r="M1434" i="5"/>
  <c r="J1435" i="5"/>
  <c r="K1436" i="5" l="1"/>
  <c r="F1438" i="5"/>
  <c r="I1437" i="5" s="1"/>
  <c r="G1437" i="5"/>
  <c r="H1437" i="5"/>
  <c r="J1437" i="5"/>
  <c r="M1435" i="5"/>
  <c r="N1436" i="5"/>
  <c r="N1437" i="5" s="1"/>
  <c r="K1435" i="5"/>
  <c r="L1435" i="5" s="1"/>
  <c r="K1437" i="5" l="1"/>
  <c r="N1438" i="5"/>
  <c r="G1438" i="5"/>
  <c r="H1438" i="5"/>
  <c r="F1439" i="5"/>
  <c r="J1438" i="5" s="1"/>
  <c r="L1436" i="5"/>
  <c r="L1437" i="5" l="1"/>
  <c r="K1438" i="5"/>
  <c r="L1438" i="5" s="1"/>
  <c r="N1439" i="5"/>
  <c r="H1439" i="5"/>
  <c r="F1440" i="5"/>
  <c r="J1439" i="5" s="1"/>
  <c r="G1439" i="5"/>
  <c r="M1438" i="5"/>
  <c r="I1438" i="5"/>
  <c r="M1437" i="5"/>
  <c r="M1436" i="5"/>
  <c r="K1439" i="5" l="1"/>
  <c r="L1439" i="5" s="1"/>
  <c r="M1439" i="5" s="1"/>
  <c r="N1440" i="5"/>
  <c r="G1440" i="5"/>
  <c r="H1440" i="5"/>
  <c r="F1441" i="5"/>
  <c r="J1440" i="5" s="1"/>
  <c r="I1439" i="5"/>
  <c r="K1440" i="5" l="1"/>
  <c r="L1440" i="5" s="1"/>
  <c r="N1441" i="5"/>
  <c r="I1440" i="5"/>
  <c r="G1441" i="5"/>
  <c r="H1441" i="5"/>
  <c r="F1442" i="5"/>
  <c r="M1440" i="5"/>
  <c r="H1442" i="5" l="1"/>
  <c r="G1442" i="5"/>
  <c r="F1443" i="5"/>
  <c r="I1441" i="5"/>
  <c r="J1441" i="5"/>
  <c r="G1443" i="5" l="1"/>
  <c r="H1443" i="5"/>
  <c r="F1444" i="5"/>
  <c r="I1442" i="5"/>
  <c r="N1442" i="5"/>
  <c r="K1441" i="5"/>
  <c r="L1441" i="5" s="1"/>
  <c r="J1442" i="5"/>
  <c r="F1445" i="5" l="1"/>
  <c r="I1444" i="5" s="1"/>
  <c r="H1444" i="5"/>
  <c r="G1444" i="5"/>
  <c r="I1443" i="5"/>
  <c r="M1441" i="5"/>
  <c r="J1443" i="5"/>
  <c r="N1443" i="5"/>
  <c r="K1442" i="5"/>
  <c r="L1442" i="5" s="1"/>
  <c r="M1442" i="5" s="1"/>
  <c r="J1444" i="5" l="1"/>
  <c r="K1444" i="5" s="1"/>
  <c r="K1443" i="5"/>
  <c r="L1443" i="5" s="1"/>
  <c r="N1444" i="5"/>
  <c r="F1446" i="5"/>
  <c r="G1445" i="5"/>
  <c r="H1445" i="5"/>
  <c r="N1445" i="5" l="1"/>
  <c r="G1446" i="5"/>
  <c r="H1446" i="5"/>
  <c r="F1447" i="5"/>
  <c r="M1444" i="5"/>
  <c r="M1443" i="5"/>
  <c r="J1445" i="5"/>
  <c r="I1445" i="5"/>
  <c r="L1444" i="5"/>
  <c r="H1447" i="5" l="1"/>
  <c r="G1447" i="5"/>
  <c r="F1448" i="5"/>
  <c r="I1447" i="5" s="1"/>
  <c r="K1445" i="5"/>
  <c r="L1445" i="5" s="1"/>
  <c r="N1446" i="5"/>
  <c r="J1446" i="5"/>
  <c r="I1446" i="5"/>
  <c r="K1446" i="5" l="1"/>
  <c r="L1446" i="5" s="1"/>
  <c r="M1446" i="5" s="1"/>
  <c r="N1447" i="5"/>
  <c r="G1448" i="5"/>
  <c r="H1448" i="5"/>
  <c r="F1449" i="5"/>
  <c r="J1448" i="5" s="1"/>
  <c r="J1447" i="5"/>
  <c r="M1445" i="5"/>
  <c r="K1448" i="5" l="1"/>
  <c r="L1448" i="5" s="1"/>
  <c r="N1449" i="5"/>
  <c r="G1449" i="5"/>
  <c r="H1449" i="5"/>
  <c r="F1450" i="5"/>
  <c r="I1448" i="5"/>
  <c r="K1447" i="5"/>
  <c r="L1447" i="5" s="1"/>
  <c r="N1448" i="5"/>
  <c r="M1447" i="5"/>
  <c r="M1448" i="5" l="1"/>
  <c r="G1450" i="5"/>
  <c r="H1450" i="5"/>
  <c r="F1451" i="5"/>
  <c r="I1449" i="5"/>
  <c r="J1449" i="5"/>
  <c r="N1450" i="5" l="1"/>
  <c r="K1449" i="5"/>
  <c r="L1449" i="5" s="1"/>
  <c r="G1451" i="5"/>
  <c r="H1451" i="5"/>
  <c r="F1452" i="5"/>
  <c r="I1451" i="5" s="1"/>
  <c r="J1450" i="5"/>
  <c r="I1450" i="5"/>
  <c r="J1451" i="5" l="1"/>
  <c r="N1451" i="5"/>
  <c r="K1450" i="5"/>
  <c r="L1450" i="5" s="1"/>
  <c r="F1453" i="5"/>
  <c r="G1452" i="5"/>
  <c r="H1452" i="5"/>
  <c r="I1452" i="5"/>
  <c r="M1449" i="5"/>
  <c r="F1454" i="5" l="1"/>
  <c r="I1453" i="5" s="1"/>
  <c r="G1453" i="5"/>
  <c r="H1453" i="5"/>
  <c r="J1452" i="5"/>
  <c r="M1450" i="5"/>
  <c r="N1452" i="5"/>
  <c r="K1451" i="5"/>
  <c r="L1451" i="5" s="1"/>
  <c r="M1451" i="5" s="1"/>
  <c r="J1453" i="5" l="1"/>
  <c r="K1453" i="5"/>
  <c r="K1452" i="5"/>
  <c r="L1452" i="5" s="1"/>
  <c r="N1453" i="5"/>
  <c r="N1454" i="5" s="1"/>
  <c r="G1454" i="5"/>
  <c r="H1454" i="5"/>
  <c r="F1455" i="5"/>
  <c r="I1454" i="5" s="1"/>
  <c r="M1452" i="5" l="1"/>
  <c r="H1455" i="5"/>
  <c r="G1455" i="5"/>
  <c r="F1456" i="5"/>
  <c r="J1455" i="5" s="1"/>
  <c r="J1454" i="5"/>
  <c r="L1453" i="5"/>
  <c r="K1455" i="5" l="1"/>
  <c r="I1455" i="5"/>
  <c r="K1454" i="5"/>
  <c r="L1454" i="5" s="1"/>
  <c r="M1454" i="5" s="1"/>
  <c r="N1455" i="5"/>
  <c r="N1456" i="5" s="1"/>
  <c r="G1456" i="5"/>
  <c r="H1456" i="5"/>
  <c r="F1457" i="5"/>
  <c r="J1456" i="5" s="1"/>
  <c r="M1453" i="5"/>
  <c r="K1456" i="5" l="1"/>
  <c r="N1457" i="5"/>
  <c r="H1457" i="5"/>
  <c r="G1457" i="5"/>
  <c r="F1458" i="5"/>
  <c r="J1457" i="5" s="1"/>
  <c r="I1456" i="5"/>
  <c r="L1455" i="5"/>
  <c r="M1455" i="5" s="1"/>
  <c r="N1458" i="5" l="1"/>
  <c r="K1457" i="5"/>
  <c r="L1457" i="5" s="1"/>
  <c r="I1457" i="5"/>
  <c r="H1458" i="5"/>
  <c r="G1458" i="5"/>
  <c r="F1459" i="5"/>
  <c r="J1458" i="5" s="1"/>
  <c r="L1456" i="5"/>
  <c r="M1456" i="5" s="1"/>
  <c r="I1458" i="5" l="1"/>
  <c r="N1459" i="5"/>
  <c r="K1458" i="5"/>
  <c r="L1458" i="5" s="1"/>
  <c r="M1457" i="5"/>
  <c r="H1459" i="5"/>
  <c r="G1459" i="5"/>
  <c r="F1460" i="5"/>
  <c r="J1459" i="5" s="1"/>
  <c r="I1459" i="5" l="1"/>
  <c r="K1459" i="5"/>
  <c r="L1459" i="5" s="1"/>
  <c r="N1460" i="5"/>
  <c r="M1459" i="5"/>
  <c r="F1461" i="5"/>
  <c r="J1460" i="5" s="1"/>
  <c r="G1460" i="5"/>
  <c r="H1460" i="5"/>
  <c r="M1458" i="5"/>
  <c r="I1460" i="5" l="1"/>
  <c r="K1460" i="5"/>
  <c r="L1460" i="5" s="1"/>
  <c r="M1460" i="5" s="1"/>
  <c r="N1461" i="5"/>
  <c r="F1462" i="5"/>
  <c r="G1461" i="5"/>
  <c r="H1461" i="5"/>
  <c r="I1461" i="5"/>
  <c r="J1461" i="5"/>
  <c r="K1461" i="5" l="1"/>
  <c r="L1461" i="5" s="1"/>
  <c r="M1461" i="5" s="1"/>
  <c r="N1462" i="5"/>
  <c r="G1462" i="5"/>
  <c r="H1462" i="5"/>
  <c r="F1463" i="5"/>
  <c r="H1463" i="5" l="1"/>
  <c r="G1463" i="5"/>
  <c r="F1464" i="5"/>
  <c r="I1463" i="5" s="1"/>
  <c r="J1462" i="5"/>
  <c r="I1462" i="5"/>
  <c r="K1462" i="5" l="1"/>
  <c r="N1463" i="5"/>
  <c r="G1464" i="5"/>
  <c r="H1464" i="5"/>
  <c r="F1465" i="5"/>
  <c r="I1464" i="5" s="1"/>
  <c r="J1463" i="5"/>
  <c r="K1463" i="5" l="1"/>
  <c r="N1464" i="5"/>
  <c r="G1465" i="5"/>
  <c r="H1465" i="5"/>
  <c r="F1466" i="5"/>
  <c r="J1464" i="5"/>
  <c r="L1462" i="5"/>
  <c r="H5" i="12"/>
  <c r="K57" i="4" s="1"/>
  <c r="K1464" i="5" l="1"/>
  <c r="N1465" i="5"/>
  <c r="G1466" i="5"/>
  <c r="H1466" i="5"/>
  <c r="F1467" i="5"/>
  <c r="I1465" i="5"/>
  <c r="J1465" i="5"/>
  <c r="M1462" i="5"/>
  <c r="L1463" i="5"/>
  <c r="G1467" i="5" l="1"/>
  <c r="H1467" i="5"/>
  <c r="F1468" i="5"/>
  <c r="J1466" i="5"/>
  <c r="I1466" i="5"/>
  <c r="M1463" i="5"/>
  <c r="N1466" i="5"/>
  <c r="K1465" i="5"/>
  <c r="L1464" i="5"/>
  <c r="M1464" i="5" s="1"/>
  <c r="F1469" i="5" l="1"/>
  <c r="I1468" i="5" s="1"/>
  <c r="H1468" i="5"/>
  <c r="G1468" i="5"/>
  <c r="J1467" i="5"/>
  <c r="N1467" i="5"/>
  <c r="K1466" i="5"/>
  <c r="I1467" i="5"/>
  <c r="L1465" i="5"/>
  <c r="L1466" i="5" l="1"/>
  <c r="M1466" i="5" s="1"/>
  <c r="J1468" i="5"/>
  <c r="K1468" i="5" s="1"/>
  <c r="N1468" i="5"/>
  <c r="K1467" i="5"/>
  <c r="L1467" i="5" s="1"/>
  <c r="M1465" i="5"/>
  <c r="F1470" i="5"/>
  <c r="I1469" i="5" s="1"/>
  <c r="G1469" i="5"/>
  <c r="H1469" i="5"/>
  <c r="N1469" i="5" l="1"/>
  <c r="G1470" i="5"/>
  <c r="H1470" i="5"/>
  <c r="F1471" i="5"/>
  <c r="I1470" i="5" s="1"/>
  <c r="J1469" i="5"/>
  <c r="L1468" i="5"/>
  <c r="M1467" i="5"/>
  <c r="J1470" i="5" l="1"/>
  <c r="K1469" i="5"/>
  <c r="L1469" i="5" s="1"/>
  <c r="N1470" i="5"/>
  <c r="H1471" i="5"/>
  <c r="G1471" i="5"/>
  <c r="F1472" i="5"/>
  <c r="I1471" i="5" s="1"/>
  <c r="M1468" i="5"/>
  <c r="J1471" i="5" l="1"/>
  <c r="K1470" i="5"/>
  <c r="L1470" i="5" s="1"/>
  <c r="N1471" i="5"/>
  <c r="N1472" i="5" s="1"/>
  <c r="K1471" i="5"/>
  <c r="L1471" i="5" s="1"/>
  <c r="G1472" i="5"/>
  <c r="H1472" i="5"/>
  <c r="J1472" i="5" s="1"/>
  <c r="F1473" i="5"/>
  <c r="M1469" i="5"/>
  <c r="N1473" i="5" l="1"/>
  <c r="K1472" i="5"/>
  <c r="L1472" i="5" s="1"/>
  <c r="M1472" i="5" s="1"/>
  <c r="M1471" i="5"/>
  <c r="G1473" i="5"/>
  <c r="H1473" i="5"/>
  <c r="I1473" i="5"/>
  <c r="J1473" i="5"/>
  <c r="F1474" i="5"/>
  <c r="I1472" i="5"/>
  <c r="M1470" i="5"/>
  <c r="N1474" i="5" l="1"/>
  <c r="K1473" i="5"/>
  <c r="L1473" i="5" s="1"/>
  <c r="M1473" i="5" s="1"/>
  <c r="G1474" i="5"/>
  <c r="H1474" i="5"/>
  <c r="F1475" i="5"/>
  <c r="J1474" i="5" s="1"/>
  <c r="N1475" i="5" l="1"/>
  <c r="K1474" i="5"/>
  <c r="L1474" i="5" s="1"/>
  <c r="I1474" i="5"/>
  <c r="G1475" i="5"/>
  <c r="H1475" i="5"/>
  <c r="F1476" i="5"/>
  <c r="F1477" i="5" l="1"/>
  <c r="I1476" i="5" s="1"/>
  <c r="G1476" i="5"/>
  <c r="H1476" i="5"/>
  <c r="I1475" i="5"/>
  <c r="J1475" i="5"/>
  <c r="M1474" i="5"/>
  <c r="J1476" i="5" l="1"/>
  <c r="K1476" i="5"/>
  <c r="L1476" i="5" s="1"/>
  <c r="N1477" i="5"/>
  <c r="K1475" i="5"/>
  <c r="L1475" i="5" s="1"/>
  <c r="N1476" i="5"/>
  <c r="F1478" i="5"/>
  <c r="I1477" i="5" s="1"/>
  <c r="G1477" i="5"/>
  <c r="H1477" i="5"/>
  <c r="G1478" i="5" l="1"/>
  <c r="H1478" i="5"/>
  <c r="F1479" i="5"/>
  <c r="M1476" i="5"/>
  <c r="M1475" i="5"/>
  <c r="J1477" i="5"/>
  <c r="K1477" i="5" l="1"/>
  <c r="L1477" i="5" s="1"/>
  <c r="N1478" i="5"/>
  <c r="H1479" i="5"/>
  <c r="G1479" i="5"/>
  <c r="F1480" i="5"/>
  <c r="J1479" i="5" s="1"/>
  <c r="J1478" i="5"/>
  <c r="I1478" i="5"/>
  <c r="K1479" i="5" l="1"/>
  <c r="K1478" i="5"/>
  <c r="L1478" i="5" s="1"/>
  <c r="N1479" i="5"/>
  <c r="N1480" i="5" s="1"/>
  <c r="G1480" i="5"/>
  <c r="H1480" i="5"/>
  <c r="F1481" i="5"/>
  <c r="J1480" i="5" s="1"/>
  <c r="I1479" i="5"/>
  <c r="M1477" i="5"/>
  <c r="I1480" i="5" l="1"/>
  <c r="K1480" i="5"/>
  <c r="N1481" i="5"/>
  <c r="M1478" i="5"/>
  <c r="G1481" i="5"/>
  <c r="H1481" i="5"/>
  <c r="F1482" i="5"/>
  <c r="I1481" i="5" s="1"/>
  <c r="L1479" i="5"/>
  <c r="M1479" i="5" s="1"/>
  <c r="J1481" i="5" l="1"/>
  <c r="N1482" i="5"/>
  <c r="K1481" i="5"/>
  <c r="L1481" i="5" s="1"/>
  <c r="H1482" i="5"/>
  <c r="G1482" i="5"/>
  <c r="F1483" i="5"/>
  <c r="L1480" i="5"/>
  <c r="M1480" i="5" s="1"/>
  <c r="G1483" i="5" l="1"/>
  <c r="H1483" i="5"/>
  <c r="F1484" i="5"/>
  <c r="J1482" i="5"/>
  <c r="I1482" i="5"/>
  <c r="M1481" i="5"/>
  <c r="F1485" i="5" l="1"/>
  <c r="G1484" i="5"/>
  <c r="H1484" i="5"/>
  <c r="I1484" i="5"/>
  <c r="J1484" i="5"/>
  <c r="I1483" i="5"/>
  <c r="J1483" i="5"/>
  <c r="N1483" i="5"/>
  <c r="K1482" i="5"/>
  <c r="L1482" i="5" s="1"/>
  <c r="K1484" i="5" l="1"/>
  <c r="N1484" i="5"/>
  <c r="N1485" i="5" s="1"/>
  <c r="K1483" i="5"/>
  <c r="L1483" i="5" s="1"/>
  <c r="M1483" i="5" s="1"/>
  <c r="M1482" i="5"/>
  <c r="F1486" i="5"/>
  <c r="G1485" i="5"/>
  <c r="H1485" i="5"/>
  <c r="G1486" i="5" l="1"/>
  <c r="H1486" i="5"/>
  <c r="F1487" i="5"/>
  <c r="J1485" i="5"/>
  <c r="I1485" i="5"/>
  <c r="L1484" i="5"/>
  <c r="M1484" i="5" s="1"/>
  <c r="G1487" i="5" l="1"/>
  <c r="H1487" i="5"/>
  <c r="F1488" i="5"/>
  <c r="J1486" i="5"/>
  <c r="K1485" i="5"/>
  <c r="L1485" i="5" s="1"/>
  <c r="N1486" i="5"/>
  <c r="I1486" i="5"/>
  <c r="G1488" i="5" l="1"/>
  <c r="H1488" i="5"/>
  <c r="F1489" i="5"/>
  <c r="K1486" i="5"/>
  <c r="L1486" i="5" s="1"/>
  <c r="N1487" i="5"/>
  <c r="J1487" i="5"/>
  <c r="I1487" i="5"/>
  <c r="M1485" i="5"/>
  <c r="G1489" i="5" l="1"/>
  <c r="H1489" i="5"/>
  <c r="F1490" i="5"/>
  <c r="K1487" i="5"/>
  <c r="L1487" i="5" s="1"/>
  <c r="N1488" i="5"/>
  <c r="I1488" i="5"/>
  <c r="J1488" i="5"/>
  <c r="M1486" i="5"/>
  <c r="H1490" i="5" l="1"/>
  <c r="G1490" i="5"/>
  <c r="F1491" i="5"/>
  <c r="J1489" i="5"/>
  <c r="I1489" i="5"/>
  <c r="K1488" i="5"/>
  <c r="L1488" i="5" s="1"/>
  <c r="M1488" i="5" s="1"/>
  <c r="N1489" i="5"/>
  <c r="M1487" i="5"/>
  <c r="G1491" i="5" l="1"/>
  <c r="H1491" i="5"/>
  <c r="F1492" i="5"/>
  <c r="J1490" i="5"/>
  <c r="N1490" i="5"/>
  <c r="K1489" i="5"/>
  <c r="L1489" i="5" s="1"/>
  <c r="M1489" i="5" s="1"/>
  <c r="I1490" i="5"/>
  <c r="N1491" i="5" l="1"/>
  <c r="K1490" i="5"/>
  <c r="L1490" i="5" s="1"/>
  <c r="M1490" i="5" s="1"/>
  <c r="F1493" i="5"/>
  <c r="J1492" i="5" s="1"/>
  <c r="G1492" i="5"/>
  <c r="H1492" i="5"/>
  <c r="I1491" i="5"/>
  <c r="J1491" i="5"/>
  <c r="I1492" i="5" l="1"/>
  <c r="K1492" i="5"/>
  <c r="F1494" i="5"/>
  <c r="J1493" i="5" s="1"/>
  <c r="G1493" i="5"/>
  <c r="H1493" i="5"/>
  <c r="K1491" i="5"/>
  <c r="L1491" i="5" s="1"/>
  <c r="N1492" i="5"/>
  <c r="N1493" i="5" s="1"/>
  <c r="K1493" i="5" l="1"/>
  <c r="N1494" i="5"/>
  <c r="G1494" i="5"/>
  <c r="H1494" i="5"/>
  <c r="F1495" i="5"/>
  <c r="M1491" i="5"/>
  <c r="I1493" i="5"/>
  <c r="L1492" i="5"/>
  <c r="H1495" i="5" l="1"/>
  <c r="G1495" i="5"/>
  <c r="F1496" i="5"/>
  <c r="I1494" i="5"/>
  <c r="J1494" i="5"/>
  <c r="M1492" i="5"/>
  <c r="L1493" i="5"/>
  <c r="M1493" i="5" s="1"/>
  <c r="G1496" i="5" l="1"/>
  <c r="H1496" i="5"/>
  <c r="F1497" i="5"/>
  <c r="K1494" i="5"/>
  <c r="L1494" i="5" s="1"/>
  <c r="N1495" i="5"/>
  <c r="J1495" i="5"/>
  <c r="I1495" i="5"/>
  <c r="K1495" i="5" l="1"/>
  <c r="L1495" i="5" s="1"/>
  <c r="M1495" i="5" s="1"/>
  <c r="N1496" i="5"/>
  <c r="H1497" i="5"/>
  <c r="G1497" i="5"/>
  <c r="F1498" i="5"/>
  <c r="I1496" i="5"/>
  <c r="J1496" i="5"/>
  <c r="M1494" i="5"/>
  <c r="K1496" i="5" l="1"/>
  <c r="L1496" i="5" s="1"/>
  <c r="N1497" i="5"/>
  <c r="H1498" i="5"/>
  <c r="G1498" i="5"/>
  <c r="F1499" i="5"/>
  <c r="J1498" i="5" s="1"/>
  <c r="I1497" i="5"/>
  <c r="J1497" i="5"/>
  <c r="M1496" i="5"/>
  <c r="K1498" i="5" l="1"/>
  <c r="G1499" i="5"/>
  <c r="H1499" i="5"/>
  <c r="F1500" i="5"/>
  <c r="I1498" i="5"/>
  <c r="N1498" i="5"/>
  <c r="N1499" i="5" s="1"/>
  <c r="K1497" i="5"/>
  <c r="L1497" i="5" s="1"/>
  <c r="M1497" i="5" s="1"/>
  <c r="G1500" i="5" l="1"/>
  <c r="H1500" i="5"/>
  <c r="F1501" i="5"/>
  <c r="I1500" i="5" s="1"/>
  <c r="J1499" i="5"/>
  <c r="I1499" i="5"/>
  <c r="L1498" i="5"/>
  <c r="M1498" i="5" s="1"/>
  <c r="J1500" i="5" l="1"/>
  <c r="K1500" i="5"/>
  <c r="N1500" i="5"/>
  <c r="N1501" i="5" s="1"/>
  <c r="K1499" i="5"/>
  <c r="L1499" i="5" s="1"/>
  <c r="F1502" i="5"/>
  <c r="G1501" i="5"/>
  <c r="H1501" i="5"/>
  <c r="G1502" i="5" l="1"/>
  <c r="H1502" i="5"/>
  <c r="F1503" i="5"/>
  <c r="I1501" i="5"/>
  <c r="M1499" i="5"/>
  <c r="J1501" i="5"/>
  <c r="L1500" i="5"/>
  <c r="H1503" i="5" l="1"/>
  <c r="G1503" i="5"/>
  <c r="F1504" i="5"/>
  <c r="J1502" i="5"/>
  <c r="I1502" i="5"/>
  <c r="K1501" i="5"/>
  <c r="L1501" i="5" s="1"/>
  <c r="M1501" i="5" s="1"/>
  <c r="N1502" i="5"/>
  <c r="M1500" i="5"/>
  <c r="G1504" i="5" l="1"/>
  <c r="H1504" i="5"/>
  <c r="F1505" i="5"/>
  <c r="J1503" i="5"/>
  <c r="I1503" i="5"/>
  <c r="K1502" i="5"/>
  <c r="L1502" i="5" s="1"/>
  <c r="N1503" i="5"/>
  <c r="K1503" i="5" l="1"/>
  <c r="L1503" i="5" s="1"/>
  <c r="N1504" i="5"/>
  <c r="G1505" i="5"/>
  <c r="H1505" i="5"/>
  <c r="F1506" i="5"/>
  <c r="J1505" i="5" s="1"/>
  <c r="I1504" i="5"/>
  <c r="J1504" i="5"/>
  <c r="M1502" i="5"/>
  <c r="N1506" i="5" l="1"/>
  <c r="K1505" i="5"/>
  <c r="I1505" i="5"/>
  <c r="H1506" i="5"/>
  <c r="G1506" i="5"/>
  <c r="F1507" i="5"/>
  <c r="I1506" i="5" s="1"/>
  <c r="K1504" i="5"/>
  <c r="L1504" i="5" s="1"/>
  <c r="M1504" i="5" s="1"/>
  <c r="N1505" i="5"/>
  <c r="M1503" i="5"/>
  <c r="J1506" i="5" l="1"/>
  <c r="L1505" i="5"/>
  <c r="G5" i="12"/>
  <c r="J57" i="4" s="1"/>
  <c r="N1507" i="5"/>
  <c r="K1506" i="5"/>
  <c r="L1506" i="5" s="1"/>
  <c r="M1505" i="5"/>
  <c r="G1507" i="5"/>
  <c r="I1507" i="5"/>
  <c r="H1507" i="5"/>
  <c r="F1508" i="5"/>
  <c r="F1509" i="5" l="1"/>
  <c r="H1508" i="5"/>
  <c r="G1508" i="5"/>
  <c r="J1508" i="5"/>
  <c r="J1507" i="5"/>
  <c r="M1506" i="5"/>
  <c r="K1507" i="5" l="1"/>
  <c r="L1507" i="5" s="1"/>
  <c r="N1508" i="5"/>
  <c r="F1510" i="5"/>
  <c r="I1509" i="5" s="1"/>
  <c r="G1509" i="5"/>
  <c r="H1509" i="5"/>
  <c r="K1508" i="5"/>
  <c r="L1508" i="5" s="1"/>
  <c r="N1509" i="5"/>
  <c r="I1508" i="5"/>
  <c r="G1510" i="5" l="1"/>
  <c r="H1510" i="5"/>
  <c r="F1511" i="5"/>
  <c r="J1509" i="5"/>
  <c r="M1508" i="5"/>
  <c r="M1507" i="5"/>
  <c r="K1509" i="5" l="1"/>
  <c r="L1509" i="5" s="1"/>
  <c r="N1510" i="5"/>
  <c r="H1511" i="5"/>
  <c r="G1511" i="5"/>
  <c r="F1512" i="5"/>
  <c r="J1510" i="5"/>
  <c r="I1510" i="5"/>
  <c r="G1512" i="5" l="1"/>
  <c r="H1512" i="5"/>
  <c r="F1513" i="5"/>
  <c r="I1511" i="5"/>
  <c r="J1511" i="5"/>
  <c r="K1510" i="5"/>
  <c r="L1510" i="5" s="1"/>
  <c r="N1511" i="5"/>
  <c r="M1509" i="5"/>
  <c r="G1513" i="5" l="1"/>
  <c r="H1513" i="5"/>
  <c r="F1514" i="5"/>
  <c r="I1513" i="5" s="1"/>
  <c r="K1511" i="5"/>
  <c r="L1511" i="5" s="1"/>
  <c r="M1511" i="5" s="1"/>
  <c r="N1512" i="5"/>
  <c r="I1512" i="5"/>
  <c r="J1512" i="5"/>
  <c r="M1510" i="5"/>
  <c r="G1514" i="5" l="1"/>
  <c r="H1514" i="5"/>
  <c r="F1515" i="5"/>
  <c r="J1514" i="5" s="1"/>
  <c r="J1513" i="5"/>
  <c r="K1512" i="5"/>
  <c r="L1512" i="5" s="1"/>
  <c r="N1513" i="5"/>
  <c r="K1514" i="5" l="1"/>
  <c r="I1514" i="5"/>
  <c r="N1514" i="5"/>
  <c r="N1515" i="5" s="1"/>
  <c r="K1513" i="5"/>
  <c r="L1513" i="5" s="1"/>
  <c r="G1515" i="5"/>
  <c r="H1515" i="5"/>
  <c r="F1516" i="5"/>
  <c r="M1512" i="5"/>
  <c r="L1514" i="5" l="1"/>
  <c r="F1517" i="5"/>
  <c r="G1516" i="5"/>
  <c r="H1516" i="5"/>
  <c r="I1516" i="5"/>
  <c r="J1516" i="5"/>
  <c r="M1513" i="5"/>
  <c r="J1515" i="5"/>
  <c r="I1515" i="5"/>
  <c r="K1516" i="5" l="1"/>
  <c r="F1518" i="5"/>
  <c r="I1517" i="5" s="1"/>
  <c r="G1517" i="5"/>
  <c r="H1517" i="5"/>
  <c r="N1516" i="5"/>
  <c r="N1517" i="5" s="1"/>
  <c r="K1515" i="5"/>
  <c r="L1515" i="5" s="1"/>
  <c r="M1514" i="5"/>
  <c r="J1517" i="5" l="1"/>
  <c r="L1516" i="5"/>
  <c r="G1518" i="5"/>
  <c r="H1518" i="5"/>
  <c r="F1519" i="5"/>
  <c r="J1518" i="5" s="1"/>
  <c r="M1516" i="5"/>
  <c r="M1515" i="5"/>
  <c r="K1518" i="5" l="1"/>
  <c r="H1519" i="5"/>
  <c r="G1519" i="5"/>
  <c r="F1520" i="5"/>
  <c r="I1519" i="5" s="1"/>
  <c r="I1518" i="5"/>
  <c r="K1517" i="5"/>
  <c r="L1517" i="5" s="1"/>
  <c r="M1517" i="5" s="1"/>
  <c r="N1518" i="5"/>
  <c r="N1519" i="5" s="1"/>
  <c r="J1519" i="5" l="1"/>
  <c r="G1520" i="5"/>
  <c r="H1520" i="5"/>
  <c r="F1521" i="5"/>
  <c r="I1520" i="5" s="1"/>
  <c r="L1518" i="5"/>
  <c r="H1521" i="5" l="1"/>
  <c r="G1521" i="5"/>
  <c r="F1522" i="5"/>
  <c r="J1521" i="5" s="1"/>
  <c r="J1520" i="5"/>
  <c r="M1518" i="5"/>
  <c r="K1519" i="5"/>
  <c r="L1519" i="5" s="1"/>
  <c r="N1520" i="5"/>
  <c r="K1521" i="5" l="1"/>
  <c r="K1520" i="5"/>
  <c r="L1520" i="5" s="1"/>
  <c r="M1520" i="5" s="1"/>
  <c r="N1521" i="5"/>
  <c r="N1522" i="5" s="1"/>
  <c r="I1521" i="5"/>
  <c r="H1522" i="5"/>
  <c r="G1522" i="5"/>
  <c r="F1523" i="5"/>
  <c r="I1522" i="5" s="1"/>
  <c r="M1519" i="5"/>
  <c r="L1521" i="5" l="1"/>
  <c r="M1521" i="5"/>
  <c r="G1523" i="5"/>
  <c r="H1523" i="5"/>
  <c r="F1524" i="5"/>
  <c r="J1523" i="5" s="1"/>
  <c r="J1522" i="5"/>
  <c r="K1523" i="5" l="1"/>
  <c r="N1523" i="5"/>
  <c r="N1524" i="5" s="1"/>
  <c r="K1522" i="5"/>
  <c r="L1522" i="5" s="1"/>
  <c r="M1522" i="5" s="1"/>
  <c r="F1525" i="5"/>
  <c r="G1524" i="5"/>
  <c r="I1524" i="5"/>
  <c r="H1524" i="5"/>
  <c r="I1523" i="5"/>
  <c r="F1526" i="5" l="1"/>
  <c r="G1525" i="5"/>
  <c r="H1525" i="5"/>
  <c r="I1525" i="5"/>
  <c r="J1525" i="5"/>
  <c r="J1524" i="5"/>
  <c r="L1523" i="5"/>
  <c r="K1525" i="5" l="1"/>
  <c r="L1525" i="5" s="1"/>
  <c r="N1526" i="5"/>
  <c r="K1524" i="5"/>
  <c r="L1524" i="5" s="1"/>
  <c r="M1525" i="5" s="1"/>
  <c r="N1525" i="5"/>
  <c r="M1524" i="5"/>
  <c r="M1523" i="5"/>
  <c r="G1526" i="5"/>
  <c r="I1526" i="5"/>
  <c r="H1526" i="5"/>
  <c r="F1527" i="5"/>
  <c r="H1527" i="5" l="1"/>
  <c r="G1527" i="5"/>
  <c r="F1528" i="5"/>
  <c r="I1527" i="5" s="1"/>
  <c r="J1526" i="5"/>
  <c r="K1526" i="5" l="1"/>
  <c r="L1526" i="5" s="1"/>
  <c r="N1527" i="5"/>
  <c r="G1528" i="5"/>
  <c r="H1528" i="5"/>
  <c r="F1529" i="5"/>
  <c r="J1527" i="5"/>
  <c r="G1529" i="5" l="1"/>
  <c r="H1529" i="5"/>
  <c r="F1530" i="5"/>
  <c r="J1528" i="5"/>
  <c r="K1527" i="5"/>
  <c r="L1527" i="5" s="1"/>
  <c r="N1528" i="5"/>
  <c r="I1528" i="5"/>
  <c r="M1526" i="5"/>
  <c r="G1530" i="5" l="1"/>
  <c r="H1530" i="5"/>
  <c r="F1531" i="5"/>
  <c r="J1530" i="5" s="1"/>
  <c r="I1529" i="5"/>
  <c r="K1528" i="5"/>
  <c r="L1528" i="5" s="1"/>
  <c r="M1528" i="5" s="1"/>
  <c r="N1529" i="5"/>
  <c r="M1527" i="5"/>
  <c r="J1529" i="5"/>
  <c r="N1531" i="5" l="1"/>
  <c r="K1530" i="5"/>
  <c r="L1530" i="5" s="1"/>
  <c r="G1531" i="5"/>
  <c r="H1531" i="5"/>
  <c r="F1532" i="5"/>
  <c r="J1531" i="5" s="1"/>
  <c r="N1530" i="5"/>
  <c r="K1529" i="5"/>
  <c r="L1529" i="5" s="1"/>
  <c r="M1529" i="5" s="1"/>
  <c r="I1530" i="5"/>
  <c r="N1532" i="5" l="1"/>
  <c r="K1531" i="5"/>
  <c r="L1531" i="5" s="1"/>
  <c r="F1533" i="5"/>
  <c r="J1532" i="5" s="1"/>
  <c r="G1532" i="5"/>
  <c r="H1532" i="5"/>
  <c r="M1531" i="5"/>
  <c r="I1531" i="5"/>
  <c r="M1530" i="5"/>
  <c r="I1532" i="5" l="1"/>
  <c r="K1532" i="5"/>
  <c r="L1532" i="5" s="1"/>
  <c r="M1532" i="5" s="1"/>
  <c r="N1533" i="5"/>
  <c r="F1534" i="5"/>
  <c r="G1533" i="5"/>
  <c r="H1533" i="5"/>
  <c r="I1533" i="5"/>
  <c r="J1533" i="5"/>
  <c r="K1533" i="5" l="1"/>
  <c r="L1533" i="5" s="1"/>
  <c r="N1534" i="5"/>
  <c r="G1534" i="5"/>
  <c r="H1534" i="5"/>
  <c r="F1535" i="5"/>
  <c r="M1533" i="5"/>
  <c r="H1535" i="5" l="1"/>
  <c r="G1535" i="5"/>
  <c r="F1536" i="5"/>
  <c r="J1534" i="5"/>
  <c r="I1534" i="5"/>
  <c r="G1536" i="5" l="1"/>
  <c r="H1536" i="5"/>
  <c r="F1537" i="5"/>
  <c r="J1535" i="5"/>
  <c r="K1534" i="5"/>
  <c r="L1534" i="5" s="1"/>
  <c r="N1535" i="5"/>
  <c r="I1535" i="5"/>
  <c r="M1534" i="5" l="1"/>
  <c r="K1535" i="5"/>
  <c r="L1535" i="5" s="1"/>
  <c r="N1536" i="5"/>
  <c r="G1537" i="5"/>
  <c r="H1537" i="5"/>
  <c r="F1538" i="5"/>
  <c r="J1537" i="5" s="1"/>
  <c r="I1536" i="5"/>
  <c r="J1536" i="5"/>
  <c r="I1537" i="5" l="1"/>
  <c r="K1537" i="5"/>
  <c r="K1536" i="5"/>
  <c r="L1536" i="5" s="1"/>
  <c r="N1537" i="5"/>
  <c r="N1538" i="5" s="1"/>
  <c r="G1538" i="5"/>
  <c r="H1538" i="5"/>
  <c r="F1539" i="5"/>
  <c r="I1538" i="5" s="1"/>
  <c r="M1535" i="5"/>
  <c r="L1537" i="5" l="1"/>
  <c r="M1537" i="5"/>
  <c r="G1539" i="5"/>
  <c r="H1539" i="5"/>
  <c r="F1540" i="5"/>
  <c r="J1538" i="5"/>
  <c r="M1536" i="5"/>
  <c r="G1540" i="5" l="1"/>
  <c r="F1541" i="5"/>
  <c r="H1540" i="5"/>
  <c r="I1540" i="5"/>
  <c r="J1540" i="5"/>
  <c r="I1539" i="5"/>
  <c r="N1539" i="5"/>
  <c r="K1538" i="5"/>
  <c r="L1538" i="5" s="1"/>
  <c r="J1539" i="5"/>
  <c r="K1540" i="5" l="1"/>
  <c r="L1540" i="5" s="1"/>
  <c r="N1541" i="5"/>
  <c r="M1539" i="5"/>
  <c r="M1538" i="5"/>
  <c r="F1542" i="5"/>
  <c r="G1541" i="5"/>
  <c r="H1541" i="5"/>
  <c r="I1541" i="5"/>
  <c r="K1539" i="5"/>
  <c r="L1539" i="5" s="1"/>
  <c r="M1540" i="5" s="1"/>
  <c r="N1540" i="5"/>
  <c r="G1542" i="5" l="1"/>
  <c r="H1542" i="5"/>
  <c r="F1543" i="5"/>
  <c r="J1541" i="5"/>
  <c r="H1543" i="5" l="1"/>
  <c r="G1543" i="5"/>
  <c r="F1544" i="5"/>
  <c r="J1543" i="5" s="1"/>
  <c r="I1542" i="5"/>
  <c r="K1541" i="5"/>
  <c r="L1541" i="5" s="1"/>
  <c r="N1542" i="5"/>
  <c r="J1542" i="5"/>
  <c r="K1543" i="5" l="1"/>
  <c r="M1541" i="5"/>
  <c r="G1544" i="5"/>
  <c r="H1544" i="5"/>
  <c r="F1545" i="5"/>
  <c r="I1544" i="5" s="1"/>
  <c r="I1543" i="5"/>
  <c r="K1542" i="5"/>
  <c r="L1542" i="5" s="1"/>
  <c r="M1542" i="5" s="1"/>
  <c r="N1543" i="5"/>
  <c r="N1544" i="5" s="1"/>
  <c r="J1544" i="5" l="1"/>
  <c r="K1544" i="5"/>
  <c r="L1544" i="5" s="1"/>
  <c r="N1545" i="5"/>
  <c r="G1545" i="5"/>
  <c r="H1545" i="5"/>
  <c r="F1546" i="5"/>
  <c r="L1543" i="5"/>
  <c r="M1544" i="5" s="1"/>
  <c r="M1543" i="5" l="1"/>
  <c r="H1546" i="5"/>
  <c r="G1546" i="5"/>
  <c r="F1547" i="5"/>
  <c r="J1546" i="5" s="1"/>
  <c r="J1545" i="5"/>
  <c r="I1545" i="5"/>
  <c r="K1546" i="5" l="1"/>
  <c r="H1547" i="5"/>
  <c r="G1547" i="5"/>
  <c r="F1548" i="5"/>
  <c r="I1547" i="5" s="1"/>
  <c r="N1546" i="5"/>
  <c r="N1547" i="5" s="1"/>
  <c r="K1545" i="5"/>
  <c r="L1545" i="5" s="1"/>
  <c r="I1546" i="5"/>
  <c r="L1546" i="5" l="1"/>
  <c r="F1549" i="5"/>
  <c r="H1548" i="5"/>
  <c r="G1548" i="5"/>
  <c r="J1548" i="5"/>
  <c r="I1548" i="5"/>
  <c r="J1547" i="5"/>
  <c r="M1546" i="5"/>
  <c r="M1545" i="5"/>
  <c r="K1548" i="5" l="1"/>
  <c r="F1550" i="5"/>
  <c r="G1549" i="5"/>
  <c r="H1549" i="5"/>
  <c r="N1548" i="5"/>
  <c r="N1549" i="5" s="1"/>
  <c r="K1547" i="5"/>
  <c r="L1547" i="5" s="1"/>
  <c r="J1549" i="5" l="1"/>
  <c r="K1549" i="5"/>
  <c r="N1550" i="5"/>
  <c r="G1550" i="5"/>
  <c r="H1550" i="5"/>
  <c r="F1551" i="5"/>
  <c r="I1549" i="5"/>
  <c r="M1547" i="5"/>
  <c r="L1548" i="5"/>
  <c r="G1551" i="5" l="1"/>
  <c r="H1551" i="5"/>
  <c r="F1552" i="5"/>
  <c r="J1550" i="5"/>
  <c r="I1550" i="5"/>
  <c r="M1548" i="5"/>
  <c r="L1549" i="5"/>
  <c r="M1549" i="5" s="1"/>
  <c r="F5" i="12"/>
  <c r="I57" i="4" s="1"/>
  <c r="G1552" i="5" l="1"/>
  <c r="H1552" i="5"/>
  <c r="F1553" i="5"/>
  <c r="J1551" i="5"/>
  <c r="I1551" i="5"/>
  <c r="K1550" i="5"/>
  <c r="L1550" i="5" s="1"/>
  <c r="N1551" i="5"/>
  <c r="G1553" i="5" l="1"/>
  <c r="H1553" i="5"/>
  <c r="F1554" i="5"/>
  <c r="J1553" i="5" s="1"/>
  <c r="K1551" i="5"/>
  <c r="L1551" i="5" s="1"/>
  <c r="N1552" i="5"/>
  <c r="J1552" i="5"/>
  <c r="I1552" i="5"/>
  <c r="M1550" i="5"/>
  <c r="K1553" i="5" l="1"/>
  <c r="N1553" i="5"/>
  <c r="N1554" i="5" s="1"/>
  <c r="K1552" i="5"/>
  <c r="L1552" i="5" s="1"/>
  <c r="I1553" i="5"/>
  <c r="H1554" i="5"/>
  <c r="G1554" i="5"/>
  <c r="F1555" i="5"/>
  <c r="M1551" i="5"/>
  <c r="G1555" i="5" l="1"/>
  <c r="H1555" i="5"/>
  <c r="F1556" i="5"/>
  <c r="J1555" i="5" s="1"/>
  <c r="M1552" i="5"/>
  <c r="J1554" i="5"/>
  <c r="L1553" i="5"/>
  <c r="I1554" i="5"/>
  <c r="K1555" i="5" l="1"/>
  <c r="N1555" i="5"/>
  <c r="N1556" i="5" s="1"/>
  <c r="K1554" i="5"/>
  <c r="L1554" i="5" s="1"/>
  <c r="F1557" i="5"/>
  <c r="I1556" i="5" s="1"/>
  <c r="H1556" i="5"/>
  <c r="G1556" i="5"/>
  <c r="I1555" i="5"/>
  <c r="M1553" i="5"/>
  <c r="M1554" i="5" l="1"/>
  <c r="F1558" i="5"/>
  <c r="G1557" i="5"/>
  <c r="H1557" i="5"/>
  <c r="I1557" i="5"/>
  <c r="J1557" i="5"/>
  <c r="J1556" i="5"/>
  <c r="L1555" i="5"/>
  <c r="K1557" i="5" l="1"/>
  <c r="K1556" i="5"/>
  <c r="L1556" i="5" s="1"/>
  <c r="N1557" i="5"/>
  <c r="N1558" i="5" s="1"/>
  <c r="G1558" i="5"/>
  <c r="H1558" i="5"/>
  <c r="F1559" i="5"/>
  <c r="J1558" i="5" s="1"/>
  <c r="M1555" i="5"/>
  <c r="I1558" i="5" l="1"/>
  <c r="M1556" i="5"/>
  <c r="K1558" i="5"/>
  <c r="L1558" i="5" s="1"/>
  <c r="N1559" i="5"/>
  <c r="H1559" i="5"/>
  <c r="G1559" i="5"/>
  <c r="J1559" i="5"/>
  <c r="I1559" i="5"/>
  <c r="F1560" i="5"/>
  <c r="L1557" i="5"/>
  <c r="K1559" i="5" l="1"/>
  <c r="L1559" i="5" s="1"/>
  <c r="N1560" i="5"/>
  <c r="M1558" i="5"/>
  <c r="M1559" i="5"/>
  <c r="G1560" i="5"/>
  <c r="H1560" i="5"/>
  <c r="I1560" i="5"/>
  <c r="J1560" i="5"/>
  <c r="F1561" i="5"/>
  <c r="M1557" i="5"/>
  <c r="K1560" i="5" l="1"/>
  <c r="L1560" i="5" s="1"/>
  <c r="N1561" i="5"/>
  <c r="H1561" i="5"/>
  <c r="G1561" i="5"/>
  <c r="F1562" i="5"/>
  <c r="M1560" i="5"/>
  <c r="H1562" i="5" l="1"/>
  <c r="G1562" i="5"/>
  <c r="F1563" i="5"/>
  <c r="J1561" i="5"/>
  <c r="I1561" i="5"/>
  <c r="N1562" i="5" l="1"/>
  <c r="K1561" i="5"/>
  <c r="L1561" i="5" s="1"/>
  <c r="G1563" i="5"/>
  <c r="H1563" i="5"/>
  <c r="F1564" i="5"/>
  <c r="J1563" i="5" s="1"/>
  <c r="J1562" i="5"/>
  <c r="I1562" i="5"/>
  <c r="K1563" i="5" l="1"/>
  <c r="G1564" i="5"/>
  <c r="F1565" i="5"/>
  <c r="I1564" i="5" s="1"/>
  <c r="H1564" i="5"/>
  <c r="N1563" i="5"/>
  <c r="N1564" i="5" s="1"/>
  <c r="K1562" i="5"/>
  <c r="L1562" i="5" s="1"/>
  <c r="I1563" i="5"/>
  <c r="M1562" i="5"/>
  <c r="M1561" i="5"/>
  <c r="L1563" i="5" l="1"/>
  <c r="J1564" i="5"/>
  <c r="F1566" i="5"/>
  <c r="G1565" i="5"/>
  <c r="J1565" i="5"/>
  <c r="H1565" i="5"/>
  <c r="I1565" i="5"/>
  <c r="M1563" i="5"/>
  <c r="K1565" i="5" l="1"/>
  <c r="G1566" i="5"/>
  <c r="H1566" i="5"/>
  <c r="F1567" i="5"/>
  <c r="K1564" i="5"/>
  <c r="N1565" i="5"/>
  <c r="N1566" i="5" s="1"/>
  <c r="H1567" i="5" l="1"/>
  <c r="G1567" i="5"/>
  <c r="F1568" i="5"/>
  <c r="J1567" i="5" s="1"/>
  <c r="J1566" i="5"/>
  <c r="L1564" i="5"/>
  <c r="E5" i="12"/>
  <c r="H57" i="4" s="1"/>
  <c r="I1566" i="5"/>
  <c r="K1567" i="5" l="1"/>
  <c r="M1564" i="5"/>
  <c r="G1568" i="5"/>
  <c r="H1568" i="5"/>
  <c r="J1568" i="5"/>
  <c r="K1568" i="5" s="1"/>
  <c r="I1568" i="5"/>
  <c r="K1566" i="5"/>
  <c r="L1566" i="5" s="1"/>
  <c r="N1567" i="5"/>
  <c r="N1568" i="5" s="1"/>
  <c r="I1567" i="5"/>
  <c r="L1565" i="5"/>
  <c r="M1566" i="5" l="1"/>
  <c r="M1565" i="5"/>
  <c r="L1568" i="5"/>
  <c r="D5" i="12"/>
  <c r="L1567" i="5"/>
  <c r="M1568" i="5" s="1"/>
  <c r="M1567" i="5" l="1"/>
</calcChain>
</file>

<file path=xl/connections.xml><?xml version="1.0" encoding="utf-8"?>
<connections xmlns="http://schemas.openxmlformats.org/spreadsheetml/2006/main">
  <connection id="1" name="CurrentCouponQuery" type="1" refreshedVersion="5" savePassword="1" saveData="1">
    <dbPr connection="DSN=Cello SQL Server;Description=Cello SQL Server;UID=report;PWD=gm4SJDw4;APP=Microsoft Office 2010;WSID=CELLO-PC4;DATABASE=Cello" command="select d.AsOfDate, d.SeriesNumValue, f.Rate  from TimeSeriesMeta as m,TimeSeries as d,[dbo].[get30YrFRM]() as f where m.TimeSeriesMetaId = d.TimeSeriesMetaId and d.AsOfDate = f.asOf and m.source = 'CELLO' and m.TickerName like'FN_CMM_30Yr' and m.category = 'MTG' and AsOfDate &lt;= '2018-07-04' and AsOfDate&gt;= '20120404' order by d.AsOfDate"/>
  </connection>
</connections>
</file>

<file path=xl/sharedStrings.xml><?xml version="1.0" encoding="utf-8"?>
<sst xmlns="http://schemas.openxmlformats.org/spreadsheetml/2006/main" count="2279" uniqueCount="1621">
  <si>
    <t>Database Env</t>
  </si>
  <si>
    <t>Save Data to DB</t>
  </si>
  <si>
    <t>As of Date</t>
  </si>
  <si>
    <t>Report Name</t>
  </si>
  <si>
    <t>No</t>
  </si>
  <si>
    <t>AsOfDate</t>
  </si>
  <si>
    <t>SeriesNumValue</t>
  </si>
  <si>
    <t>Weekday</t>
  </si>
  <si>
    <t>Weight</t>
  </si>
  <si>
    <t>Counter</t>
  </si>
  <si>
    <t>WA CC</t>
  </si>
  <si>
    <t>MONDAY</t>
  </si>
  <si>
    <t>TUESDAY</t>
  </si>
  <si>
    <t>WEDNESDAY</t>
  </si>
  <si>
    <t>THURSDAY</t>
  </si>
  <si>
    <t>FRIDAY</t>
  </si>
  <si>
    <t>SATURDAY</t>
  </si>
  <si>
    <t>SUNDAY</t>
  </si>
  <si>
    <t>Rate</t>
  </si>
  <si>
    <t>2012-04-04</t>
  </si>
  <si>
    <t>2012-04-11</t>
  </si>
  <si>
    <t>2012-04-18</t>
  </si>
  <si>
    <t>2012-04-25</t>
  </si>
  <si>
    <t>2012-05-02</t>
  </si>
  <si>
    <t>2012-05-09</t>
  </si>
  <si>
    <t>2012-05-16</t>
  </si>
  <si>
    <t>2012-05-23</t>
  </si>
  <si>
    <t>2012-05-30</t>
  </si>
  <si>
    <t>2012-06-06</t>
  </si>
  <si>
    <t>2012-06-13</t>
  </si>
  <si>
    <t>2012-06-20</t>
  </si>
  <si>
    <t>2012-06-27</t>
  </si>
  <si>
    <t>2012-07-11</t>
  </si>
  <si>
    <t>2012-07-18</t>
  </si>
  <si>
    <t>2012-07-25</t>
  </si>
  <si>
    <t>2012-08-01</t>
  </si>
  <si>
    <t>2012-08-08</t>
  </si>
  <si>
    <t>2012-08-15</t>
  </si>
  <si>
    <t>2012-08-22</t>
  </si>
  <si>
    <t>2012-08-29</t>
  </si>
  <si>
    <t>2012-09-05</t>
  </si>
  <si>
    <t>2012-09-12</t>
  </si>
  <si>
    <t>2012-09-19</t>
  </si>
  <si>
    <t>2012-09-26</t>
  </si>
  <si>
    <t>2012-10-03</t>
  </si>
  <si>
    <t>2012-10-10</t>
  </si>
  <si>
    <t>2012-10-17</t>
  </si>
  <si>
    <t>2012-10-24</t>
  </si>
  <si>
    <t>2012-10-31</t>
  </si>
  <si>
    <t>2012-11-07</t>
  </si>
  <si>
    <t>2012-11-14</t>
  </si>
  <si>
    <t>2012-11-20</t>
  </si>
  <si>
    <t>2012-11-28</t>
  </si>
  <si>
    <t>2012-12-05</t>
  </si>
  <si>
    <t>2012-12-12</t>
  </si>
  <si>
    <t>2012-12-19</t>
  </si>
  <si>
    <t>2012-12-26</t>
  </si>
  <si>
    <t>2013-01-02</t>
  </si>
  <si>
    <t>2013-01-09</t>
  </si>
  <si>
    <t>2013-01-16</t>
  </si>
  <si>
    <t>2013-01-23</t>
  </si>
  <si>
    <t>2013-01-30</t>
  </si>
  <si>
    <t>2013-02-06</t>
  </si>
  <si>
    <t>2013-02-13</t>
  </si>
  <si>
    <t>2013-02-20</t>
  </si>
  <si>
    <t>2013-02-27</t>
  </si>
  <si>
    <t>2013-03-06</t>
  </si>
  <si>
    <t>2013-03-13</t>
  </si>
  <si>
    <t>2013-03-20</t>
  </si>
  <si>
    <t>2013-03-27</t>
  </si>
  <si>
    <t>2013-04-03</t>
  </si>
  <si>
    <t>2013-04-10</t>
  </si>
  <si>
    <t>2013-04-17</t>
  </si>
  <si>
    <t>2013-04-24</t>
  </si>
  <si>
    <t>2013-05-01</t>
  </si>
  <si>
    <t>2013-05-08</t>
  </si>
  <si>
    <t>2013-05-15</t>
  </si>
  <si>
    <t>2013-05-22</t>
  </si>
  <si>
    <t>2013-05-29</t>
  </si>
  <si>
    <t>2013-06-05</t>
  </si>
  <si>
    <t>2013-06-12</t>
  </si>
  <si>
    <t>2013-06-19</t>
  </si>
  <si>
    <t>2013-06-26</t>
  </si>
  <si>
    <t>2013-07-02</t>
  </si>
  <si>
    <t>2013-07-10</t>
  </si>
  <si>
    <t>2013-07-17</t>
  </si>
  <si>
    <t>2013-07-24</t>
  </si>
  <si>
    <t>2013-07-31</t>
  </si>
  <si>
    <t>2013-08-07</t>
  </si>
  <si>
    <t>2013-08-14</t>
  </si>
  <si>
    <t>2013-08-21</t>
  </si>
  <si>
    <t>2013-08-28</t>
  </si>
  <si>
    <t>2013-09-04</t>
  </si>
  <si>
    <t>2013-09-11</t>
  </si>
  <si>
    <t>2013-09-18</t>
  </si>
  <si>
    <t>2013-09-25</t>
  </si>
  <si>
    <t>2013-10-02</t>
  </si>
  <si>
    <t>2013-10-09</t>
  </si>
  <si>
    <t>2013-10-16</t>
  </si>
  <si>
    <t>2013-10-23</t>
  </si>
  <si>
    <t>2013-10-30</t>
  </si>
  <si>
    <t>2013-11-06</t>
  </si>
  <si>
    <t>2013-11-13</t>
  </si>
  <si>
    <t>2013-11-20</t>
  </si>
  <si>
    <t>2013-11-26</t>
  </si>
  <si>
    <t>2013-12-04</t>
  </si>
  <si>
    <t>2013-12-11</t>
  </si>
  <si>
    <t>2013-12-18</t>
  </si>
  <si>
    <t>2014-01-08</t>
  </si>
  <si>
    <t>2014-01-15</t>
  </si>
  <si>
    <t>2014-01-22</t>
  </si>
  <si>
    <t>2014-01-29</t>
  </si>
  <si>
    <t>2014-02-05</t>
  </si>
  <si>
    <t>2014-02-12</t>
  </si>
  <si>
    <t>2014-02-19</t>
  </si>
  <si>
    <t>2014-02-26</t>
  </si>
  <si>
    <t>2014-03-05</t>
  </si>
  <si>
    <t>2014-03-12</t>
  </si>
  <si>
    <t>2014-03-19</t>
  </si>
  <si>
    <t>2014-03-26</t>
  </si>
  <si>
    <t>2014-04-02</t>
  </si>
  <si>
    <t>2014-04-09</t>
  </si>
  <si>
    <t>2014-04-16</t>
  </si>
  <si>
    <t>2014-04-23</t>
  </si>
  <si>
    <t>2014-04-30</t>
  </si>
  <si>
    <t>2014-05-07</t>
  </si>
  <si>
    <t>2014-05-14</t>
  </si>
  <si>
    <t>2014-05-21</t>
  </si>
  <si>
    <t>2014-05-28</t>
  </si>
  <si>
    <t>2014-06-04</t>
  </si>
  <si>
    <t>2014-06-11</t>
  </si>
  <si>
    <t>2014-06-18</t>
  </si>
  <si>
    <t>2014-06-25</t>
  </si>
  <si>
    <t>2014-07-02</t>
  </si>
  <si>
    <t>2014-07-09</t>
  </si>
  <si>
    <t>2014-07-16</t>
  </si>
  <si>
    <t>2014-07-23</t>
  </si>
  <si>
    <t>2014-07-30</t>
  </si>
  <si>
    <t>2014-08-06</t>
  </si>
  <si>
    <t>2014-08-13</t>
  </si>
  <si>
    <t>2014-08-20</t>
  </si>
  <si>
    <t>2014-08-27</t>
  </si>
  <si>
    <t>2014-09-03</t>
  </si>
  <si>
    <t>2014-09-10</t>
  </si>
  <si>
    <t>2014-09-17</t>
  </si>
  <si>
    <t>2014-09-24</t>
  </si>
  <si>
    <t>2014-10-01</t>
  </si>
  <si>
    <t>2014-10-08</t>
  </si>
  <si>
    <t>2014-10-15</t>
  </si>
  <si>
    <t>2014-10-22</t>
  </si>
  <si>
    <t>2014-10-29</t>
  </si>
  <si>
    <t>2014-11-05</t>
  </si>
  <si>
    <t>2014-11-12</t>
  </si>
  <si>
    <t>2014-11-19</t>
  </si>
  <si>
    <t>2014-11-25</t>
  </si>
  <si>
    <t>2014-12-03</t>
  </si>
  <si>
    <t>2014-12-10</t>
  </si>
  <si>
    <t>2014-12-17</t>
  </si>
  <si>
    <t>2014-12-23</t>
  </si>
  <si>
    <t>2014-12-30</t>
  </si>
  <si>
    <t>2015-01-07</t>
  </si>
  <si>
    <t>2015-01-14</t>
  </si>
  <si>
    <t>2015-01-21</t>
  </si>
  <si>
    <t>2015-01-28</t>
  </si>
  <si>
    <t>2015-02-04</t>
  </si>
  <si>
    <t>2012-04-10</t>
  </si>
  <si>
    <t>2012-04-17</t>
  </si>
  <si>
    <t>2012-04-24</t>
  </si>
  <si>
    <t>2012-05-01</t>
  </si>
  <si>
    <t>2012-05-08</t>
  </si>
  <si>
    <t>2012-05-15</t>
  </si>
  <si>
    <t>2012-05-22</t>
  </si>
  <si>
    <t>2012-05-29</t>
  </si>
  <si>
    <t>2012-06-05</t>
  </si>
  <si>
    <t>2012-06-12</t>
  </si>
  <si>
    <t>2012-06-19</t>
  </si>
  <si>
    <t>2012-06-26</t>
  </si>
  <si>
    <t>2012-07-03</t>
  </si>
  <si>
    <t>2012-07-10</t>
  </si>
  <si>
    <t>2012-07-17</t>
  </si>
  <si>
    <t>2012-07-24</t>
  </si>
  <si>
    <t>2012-07-31</t>
  </si>
  <si>
    <t>2012-08-07</t>
  </si>
  <si>
    <t>2012-08-14</t>
  </si>
  <si>
    <t>2012-08-21</t>
  </si>
  <si>
    <t>2012-08-28</t>
  </si>
  <si>
    <t>2012-09-04</t>
  </si>
  <si>
    <t>2012-09-11</t>
  </si>
  <si>
    <t>2012-09-18</t>
  </si>
  <si>
    <t>2012-09-25</t>
  </si>
  <si>
    <t>2012-10-02</t>
  </si>
  <si>
    <t>2012-10-09</t>
  </si>
  <si>
    <t>2012-10-16</t>
  </si>
  <si>
    <t>2012-10-23</t>
  </si>
  <si>
    <t>2012-11-06</t>
  </si>
  <si>
    <t>2012-11-13</t>
  </si>
  <si>
    <t>2012-11-19</t>
  </si>
  <si>
    <t>2012-11-27</t>
  </si>
  <si>
    <t>2012-12-04</t>
  </si>
  <si>
    <t>2012-12-11</t>
  </si>
  <si>
    <t>2012-12-18</t>
  </si>
  <si>
    <t>2013-01-08</t>
  </si>
  <si>
    <t>2013-01-15</t>
  </si>
  <si>
    <t>2013-01-22</t>
  </si>
  <si>
    <t>2013-01-29</t>
  </si>
  <si>
    <t>2013-02-05</t>
  </si>
  <si>
    <t>2013-02-12</t>
  </si>
  <si>
    <t>2013-02-19</t>
  </si>
  <si>
    <t>2013-02-26</t>
  </si>
  <si>
    <t>2013-03-05</t>
  </si>
  <si>
    <t>2013-03-12</t>
  </si>
  <si>
    <t>2013-03-19</t>
  </si>
  <si>
    <t>2013-03-26</t>
  </si>
  <si>
    <t>2013-04-02</t>
  </si>
  <si>
    <t>2013-04-09</t>
  </si>
  <si>
    <t>2013-04-16</t>
  </si>
  <si>
    <t>2013-04-23</t>
  </si>
  <si>
    <t>2013-04-30</t>
  </si>
  <si>
    <t>2013-05-07</t>
  </si>
  <si>
    <t>2013-05-14</t>
  </si>
  <si>
    <t>2013-05-21</t>
  </si>
  <si>
    <t>2013-05-28</t>
  </si>
  <si>
    <t>2013-06-04</t>
  </si>
  <si>
    <t>2013-06-11</t>
  </si>
  <si>
    <t>2013-06-18</t>
  </si>
  <si>
    <t>2013-06-25</t>
  </si>
  <si>
    <t>2013-07-01</t>
  </si>
  <si>
    <t>2013-07-09</t>
  </si>
  <si>
    <t>2013-07-16</t>
  </si>
  <si>
    <t>2013-07-23</t>
  </si>
  <si>
    <t>2013-07-30</t>
  </si>
  <si>
    <t>2013-08-06</t>
  </si>
  <si>
    <t>2013-08-13</t>
  </si>
  <si>
    <t>2013-08-20</t>
  </si>
  <si>
    <t>2013-08-27</t>
  </si>
  <si>
    <t>2013-09-03</t>
  </si>
  <si>
    <t>2013-09-10</t>
  </si>
  <si>
    <t>2013-09-17</t>
  </si>
  <si>
    <t>2013-09-24</t>
  </si>
  <si>
    <t>2013-10-01</t>
  </si>
  <si>
    <t>2013-10-08</t>
  </si>
  <si>
    <t>2013-10-15</t>
  </si>
  <si>
    <t>2013-10-22</t>
  </si>
  <si>
    <t>2013-10-29</t>
  </si>
  <si>
    <t>2013-11-05</t>
  </si>
  <si>
    <t>2013-11-12</t>
  </si>
  <si>
    <t>2013-11-19</t>
  </si>
  <si>
    <t>2013-11-25</t>
  </si>
  <si>
    <t>2013-12-03</t>
  </si>
  <si>
    <t>2013-12-10</t>
  </si>
  <si>
    <t>2013-12-17</t>
  </si>
  <si>
    <t>2013-12-24</t>
  </si>
  <si>
    <t>2013-12-31</t>
  </si>
  <si>
    <t>2014-01-07</t>
  </si>
  <si>
    <t>2014-01-14</t>
  </si>
  <si>
    <t>2014-01-21</t>
  </si>
  <si>
    <t>2014-01-28</t>
  </si>
  <si>
    <t>2014-02-04</t>
  </si>
  <si>
    <t>2014-02-11</t>
  </si>
  <si>
    <t>2014-02-18</t>
  </si>
  <si>
    <t>2014-02-25</t>
  </si>
  <si>
    <t>2014-03-04</t>
  </si>
  <si>
    <t>2014-03-11</t>
  </si>
  <si>
    <t>2014-03-18</t>
  </si>
  <si>
    <t>2014-03-25</t>
  </si>
  <si>
    <t>2014-04-01</t>
  </si>
  <si>
    <t>2014-04-08</t>
  </si>
  <si>
    <t>2014-04-15</t>
  </si>
  <si>
    <t>2014-04-22</t>
  </si>
  <si>
    <t>2014-04-29</t>
  </si>
  <si>
    <t>2014-05-06</t>
  </si>
  <si>
    <t>2014-05-13</t>
  </si>
  <si>
    <t>2014-05-20</t>
  </si>
  <si>
    <t>2014-05-27</t>
  </si>
  <si>
    <t>2014-06-03</t>
  </si>
  <si>
    <t>2014-06-10</t>
  </si>
  <si>
    <t>2014-06-17</t>
  </si>
  <si>
    <t>2014-06-24</t>
  </si>
  <si>
    <t>2014-07-01</t>
  </si>
  <si>
    <t>2014-07-08</t>
  </si>
  <si>
    <t>2014-07-15</t>
  </si>
  <si>
    <t>2014-07-22</t>
  </si>
  <si>
    <t>2014-07-29</t>
  </si>
  <si>
    <t>2014-08-05</t>
  </si>
  <si>
    <t>2014-08-12</t>
  </si>
  <si>
    <t>2014-08-19</t>
  </si>
  <si>
    <t>2014-08-26</t>
  </si>
  <si>
    <t>2014-09-02</t>
  </si>
  <si>
    <t>2014-09-09</t>
  </si>
  <si>
    <t>2014-09-16</t>
  </si>
  <si>
    <t>2014-09-23</t>
  </si>
  <si>
    <t>2014-09-30</t>
  </si>
  <si>
    <t>2014-10-07</t>
  </si>
  <si>
    <t>2014-10-14</t>
  </si>
  <si>
    <t>2014-10-21</t>
  </si>
  <si>
    <t>2014-10-28</t>
  </si>
  <si>
    <t>2014-11-04</t>
  </si>
  <si>
    <t>2014-11-18</t>
  </si>
  <si>
    <t>2014-11-24</t>
  </si>
  <si>
    <t>2014-12-02</t>
  </si>
  <si>
    <t>2014-12-09</t>
  </si>
  <si>
    <t>2014-12-16</t>
  </si>
  <si>
    <t>2014-12-22</t>
  </si>
  <si>
    <t>2014-12-29</t>
  </si>
  <si>
    <t>2015-01-06</t>
  </si>
  <si>
    <t>2015-01-13</t>
  </si>
  <si>
    <t>2015-01-20</t>
  </si>
  <si>
    <t>2015-01-27</t>
  </si>
  <si>
    <t>2015-02-03</t>
  </si>
  <si>
    <t>2012-04-09</t>
  </si>
  <si>
    <t>2012-04-16</t>
  </si>
  <si>
    <t>2012-04-23</t>
  </si>
  <si>
    <t>2012-04-30</t>
  </si>
  <si>
    <t>2012-05-07</t>
  </si>
  <si>
    <t>2012-05-14</t>
  </si>
  <si>
    <t>2012-05-21</t>
  </si>
  <si>
    <t>2012-06-04</t>
  </si>
  <si>
    <t>2012-06-11</t>
  </si>
  <si>
    <t>2012-06-18</t>
  </si>
  <si>
    <t>2012-06-25</t>
  </si>
  <si>
    <t>2012-07-02</t>
  </si>
  <si>
    <t>2012-07-09</t>
  </si>
  <si>
    <t>2012-07-16</t>
  </si>
  <si>
    <t>2012-07-23</t>
  </si>
  <si>
    <t>2012-07-30</t>
  </si>
  <si>
    <t>2012-08-06</t>
  </si>
  <si>
    <t>2012-08-13</t>
  </si>
  <si>
    <t>2012-08-20</t>
  </si>
  <si>
    <t>2012-08-27</t>
  </si>
  <si>
    <t>2012-09-10</t>
  </si>
  <si>
    <t>2012-09-17</t>
  </si>
  <si>
    <t>2012-09-24</t>
  </si>
  <si>
    <t>2012-10-01</t>
  </si>
  <si>
    <t>2012-10-15</t>
  </si>
  <si>
    <t>2012-10-22</t>
  </si>
  <si>
    <t>2012-10-29</t>
  </si>
  <si>
    <t>2012-11-05</t>
  </si>
  <si>
    <t>2012-11-26</t>
  </si>
  <si>
    <t>2012-12-03</t>
  </si>
  <si>
    <t>2012-12-10</t>
  </si>
  <si>
    <t>2012-12-17</t>
  </si>
  <si>
    <t>2012-12-24</t>
  </si>
  <si>
    <t>2012-12-31</t>
  </si>
  <si>
    <t>2013-01-07</t>
  </si>
  <si>
    <t>2013-01-14</t>
  </si>
  <si>
    <t>2013-01-28</t>
  </si>
  <si>
    <t>2013-02-04</t>
  </si>
  <si>
    <t>2013-02-11</t>
  </si>
  <si>
    <t>2013-02-25</t>
  </si>
  <si>
    <t>2013-03-04</t>
  </si>
  <si>
    <t>2013-03-11</t>
  </si>
  <si>
    <t>2013-03-18</t>
  </si>
  <si>
    <t>2013-03-25</t>
  </si>
  <si>
    <t>2013-04-01</t>
  </si>
  <si>
    <t>2013-04-08</t>
  </si>
  <si>
    <t>2013-04-15</t>
  </si>
  <si>
    <t>2013-04-22</t>
  </si>
  <si>
    <t>2013-04-29</t>
  </si>
  <si>
    <t>2013-05-06</t>
  </si>
  <si>
    <t>2013-05-13</t>
  </si>
  <si>
    <t>2013-05-20</t>
  </si>
  <si>
    <t>2013-06-03</t>
  </si>
  <si>
    <t>2013-06-10</t>
  </si>
  <si>
    <t>2013-06-17</t>
  </si>
  <si>
    <t>2013-06-24</t>
  </si>
  <si>
    <t>2013-07-08</t>
  </si>
  <si>
    <t>2013-07-15</t>
  </si>
  <si>
    <t>2013-07-22</t>
  </si>
  <si>
    <t>2013-07-29</t>
  </si>
  <si>
    <t>2013-08-05</t>
  </si>
  <si>
    <t>2013-08-12</t>
  </si>
  <si>
    <t>2013-08-19</t>
  </si>
  <si>
    <t>2013-08-26</t>
  </si>
  <si>
    <t>2013-09-09</t>
  </si>
  <si>
    <t>2013-09-16</t>
  </si>
  <si>
    <t>2013-09-23</t>
  </si>
  <si>
    <t>2013-09-30</t>
  </si>
  <si>
    <t>2013-10-07</t>
  </si>
  <si>
    <t>2013-10-21</t>
  </si>
  <si>
    <t>2013-10-28</t>
  </si>
  <si>
    <t>2013-11-04</t>
  </si>
  <si>
    <t>2013-11-18</t>
  </si>
  <si>
    <t>2013-12-02</t>
  </si>
  <si>
    <t>2013-12-09</t>
  </si>
  <si>
    <t>2013-12-16</t>
  </si>
  <si>
    <t>2013-12-23</t>
  </si>
  <si>
    <t>2013-12-30</t>
  </si>
  <si>
    <t>2014-01-06</t>
  </si>
  <si>
    <t>2014-01-13</t>
  </si>
  <si>
    <t>2014-01-27</t>
  </si>
  <si>
    <t>2014-02-03</t>
  </si>
  <si>
    <t>2014-02-10</t>
  </si>
  <si>
    <t>2014-02-24</t>
  </si>
  <si>
    <t>2014-03-03</t>
  </si>
  <si>
    <t>2014-03-10</t>
  </si>
  <si>
    <t>2014-03-17</t>
  </si>
  <si>
    <t>2014-03-24</t>
  </si>
  <si>
    <t>2014-03-31</t>
  </si>
  <si>
    <t>2014-04-07</t>
  </si>
  <si>
    <t>2014-04-14</t>
  </si>
  <si>
    <t>2014-04-21</t>
  </si>
  <si>
    <t>2014-04-28</t>
  </si>
  <si>
    <t>2014-05-05</t>
  </si>
  <si>
    <t>2014-05-12</t>
  </si>
  <si>
    <t>2014-05-19</t>
  </si>
  <si>
    <t>2014-06-02</t>
  </si>
  <si>
    <t>2014-06-09</t>
  </si>
  <si>
    <t>2014-06-16</t>
  </si>
  <si>
    <t>2014-06-23</t>
  </si>
  <si>
    <t>2014-06-30</t>
  </si>
  <si>
    <t>2014-07-07</t>
  </si>
  <si>
    <t>2014-07-14</t>
  </si>
  <si>
    <t>2014-07-21</t>
  </si>
  <si>
    <t>2014-07-28</t>
  </si>
  <si>
    <t>2014-08-04</t>
  </si>
  <si>
    <t>2014-08-11</t>
  </si>
  <si>
    <t>2014-08-18</t>
  </si>
  <si>
    <t>2014-08-25</t>
  </si>
  <si>
    <t>2014-09-08</t>
  </si>
  <si>
    <t>2014-09-15</t>
  </si>
  <si>
    <t>2014-09-22</t>
  </si>
  <si>
    <t>2014-09-29</t>
  </si>
  <si>
    <t>2014-10-06</t>
  </si>
  <si>
    <t>2014-10-20</t>
  </si>
  <si>
    <t>2014-10-27</t>
  </si>
  <si>
    <t>2014-11-03</t>
  </si>
  <si>
    <t>2014-11-10</t>
  </si>
  <si>
    <t>2014-11-17</t>
  </si>
  <si>
    <t>2014-12-01</t>
  </si>
  <si>
    <t>2014-12-08</t>
  </si>
  <si>
    <t>2014-12-15</t>
  </si>
  <si>
    <t>2015-01-05</t>
  </si>
  <si>
    <t>2015-01-12</t>
  </si>
  <si>
    <t>2015-01-26</t>
  </si>
  <si>
    <t>2015-02-02</t>
  </si>
  <si>
    <t>2012-11-16</t>
  </si>
  <si>
    <t>2013-06-28</t>
  </si>
  <si>
    <t>2013-11-22</t>
  </si>
  <si>
    <t>2014-11-21</t>
  </si>
  <si>
    <t>2014-12-19</t>
  </si>
  <si>
    <t>2014-12-26</t>
  </si>
  <si>
    <t>2012-04-06</t>
  </si>
  <si>
    <t>2012-04-13</t>
  </si>
  <si>
    <t>2012-04-20</t>
  </si>
  <si>
    <t>2012-04-27</t>
  </si>
  <si>
    <t>2012-05-04</t>
  </si>
  <si>
    <t>2012-05-11</t>
  </si>
  <si>
    <t>2012-05-18</t>
  </si>
  <si>
    <t>2012-05-25</t>
  </si>
  <si>
    <t>2012-06-01</t>
  </si>
  <si>
    <t>2012-06-08</t>
  </si>
  <si>
    <t>2012-06-15</t>
  </si>
  <si>
    <t>2012-06-22</t>
  </si>
  <si>
    <t>2012-06-29</t>
  </si>
  <si>
    <t>2012-07-06</t>
  </si>
  <si>
    <t>2012-07-13</t>
  </si>
  <si>
    <t>2012-07-20</t>
  </si>
  <si>
    <t>2012-07-27</t>
  </si>
  <si>
    <t>2012-08-03</t>
  </si>
  <si>
    <t>2012-08-10</t>
  </si>
  <si>
    <t>2012-08-17</t>
  </si>
  <si>
    <t>2012-08-24</t>
  </si>
  <si>
    <t>2012-08-31</t>
  </si>
  <si>
    <t>2012-09-07</t>
  </si>
  <si>
    <t>2012-09-14</t>
  </si>
  <si>
    <t>2012-09-21</t>
  </si>
  <si>
    <t>2012-09-28</t>
  </si>
  <si>
    <t>2012-10-05</t>
  </si>
  <si>
    <t>2012-10-12</t>
  </si>
  <si>
    <t>2012-10-19</t>
  </si>
  <si>
    <t>2012-10-26</t>
  </si>
  <si>
    <t>2012-11-02</t>
  </si>
  <si>
    <t>2012-11-09</t>
  </si>
  <si>
    <t>2012-11-15</t>
  </si>
  <si>
    <t>2012-11-23</t>
  </si>
  <si>
    <t>2012-11-30</t>
  </si>
  <si>
    <t>2012-12-07</t>
  </si>
  <si>
    <t>2012-12-14</t>
  </si>
  <si>
    <t>2012-12-21</t>
  </si>
  <si>
    <t>2012-12-28</t>
  </si>
  <si>
    <t>2013-01-04</t>
  </si>
  <si>
    <t>2013-01-11</t>
  </si>
  <si>
    <t>2013-01-18</t>
  </si>
  <si>
    <t>2013-01-25</t>
  </si>
  <si>
    <t>2013-02-01</t>
  </si>
  <si>
    <t>2013-02-08</t>
  </si>
  <si>
    <t>2013-02-15</t>
  </si>
  <si>
    <t>2013-02-22</t>
  </si>
  <si>
    <t>2013-03-01</t>
  </si>
  <si>
    <t>2013-03-08</t>
  </si>
  <si>
    <t>2013-03-15</t>
  </si>
  <si>
    <t>2013-03-22</t>
  </si>
  <si>
    <t>2013-04-05</t>
  </si>
  <si>
    <t>2013-04-12</t>
  </si>
  <si>
    <t>2013-04-19</t>
  </si>
  <si>
    <t>2013-04-26</t>
  </si>
  <si>
    <t>2013-05-03</t>
  </si>
  <si>
    <t>2013-05-10</t>
  </si>
  <si>
    <t>2013-05-17</t>
  </si>
  <si>
    <t>2013-05-24</t>
  </si>
  <si>
    <t>2013-05-31</t>
  </si>
  <si>
    <t>2013-06-07</t>
  </si>
  <si>
    <t>2013-06-14</t>
  </si>
  <si>
    <t>2013-06-21</t>
  </si>
  <si>
    <t>2013-06-27</t>
  </si>
  <si>
    <t>2013-07-05</t>
  </si>
  <si>
    <t>2013-07-12</t>
  </si>
  <si>
    <t>2013-07-19</t>
  </si>
  <si>
    <t>2013-07-26</t>
  </si>
  <si>
    <t>2013-08-02</t>
  </si>
  <si>
    <t>2013-08-09</t>
  </si>
  <si>
    <t>2013-08-16</t>
  </si>
  <si>
    <t>2013-08-23</t>
  </si>
  <si>
    <t>2013-08-30</t>
  </si>
  <si>
    <t>2013-09-06</t>
  </si>
  <si>
    <t>2013-09-13</t>
  </si>
  <si>
    <t>2013-09-20</t>
  </si>
  <si>
    <t>2013-09-27</t>
  </si>
  <si>
    <t>2013-10-04</t>
  </si>
  <si>
    <t>2013-10-11</t>
  </si>
  <si>
    <t>2013-10-18</t>
  </si>
  <si>
    <t>2013-10-25</t>
  </si>
  <si>
    <t>2013-11-01</t>
  </si>
  <si>
    <t>2013-11-08</t>
  </si>
  <si>
    <t>2013-11-15</t>
  </si>
  <si>
    <t>2013-11-21</t>
  </si>
  <si>
    <t>2013-11-29</t>
  </si>
  <si>
    <t>2013-12-06</t>
  </si>
  <si>
    <t>2013-12-13</t>
  </si>
  <si>
    <t>2013-12-20</t>
  </si>
  <si>
    <t>2013-12-27</t>
  </si>
  <si>
    <t>2014-01-03</t>
  </si>
  <si>
    <t>2014-01-10</t>
  </si>
  <si>
    <t>2014-01-17</t>
  </si>
  <si>
    <t>2014-01-24</t>
  </si>
  <si>
    <t>2014-01-31</t>
  </si>
  <si>
    <t>2014-02-07</t>
  </si>
  <si>
    <t>2014-02-14</t>
  </si>
  <si>
    <t>2014-02-21</t>
  </si>
  <si>
    <t>2014-02-28</t>
  </si>
  <si>
    <t>2014-03-07</t>
  </si>
  <si>
    <t>2014-03-14</t>
  </si>
  <si>
    <t>2014-03-21</t>
  </si>
  <si>
    <t>2014-03-28</t>
  </si>
  <si>
    <t>2014-04-04</t>
  </si>
  <si>
    <t>2014-04-11</t>
  </si>
  <si>
    <t>2014-04-25</t>
  </si>
  <si>
    <t>2014-05-02</t>
  </si>
  <si>
    <t>2014-05-09</t>
  </si>
  <si>
    <t>2014-05-16</t>
  </si>
  <si>
    <t>2014-05-23</t>
  </si>
  <si>
    <t>2014-05-30</t>
  </si>
  <si>
    <t>2014-06-06</t>
  </si>
  <si>
    <t>2014-06-13</t>
  </si>
  <si>
    <t>2014-06-20</t>
  </si>
  <si>
    <t>2014-06-27</t>
  </si>
  <si>
    <t>2014-07-11</t>
  </si>
  <si>
    <t>2014-07-18</t>
  </si>
  <si>
    <t>2014-07-25</t>
  </si>
  <si>
    <t>2014-08-01</t>
  </si>
  <si>
    <t>2014-08-08</t>
  </si>
  <si>
    <t>2014-08-15</t>
  </si>
  <si>
    <t>2014-08-22</t>
  </si>
  <si>
    <t>2014-08-29</t>
  </si>
  <si>
    <t>2014-09-05</t>
  </si>
  <si>
    <t>2014-09-12</t>
  </si>
  <si>
    <t>2014-09-19</t>
  </si>
  <si>
    <t>2014-09-26</t>
  </si>
  <si>
    <t>2014-10-03</t>
  </si>
  <si>
    <t>2014-10-10</t>
  </si>
  <si>
    <t>2014-10-17</t>
  </si>
  <si>
    <t>2014-10-24</t>
  </si>
  <si>
    <t>2014-10-31</t>
  </si>
  <si>
    <t>2014-11-07</t>
  </si>
  <si>
    <t>2014-11-14</t>
  </si>
  <si>
    <t>2014-11-20</t>
  </si>
  <si>
    <t>2014-11-28</t>
  </si>
  <si>
    <t>2014-12-05</t>
  </si>
  <si>
    <t>2014-12-12</t>
  </si>
  <si>
    <t>2014-12-18</t>
  </si>
  <si>
    <t>2015-01-02</t>
  </si>
  <si>
    <t>2015-01-09</t>
  </si>
  <si>
    <t>2015-01-16</t>
  </si>
  <si>
    <t>2015-01-23</t>
  </si>
  <si>
    <t>2015-01-30</t>
  </si>
  <si>
    <t>2015-02-06</t>
  </si>
  <si>
    <t>2012-04-05</t>
  </si>
  <si>
    <t>2012-04-12</t>
  </si>
  <si>
    <t>2012-04-19</t>
  </si>
  <si>
    <t>2012-04-26</t>
  </si>
  <si>
    <t>2012-05-03</t>
  </si>
  <si>
    <t>2012-05-10</t>
  </si>
  <si>
    <t>2012-05-17</t>
  </si>
  <si>
    <t>2012-05-24</t>
  </si>
  <si>
    <t>2012-05-31</t>
  </si>
  <si>
    <t>2012-06-07</t>
  </si>
  <si>
    <t>2012-06-14</t>
  </si>
  <si>
    <t>2012-06-21</t>
  </si>
  <si>
    <t>2012-06-28</t>
  </si>
  <si>
    <t>2012-07-05</t>
  </si>
  <si>
    <t>2012-07-12</t>
  </si>
  <si>
    <t>2012-07-19</t>
  </si>
  <si>
    <t>2012-07-26</t>
  </si>
  <si>
    <t>2012-08-02</t>
  </si>
  <si>
    <t>2012-08-09</t>
  </si>
  <si>
    <t>2012-08-16</t>
  </si>
  <si>
    <t>2012-08-23</t>
  </si>
  <si>
    <t>2012-08-30</t>
  </si>
  <si>
    <t>2012-09-06</t>
  </si>
  <si>
    <t>2012-09-13</t>
  </si>
  <si>
    <t>2012-09-20</t>
  </si>
  <si>
    <t>2012-09-27</t>
  </si>
  <si>
    <t>2012-10-04</t>
  </si>
  <si>
    <t>2012-10-11</t>
  </si>
  <si>
    <t>2012-10-18</t>
  </si>
  <si>
    <t>2012-10-25</t>
  </si>
  <si>
    <t>2012-11-01</t>
  </si>
  <si>
    <t>2012-11-08</t>
  </si>
  <si>
    <t>2012-11-29</t>
  </si>
  <si>
    <t>2012-12-06</t>
  </si>
  <si>
    <t>2012-12-13</t>
  </si>
  <si>
    <t>2012-12-20</t>
  </si>
  <si>
    <t>2012-12-27</t>
  </si>
  <si>
    <t>2013-01-03</t>
  </si>
  <si>
    <t>2013-01-10</t>
  </si>
  <si>
    <t>2013-01-17</t>
  </si>
  <si>
    <t>2013-01-24</t>
  </si>
  <si>
    <t>2013-01-31</t>
  </si>
  <si>
    <t>2013-02-07</t>
  </si>
  <si>
    <t>2013-02-14</t>
  </si>
  <si>
    <t>2013-02-21</t>
  </si>
  <si>
    <t>2013-02-28</t>
  </si>
  <si>
    <t>2013-03-07</t>
  </si>
  <si>
    <t>2013-03-14</t>
  </si>
  <si>
    <t>2013-03-21</t>
  </si>
  <si>
    <t>2013-03-28</t>
  </si>
  <si>
    <t>2013-04-04</t>
  </si>
  <si>
    <t>2013-04-11</t>
  </si>
  <si>
    <t>2013-04-18</t>
  </si>
  <si>
    <t>2013-04-25</t>
  </si>
  <si>
    <t>2013-05-02</t>
  </si>
  <si>
    <t>2013-05-09</t>
  </si>
  <si>
    <t>2013-05-16</t>
  </si>
  <si>
    <t>2013-05-23</t>
  </si>
  <si>
    <t>2013-05-30</t>
  </si>
  <si>
    <t>2013-06-06</t>
  </si>
  <si>
    <t>2013-06-13</t>
  </si>
  <si>
    <t>2013-06-20</t>
  </si>
  <si>
    <t>2013-07-11</t>
  </si>
  <si>
    <t>2013-07-18</t>
  </si>
  <si>
    <t>2013-07-25</t>
  </si>
  <si>
    <t>2013-08-01</t>
  </si>
  <si>
    <t>2013-08-08</t>
  </si>
  <si>
    <t>2013-08-15</t>
  </si>
  <si>
    <t>2013-08-22</t>
  </si>
  <si>
    <t>2013-08-29</t>
  </si>
  <si>
    <t>2013-09-05</t>
  </si>
  <si>
    <t>2013-09-12</t>
  </si>
  <si>
    <t>2013-09-19</t>
  </si>
  <si>
    <t>2013-09-26</t>
  </si>
  <si>
    <t>2013-10-03</t>
  </si>
  <si>
    <t>2013-10-10</t>
  </si>
  <si>
    <t>2013-10-17</t>
  </si>
  <si>
    <t>2013-10-24</t>
  </si>
  <si>
    <t>2013-10-31</t>
  </si>
  <si>
    <t>2013-11-07</t>
  </si>
  <si>
    <t>2013-11-14</t>
  </si>
  <si>
    <t>2013-12-05</t>
  </si>
  <si>
    <t>2013-12-12</t>
  </si>
  <si>
    <t>2013-12-19</t>
  </si>
  <si>
    <t>2013-12-26</t>
  </si>
  <si>
    <t>2014-01-02</t>
  </si>
  <si>
    <t>2014-01-09</t>
  </si>
  <si>
    <t>2014-01-16</t>
  </si>
  <si>
    <t>2014-01-23</t>
  </si>
  <si>
    <t>2014-01-30</t>
  </si>
  <si>
    <t>2014-02-06</t>
  </si>
  <si>
    <t>2014-02-13</t>
  </si>
  <si>
    <t>2014-02-20</t>
  </si>
  <si>
    <t>2014-02-27</t>
  </si>
  <si>
    <t>2014-03-06</t>
  </si>
  <si>
    <t>2014-03-13</t>
  </si>
  <si>
    <t>2014-03-20</t>
  </si>
  <si>
    <t>2014-03-27</t>
  </si>
  <si>
    <t>2014-04-03</t>
  </si>
  <si>
    <t>2014-04-10</t>
  </si>
  <si>
    <t>2014-04-17</t>
  </si>
  <si>
    <t>2014-04-24</t>
  </si>
  <si>
    <t>2014-05-01</t>
  </si>
  <si>
    <t>2014-05-08</t>
  </si>
  <si>
    <t>2014-05-15</t>
  </si>
  <si>
    <t>2014-05-22</t>
  </si>
  <si>
    <t>2014-05-29</t>
  </si>
  <si>
    <t>2014-06-05</t>
  </si>
  <si>
    <t>2014-06-12</t>
  </si>
  <si>
    <t>2014-06-19</t>
  </si>
  <si>
    <t>2014-06-26</t>
  </si>
  <si>
    <t>2014-07-03</t>
  </si>
  <si>
    <t>2014-07-10</t>
  </si>
  <si>
    <t>2014-07-17</t>
  </si>
  <si>
    <t>2014-07-24</t>
  </si>
  <si>
    <t>2014-07-31</t>
  </si>
  <si>
    <t>2014-08-07</t>
  </si>
  <si>
    <t>2014-08-14</t>
  </si>
  <si>
    <t>2014-08-21</t>
  </si>
  <si>
    <t>2014-08-28</t>
  </si>
  <si>
    <t>2014-09-04</t>
  </si>
  <si>
    <t>2014-09-11</t>
  </si>
  <si>
    <t>2014-09-18</t>
  </si>
  <si>
    <t>2014-09-25</t>
  </si>
  <si>
    <t>2014-10-02</t>
  </si>
  <si>
    <t>2014-10-09</t>
  </si>
  <si>
    <t>2014-10-16</t>
  </si>
  <si>
    <t>2014-10-23</t>
  </si>
  <si>
    <t>2014-10-30</t>
  </si>
  <si>
    <t>2014-11-06</t>
  </si>
  <si>
    <t>2014-11-13</t>
  </si>
  <si>
    <t>2014-12-04</t>
  </si>
  <si>
    <t>2014-12-11</t>
  </si>
  <si>
    <t>2014-12-24</t>
  </si>
  <si>
    <t>2015-01-08</t>
  </si>
  <si>
    <t>2015-01-15</t>
  </si>
  <si>
    <t>2015-01-22</t>
  </si>
  <si>
    <t>2015-01-29</t>
  </si>
  <si>
    <t>2015-02-05</t>
  </si>
  <si>
    <t>Current Coupon Query</t>
  </si>
  <si>
    <t>Grand Total</t>
  </si>
  <si>
    <t>Accumulated Weighted CC</t>
  </si>
  <si>
    <t>AccumulatedWeight</t>
  </si>
  <si>
    <t>Servicing Spread</t>
  </si>
  <si>
    <t xml:space="preserve">Servicing Spread </t>
  </si>
  <si>
    <t>FHLMC Survey Rate</t>
  </si>
  <si>
    <t>Servicing Spread Non-Zero</t>
  </si>
  <si>
    <t>1M Rate Chg</t>
  </si>
  <si>
    <t>3M Rate Chg</t>
  </si>
  <si>
    <t>6M Rate Chg</t>
  </si>
  <si>
    <t>1Y Rate Chg</t>
  </si>
  <si>
    <t>Servicing Spread (bps)</t>
  </si>
  <si>
    <t>1D Rate</t>
  </si>
  <si>
    <t>1W Rate</t>
  </si>
  <si>
    <t>1M Rate</t>
  </si>
  <si>
    <t>3M Rate</t>
  </si>
  <si>
    <t>6M Rate</t>
  </si>
  <si>
    <t>1Y Rate</t>
  </si>
  <si>
    <t>PROD</t>
  </si>
  <si>
    <t>2015-02-09</t>
  </si>
  <si>
    <t>2015-02-10</t>
  </si>
  <si>
    <t>2015-02-11</t>
  </si>
  <si>
    <t>2015-02-12</t>
  </si>
  <si>
    <t>2015-02-13</t>
  </si>
  <si>
    <t>2015-02-17</t>
  </si>
  <si>
    <t>2015-02-18</t>
  </si>
  <si>
    <t>2015-02-19</t>
  </si>
  <si>
    <t>2015-02-20</t>
  </si>
  <si>
    <t>2015-02-23</t>
  </si>
  <si>
    <t>2015-02-24</t>
  </si>
  <si>
    <t>2015-02-25</t>
  </si>
  <si>
    <t>2015-02-26</t>
  </si>
  <si>
    <t>2015-02-27</t>
  </si>
  <si>
    <t>2015-03-02</t>
  </si>
  <si>
    <t>2015-03-03</t>
  </si>
  <si>
    <t>2015-03-04</t>
  </si>
  <si>
    <t>Last Survey Date</t>
  </si>
  <si>
    <t>One Day Before Last Survey Date</t>
  </si>
  <si>
    <t>Last Survey Date:</t>
  </si>
  <si>
    <t>2015-03-05</t>
  </si>
  <si>
    <t>2015-03-06</t>
  </si>
  <si>
    <t>2015-03-09</t>
  </si>
  <si>
    <t>2015-03-10</t>
  </si>
  <si>
    <t>2015-03-11</t>
  </si>
  <si>
    <t>2015-03-12</t>
  </si>
  <si>
    <t>2015-03-13</t>
  </si>
  <si>
    <t>2015-03-16</t>
  </si>
  <si>
    <t>2015-03-17</t>
  </si>
  <si>
    <t>2015-03-18</t>
  </si>
  <si>
    <t>Servicing Spread 1m chg</t>
  </si>
  <si>
    <t>Row Labels</t>
  </si>
  <si>
    <t>Servicing Spread chg</t>
  </si>
  <si>
    <t>1W Rate Chg (bps)</t>
  </si>
  <si>
    <t>AsOf</t>
  </si>
  <si>
    <t>Survey Rate 1m chg</t>
  </si>
  <si>
    <t>Survey Rate chg</t>
  </si>
  <si>
    <t>Servicing Spread Chg</t>
  </si>
  <si>
    <t>FHLMC Survey Rate Chg</t>
  </si>
  <si>
    <t>Report Folder</t>
  </si>
  <si>
    <t>S:\IT\Production\Daily Reports\Primary Market\tmp\</t>
  </si>
  <si>
    <t xml:space="preserve">Implied Servicing Spread </t>
  </si>
  <si>
    <t>1-point FHLMC Survey Rate</t>
  </si>
  <si>
    <t>2015-03-19</t>
  </si>
  <si>
    <t>2015-03-20</t>
  </si>
  <si>
    <t>2015-03-23</t>
  </si>
  <si>
    <t>2015-03-24</t>
  </si>
  <si>
    <t>2015-03-25</t>
  </si>
  <si>
    <t>2015-03-26</t>
  </si>
  <si>
    <t>2015-03-27</t>
  </si>
  <si>
    <t>2015-03-30</t>
  </si>
  <si>
    <t>2015-03-31</t>
  </si>
  <si>
    <t>2015-04-01</t>
  </si>
  <si>
    <t>2015-04-02</t>
  </si>
  <si>
    <t>2015-04-03</t>
  </si>
  <si>
    <t>2015-04-06</t>
  </si>
  <si>
    <t>2015-04-07</t>
  </si>
  <si>
    <t>2015-04-08</t>
  </si>
  <si>
    <t>2015-04-09</t>
  </si>
  <si>
    <t>2015-04-10</t>
  </si>
  <si>
    <t>2015-04-13</t>
  </si>
  <si>
    <t>2015-04-14</t>
  </si>
  <si>
    <t>2015-04-15</t>
  </si>
  <si>
    <t>2015-04-16</t>
  </si>
  <si>
    <t>2015-04-17</t>
  </si>
  <si>
    <t>2015-04-20</t>
  </si>
  <si>
    <t>2015-04-21</t>
  </si>
  <si>
    <t>2015-04-22</t>
  </si>
  <si>
    <t>2015-04-23</t>
  </si>
  <si>
    <t>2015-04-24</t>
  </si>
  <si>
    <t>2015-04-27</t>
  </si>
  <si>
    <t>2015-04-28</t>
  </si>
  <si>
    <t>2015-04-29</t>
  </si>
  <si>
    <t>2015-04-30</t>
  </si>
  <si>
    <t>2015-05-01</t>
  </si>
  <si>
    <t>2015-05-04</t>
  </si>
  <si>
    <t>2015-05-05</t>
  </si>
  <si>
    <t>2015-05-06</t>
  </si>
  <si>
    <t>2015-05-07</t>
  </si>
  <si>
    <t>2015-05-08</t>
  </si>
  <si>
    <t>2015-05-11</t>
  </si>
  <si>
    <t>2015-05-12</t>
  </si>
  <si>
    <t>2015-05-13</t>
  </si>
  <si>
    <t>2015-05-14</t>
  </si>
  <si>
    <t>2015-05-15</t>
  </si>
  <si>
    <t>2015-05-18</t>
  </si>
  <si>
    <t>2015-05-19</t>
  </si>
  <si>
    <t>2015-05-20</t>
  </si>
  <si>
    <t>2015-05-21</t>
  </si>
  <si>
    <t>2015-05-22</t>
  </si>
  <si>
    <t>2015-05-26</t>
  </si>
  <si>
    <t>2015-05-27</t>
  </si>
  <si>
    <t>2015-05-28</t>
  </si>
  <si>
    <t>2015-05-29</t>
  </si>
  <si>
    <t>2015-06-01</t>
  </si>
  <si>
    <t>2015-06-02</t>
  </si>
  <si>
    <t>2015-06-03</t>
  </si>
  <si>
    <t>2015-06-04</t>
  </si>
  <si>
    <t>2015-06-05</t>
  </si>
  <si>
    <t>2015-06-08</t>
  </si>
  <si>
    <t>2015-06-09</t>
  </si>
  <si>
    <t>2015-06-10</t>
  </si>
  <si>
    <t>2015-06-11</t>
  </si>
  <si>
    <t>2015-06-12</t>
  </si>
  <si>
    <t>2015-06-15</t>
  </si>
  <si>
    <t>2015-06-16</t>
  </si>
  <si>
    <t>2015-06-17</t>
  </si>
  <si>
    <t>2015-06-18</t>
  </si>
  <si>
    <t>2015-06-19</t>
  </si>
  <si>
    <t>2015-06-22</t>
  </si>
  <si>
    <t>2015-06-23</t>
  </si>
  <si>
    <t>2015-06-24</t>
  </si>
  <si>
    <t>2015-06-25</t>
  </si>
  <si>
    <t>2015-06-26</t>
  </si>
  <si>
    <t>2015-06-29</t>
  </si>
  <si>
    <t>2015-06-30</t>
  </si>
  <si>
    <t>2015-07-01</t>
  </si>
  <si>
    <t>New Data</t>
  </si>
  <si>
    <t>2015-07-02</t>
  </si>
  <si>
    <t>2015-07-06</t>
  </si>
  <si>
    <t>2015-07-07</t>
  </si>
  <si>
    <t>2015-07-08</t>
  </si>
  <si>
    <t>2015-07-09</t>
  </si>
  <si>
    <t>2015-07-10</t>
  </si>
  <si>
    <t>2015-07-13</t>
  </si>
  <si>
    <t>2015-07-14</t>
  </si>
  <si>
    <t>2015-07-15</t>
  </si>
  <si>
    <t>2015-07-16</t>
  </si>
  <si>
    <t>2015-07-17</t>
  </si>
  <si>
    <t>2015-07-20</t>
  </si>
  <si>
    <t>2015-07-21</t>
  </si>
  <si>
    <t>2015-07-22</t>
  </si>
  <si>
    <t>2015-07-23</t>
  </si>
  <si>
    <t>2015-07-24</t>
  </si>
  <si>
    <t>2015-07-27</t>
  </si>
  <si>
    <t>2015-07-28</t>
  </si>
  <si>
    <t>2015-07-29</t>
  </si>
  <si>
    <t>2015-07-30</t>
  </si>
  <si>
    <t>2015-07-31</t>
  </si>
  <si>
    <t>2015-08-03</t>
  </si>
  <si>
    <t>2015-08-04</t>
  </si>
  <si>
    <t>2015-08-05</t>
  </si>
  <si>
    <t>2015-08-06</t>
  </si>
  <si>
    <t>2015-08-07</t>
  </si>
  <si>
    <t>2015-08-10</t>
  </si>
  <si>
    <t>2015-08-11</t>
  </si>
  <si>
    <t>2015-08-12</t>
  </si>
  <si>
    <t>2015-08-13</t>
  </si>
  <si>
    <t>2015-08-14</t>
  </si>
  <si>
    <t>2015-08-17</t>
  </si>
  <si>
    <t>2015-08-18</t>
  </si>
  <si>
    <t>2015-08-19</t>
  </si>
  <si>
    <t>2015-08-20</t>
  </si>
  <si>
    <t>2015-08-21</t>
  </si>
  <si>
    <t>2015-08-24</t>
  </si>
  <si>
    <t>2015-08-25</t>
  </si>
  <si>
    <t>2015-08-26</t>
  </si>
  <si>
    <t>2015-08-27</t>
  </si>
  <si>
    <t>2015-08-28</t>
  </si>
  <si>
    <t>2015-08-31</t>
  </si>
  <si>
    <t>2015-09-01</t>
  </si>
  <si>
    <t>2015-09-02</t>
  </si>
  <si>
    <t>2015-09-03</t>
  </si>
  <si>
    <t>2015-09-04</t>
  </si>
  <si>
    <t>2015-09-08</t>
  </si>
  <si>
    <t>2015-09-09</t>
  </si>
  <si>
    <t>2015-09-10</t>
  </si>
  <si>
    <t>2015-09-11</t>
  </si>
  <si>
    <t>2015-09-14</t>
  </si>
  <si>
    <t>2015-09-15</t>
  </si>
  <si>
    <t>2015-09-16</t>
  </si>
  <si>
    <t>2015-09-17</t>
  </si>
  <si>
    <t>2015-09-18</t>
  </si>
  <si>
    <t>2015-09-21</t>
  </si>
  <si>
    <t>2015-09-22</t>
  </si>
  <si>
    <t>2015-09-23</t>
  </si>
  <si>
    <t>2015-09-24</t>
  </si>
  <si>
    <t>2015-09-25</t>
  </si>
  <si>
    <t>2015-09-28</t>
  </si>
  <si>
    <t>2015-09-29</t>
  </si>
  <si>
    <t>2015-09-30</t>
  </si>
  <si>
    <t>2015-10-01</t>
  </si>
  <si>
    <t>2015-10-02</t>
  </si>
  <si>
    <t>2015-10-05</t>
  </si>
  <si>
    <t>2015-10-06</t>
  </si>
  <si>
    <t>2015-10-07</t>
  </si>
  <si>
    <t>2015-10-08</t>
  </si>
  <si>
    <t>2015-10-09</t>
  </si>
  <si>
    <t>2015-10-13</t>
  </si>
  <si>
    <t>2015-10-14</t>
  </si>
  <si>
    <t>2015-10-15</t>
  </si>
  <si>
    <t>2015-10-16</t>
  </si>
  <si>
    <t>2015-10-19</t>
  </si>
  <si>
    <t>2015-10-20</t>
  </si>
  <si>
    <t>2015-10-21</t>
  </si>
  <si>
    <t>2015-10-22</t>
  </si>
  <si>
    <t>2015-10-23</t>
  </si>
  <si>
    <t>2015-10-26</t>
  </si>
  <si>
    <t>2015-10-27</t>
  </si>
  <si>
    <t>2015-10-28</t>
  </si>
  <si>
    <t>2015-10-29</t>
  </si>
  <si>
    <t>2015-10-30</t>
  </si>
  <si>
    <t>2015-11-02</t>
  </si>
  <si>
    <t>2015-11-03</t>
  </si>
  <si>
    <t>2015-11-04</t>
  </si>
  <si>
    <t>2015-11-05</t>
  </si>
  <si>
    <t>2015-11-06</t>
  </si>
  <si>
    <t>2015-11-09</t>
  </si>
  <si>
    <t>2015-11-10</t>
  </si>
  <si>
    <t>2015-11-12</t>
  </si>
  <si>
    <t>2015-11-13</t>
  </si>
  <si>
    <t>2015-11-16</t>
  </si>
  <si>
    <t>2015-11-17</t>
  </si>
  <si>
    <t>2015-11-18</t>
  </si>
  <si>
    <t>2015-11-19</t>
  </si>
  <si>
    <t>2015-11-20</t>
  </si>
  <si>
    <t>2015-11-23</t>
  </si>
  <si>
    <t>2015-11-24</t>
  </si>
  <si>
    <t>2015-11-27</t>
  </si>
  <si>
    <t>2015-11-30</t>
  </si>
  <si>
    <t>2015-12-01</t>
  </si>
  <si>
    <t>2015-12-02</t>
  </si>
  <si>
    <t>2015-12-03</t>
  </si>
  <si>
    <t>2015-12-04</t>
  </si>
  <si>
    <t>2015-12-07</t>
  </si>
  <si>
    <t>2015-12-08</t>
  </si>
  <si>
    <t>2015-12-09</t>
  </si>
  <si>
    <t>2015-12-10</t>
  </si>
  <si>
    <t>2015-12-11</t>
  </si>
  <si>
    <t>2015-12-14</t>
  </si>
  <si>
    <t>2015-12-15</t>
  </si>
  <si>
    <t>2015-12-16</t>
  </si>
  <si>
    <t>2015-12-17</t>
  </si>
  <si>
    <t>2015-12-18</t>
  </si>
  <si>
    <t>2015-12-21</t>
  </si>
  <si>
    <t>2015-12-22</t>
  </si>
  <si>
    <t>2012-11-21</t>
  </si>
  <si>
    <t>2013-07-03</t>
  </si>
  <si>
    <t>2013-11-27</t>
  </si>
  <si>
    <t>2014-11-26</t>
  </si>
  <si>
    <t>2014-12-31</t>
  </si>
  <si>
    <t>2015-11-25</t>
  </si>
  <si>
    <t>2015-12-23</t>
  </si>
  <si>
    <t>2015-12-24</t>
  </si>
  <si>
    <t>2015-12-28</t>
  </si>
  <si>
    <t>2015-12-29</t>
  </si>
  <si>
    <t>2015-12-30</t>
  </si>
  <si>
    <t>2015-12-31</t>
  </si>
  <si>
    <t>2016-01-04</t>
  </si>
  <si>
    <t>2016-01-05</t>
  </si>
  <si>
    <t>2016-01-06</t>
  </si>
  <si>
    <t>2016-01-07</t>
  </si>
  <si>
    <t>2016-01-08</t>
  </si>
  <si>
    <t>2016-01-11</t>
  </si>
  <si>
    <t>2016-01-12</t>
  </si>
  <si>
    <t>2016-01-13</t>
  </si>
  <si>
    <t>2016-01-14</t>
  </si>
  <si>
    <t>2016-01-15</t>
  </si>
  <si>
    <t>2016-01-19</t>
  </si>
  <si>
    <t>2016-01-20</t>
  </si>
  <si>
    <t>2016-01-21</t>
  </si>
  <si>
    <t>2016-01-22</t>
  </si>
  <si>
    <t>2016-01-25</t>
  </si>
  <si>
    <t>2016-01-26</t>
  </si>
  <si>
    <t>2016-01-27</t>
  </si>
  <si>
    <t>2016-01-28</t>
  </si>
  <si>
    <t>2016-01-29</t>
  </si>
  <si>
    <t>2016-02-01</t>
  </si>
  <si>
    <t>2016-02-02</t>
  </si>
  <si>
    <t>2016-02-03</t>
  </si>
  <si>
    <t>2016-02-04</t>
  </si>
  <si>
    <t>2016-02-05</t>
  </si>
  <si>
    <t>2016-02-08</t>
  </si>
  <si>
    <t>2016-02-09</t>
  </si>
  <si>
    <t>2016-02-10</t>
  </si>
  <si>
    <t>2016-02-11</t>
  </si>
  <si>
    <t>2016-02-12</t>
  </si>
  <si>
    <t>2016-02-16</t>
  </si>
  <si>
    <t>2016-02-17</t>
  </si>
  <si>
    <t>2016-02-18</t>
  </si>
  <si>
    <t>2016-02-19</t>
  </si>
  <si>
    <t>2016-02-22</t>
  </si>
  <si>
    <t>2016-02-23</t>
  </si>
  <si>
    <t>2016-02-24</t>
  </si>
  <si>
    <t>2016-02-25</t>
  </si>
  <si>
    <t>2016-02-26</t>
  </si>
  <si>
    <t>2016-02-29</t>
  </si>
  <si>
    <t>2016-03-01</t>
  </si>
  <si>
    <t>2016-03-02</t>
  </si>
  <si>
    <t>2016-03-03</t>
  </si>
  <si>
    <t>2016-03-04</t>
  </si>
  <si>
    <t>2016-03-07</t>
  </si>
  <si>
    <t>2016-03-08</t>
  </si>
  <si>
    <t>2016-03-09</t>
  </si>
  <si>
    <t>2016-03-10</t>
  </si>
  <si>
    <t>2016-03-11</t>
  </si>
  <si>
    <t>2016-03-14</t>
  </si>
  <si>
    <t>2016-03-15</t>
  </si>
  <si>
    <t>2016-03-16</t>
  </si>
  <si>
    <t>2016-03-17</t>
  </si>
  <si>
    <t>2016-03-18</t>
  </si>
  <si>
    <t>2016-03-21</t>
  </si>
  <si>
    <t>2016-03-22</t>
  </si>
  <si>
    <t>2016-03-23</t>
  </si>
  <si>
    <t>2016-03-24</t>
  </si>
  <si>
    <t>2016-03-28</t>
  </si>
  <si>
    <t>2016-03-29</t>
  </si>
  <si>
    <t>2016-03-30</t>
  </si>
  <si>
    <t>2016-03-31</t>
  </si>
  <si>
    <t>2016-04-01</t>
  </si>
  <si>
    <t>2016-04-04</t>
  </si>
  <si>
    <t>2016-04-05</t>
  </si>
  <si>
    <t>2016-04-06</t>
  </si>
  <si>
    <t>2016-04-07</t>
  </si>
  <si>
    <t>2016-04-08</t>
  </si>
  <si>
    <t>2016-04-11</t>
  </si>
  <si>
    <t>2016-04-12</t>
  </si>
  <si>
    <t>2016-04-13</t>
  </si>
  <si>
    <t>2016-04-14</t>
  </si>
  <si>
    <t>2016-04-15</t>
  </si>
  <si>
    <t>2016-04-18</t>
  </si>
  <si>
    <t>2016-04-19</t>
  </si>
  <si>
    <t>2016-04-20</t>
  </si>
  <si>
    <t>2016-04-21</t>
  </si>
  <si>
    <t>2016-04-22</t>
  </si>
  <si>
    <t>2016-04-25</t>
  </si>
  <si>
    <t>2016-04-26</t>
  </si>
  <si>
    <t>2016-04-27</t>
  </si>
  <si>
    <t>2016-04-28</t>
  </si>
  <si>
    <t>2016-04-29</t>
  </si>
  <si>
    <t>2016-05-02</t>
  </si>
  <si>
    <t>2016-05-03</t>
  </si>
  <si>
    <t>2016-05-04</t>
  </si>
  <si>
    <t>2016-05-05</t>
  </si>
  <si>
    <t>2016-05-06</t>
  </si>
  <si>
    <t>2016-05-09</t>
  </si>
  <si>
    <t>2016-05-10</t>
  </si>
  <si>
    <t>2016-05-11</t>
  </si>
  <si>
    <t>2016-05-12</t>
  </si>
  <si>
    <t>2016-05-13</t>
  </si>
  <si>
    <t>2016-05-16</t>
  </si>
  <si>
    <t>2016-05-17</t>
  </si>
  <si>
    <t>2016-05-18</t>
  </si>
  <si>
    <t>2016-05-19</t>
  </si>
  <si>
    <t>2016-05-20</t>
  </si>
  <si>
    <t>2016-05-23</t>
  </si>
  <si>
    <t>2016-05-24</t>
  </si>
  <si>
    <t>2016-05-25</t>
  </si>
  <si>
    <t>2016-05-26</t>
  </si>
  <si>
    <t>2016-05-27</t>
  </si>
  <si>
    <t>2016-05-31</t>
  </si>
  <si>
    <t>2016-06-01</t>
  </si>
  <si>
    <t>2016-06-02</t>
  </si>
  <si>
    <t>2016-06-03</t>
  </si>
  <si>
    <t>2016-06-06</t>
  </si>
  <si>
    <t>2016-06-07</t>
  </si>
  <si>
    <t>2016-06-08</t>
  </si>
  <si>
    <t>2016-06-09</t>
  </si>
  <si>
    <t>2016-06-10</t>
  </si>
  <si>
    <t>2016-06-13</t>
  </si>
  <si>
    <t>2016-06-14</t>
  </si>
  <si>
    <t>2016-06-15</t>
  </si>
  <si>
    <t>2016-06-16</t>
  </si>
  <si>
    <t>2016-06-17</t>
  </si>
  <si>
    <t>2016-06-20</t>
  </si>
  <si>
    <t>2016-06-21</t>
  </si>
  <si>
    <t>2016-06-22</t>
  </si>
  <si>
    <t>2016-06-23</t>
  </si>
  <si>
    <t>2016-06-24</t>
  </si>
  <si>
    <t>2016-06-27</t>
  </si>
  <si>
    <t>2016-06-28</t>
  </si>
  <si>
    <t>2016-06-29</t>
  </si>
  <si>
    <t>2016-06-30</t>
  </si>
  <si>
    <t>2016-07-01</t>
  </si>
  <si>
    <t>2016-07-05</t>
  </si>
  <si>
    <t>2016-07-06</t>
  </si>
  <si>
    <t>2016-07-07</t>
  </si>
  <si>
    <t>2016-07-08</t>
  </si>
  <si>
    <t>2016-07-11</t>
  </si>
  <si>
    <t>2016-07-12</t>
  </si>
  <si>
    <t>2016-07-13</t>
  </si>
  <si>
    <t>2016-07-14</t>
  </si>
  <si>
    <t>2016-07-15</t>
  </si>
  <si>
    <t>2016-07-18</t>
  </si>
  <si>
    <t>2016-07-19</t>
  </si>
  <si>
    <t>2016-07-20</t>
  </si>
  <si>
    <t>2016-07-21</t>
  </si>
  <si>
    <t>2016-07-22</t>
  </si>
  <si>
    <t>2016-07-25</t>
  </si>
  <si>
    <t>2016-07-26</t>
  </si>
  <si>
    <t>2016-07-27</t>
  </si>
  <si>
    <t>2016-07-28</t>
  </si>
  <si>
    <t>2016-07-29</t>
  </si>
  <si>
    <t>2016-08-01</t>
  </si>
  <si>
    <t>2016-08-02</t>
  </si>
  <si>
    <t>2016-08-03</t>
  </si>
  <si>
    <t>2016-08-04</t>
  </si>
  <si>
    <t>2016-08-05</t>
  </si>
  <si>
    <t>2016-08-08</t>
  </si>
  <si>
    <t>2016-08-09</t>
  </si>
  <si>
    <t>2016-08-10</t>
  </si>
  <si>
    <t>2016-08-11</t>
  </si>
  <si>
    <t>2016-08-12</t>
  </si>
  <si>
    <t>2016-08-15</t>
  </si>
  <si>
    <t>2016-08-16</t>
  </si>
  <si>
    <t>2016-08-17</t>
  </si>
  <si>
    <t>2016-08-18</t>
  </si>
  <si>
    <t>2016-08-19</t>
  </si>
  <si>
    <t>2016-08-22</t>
  </si>
  <si>
    <t>2016-08-23</t>
  </si>
  <si>
    <t>2016-08-24</t>
  </si>
  <si>
    <t>2016-08-25</t>
  </si>
  <si>
    <t>2016-08-26</t>
  </si>
  <si>
    <t>2016-08-29</t>
  </si>
  <si>
    <t>2016-08-30</t>
  </si>
  <si>
    <t>2016-08-31</t>
  </si>
  <si>
    <t>2016-09-01</t>
  </si>
  <si>
    <t>2016-09-02</t>
  </si>
  <si>
    <t>2016-09-06</t>
  </si>
  <si>
    <t>2016-09-07</t>
  </si>
  <si>
    <t>2016-09-08</t>
  </si>
  <si>
    <t>2016-09-09</t>
  </si>
  <si>
    <t>2016-09-12</t>
  </si>
  <si>
    <t>2016-09-13</t>
  </si>
  <si>
    <t>2016-09-14</t>
  </si>
  <si>
    <t>2016-09-15</t>
  </si>
  <si>
    <t>2016-09-16</t>
  </si>
  <si>
    <t>2016-09-19</t>
  </si>
  <si>
    <t>2016-09-20</t>
  </si>
  <si>
    <t>2016-09-21</t>
  </si>
  <si>
    <t>2016-09-22</t>
  </si>
  <si>
    <t>2016-09-23</t>
  </si>
  <si>
    <t>2016-09-26</t>
  </si>
  <si>
    <t>2016-09-27</t>
  </si>
  <si>
    <t>2016-09-28</t>
  </si>
  <si>
    <t>2016-09-29</t>
  </si>
  <si>
    <t>2016-09-30</t>
  </si>
  <si>
    <t>2016-10-03</t>
  </si>
  <si>
    <t>2016-10-04</t>
  </si>
  <si>
    <t>2016-10-05</t>
  </si>
  <si>
    <t>2016-10-06</t>
  </si>
  <si>
    <t>2016-10-07</t>
  </si>
  <si>
    <t>2016-10-11</t>
  </si>
  <si>
    <t>2016-10-12</t>
  </si>
  <si>
    <t>2016-10-13</t>
  </si>
  <si>
    <t>2016-10-14</t>
  </si>
  <si>
    <t>2016-10-17</t>
  </si>
  <si>
    <t>2016-10-18</t>
  </si>
  <si>
    <t>2016-10-19</t>
  </si>
  <si>
    <t>2016-10-20</t>
  </si>
  <si>
    <t>2016-10-21</t>
  </si>
  <si>
    <t>2016-10-24</t>
  </si>
  <si>
    <t>2016-10-25</t>
  </si>
  <si>
    <t>2016-10-26</t>
  </si>
  <si>
    <t>EndWeek</t>
  </si>
  <si>
    <t>2016-10-27</t>
  </si>
  <si>
    <t>2016-10-28</t>
  </si>
  <si>
    <t>2016-10-31</t>
  </si>
  <si>
    <t>2016-11-01</t>
  </si>
  <si>
    <t>2016-11-02</t>
  </si>
  <si>
    <t>2016-11-03</t>
  </si>
  <si>
    <t>2016-11-04</t>
  </si>
  <si>
    <t>2016-11-07</t>
  </si>
  <si>
    <t>2016-11-08</t>
  </si>
  <si>
    <t>2016-11-09</t>
  </si>
  <si>
    <t>2016-11-10</t>
  </si>
  <si>
    <t>2016-11-14</t>
  </si>
  <si>
    <t>2016-11-15</t>
  </si>
  <si>
    <t>2016-11-16</t>
  </si>
  <si>
    <t>2016-11-17</t>
  </si>
  <si>
    <t>2016-11-18</t>
  </si>
  <si>
    <t>2016-11-21</t>
  </si>
  <si>
    <t>2016-11-22</t>
  </si>
  <si>
    <t>2016-11-23</t>
  </si>
  <si>
    <t>2016-11-25</t>
  </si>
  <si>
    <t>2016-11-28</t>
  </si>
  <si>
    <t>2016-11-29</t>
  </si>
  <si>
    <t>2016-11-30</t>
  </si>
  <si>
    <t>2016-12-01</t>
  </si>
  <si>
    <t>2016-12-02</t>
  </si>
  <si>
    <t>2016-12-05</t>
  </si>
  <si>
    <t>2016-12-06</t>
  </si>
  <si>
    <t>2016-12-07</t>
  </si>
  <si>
    <t>2016-12-08</t>
  </si>
  <si>
    <t>2016-12-09</t>
  </si>
  <si>
    <t>2016-12-12</t>
  </si>
  <si>
    <t>2016-12-13</t>
  </si>
  <si>
    <t>2016-12-14</t>
  </si>
  <si>
    <t>2016-12-15</t>
  </si>
  <si>
    <t>2016-12-16</t>
  </si>
  <si>
    <t>2016-12-19</t>
  </si>
  <si>
    <t>2016-12-20</t>
  </si>
  <si>
    <t>2016-12-21</t>
  </si>
  <si>
    <t>2016-12-22</t>
  </si>
  <si>
    <t>2016-12-23</t>
  </si>
  <si>
    <t>2016-12-27</t>
  </si>
  <si>
    <t>2016-12-28</t>
  </si>
  <si>
    <t>2016-12-29</t>
  </si>
  <si>
    <t>2016-12-30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</si>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</sst>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4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</numFmts>
  <fonts count="14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theme="0" tint="-0.14999847407452621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526">
    <xf numFmtId="0" fontId="0" fillId="0" borderId="0"/>
    <xf numFmtId="9" fontId="1" fillId="0" borderId="0" applyFont="0" applyFill="0" applyBorder="0" applyAlignment="0" applyProtection="0"/>
    <xf numFmtId="0" fontId="5" fillId="6" borderId="7" applyNumberFormat="0"/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9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1" borderId="0" applyNumberFormat="0" applyBorder="0" applyAlignment="0" applyProtection="0"/>
    <xf numFmtId="0" fontId="11" fillId="13" borderId="0" applyNumberFormat="0" applyBorder="0" applyAlignment="0" applyProtection="0"/>
    <xf numFmtId="0" fontId="9" fillId="14" borderId="0" applyNumberFormat="0" applyBorder="0" applyAlignment="0" applyProtection="0"/>
    <xf numFmtId="0" fontId="10" fillId="15" borderId="0" applyNumberFormat="0" applyBorder="0" applyAlignment="0" applyProtection="0"/>
    <xf numFmtId="0" fontId="11" fillId="14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8" borderId="0" applyNumberFormat="0" applyBorder="0" applyAlignment="0" applyProtection="0"/>
    <xf numFmtId="0" fontId="9" fillId="16" borderId="0" applyNumberFormat="0" applyBorder="0" applyAlignment="0" applyProtection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9" fillId="19" borderId="0" applyNumberFormat="0" applyBorder="0" applyAlignment="0" applyProtection="0"/>
    <xf numFmtId="0" fontId="10" fillId="19" borderId="0" applyNumberFormat="0" applyBorder="0" applyAlignment="0" applyProtection="0"/>
    <xf numFmtId="0" fontId="11" fillId="19" borderId="0" applyNumberFormat="0" applyBorder="0" applyAlignment="0" applyProtection="0"/>
    <xf numFmtId="0" fontId="9" fillId="10" borderId="0" applyNumberFormat="0" applyBorder="0" applyAlignment="0" applyProtection="0"/>
    <xf numFmtId="0" fontId="10" fillId="13" borderId="0" applyNumberFormat="0" applyBorder="0" applyAlignment="0" applyProtection="0"/>
    <xf numFmtId="0" fontId="11" fillId="20" borderId="0" applyNumberFormat="0" applyBorder="0" applyAlignment="0" applyProtection="0"/>
    <xf numFmtId="0" fontId="9" fillId="16" borderId="0" applyNumberFormat="0" applyBorder="0" applyAlignment="0" applyProtection="0"/>
    <xf numFmtId="0" fontId="10" fillId="21" borderId="0" applyNumberFormat="0" applyBorder="0" applyAlignment="0" applyProtection="0"/>
    <xf numFmtId="0" fontId="11" fillId="13" borderId="0" applyNumberFormat="0" applyBorder="0" applyAlignment="0" applyProtection="0"/>
    <xf numFmtId="0" fontId="9" fillId="18" borderId="0" applyNumberFormat="0" applyBorder="0" applyAlignment="0" applyProtection="0"/>
    <xf numFmtId="0" fontId="10" fillId="15" borderId="0" applyNumberFormat="0" applyBorder="0" applyAlignment="0" applyProtection="0"/>
    <xf numFmtId="0" fontId="11" fillId="18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22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5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3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8" borderId="0" applyNumberFormat="0" applyBorder="0" applyAlignment="0" applyProtection="0"/>
    <xf numFmtId="0" fontId="12" fillId="23" borderId="0" applyNumberFormat="0" applyBorder="0" applyAlignment="0" applyProtection="0"/>
    <xf numFmtId="0" fontId="13" fillId="29" borderId="0" applyNumberFormat="0" applyBorder="0" applyAlignment="0" applyProtection="0"/>
    <xf numFmtId="0" fontId="14" fillId="30" borderId="0" applyNumberFormat="0" applyBorder="0" applyAlignment="0" applyProtection="0"/>
    <xf numFmtId="0" fontId="12" fillId="31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2" fillId="33" borderId="0" applyNumberFormat="0" applyBorder="0" applyAlignment="0" applyProtection="0"/>
    <xf numFmtId="0" fontId="13" fillId="32" borderId="0" applyNumberFormat="0" applyBorder="0" applyAlignment="0" applyProtection="0"/>
    <xf numFmtId="0" fontId="14" fillId="33" borderId="0" applyNumberFormat="0" applyBorder="0" applyAlignment="0" applyProtection="0"/>
    <xf numFmtId="0" fontId="12" fillId="29" borderId="0" applyNumberFormat="0" applyBorder="0" applyAlignment="0" applyProtection="0"/>
    <xf numFmtId="0" fontId="13" fillId="29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33" borderId="0" applyNumberFormat="0" applyBorder="0" applyAlignment="0" applyProtection="0"/>
    <xf numFmtId="0" fontId="14" fillId="23" borderId="0" applyNumberFormat="0" applyBorder="0" applyAlignment="0" applyProtection="0"/>
    <xf numFmtId="0" fontId="12" fillId="34" borderId="0" applyNumberFormat="0" applyBorder="0" applyAlignment="0" applyProtection="0"/>
    <xf numFmtId="0" fontId="13" fillId="34" borderId="0" applyNumberFormat="0" applyBorder="0" applyAlignment="0" applyProtection="0"/>
    <xf numFmtId="0" fontId="14" fillId="34" borderId="0" applyNumberFormat="0" applyBorder="0" applyAlignment="0" applyProtection="0"/>
    <xf numFmtId="0" fontId="7" fillId="0" borderId="0"/>
    <xf numFmtId="17" fontId="7" fillId="0" borderId="0" applyFont="0" applyFill="0" applyBorder="0" applyProtection="0">
      <alignment horizontal="left"/>
    </xf>
    <xf numFmtId="0" fontId="7" fillId="0" borderId="0" applyFont="0" applyFill="0" applyBorder="0" applyProtection="0">
      <alignment horizontal="left"/>
    </xf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38" fontId="18" fillId="12" borderId="0"/>
    <xf numFmtId="0" fontId="19" fillId="0" borderId="0" applyNumberFormat="0" applyFill="0" applyBorder="0" applyAlignment="0" applyProtection="0"/>
    <xf numFmtId="0" fontId="20" fillId="35" borderId="0">
      <alignment horizontal="left"/>
    </xf>
    <xf numFmtId="2" fontId="21" fillId="36" borderId="8" applyProtection="0">
      <alignment horizontal="left"/>
      <protection locked="0"/>
    </xf>
    <xf numFmtId="0" fontId="22" fillId="0" borderId="0" applyNumberFormat="0" applyFill="0" applyBorder="0" applyAlignment="0" applyProtection="0"/>
    <xf numFmtId="0" fontId="23" fillId="0" borderId="1" applyNumberFormat="0" applyFill="0" applyAlignment="0" applyProtection="0"/>
    <xf numFmtId="0" fontId="7" fillId="37" borderId="0"/>
    <xf numFmtId="167" fontId="8" fillId="0" borderId="0" applyFont="0" applyFill="0" applyBorder="0" applyAlignment="0" applyProtection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0" fontId="7" fillId="0" borderId="0" applyFill="0" applyBorder="0" applyAlignment="0"/>
    <xf numFmtId="0" fontId="7" fillId="0" borderId="0" applyFill="0" applyBorder="0" applyAlignment="0"/>
    <xf numFmtId="168" fontId="25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6" fillId="12" borderId="9" applyNumberFormat="0" applyAlignment="0" applyProtection="0"/>
    <xf numFmtId="0" fontId="27" fillId="14" borderId="9" applyNumberFormat="0" applyAlignment="0" applyProtection="0"/>
    <xf numFmtId="0" fontId="28" fillId="16" borderId="9" applyNumberFormat="0" applyAlignment="0" applyProtection="0"/>
    <xf numFmtId="0" fontId="29" fillId="38" borderId="10" applyNumberFormat="0"/>
    <xf numFmtId="0" fontId="30" fillId="39" borderId="11" applyBorder="0">
      <alignment horizontal="center" wrapText="1"/>
    </xf>
    <xf numFmtId="0" fontId="30" fillId="2" borderId="11" applyBorder="0">
      <alignment horizontal="center" wrapText="1"/>
    </xf>
    <xf numFmtId="0" fontId="31" fillId="40" borderId="10" applyNumberFormat="0"/>
    <xf numFmtId="0" fontId="32" fillId="41" borderId="10" applyNumberFormat="0"/>
    <xf numFmtId="0" fontId="3" fillId="41" borderId="10" applyNumberFormat="0"/>
    <xf numFmtId="0" fontId="31" fillId="40" borderId="10" applyNumberFormat="0"/>
    <xf numFmtId="0" fontId="32" fillId="40" borderId="10" applyNumberFormat="0"/>
    <xf numFmtId="0" fontId="31" fillId="38" borderId="10" applyNumberFormat="0"/>
    <xf numFmtId="0" fontId="29" fillId="38" borderId="10" applyNumberFormat="0"/>
    <xf numFmtId="0" fontId="5" fillId="6" borderId="7" applyNumberFormat="0" applyBorder="0"/>
    <xf numFmtId="0" fontId="5" fillId="6" borderId="7" applyNumberFormat="0" applyBorder="0"/>
    <xf numFmtId="0" fontId="5" fillId="6" borderId="7" applyNumberFormat="0"/>
    <xf numFmtId="0" fontId="5" fillId="6" borderId="7" applyNumberFormat="0" applyBorder="0"/>
    <xf numFmtId="14" fontId="33" fillId="40" borderId="12" applyNumberFormat="0" applyAlignment="0"/>
    <xf numFmtId="14" fontId="33" fillId="41" borderId="12" applyNumberFormat="0" applyAlignment="0"/>
    <xf numFmtId="14" fontId="34" fillId="41" borderId="12" applyNumberFormat="0" applyAlignment="0"/>
    <xf numFmtId="0" fontId="35" fillId="42" borderId="13" applyNumberFormat="0" applyAlignment="0" applyProtection="0"/>
    <xf numFmtId="0" fontId="36" fillId="42" borderId="13" applyNumberFormat="0" applyAlignment="0" applyProtection="0"/>
    <xf numFmtId="0" fontId="37" fillId="42" borderId="13" applyNumberFormat="0" applyAlignment="0" applyProtection="0"/>
    <xf numFmtId="0" fontId="38" fillId="0" borderId="0" applyNumberFormat="0" applyFill="0" applyBorder="0" applyAlignment="0" applyProtection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0" fontId="24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3" fontId="7" fillId="0" borderId="0" applyFill="0" applyBorder="0" applyAlignment="0" applyProtection="0"/>
    <xf numFmtId="0" fontId="41" fillId="0" borderId="0"/>
    <xf numFmtId="0" fontId="42" fillId="0" borderId="0" applyNumberFormat="0" applyAlignment="0">
      <alignment horizontal="left"/>
    </xf>
    <xf numFmtId="0" fontId="43" fillId="0" borderId="0">
      <alignment horizontal="center"/>
    </xf>
    <xf numFmtId="0" fontId="41" fillId="0" borderId="0"/>
    <xf numFmtId="0" fontId="24" fillId="0" borderId="0" applyFont="0" applyFill="0" applyBorder="0" applyAlignment="0" applyProtection="0"/>
    <xf numFmtId="169" fontId="7" fillId="0" borderId="0" applyFont="0" applyFill="0" applyBorder="0" applyAlignment="0" applyProtection="0"/>
    <xf numFmtId="8" fontId="44" fillId="0" borderId="14">
      <protection locked="0"/>
    </xf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5" fontId="7" fillId="0" borderId="0" applyFill="0" applyBorder="0" applyAlignment="0" applyProtection="0"/>
    <xf numFmtId="173" fontId="8" fillId="0" borderId="0" applyFont="0" applyFill="0" applyBorder="0" applyAlignment="0" applyProtection="0"/>
    <xf numFmtId="10" fontId="7" fillId="0" borderId="0" applyFont="0" applyFill="0" applyBorder="0" applyProtection="0">
      <alignment horizontal="center"/>
    </xf>
    <xf numFmtId="174" fontId="7" fillId="0" borderId="0" applyFont="0" applyFill="0" applyBorder="0" applyProtection="0"/>
    <xf numFmtId="175" fontId="7" fillId="0" borderId="0" applyFont="0" applyFill="0" applyBorder="0" applyProtection="0"/>
    <xf numFmtId="15" fontId="45" fillId="0" borderId="0" applyFont="0" applyFill="0" applyBorder="0" applyAlignment="0" applyProtection="0"/>
    <xf numFmtId="0" fontId="41" fillId="0" borderId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5" fontId="10" fillId="12" borderId="0"/>
    <xf numFmtId="14" fontId="10" fillId="0" borderId="0" applyFill="0" applyBorder="0" applyAlignment="0"/>
    <xf numFmtId="0" fontId="43" fillId="36" borderId="0">
      <alignment horizontal="left"/>
    </xf>
    <xf numFmtId="176" fontId="7" fillId="0" borderId="0" applyFill="0" applyBorder="0" applyAlignment="0" applyProtection="0"/>
    <xf numFmtId="14" fontId="7" fillId="0" borderId="0"/>
    <xf numFmtId="0" fontId="46" fillId="19" borderId="0">
      <alignment horizontal="left"/>
    </xf>
    <xf numFmtId="0" fontId="47" fillId="0" borderId="0">
      <alignment horizontal="left"/>
    </xf>
    <xf numFmtId="38" fontId="48" fillId="0" borderId="15">
      <alignment vertical="center"/>
    </xf>
    <xf numFmtId="177" fontId="7" fillId="0" borderId="0">
      <alignment horizontal="right"/>
    </xf>
    <xf numFmtId="1" fontId="7" fillId="0" borderId="0">
      <alignment horizontal="right"/>
    </xf>
    <xf numFmtId="1" fontId="7" fillId="0" borderId="0">
      <alignment horizontal="right"/>
    </xf>
    <xf numFmtId="178" fontId="7" fillId="0" borderId="0">
      <alignment horizontal="right"/>
    </xf>
    <xf numFmtId="49" fontId="7" fillId="0" borderId="0">
      <alignment horizontal="left"/>
    </xf>
    <xf numFmtId="49" fontId="7" fillId="0" borderId="0">
      <alignment horizontal="left"/>
    </xf>
    <xf numFmtId="49" fontId="7" fillId="0" borderId="0">
      <alignment horizontal="right"/>
    </xf>
    <xf numFmtId="14" fontId="7" fillId="0" borderId="0">
      <alignment horizontal="left"/>
    </xf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49" fillId="0" borderId="0" applyNumberFormat="0" applyAlignment="0">
      <alignment horizontal="left"/>
    </xf>
    <xf numFmtId="9" fontId="50" fillId="0" borderId="6" applyNumberFormat="0" applyBorder="0" applyAlignment="0">
      <protection locked="0"/>
    </xf>
    <xf numFmtId="179" fontId="7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2" fontId="7" fillId="0" borderId="0" applyFill="0" applyBorder="0" applyAlignment="0" applyProtection="0"/>
    <xf numFmtId="180" fontId="7" fillId="0" borderId="0" applyFont="0" applyFill="0" applyBorder="0" applyAlignment="0" applyProtection="0"/>
    <xf numFmtId="0" fontId="10" fillId="12" borderId="0"/>
    <xf numFmtId="0" fontId="54" fillId="11" borderId="0" applyNumberFormat="0" applyBorder="0" applyAlignment="0" applyProtection="0"/>
    <xf numFmtId="0" fontId="55" fillId="15" borderId="0" applyNumberFormat="0" applyBorder="0" applyAlignment="0" applyProtection="0"/>
    <xf numFmtId="0" fontId="56" fillId="11" borderId="0" applyNumberFormat="0" applyBorder="0" applyAlignment="0" applyProtection="0"/>
    <xf numFmtId="2" fontId="57" fillId="36" borderId="8" applyProtection="0">
      <alignment horizontal="left"/>
      <protection locked="0"/>
    </xf>
    <xf numFmtId="38" fontId="38" fillId="43" borderId="0" applyNumberFormat="0" applyBorder="0" applyAlignment="0" applyProtection="0"/>
    <xf numFmtId="0" fontId="58" fillId="0" borderId="16" applyNumberFormat="0" applyAlignment="0" applyProtection="0">
      <alignment horizontal="left" vertical="center"/>
    </xf>
    <xf numFmtId="0" fontId="58" fillId="0" borderId="2">
      <alignment horizontal="left" vertical="center"/>
    </xf>
    <xf numFmtId="0" fontId="59" fillId="16" borderId="6">
      <alignment horizontal="centerContinuous"/>
    </xf>
    <xf numFmtId="0" fontId="60" fillId="0" borderId="17" applyNumberFormat="0" applyFill="0" applyAlignment="0" applyProtection="0"/>
    <xf numFmtId="0" fontId="61" fillId="0" borderId="18" applyNumberFormat="0" applyFill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19" applyNumberFormat="0" applyFill="0" applyAlignment="0" applyProtection="0"/>
    <xf numFmtId="0" fontId="65" fillId="0" borderId="20" applyNumberFormat="0" applyFill="0" applyAlignment="0" applyProtection="0"/>
    <xf numFmtId="0" fontId="66" fillId="0" borderId="21" applyNumberFormat="0" applyFill="0" applyAlignment="0" applyProtection="0"/>
    <xf numFmtId="0" fontId="46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20" applyNumberFormat="0" applyFill="0" applyAlignment="0" applyProtection="0"/>
    <xf numFmtId="0" fontId="68" fillId="0" borderId="22" applyNumberFormat="0" applyFill="0" applyAlignment="0" applyProtection="0"/>
    <xf numFmtId="0" fontId="69" fillId="0" borderId="23" applyNumberFormat="0" applyFill="0" applyAlignment="0" applyProtection="0"/>
    <xf numFmtId="0" fontId="70" fillId="0" borderId="24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12" borderId="0"/>
    <xf numFmtId="0" fontId="63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10" fontId="38" fillId="44" borderId="6" applyNumberFormat="0" applyBorder="0" applyAlignment="0" applyProtection="0"/>
    <xf numFmtId="2" fontId="73" fillId="0" borderId="25" applyNumberFormat="0" applyFill="0" applyBorder="0" applyAlignment="0">
      <alignment horizontal="center"/>
      <protection locked="0"/>
    </xf>
    <xf numFmtId="2" fontId="73" fillId="0" borderId="25" applyNumberFormat="0" applyFill="0" applyBorder="0" applyAlignment="0">
      <alignment horizontal="center"/>
      <protection locked="0"/>
    </xf>
    <xf numFmtId="0" fontId="2" fillId="3" borderId="4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37" fontId="75" fillId="0" borderId="0" applyNumberFormat="0" applyAlignment="0">
      <protection locked="0"/>
    </xf>
    <xf numFmtId="0" fontId="76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7" fillId="0" borderId="26" applyNumberFormat="0" applyFill="0" applyAlignment="0" applyProtection="0"/>
    <xf numFmtId="0" fontId="78" fillId="0" borderId="26" applyNumberFormat="0" applyFill="0" applyAlignment="0" applyProtection="0"/>
    <xf numFmtId="0" fontId="79" fillId="0" borderId="26" applyNumberFormat="0" applyFill="0" applyAlignment="0" applyProtection="0"/>
    <xf numFmtId="0" fontId="7" fillId="43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38" fontId="10" fillId="12" borderId="0"/>
    <xf numFmtId="0" fontId="80" fillId="8" borderId="0" applyNumberFormat="0" applyBorder="0" applyAlignment="0" applyProtection="0"/>
    <xf numFmtId="0" fontId="81" fillId="13" borderId="0" applyNumberFormat="0" applyBorder="0" applyAlignment="0" applyProtection="0"/>
    <xf numFmtId="0" fontId="82" fillId="37" borderId="0" applyNumberFormat="0" applyBorder="0" applyAlignment="0" applyProtection="0"/>
    <xf numFmtId="37" fontId="83" fillId="0" borderId="0"/>
    <xf numFmtId="0" fontId="46" fillId="12" borderId="0" applyNumberFormat="0" applyFont="0" applyFill="0" applyBorder="0" applyAlignment="0"/>
    <xf numFmtId="10" fontId="10" fillId="12" borderId="0"/>
    <xf numFmtId="181" fontId="84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31" fillId="40" borderId="0"/>
    <xf numFmtId="0" fontId="31" fillId="40" borderId="0"/>
    <xf numFmtId="0" fontId="31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31" fillId="40" borderId="0"/>
    <xf numFmtId="0" fontId="1" fillId="0" borderId="0"/>
    <xf numFmtId="0" fontId="1" fillId="0" borderId="0"/>
    <xf numFmtId="0" fontId="7" fillId="0" borderId="0">
      <alignment vertical="top"/>
    </xf>
    <xf numFmtId="0" fontId="7" fillId="0" borderId="0">
      <alignment vertical="top"/>
    </xf>
    <xf numFmtId="0" fontId="1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5" fillId="0" borderId="0"/>
    <xf numFmtId="0" fontId="7" fillId="0" borderId="0"/>
    <xf numFmtId="0" fontId="7" fillId="0" borderId="0"/>
    <xf numFmtId="0" fontId="31" fillId="4" borderId="5" applyNumberFormat="0" applyFont="0" applyAlignment="0" applyProtection="0"/>
    <xf numFmtId="0" fontId="10" fillId="10" borderId="27" applyNumberFormat="0" applyFont="0" applyAlignment="0" applyProtection="0"/>
    <xf numFmtId="0" fontId="86" fillId="10" borderId="27" applyNumberFormat="0" applyFont="0" applyAlignment="0" applyProtection="0"/>
    <xf numFmtId="0" fontId="31" fillId="4" borderId="5" applyNumberFormat="0" applyFont="0" applyAlignment="0" applyProtection="0"/>
    <xf numFmtId="0" fontId="87" fillId="0" borderId="0"/>
    <xf numFmtId="0" fontId="11" fillId="10" borderId="27" applyNumberFormat="0" applyFont="0" applyAlignment="0" applyProtection="0"/>
    <xf numFmtId="0" fontId="31" fillId="4" borderId="5" applyNumberFormat="0" applyFont="0" applyAlignment="0" applyProtection="0"/>
    <xf numFmtId="0" fontId="3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182" fontId="24" fillId="0" borderId="0">
      <alignment horizontal="center"/>
    </xf>
    <xf numFmtId="37" fontId="7" fillId="0" borderId="0"/>
    <xf numFmtId="183" fontId="38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4" fontId="88" fillId="0" borderId="0" applyNumberFormat="0" applyFill="0" applyBorder="0" applyAlignment="0" applyProtection="0"/>
    <xf numFmtId="164" fontId="24" fillId="0" borderId="0">
      <alignment horizontal="center"/>
    </xf>
    <xf numFmtId="0" fontId="31" fillId="7" borderId="0" applyNumberFormat="0" applyFont="0" applyBorder="0" applyAlignment="0" applyProtection="0"/>
    <xf numFmtId="0" fontId="88" fillId="0" borderId="28"/>
    <xf numFmtId="2" fontId="89" fillId="36" borderId="8">
      <alignment horizontal="left"/>
    </xf>
    <xf numFmtId="0" fontId="90" fillId="12" borderId="29" applyNumberFormat="0" applyAlignment="0" applyProtection="0"/>
    <xf numFmtId="0" fontId="91" fillId="14" borderId="29" applyNumberFormat="0" applyAlignment="0" applyProtection="0"/>
    <xf numFmtId="0" fontId="92" fillId="16" borderId="29" applyNumberFormat="0" applyAlignment="0" applyProtection="0"/>
    <xf numFmtId="40" fontId="10" fillId="36" borderId="0">
      <alignment horizontal="right"/>
    </xf>
    <xf numFmtId="0" fontId="93" fillId="44" borderId="0">
      <alignment horizontal="center"/>
    </xf>
    <xf numFmtId="0" fontId="36" fillId="45" borderId="8"/>
    <xf numFmtId="0" fontId="94" fillId="0" borderId="0" applyBorder="0">
      <alignment horizontal="centerContinuous"/>
    </xf>
    <xf numFmtId="0" fontId="95" fillId="0" borderId="0" applyBorder="0">
      <alignment horizontal="centerContinuous"/>
    </xf>
    <xf numFmtId="0" fontId="58" fillId="0" borderId="0"/>
    <xf numFmtId="0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96" fillId="0" borderId="0" applyFont="0" applyFill="0" applyBorder="0" applyAlignment="0" applyProtection="0"/>
    <xf numFmtId="185" fontId="25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8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186" fontId="24" fillId="0" borderId="0">
      <alignment horizontal="center"/>
    </xf>
    <xf numFmtId="187" fontId="24" fillId="0" borderId="6">
      <alignment horizontal="center"/>
    </xf>
    <xf numFmtId="0" fontId="97" fillId="0" borderId="30" applyAlignment="0">
      <alignment horizontal="center"/>
    </xf>
    <xf numFmtId="0" fontId="98" fillId="43" borderId="0"/>
    <xf numFmtId="0" fontId="48" fillId="0" borderId="0" applyNumberFormat="0" applyFont="0" applyFill="0" applyBorder="0" applyAlignment="0" applyProtection="0">
      <alignment horizontal="left"/>
    </xf>
    <xf numFmtId="0" fontId="99" fillId="0" borderId="3">
      <alignment horizontal="center"/>
    </xf>
    <xf numFmtId="0" fontId="45" fillId="0" borderId="0">
      <alignment vertical="top"/>
    </xf>
    <xf numFmtId="188" fontId="45" fillId="0" borderId="0">
      <alignment vertical="top"/>
    </xf>
    <xf numFmtId="0" fontId="97" fillId="0" borderId="0">
      <alignment horizontal="left"/>
    </xf>
    <xf numFmtId="0" fontId="97" fillId="0" borderId="0">
      <alignment horizontal="right"/>
    </xf>
    <xf numFmtId="0" fontId="10" fillId="0" borderId="8" applyNumberFormat="0" applyBorder="0" applyAlignment="0"/>
    <xf numFmtId="189" fontId="100" fillId="0" borderId="0" applyNumberFormat="0" applyFill="0" applyBorder="0" applyAlignment="0" applyProtection="0">
      <alignment horizontal="left"/>
    </xf>
    <xf numFmtId="0" fontId="46" fillId="33" borderId="0">
      <alignment horizontal="left"/>
    </xf>
    <xf numFmtId="0" fontId="101" fillId="0" borderId="31"/>
    <xf numFmtId="187" fontId="21" fillId="10" borderId="0">
      <alignment horizontal="center"/>
    </xf>
    <xf numFmtId="187" fontId="102" fillId="10" borderId="0">
      <alignment horizontal="center"/>
    </xf>
    <xf numFmtId="187" fontId="21" fillId="11" borderId="0">
      <alignment horizontal="center"/>
    </xf>
    <xf numFmtId="0" fontId="21" fillId="10" borderId="0">
      <alignment horizontal="left"/>
    </xf>
    <xf numFmtId="0" fontId="103" fillId="0" borderId="0" applyFont="0" applyFill="0" applyBorder="0" applyAlignment="0" applyProtection="0"/>
    <xf numFmtId="190" fontId="25" fillId="0" borderId="0" applyFont="0" applyFill="0" applyBorder="0" applyAlignment="0" applyProtection="0"/>
    <xf numFmtId="191" fontId="7" fillId="0" borderId="0"/>
    <xf numFmtId="0" fontId="7" fillId="0" borderId="0"/>
    <xf numFmtId="0" fontId="7" fillId="0" borderId="0">
      <alignment horizontal="left" wrapText="1"/>
    </xf>
    <xf numFmtId="0" fontId="21" fillId="10" borderId="0">
      <alignment horizontal="center"/>
    </xf>
    <xf numFmtId="0" fontId="97" fillId="0" borderId="0"/>
    <xf numFmtId="0" fontId="104" fillId="0" borderId="0"/>
    <xf numFmtId="40" fontId="105" fillId="0" borderId="0" applyBorder="0">
      <alignment horizontal="right"/>
    </xf>
    <xf numFmtId="0" fontId="7" fillId="36" borderId="27"/>
    <xf numFmtId="0" fontId="24" fillId="0" borderId="0">
      <alignment horizontal="center"/>
    </xf>
    <xf numFmtId="15" fontId="24" fillId="0" borderId="0">
      <alignment horizontal="center"/>
    </xf>
    <xf numFmtId="0" fontId="106" fillId="0" borderId="0">
      <alignment horizontal="center"/>
    </xf>
    <xf numFmtId="3" fontId="24" fillId="0" borderId="0">
      <alignment horizontal="center"/>
    </xf>
    <xf numFmtId="192" fontId="24" fillId="0" borderId="0">
      <alignment horizontal="center"/>
    </xf>
    <xf numFmtId="187" fontId="24" fillId="0" borderId="0">
      <alignment horizontal="center"/>
    </xf>
    <xf numFmtId="0" fontId="107" fillId="46" borderId="0"/>
    <xf numFmtId="193" fontId="24" fillId="0" borderId="0">
      <alignment horizontal="center"/>
    </xf>
    <xf numFmtId="193" fontId="24" fillId="0" borderId="32">
      <alignment horizontal="center"/>
    </xf>
    <xf numFmtId="0" fontId="24" fillId="0" borderId="0">
      <alignment horizontal="left"/>
    </xf>
    <xf numFmtId="0" fontId="108" fillId="0" borderId="0">
      <alignment horizontal="center"/>
    </xf>
    <xf numFmtId="0" fontId="109" fillId="0" borderId="0" applyNumberFormat="0" applyFill="0" applyBorder="0"/>
    <xf numFmtId="0" fontId="10" fillId="12" borderId="0"/>
    <xf numFmtId="49" fontId="10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49" fontId="7" fillId="0" borderId="0"/>
    <xf numFmtId="0" fontId="110" fillId="0" borderId="0">
      <alignment horizontal="right"/>
    </xf>
    <xf numFmtId="0" fontId="111" fillId="0" borderId="0">
      <alignment horizontal="right"/>
      <protection locked="0"/>
    </xf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8" fillId="12" borderId="0"/>
    <xf numFmtId="0" fontId="31" fillId="47" borderId="33" applyBorder="0">
      <alignment horizontal="center" wrapText="1"/>
    </xf>
    <xf numFmtId="0" fontId="30" fillId="39" borderId="11" applyBorder="0">
      <alignment horizontal="center" wrapText="1"/>
    </xf>
    <xf numFmtId="0" fontId="31" fillId="48" borderId="11" applyBorder="0">
      <alignment horizontal="center" wrapText="1"/>
    </xf>
    <xf numFmtId="0" fontId="30" fillId="2" borderId="11" applyBorder="0">
      <alignment horizontal="center" wrapText="1"/>
    </xf>
    <xf numFmtId="0" fontId="6" fillId="49" borderId="11" applyBorder="0">
      <alignment horizontal="center" wrapText="1"/>
    </xf>
    <xf numFmtId="0" fontId="30" fillId="50" borderId="11" applyBorder="0">
      <alignment horizontal="center" wrapText="1"/>
    </xf>
    <xf numFmtId="0" fontId="30" fillId="50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97" fillId="0" borderId="0" applyNumberFormat="0" applyFill="0" applyBorder="0" applyAlignment="0" applyProtection="0"/>
    <xf numFmtId="0" fontId="115" fillId="0" borderId="34" applyNumberFormat="0" applyFill="0" applyAlignment="0" applyProtection="0"/>
    <xf numFmtId="0" fontId="18" fillId="0" borderId="35" applyNumberFormat="0" applyFill="0" applyAlignment="0" applyProtection="0"/>
    <xf numFmtId="0" fontId="7" fillId="0" borderId="36" applyNumberFormat="0" applyFill="0" applyAlignment="0" applyProtection="0"/>
    <xf numFmtId="0" fontId="116" fillId="0" borderId="37" applyNumberFormat="0" applyFill="0" applyAlignment="0" applyProtection="0"/>
    <xf numFmtId="0" fontId="117" fillId="12" borderId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" fontId="121" fillId="40" borderId="12"/>
    <xf numFmtId="1" fontId="121" fillId="41" borderId="12"/>
    <xf numFmtId="2" fontId="122" fillId="41" borderId="12"/>
    <xf numFmtId="0" fontId="123" fillId="40" borderId="7" applyNumberFormat="0" applyAlignment="0"/>
    <xf numFmtId="0" fontId="124" fillId="41" borderId="7" applyNumberFormat="0" applyAlignment="0"/>
    <xf numFmtId="1" fontId="125" fillId="41" borderId="12" applyNumberFormat="0"/>
    <xf numFmtId="177" fontId="126" fillId="41" borderId="12" applyNumberFormat="0"/>
    <xf numFmtId="0" fontId="7" fillId="0" borderId="0"/>
  </cellStyleXfs>
  <cellXfs count="67">
    <xf numFmtId="0" fontId="0" fillId="0" borderId="0" xfId="0"/>
    <xf numFmtId="0" fontId="4" fillId="0" borderId="6" xfId="0" applyFont="1" applyBorder="1"/>
    <xf numFmtId="0" fontId="5" fillId="6" borderId="6" xfId="2" applyFont="1" applyBorder="1" applyAlignment="1">
      <alignment horizontal="center"/>
    </xf>
    <xf numFmtId="14" fontId="5" fillId="6" borderId="6" xfId="2" applyNumberFormat="1" applyFont="1" applyBorder="1"/>
    <xf numFmtId="0" fontId="5" fillId="6" borderId="6" xfId="2" applyFont="1" applyBorder="1" applyAlignment="1">
      <alignment horizontal="left"/>
    </xf>
    <xf numFmtId="0" fontId="31" fillId="40" borderId="0" xfId="350"/>
    <xf numFmtId="0" fontId="127" fillId="40" borderId="0" xfId="350" applyFont="1"/>
    <xf numFmtId="0" fontId="31" fillId="40" borderId="0" xfId="350" applyFont="1"/>
    <xf numFmtId="14" fontId="31" fillId="40" borderId="0" xfId="350" applyNumberFormat="1" applyFont="1"/>
    <xf numFmtId="0" fontId="128" fillId="40" borderId="0" xfId="350" applyFont="1"/>
    <xf numFmtId="14" fontId="0" fillId="0" borderId="0" xfId="0" applyNumberFormat="1"/>
    <xf numFmtId="0" fontId="6" fillId="0" borderId="0" xfId="0" applyFont="1"/>
    <xf numFmtId="14" fontId="129" fillId="40" borderId="0" xfId="350" applyNumberFormat="1" applyFont="1"/>
    <xf numFmtId="0" fontId="130" fillId="0" borderId="0" xfId="0" applyFont="1"/>
    <xf numFmtId="0" fontId="129" fillId="40" borderId="0" xfId="350" applyFont="1"/>
    <xf numFmtId="0" fontId="129" fillId="40" borderId="0" xfId="350" applyNumberFormat="1" applyFont="1"/>
    <xf numFmtId="0" fontId="31" fillId="40" borderId="0" xfId="35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1" fillId="40" borderId="0" xfId="350" applyFont="1" applyAlignment="1">
      <alignment horizontal="center"/>
    </xf>
    <xf numFmtId="0" fontId="129" fillId="40" borderId="0" xfId="350" applyFont="1" applyAlignment="1">
      <alignment horizontal="center"/>
    </xf>
    <xf numFmtId="164" fontId="131" fillId="51" borderId="38" xfId="0" applyNumberFormat="1" applyFont="1" applyFill="1" applyBorder="1" applyAlignment="1">
      <alignment horizontal="center"/>
    </xf>
    <xf numFmtId="164" fontId="6" fillId="0" borderId="38" xfId="1" applyNumberFormat="1" applyFont="1" applyBorder="1" applyAlignment="1">
      <alignment horizontal="center"/>
    </xf>
    <xf numFmtId="0" fontId="0" fillId="0" borderId="38" xfId="0" applyBorder="1"/>
    <xf numFmtId="164" fontId="6" fillId="0" borderId="38" xfId="1" applyNumberFormat="1" applyFont="1" applyBorder="1" applyAlignment="1">
      <alignment horizontal="left"/>
    </xf>
    <xf numFmtId="0" fontId="4" fillId="7" borderId="39" xfId="0" applyFont="1" applyFill="1" applyBorder="1" applyAlignment="1">
      <alignment horizontal="center" wrapText="1"/>
    </xf>
    <xf numFmtId="164" fontId="131" fillId="51" borderId="40" xfId="0" applyNumberFormat="1" applyFont="1" applyFill="1" applyBorder="1" applyAlignment="1">
      <alignment horizontal="center"/>
    </xf>
    <xf numFmtId="0" fontId="0" fillId="0" borderId="39" xfId="0" applyBorder="1"/>
    <xf numFmtId="164" fontId="131" fillId="51" borderId="39" xfId="0" applyNumberFormat="1" applyFont="1" applyFill="1" applyBorder="1" applyAlignment="1">
      <alignment horizontal="center"/>
    </xf>
    <xf numFmtId="164" fontId="131" fillId="51" borderId="41" xfId="0" applyNumberFormat="1" applyFont="1" applyFill="1" applyBorder="1" applyAlignment="1">
      <alignment horizontal="center"/>
    </xf>
    <xf numFmtId="177" fontId="6" fillId="0" borderId="38" xfId="1" applyNumberFormat="1" applyFont="1" applyBorder="1" applyAlignment="1">
      <alignment horizontal="center"/>
    </xf>
    <xf numFmtId="164" fontId="131" fillId="51" borderId="38" xfId="0" applyNumberFormat="1" applyFont="1" applyFill="1" applyBorder="1" applyAlignment="1">
      <alignment horizontal="left"/>
    </xf>
    <xf numFmtId="164" fontId="0" fillId="0" borderId="39" xfId="0" applyNumberFormat="1" applyBorder="1" applyAlignment="1">
      <alignment horizontal="center"/>
    </xf>
    <xf numFmtId="164" fontId="0" fillId="0" borderId="40" xfId="0" applyNumberFormat="1" applyBorder="1" applyAlignment="1">
      <alignment horizontal="center"/>
    </xf>
    <xf numFmtId="164" fontId="0" fillId="0" borderId="41" xfId="0" applyNumberFormat="1" applyBorder="1" applyAlignment="1">
      <alignment horizontal="center"/>
    </xf>
    <xf numFmtId="0" fontId="132" fillId="0" borderId="0" xfId="0" applyFont="1"/>
    <xf numFmtId="0" fontId="133" fillId="0" borderId="0" xfId="0" applyFont="1"/>
    <xf numFmtId="14" fontId="133" fillId="0" borderId="0" xfId="0" applyNumberFormat="1" applyFont="1" applyAlignment="1">
      <alignment horizontal="center"/>
    </xf>
    <xf numFmtId="14" fontId="31" fillId="52" borderId="0" xfId="350" applyNumberFormat="1" applyFont="1" applyFill="1"/>
    <xf numFmtId="0" fontId="6" fillId="52" borderId="0" xfId="0" applyFont="1" applyFill="1"/>
    <xf numFmtId="0" fontId="134" fillId="52" borderId="0" xfId="0" applyFont="1" applyFill="1"/>
    <xf numFmtId="164" fontId="0" fillId="0" borderId="0" xfId="0" applyNumberFormat="1"/>
    <xf numFmtId="14" fontId="135" fillId="52" borderId="0" xfId="350" applyNumberFormat="1" applyFont="1" applyFill="1"/>
    <xf numFmtId="0" fontId="136" fillId="52" borderId="0" xfId="0" applyFont="1" applyFill="1"/>
    <xf numFmtId="0" fontId="136" fillId="0" borderId="0" xfId="0" applyFont="1"/>
    <xf numFmtId="0" fontId="135" fillId="40" borderId="0" xfId="350" applyNumberFormat="1" applyFont="1"/>
    <xf numFmtId="14" fontId="137" fillId="52" borderId="0" xfId="350" applyNumberFormat="1" applyFont="1" applyFill="1"/>
    <xf numFmtId="0" fontId="138" fillId="52" borderId="0" xfId="0" applyFont="1" applyFill="1"/>
    <xf numFmtId="0" fontId="138" fillId="0" borderId="0" xfId="0" applyFont="1"/>
    <xf numFmtId="0" fontId="137" fillId="40" borderId="0" xfId="350" applyNumberFormat="1" applyFont="1"/>
    <xf numFmtId="14" fontId="139" fillId="52" borderId="0" xfId="350" applyNumberFormat="1" applyFont="1" applyFill="1"/>
    <xf numFmtId="0" fontId="140" fillId="52" borderId="0" xfId="0" applyFont="1" applyFill="1"/>
    <xf numFmtId="0" fontId="140" fillId="0" borderId="0" xfId="0" applyFont="1"/>
    <xf numFmtId="0" fontId="139" fillId="40" borderId="0" xfId="350" applyNumberFormat="1" applyFont="1"/>
    <xf numFmtId="14" fontId="141" fillId="52" borderId="0" xfId="350" applyNumberFormat="1" applyFont="1" applyFill="1"/>
    <xf numFmtId="0" fontId="142" fillId="52" borderId="0" xfId="0" applyFont="1" applyFill="1"/>
    <xf numFmtId="0" fontId="142" fillId="0" borderId="0" xfId="0" applyFont="1"/>
    <xf numFmtId="0" fontId="141" fillId="40" borderId="0" xfId="350" applyNumberFormat="1" applyFont="1"/>
    <xf numFmtId="14" fontId="143" fillId="52" borderId="0" xfId="350" applyNumberFormat="1" applyFont="1" applyFill="1"/>
    <xf numFmtId="0" fontId="144" fillId="52" borderId="0" xfId="0" applyFont="1" applyFill="1"/>
    <xf numFmtId="0" fontId="144" fillId="0" borderId="0" xfId="0" applyFont="1"/>
    <xf numFmtId="0" fontId="143" fillId="40" borderId="0" xfId="350" applyNumberFormat="1" applyFont="1"/>
    <xf numFmtId="14" fontId="145" fillId="52" borderId="0" xfId="350" applyNumberFormat="1" applyFont="1" applyFill="1"/>
    <xf numFmtId="0" fontId="146" fillId="52" borderId="0" xfId="0" applyFont="1" applyFill="1"/>
    <xf numFmtId="0" fontId="146" fillId="0" borderId="0" xfId="0" applyFont="1"/>
    <xf numFmtId="0" fontId="145" fillId="40" borderId="0" xfId="350" applyNumberFormat="1" applyFont="1"/>
  </cellXfs>
  <cellStyles count="526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2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1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18"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color auto="1"/>
      </font>
      <fill>
        <patternFill>
          <bgColor theme="3" tint="0.79998168889431442"/>
        </patternFill>
      </fill>
    </dxf>
    <dxf>
      <font>
        <color rgb="FFC00000"/>
      </font>
    </dxf>
  </dxfs>
  <tableStyles count="0" defaultTableStyle="TableStyleMedium2" defaultPivotStyle="PivotStyleLight16"/>
  <colors>
    <mruColors>
      <color rgb="FFAD275C"/>
      <color rgb="FF2E398A"/>
      <color rgb="FFC7732D"/>
      <color rgb="FF74B629"/>
      <color rgb="FFC8C4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One Week Changes (bps) - Recent Two Months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'Historic Change'!$C$9</c:f>
              <c:strCache>
                <c:ptCount val="1"/>
                <c:pt idx="0">
                  <c:v>Servicing Spread Chg</c:v>
                </c:pt>
              </c:strCache>
            </c:strRef>
          </c:tx>
          <c:spPr>
            <a:solidFill>
              <a:srgbClr val="2E398A"/>
            </a:solidFill>
            <a:ln>
              <a:solidFill>
                <a:srgbClr val="2E398A"/>
              </a:solidFill>
            </a:ln>
          </c:spPr>
          <c:invertIfNegative val="0"/>
          <c:cat>
            <c:strRef>
              <c:f>'Historic Change'!$B$10:$B$18</c:f>
              <c:strCache>
                <c:ptCount val="9"/>
                <c:pt idx="0">
                  <c:v>2018-07-03</c:v>
                </c:pt>
                <c:pt idx="1">
                  <c:v>2018-06-27</c:v>
                </c:pt>
                <c:pt idx="2">
                  <c:v>2018-06-20</c:v>
                </c:pt>
                <c:pt idx="3">
                  <c:v>2018-06-13</c:v>
                </c:pt>
                <c:pt idx="4">
                  <c:v>2018-06-06</c:v>
                </c:pt>
                <c:pt idx="5">
                  <c:v>2018-05-30</c:v>
                </c:pt>
                <c:pt idx="6">
                  <c:v>2018-05-23</c:v>
                </c:pt>
                <c:pt idx="7">
                  <c:v>2018-05-16</c:v>
                </c:pt>
                <c:pt idx="8">
                  <c:v>2018-05-09</c:v>
                </c:pt>
              </c:strCache>
            </c:strRef>
          </c:cat>
          <c:val>
            <c:numRef>
              <c:f>'Historic Change'!$C$10:$C$18</c:f>
              <c:numCache>
                <c:formatCode>0.0</c:formatCode>
                <c:ptCount val="9"/>
                <c:pt idx="0">
                  <c:v>-0.37977630132570717</c:v>
                </c:pt>
                <c:pt idx="1">
                  <c:v>0.89830660865755085</c:v>
                </c:pt>
                <c:pt idx="2">
                  <c:v>1.0948188621397126</c:v>
                </c:pt>
                <c:pt idx="3">
                  <c:v>-0.8993362432626828</c:v>
                </c:pt>
                <c:pt idx="4">
                  <c:v>-3.7309249380175658</c:v>
                </c:pt>
                <c:pt idx="5">
                  <c:v>7.2806874618390083</c:v>
                </c:pt>
                <c:pt idx="6">
                  <c:v>1.05588134598813</c:v>
                </c:pt>
                <c:pt idx="7">
                  <c:v>-2.527043531678963</c:v>
                </c:pt>
                <c:pt idx="8">
                  <c:v>1.8117000480177836E-2</c:v>
                </c:pt>
              </c:numCache>
            </c:numRef>
          </c:val>
        </c:ser>
        <c:ser>
          <c:idx val="0"/>
          <c:order val="1"/>
          <c:tx>
            <c:strRef>
              <c:f>'Historic Change'!$D$9</c:f>
              <c:strCache>
                <c:ptCount val="1"/>
                <c:pt idx="0">
                  <c:v>FHLMC Survey Rate Chg</c:v>
                </c:pt>
              </c:strCache>
            </c:strRef>
          </c:tx>
          <c:spPr>
            <a:solidFill>
              <a:srgbClr val="AD275C"/>
            </a:solidFill>
            <a:ln>
              <a:noFill/>
            </a:ln>
          </c:spPr>
          <c:invertIfNegative val="0"/>
          <c:cat>
            <c:strRef>
              <c:f>'Historic Change'!$B$10:$B$18</c:f>
              <c:strCache>
                <c:ptCount val="9"/>
                <c:pt idx="0">
                  <c:v>2018-07-03</c:v>
                </c:pt>
                <c:pt idx="1">
                  <c:v>2018-06-27</c:v>
                </c:pt>
                <c:pt idx="2">
                  <c:v>2018-06-20</c:v>
                </c:pt>
                <c:pt idx="3">
                  <c:v>2018-06-13</c:v>
                </c:pt>
                <c:pt idx="4">
                  <c:v>2018-06-06</c:v>
                </c:pt>
                <c:pt idx="5">
                  <c:v>2018-05-30</c:v>
                </c:pt>
                <c:pt idx="6">
                  <c:v>2018-05-23</c:v>
                </c:pt>
                <c:pt idx="7">
                  <c:v>2018-05-16</c:v>
                </c:pt>
                <c:pt idx="8">
                  <c:v>2018-05-09</c:v>
                </c:pt>
              </c:strCache>
            </c:strRef>
          </c:cat>
          <c:val>
            <c:numRef>
              <c:f>'Historic Change'!$D$10:$D$18</c:f>
              <c:numCache>
                <c:formatCode>0.0</c:formatCode>
                <c:ptCount val="9"/>
                <c:pt idx="0">
                  <c:v>-3.0000000000000249</c:v>
                </c:pt>
                <c:pt idx="1">
                  <c:v>-2.0000000000000462</c:v>
                </c:pt>
                <c:pt idx="2">
                  <c:v>-2.4999999999999467</c:v>
                </c:pt>
                <c:pt idx="3">
                  <c:v>5.4999999999999716</c:v>
                </c:pt>
                <c:pt idx="4">
                  <c:v>0.50000000000007816</c:v>
                </c:pt>
                <c:pt idx="5">
                  <c:v>-10.000000000000053</c:v>
                </c:pt>
                <c:pt idx="6">
                  <c:v>4.9999999999999822</c:v>
                </c:pt>
                <c:pt idx="7">
                  <c:v>3.5000000000000142</c:v>
                </c:pt>
                <c:pt idx="8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0956608"/>
        <c:axId val="1030955824"/>
      </c:barChart>
      <c:catAx>
        <c:axId val="1030956608"/>
        <c:scaling>
          <c:orientation val="maxMin"/>
        </c:scaling>
        <c:delete val="0"/>
        <c:axPos val="b"/>
        <c:numFmt formatCode="General" sourceLinked="0"/>
        <c:majorTickMark val="out"/>
        <c:minorTickMark val="none"/>
        <c:tickLblPos val="low"/>
        <c:crossAx val="1030955824"/>
        <c:crosses val="autoZero"/>
        <c:auto val="1"/>
        <c:lblAlgn val="ctr"/>
        <c:lblOffset val="100"/>
        <c:noMultiLvlLbl val="0"/>
      </c:catAx>
      <c:valAx>
        <c:axId val="1030955824"/>
        <c:scaling>
          <c:orientation val="minMax"/>
        </c:scaling>
        <c:delete val="0"/>
        <c:axPos val="r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Changes (bps)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crossAx val="1030956608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[3.Servicing Spread and Survey Rate Master.xlsm]Dynamic Pivot!PivotTable2</c:name>
    <c:fmtId val="2"/>
  </c:pivotSource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FHLMC Survey Rate  -</a:t>
            </a:r>
            <a:r>
              <a:rPr lang="en-US" sz="1200" baseline="0"/>
              <a:t> </a:t>
            </a:r>
            <a:r>
              <a:rPr lang="en-US" sz="1200"/>
              <a:t>Long Term Trend</a:t>
            </a:r>
          </a:p>
        </c:rich>
      </c:tx>
      <c:layout/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ln w="19050">
            <a:solidFill>
              <a:srgbClr val="2E398A"/>
            </a:solidFill>
          </a:ln>
        </c:spPr>
        <c:marker>
          <c:symbol val="none"/>
        </c:marker>
      </c:pivotFmt>
      <c:pivotFmt>
        <c:idx val="17"/>
        <c:spPr>
          <a:ln w="19050">
            <a:solidFill>
              <a:srgbClr val="AD275C"/>
            </a:solidFill>
            <a:prstDash val="solid"/>
          </a:ln>
        </c:spPr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spPr>
          <a:ln>
            <a:prstDash val="dash"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1"/>
          <c:order val="1"/>
          <c:tx>
            <c:strRef>
              <c:f>'Dynamic Pivot'!$C$3</c:f>
              <c:strCache>
                <c:ptCount val="1"/>
                <c:pt idx="0">
                  <c:v>Implied Servicing Spread 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strRef>
              <c:f>'Dynamic Pivot'!$A$4:$A$330</c:f>
              <c:strCache>
                <c:ptCount val="326"/>
                <c:pt idx="0">
                  <c:v>2012-04-11</c:v>
                </c:pt>
                <c:pt idx="1">
                  <c:v>2012-04-18</c:v>
                </c:pt>
                <c:pt idx="2">
                  <c:v>2012-04-25</c:v>
                </c:pt>
                <c:pt idx="3">
                  <c:v>2012-05-02</c:v>
                </c:pt>
                <c:pt idx="4">
                  <c:v>2012-05-09</c:v>
                </c:pt>
                <c:pt idx="5">
                  <c:v>2012-05-16</c:v>
                </c:pt>
                <c:pt idx="6">
                  <c:v>2012-05-23</c:v>
                </c:pt>
                <c:pt idx="7">
                  <c:v>2012-05-30</c:v>
                </c:pt>
                <c:pt idx="8">
                  <c:v>2012-06-06</c:v>
                </c:pt>
                <c:pt idx="9">
                  <c:v>2012-06-13</c:v>
                </c:pt>
                <c:pt idx="10">
                  <c:v>2012-06-20</c:v>
                </c:pt>
                <c:pt idx="11">
                  <c:v>2012-06-27</c:v>
                </c:pt>
                <c:pt idx="12">
                  <c:v>2012-07-03</c:v>
                </c:pt>
                <c:pt idx="13">
                  <c:v>2012-07-11</c:v>
                </c:pt>
                <c:pt idx="14">
                  <c:v>2012-07-18</c:v>
                </c:pt>
                <c:pt idx="15">
                  <c:v>2012-07-25</c:v>
                </c:pt>
                <c:pt idx="16">
                  <c:v>2012-08-01</c:v>
                </c:pt>
                <c:pt idx="17">
                  <c:v>2012-08-08</c:v>
                </c:pt>
                <c:pt idx="18">
                  <c:v>2012-08-15</c:v>
                </c:pt>
                <c:pt idx="19">
                  <c:v>2012-08-22</c:v>
                </c:pt>
                <c:pt idx="20">
                  <c:v>2012-08-29</c:v>
                </c:pt>
                <c:pt idx="21">
                  <c:v>2012-09-05</c:v>
                </c:pt>
                <c:pt idx="22">
                  <c:v>2012-09-12</c:v>
                </c:pt>
                <c:pt idx="23">
                  <c:v>2012-09-19</c:v>
                </c:pt>
                <c:pt idx="24">
                  <c:v>2012-09-26</c:v>
                </c:pt>
                <c:pt idx="25">
                  <c:v>2012-10-03</c:v>
                </c:pt>
                <c:pt idx="26">
                  <c:v>2012-10-10</c:v>
                </c:pt>
                <c:pt idx="27">
                  <c:v>2012-10-17</c:v>
                </c:pt>
                <c:pt idx="28">
                  <c:v>2012-10-24</c:v>
                </c:pt>
                <c:pt idx="29">
                  <c:v>2012-10-31</c:v>
                </c:pt>
                <c:pt idx="30">
                  <c:v>2012-11-07</c:v>
                </c:pt>
                <c:pt idx="31">
                  <c:v>2012-11-14</c:v>
                </c:pt>
                <c:pt idx="32">
                  <c:v>2012-11-21</c:v>
                </c:pt>
                <c:pt idx="33">
                  <c:v>2012-11-28</c:v>
                </c:pt>
                <c:pt idx="34">
                  <c:v>2012-12-05</c:v>
                </c:pt>
                <c:pt idx="35">
                  <c:v>2012-12-12</c:v>
                </c:pt>
                <c:pt idx="36">
                  <c:v>2012-12-19</c:v>
                </c:pt>
                <c:pt idx="37">
                  <c:v>2012-12-26</c:v>
                </c:pt>
                <c:pt idx="38">
                  <c:v>2013-01-02</c:v>
                </c:pt>
                <c:pt idx="39">
                  <c:v>2013-01-09</c:v>
                </c:pt>
                <c:pt idx="40">
                  <c:v>2013-01-16</c:v>
                </c:pt>
                <c:pt idx="41">
                  <c:v>2013-01-23</c:v>
                </c:pt>
                <c:pt idx="42">
                  <c:v>2013-01-30</c:v>
                </c:pt>
                <c:pt idx="43">
                  <c:v>2013-02-06</c:v>
                </c:pt>
                <c:pt idx="44">
                  <c:v>2013-02-13</c:v>
                </c:pt>
                <c:pt idx="45">
                  <c:v>2013-02-20</c:v>
                </c:pt>
                <c:pt idx="46">
                  <c:v>2013-02-27</c:v>
                </c:pt>
                <c:pt idx="47">
                  <c:v>2013-03-06</c:v>
                </c:pt>
                <c:pt idx="48">
                  <c:v>2013-03-13</c:v>
                </c:pt>
                <c:pt idx="49">
                  <c:v>2013-03-20</c:v>
                </c:pt>
                <c:pt idx="50">
                  <c:v>2013-03-27</c:v>
                </c:pt>
                <c:pt idx="51">
                  <c:v>2013-04-03</c:v>
                </c:pt>
                <c:pt idx="52">
                  <c:v>2013-04-10</c:v>
                </c:pt>
                <c:pt idx="53">
                  <c:v>2013-04-17</c:v>
                </c:pt>
                <c:pt idx="54">
                  <c:v>2013-04-24</c:v>
                </c:pt>
                <c:pt idx="55">
                  <c:v>2013-05-01</c:v>
                </c:pt>
                <c:pt idx="56">
                  <c:v>2013-05-08</c:v>
                </c:pt>
                <c:pt idx="57">
                  <c:v>2013-05-15</c:v>
                </c:pt>
                <c:pt idx="58">
                  <c:v>2013-05-22</c:v>
                </c:pt>
                <c:pt idx="59">
                  <c:v>2013-05-29</c:v>
                </c:pt>
                <c:pt idx="60">
                  <c:v>2013-06-05</c:v>
                </c:pt>
                <c:pt idx="61">
                  <c:v>2013-06-12</c:v>
                </c:pt>
                <c:pt idx="62">
                  <c:v>2013-06-19</c:v>
                </c:pt>
                <c:pt idx="63">
                  <c:v>2013-06-26</c:v>
                </c:pt>
                <c:pt idx="64">
                  <c:v>2013-07-03</c:v>
                </c:pt>
                <c:pt idx="65">
                  <c:v>2013-07-10</c:v>
                </c:pt>
                <c:pt idx="66">
                  <c:v>2013-07-17</c:v>
                </c:pt>
                <c:pt idx="67">
                  <c:v>2013-07-24</c:v>
                </c:pt>
                <c:pt idx="68">
                  <c:v>2013-07-31</c:v>
                </c:pt>
                <c:pt idx="69">
                  <c:v>2013-08-07</c:v>
                </c:pt>
                <c:pt idx="70">
                  <c:v>2013-08-14</c:v>
                </c:pt>
                <c:pt idx="71">
                  <c:v>2013-08-21</c:v>
                </c:pt>
                <c:pt idx="72">
                  <c:v>2013-08-28</c:v>
                </c:pt>
                <c:pt idx="73">
                  <c:v>2013-09-04</c:v>
                </c:pt>
                <c:pt idx="74">
                  <c:v>2013-09-11</c:v>
                </c:pt>
                <c:pt idx="75">
                  <c:v>2013-09-18</c:v>
                </c:pt>
                <c:pt idx="76">
                  <c:v>2013-09-25</c:v>
                </c:pt>
                <c:pt idx="77">
                  <c:v>2013-10-02</c:v>
                </c:pt>
                <c:pt idx="78">
                  <c:v>2013-10-09</c:v>
                </c:pt>
                <c:pt idx="79">
                  <c:v>2013-10-16</c:v>
                </c:pt>
                <c:pt idx="80">
                  <c:v>2013-10-23</c:v>
                </c:pt>
                <c:pt idx="81">
                  <c:v>2013-10-30</c:v>
                </c:pt>
                <c:pt idx="82">
                  <c:v>2013-11-06</c:v>
                </c:pt>
                <c:pt idx="83">
                  <c:v>2013-11-13</c:v>
                </c:pt>
                <c:pt idx="84">
                  <c:v>2013-11-20</c:v>
                </c:pt>
                <c:pt idx="85">
                  <c:v>2013-11-27</c:v>
                </c:pt>
                <c:pt idx="86">
                  <c:v>2013-12-04</c:v>
                </c:pt>
                <c:pt idx="87">
                  <c:v>2013-12-11</c:v>
                </c:pt>
                <c:pt idx="88">
                  <c:v>2013-12-18</c:v>
                </c:pt>
                <c:pt idx="89">
                  <c:v>2013-12-24</c:v>
                </c:pt>
                <c:pt idx="90">
                  <c:v>2013-12-31</c:v>
                </c:pt>
                <c:pt idx="91">
                  <c:v>2014-01-08</c:v>
                </c:pt>
                <c:pt idx="92">
                  <c:v>2014-01-15</c:v>
                </c:pt>
                <c:pt idx="93">
                  <c:v>2014-01-22</c:v>
                </c:pt>
                <c:pt idx="94">
                  <c:v>2014-01-29</c:v>
                </c:pt>
                <c:pt idx="95">
                  <c:v>2014-02-05</c:v>
                </c:pt>
                <c:pt idx="96">
                  <c:v>2014-02-12</c:v>
                </c:pt>
                <c:pt idx="97">
                  <c:v>2014-02-19</c:v>
                </c:pt>
                <c:pt idx="98">
                  <c:v>2014-02-26</c:v>
                </c:pt>
                <c:pt idx="99">
                  <c:v>2014-03-05</c:v>
                </c:pt>
                <c:pt idx="100">
                  <c:v>2014-03-12</c:v>
                </c:pt>
                <c:pt idx="101">
                  <c:v>2014-03-19</c:v>
                </c:pt>
                <c:pt idx="102">
                  <c:v>2014-03-26</c:v>
                </c:pt>
                <c:pt idx="103">
                  <c:v>2014-04-02</c:v>
                </c:pt>
                <c:pt idx="104">
                  <c:v>2014-04-09</c:v>
                </c:pt>
                <c:pt idx="105">
                  <c:v>2014-04-16</c:v>
                </c:pt>
                <c:pt idx="106">
                  <c:v>2014-04-23</c:v>
                </c:pt>
                <c:pt idx="107">
                  <c:v>2014-04-30</c:v>
                </c:pt>
                <c:pt idx="108">
                  <c:v>2014-05-07</c:v>
                </c:pt>
                <c:pt idx="109">
                  <c:v>2014-05-14</c:v>
                </c:pt>
                <c:pt idx="110">
                  <c:v>2014-05-21</c:v>
                </c:pt>
                <c:pt idx="111">
                  <c:v>2014-05-28</c:v>
                </c:pt>
                <c:pt idx="112">
                  <c:v>2014-06-04</c:v>
                </c:pt>
                <c:pt idx="113">
                  <c:v>2014-06-11</c:v>
                </c:pt>
                <c:pt idx="114">
                  <c:v>2014-06-18</c:v>
                </c:pt>
                <c:pt idx="115">
                  <c:v>2014-06-25</c:v>
                </c:pt>
                <c:pt idx="116">
                  <c:v>2014-07-02</c:v>
                </c:pt>
                <c:pt idx="117">
                  <c:v>2014-07-09</c:v>
                </c:pt>
                <c:pt idx="118">
                  <c:v>2014-07-16</c:v>
                </c:pt>
                <c:pt idx="119">
                  <c:v>2014-07-23</c:v>
                </c:pt>
                <c:pt idx="120">
                  <c:v>2014-07-30</c:v>
                </c:pt>
                <c:pt idx="121">
                  <c:v>2014-08-06</c:v>
                </c:pt>
                <c:pt idx="122">
                  <c:v>2014-08-13</c:v>
                </c:pt>
                <c:pt idx="123">
                  <c:v>2014-08-20</c:v>
                </c:pt>
                <c:pt idx="124">
                  <c:v>2014-08-27</c:v>
                </c:pt>
                <c:pt idx="125">
                  <c:v>2014-09-03</c:v>
                </c:pt>
                <c:pt idx="126">
                  <c:v>2014-09-10</c:v>
                </c:pt>
                <c:pt idx="127">
                  <c:v>2014-09-17</c:v>
                </c:pt>
                <c:pt idx="128">
                  <c:v>2014-09-24</c:v>
                </c:pt>
                <c:pt idx="129">
                  <c:v>2014-10-01</c:v>
                </c:pt>
                <c:pt idx="130">
                  <c:v>2014-10-08</c:v>
                </c:pt>
                <c:pt idx="131">
                  <c:v>2014-10-15</c:v>
                </c:pt>
                <c:pt idx="132">
                  <c:v>2014-10-22</c:v>
                </c:pt>
                <c:pt idx="133">
                  <c:v>2014-10-29</c:v>
                </c:pt>
                <c:pt idx="134">
                  <c:v>2014-11-05</c:v>
                </c:pt>
                <c:pt idx="135">
                  <c:v>2014-11-12</c:v>
                </c:pt>
                <c:pt idx="136">
                  <c:v>2014-11-19</c:v>
                </c:pt>
                <c:pt idx="137">
                  <c:v>2014-11-26</c:v>
                </c:pt>
                <c:pt idx="138">
                  <c:v>2014-12-03</c:v>
                </c:pt>
                <c:pt idx="139">
                  <c:v>2014-12-10</c:v>
                </c:pt>
                <c:pt idx="140">
                  <c:v>2014-12-17</c:v>
                </c:pt>
                <c:pt idx="141">
                  <c:v>2014-12-24</c:v>
                </c:pt>
                <c:pt idx="142">
                  <c:v>2014-12-31</c:v>
                </c:pt>
                <c:pt idx="143">
                  <c:v>2015-01-07</c:v>
                </c:pt>
                <c:pt idx="144">
                  <c:v>2015-01-14</c:v>
                </c:pt>
                <c:pt idx="145">
                  <c:v>2015-01-21</c:v>
                </c:pt>
                <c:pt idx="146">
                  <c:v>2015-01-28</c:v>
                </c:pt>
                <c:pt idx="147">
                  <c:v>2015-02-04</c:v>
                </c:pt>
                <c:pt idx="148">
                  <c:v>2015-02-11</c:v>
                </c:pt>
                <c:pt idx="149">
                  <c:v>2015-02-18</c:v>
                </c:pt>
                <c:pt idx="150">
                  <c:v>2015-02-25</c:v>
                </c:pt>
                <c:pt idx="151">
                  <c:v>2015-03-04</c:v>
                </c:pt>
                <c:pt idx="152">
                  <c:v>2015-03-11</c:v>
                </c:pt>
                <c:pt idx="153">
                  <c:v>2015-03-18</c:v>
                </c:pt>
                <c:pt idx="154">
                  <c:v>2015-03-25</c:v>
                </c:pt>
                <c:pt idx="155">
                  <c:v>2015-04-01</c:v>
                </c:pt>
                <c:pt idx="156">
                  <c:v>2015-04-08</c:v>
                </c:pt>
                <c:pt idx="157">
                  <c:v>2015-04-15</c:v>
                </c:pt>
                <c:pt idx="158">
                  <c:v>2015-04-22</c:v>
                </c:pt>
                <c:pt idx="159">
                  <c:v>2015-04-29</c:v>
                </c:pt>
                <c:pt idx="160">
                  <c:v>2015-05-06</c:v>
                </c:pt>
                <c:pt idx="161">
                  <c:v>2015-05-13</c:v>
                </c:pt>
                <c:pt idx="162">
                  <c:v>2015-05-20</c:v>
                </c:pt>
                <c:pt idx="163">
                  <c:v>2015-05-27</c:v>
                </c:pt>
                <c:pt idx="164">
                  <c:v>2015-06-03</c:v>
                </c:pt>
                <c:pt idx="165">
                  <c:v>2015-06-10</c:v>
                </c:pt>
                <c:pt idx="166">
                  <c:v>2015-06-17</c:v>
                </c:pt>
                <c:pt idx="167">
                  <c:v>2015-06-24</c:v>
                </c:pt>
                <c:pt idx="168">
                  <c:v>2015-07-01</c:v>
                </c:pt>
                <c:pt idx="169">
                  <c:v>2015-07-08</c:v>
                </c:pt>
                <c:pt idx="170">
                  <c:v>2015-07-15</c:v>
                </c:pt>
                <c:pt idx="171">
                  <c:v>2015-07-22</c:v>
                </c:pt>
                <c:pt idx="172">
                  <c:v>2015-07-29</c:v>
                </c:pt>
                <c:pt idx="173">
                  <c:v>2015-08-05</c:v>
                </c:pt>
                <c:pt idx="174">
                  <c:v>2015-08-12</c:v>
                </c:pt>
                <c:pt idx="175">
                  <c:v>2015-08-19</c:v>
                </c:pt>
                <c:pt idx="176">
                  <c:v>2015-08-26</c:v>
                </c:pt>
                <c:pt idx="177">
                  <c:v>2015-09-02</c:v>
                </c:pt>
                <c:pt idx="178">
                  <c:v>2015-09-09</c:v>
                </c:pt>
                <c:pt idx="179">
                  <c:v>2015-09-16</c:v>
                </c:pt>
                <c:pt idx="180">
                  <c:v>2015-09-23</c:v>
                </c:pt>
                <c:pt idx="181">
                  <c:v>2015-09-30</c:v>
                </c:pt>
                <c:pt idx="182">
                  <c:v>2015-10-07</c:v>
                </c:pt>
                <c:pt idx="183">
                  <c:v>2015-10-14</c:v>
                </c:pt>
                <c:pt idx="184">
                  <c:v>2015-10-21</c:v>
                </c:pt>
                <c:pt idx="185">
                  <c:v>2015-10-28</c:v>
                </c:pt>
                <c:pt idx="186">
                  <c:v>2015-11-04</c:v>
                </c:pt>
                <c:pt idx="187">
                  <c:v>2015-11-10</c:v>
                </c:pt>
                <c:pt idx="188">
                  <c:v>2015-11-18</c:v>
                </c:pt>
                <c:pt idx="189">
                  <c:v>2015-11-25</c:v>
                </c:pt>
                <c:pt idx="190">
                  <c:v>2015-12-02</c:v>
                </c:pt>
                <c:pt idx="191">
                  <c:v>2015-12-09</c:v>
                </c:pt>
                <c:pt idx="192">
                  <c:v>2015-12-16</c:v>
                </c:pt>
                <c:pt idx="193">
                  <c:v>2015-12-23</c:v>
                </c:pt>
                <c:pt idx="194">
                  <c:v>2015-12-30</c:v>
                </c:pt>
                <c:pt idx="195">
                  <c:v>2016-01-06</c:v>
                </c:pt>
                <c:pt idx="196">
                  <c:v>2016-01-13</c:v>
                </c:pt>
                <c:pt idx="197">
                  <c:v>2016-01-20</c:v>
                </c:pt>
                <c:pt idx="198">
                  <c:v>2016-01-27</c:v>
                </c:pt>
                <c:pt idx="199">
                  <c:v>2016-02-03</c:v>
                </c:pt>
                <c:pt idx="200">
                  <c:v>2016-02-10</c:v>
                </c:pt>
                <c:pt idx="201">
                  <c:v>2016-02-17</c:v>
                </c:pt>
                <c:pt idx="202">
                  <c:v>2016-02-24</c:v>
                </c:pt>
                <c:pt idx="203">
                  <c:v>2016-03-02</c:v>
                </c:pt>
                <c:pt idx="204">
                  <c:v>2016-03-09</c:v>
                </c:pt>
                <c:pt idx="205">
                  <c:v>2016-03-16</c:v>
                </c:pt>
                <c:pt idx="206">
                  <c:v>2016-03-23</c:v>
                </c:pt>
                <c:pt idx="207">
                  <c:v>2016-03-30</c:v>
                </c:pt>
                <c:pt idx="208">
                  <c:v>2016-04-06</c:v>
                </c:pt>
                <c:pt idx="209">
                  <c:v>2016-04-13</c:v>
                </c:pt>
                <c:pt idx="210">
                  <c:v>2016-04-20</c:v>
                </c:pt>
                <c:pt idx="211">
                  <c:v>2016-04-27</c:v>
                </c:pt>
                <c:pt idx="212">
                  <c:v>2016-05-04</c:v>
                </c:pt>
                <c:pt idx="213">
                  <c:v>2016-05-11</c:v>
                </c:pt>
                <c:pt idx="214">
                  <c:v>2016-05-18</c:v>
                </c:pt>
                <c:pt idx="215">
                  <c:v>2016-05-25</c:v>
                </c:pt>
                <c:pt idx="216">
                  <c:v>2016-06-01</c:v>
                </c:pt>
                <c:pt idx="217">
                  <c:v>2016-06-08</c:v>
                </c:pt>
                <c:pt idx="218">
                  <c:v>2016-06-15</c:v>
                </c:pt>
                <c:pt idx="219">
                  <c:v>2016-06-22</c:v>
                </c:pt>
                <c:pt idx="220">
                  <c:v>2016-06-29</c:v>
                </c:pt>
                <c:pt idx="221">
                  <c:v>2016-07-06</c:v>
                </c:pt>
                <c:pt idx="222">
                  <c:v>2016-07-13</c:v>
                </c:pt>
                <c:pt idx="223">
                  <c:v>2016-07-20</c:v>
                </c:pt>
                <c:pt idx="224">
                  <c:v>2016-07-27</c:v>
                </c:pt>
                <c:pt idx="225">
                  <c:v>2016-08-03</c:v>
                </c:pt>
                <c:pt idx="226">
                  <c:v>2016-08-10</c:v>
                </c:pt>
                <c:pt idx="227">
                  <c:v>2016-08-17</c:v>
                </c:pt>
                <c:pt idx="228">
                  <c:v>2016-08-24</c:v>
                </c:pt>
                <c:pt idx="229">
                  <c:v>2016-08-31</c:v>
                </c:pt>
                <c:pt idx="230">
                  <c:v>2016-09-07</c:v>
                </c:pt>
                <c:pt idx="231">
                  <c:v>2016-09-14</c:v>
                </c:pt>
                <c:pt idx="232">
                  <c:v>2016-09-21</c:v>
                </c:pt>
                <c:pt idx="233">
                  <c:v>2016-09-28</c:v>
                </c:pt>
                <c:pt idx="234">
                  <c:v>2016-10-05</c:v>
                </c:pt>
                <c:pt idx="235">
                  <c:v>2016-10-12</c:v>
                </c:pt>
                <c:pt idx="236">
                  <c:v>2016-10-19</c:v>
                </c:pt>
                <c:pt idx="237">
                  <c:v>2016-10-26</c:v>
                </c:pt>
                <c:pt idx="238">
                  <c:v>2016-11-02</c:v>
                </c:pt>
                <c:pt idx="239">
                  <c:v>2016-11-09</c:v>
                </c:pt>
                <c:pt idx="240">
                  <c:v>2016-11-16</c:v>
                </c:pt>
                <c:pt idx="241">
                  <c:v>2016-11-23</c:v>
                </c:pt>
                <c:pt idx="242">
                  <c:v>2016-11-30</c:v>
                </c:pt>
                <c:pt idx="243">
                  <c:v>2016-12-07</c:v>
                </c:pt>
                <c:pt idx="244">
                  <c:v>2016-12-14</c:v>
                </c:pt>
                <c:pt idx="245">
                  <c:v>2016-12-21</c:v>
                </c:pt>
                <c:pt idx="246">
                  <c:v>2016-12-28</c:v>
                </c:pt>
                <c:pt idx="247">
                  <c:v>2017-01-04</c:v>
                </c:pt>
                <c:pt idx="248">
                  <c:v>2017-01-11</c:v>
                </c:pt>
                <c:pt idx="249">
                  <c:v>2017-01-18</c:v>
                </c:pt>
                <c:pt idx="250">
                  <c:v>2017-01-25</c:v>
                </c:pt>
                <c:pt idx="251">
                  <c:v>2017-02-01</c:v>
                </c:pt>
                <c:pt idx="252">
                  <c:v>2017-02-08</c:v>
                </c:pt>
                <c:pt idx="253">
                  <c:v>2017-02-15</c:v>
                </c:pt>
                <c:pt idx="254">
                  <c:v>2017-02-22</c:v>
                </c:pt>
                <c:pt idx="255">
                  <c:v>2017-03-01</c:v>
                </c:pt>
                <c:pt idx="256">
                  <c:v>2017-03-08</c:v>
                </c:pt>
                <c:pt idx="257">
                  <c:v>2017-03-15</c:v>
                </c:pt>
                <c:pt idx="258">
                  <c:v>2017-03-22</c:v>
                </c:pt>
                <c:pt idx="259">
                  <c:v>2017-03-29</c:v>
                </c:pt>
                <c:pt idx="260">
                  <c:v>2017-04-05</c:v>
                </c:pt>
                <c:pt idx="261">
                  <c:v>2017-04-12</c:v>
                </c:pt>
                <c:pt idx="262">
                  <c:v>2017-04-19</c:v>
                </c:pt>
                <c:pt idx="263">
                  <c:v>2017-04-26</c:v>
                </c:pt>
                <c:pt idx="264">
                  <c:v>2017-05-03</c:v>
                </c:pt>
                <c:pt idx="265">
                  <c:v>2017-05-10</c:v>
                </c:pt>
                <c:pt idx="266">
                  <c:v>2017-05-17</c:v>
                </c:pt>
                <c:pt idx="267">
                  <c:v>2017-05-24</c:v>
                </c:pt>
                <c:pt idx="268">
                  <c:v>2017-05-31</c:v>
                </c:pt>
                <c:pt idx="269">
                  <c:v>2017-06-07</c:v>
                </c:pt>
                <c:pt idx="270">
                  <c:v>2017-06-14</c:v>
                </c:pt>
                <c:pt idx="271">
                  <c:v>2017-06-21</c:v>
                </c:pt>
                <c:pt idx="272">
                  <c:v>2017-06-28</c:v>
                </c:pt>
                <c:pt idx="273">
                  <c:v>2017-07-05</c:v>
                </c:pt>
                <c:pt idx="274">
                  <c:v>2017-07-12</c:v>
                </c:pt>
                <c:pt idx="275">
                  <c:v>2017-07-19</c:v>
                </c:pt>
                <c:pt idx="276">
                  <c:v>2017-07-26</c:v>
                </c:pt>
                <c:pt idx="277">
                  <c:v>2017-08-02</c:v>
                </c:pt>
                <c:pt idx="278">
                  <c:v>2017-08-09</c:v>
                </c:pt>
                <c:pt idx="279">
                  <c:v>2017-08-16</c:v>
                </c:pt>
                <c:pt idx="280">
                  <c:v>2017-08-23</c:v>
                </c:pt>
                <c:pt idx="281">
                  <c:v>2017-08-30</c:v>
                </c:pt>
                <c:pt idx="282">
                  <c:v>2017-09-06</c:v>
                </c:pt>
                <c:pt idx="283">
                  <c:v>2017-09-13</c:v>
                </c:pt>
                <c:pt idx="284">
                  <c:v>2017-09-20</c:v>
                </c:pt>
                <c:pt idx="285">
                  <c:v>2017-09-27</c:v>
                </c:pt>
                <c:pt idx="286">
                  <c:v>2017-10-04</c:v>
                </c:pt>
                <c:pt idx="287">
                  <c:v>2017-10-11</c:v>
                </c:pt>
                <c:pt idx="288">
                  <c:v>2017-10-18</c:v>
                </c:pt>
                <c:pt idx="289">
                  <c:v>2017-10-25</c:v>
                </c:pt>
                <c:pt idx="290">
                  <c:v>2017-11-01</c:v>
                </c:pt>
                <c:pt idx="291">
                  <c:v>2017-11-08</c:v>
                </c:pt>
                <c:pt idx="292">
                  <c:v>2017-11-15</c:v>
                </c:pt>
                <c:pt idx="293">
                  <c:v>2017-11-22</c:v>
                </c:pt>
                <c:pt idx="294">
                  <c:v>2017-11-29</c:v>
                </c:pt>
                <c:pt idx="295">
                  <c:v>2017-12-06</c:v>
                </c:pt>
                <c:pt idx="296">
                  <c:v>2017-12-13</c:v>
                </c:pt>
                <c:pt idx="297">
                  <c:v>2017-12-20</c:v>
                </c:pt>
                <c:pt idx="298">
                  <c:v>2017-12-27</c:v>
                </c:pt>
                <c:pt idx="299">
                  <c:v>2018-01-03</c:v>
                </c:pt>
                <c:pt idx="300">
                  <c:v>2018-01-10</c:v>
                </c:pt>
                <c:pt idx="301">
                  <c:v>2018-01-17</c:v>
                </c:pt>
                <c:pt idx="302">
                  <c:v>2018-01-24</c:v>
                </c:pt>
                <c:pt idx="303">
                  <c:v>2018-01-31</c:v>
                </c:pt>
                <c:pt idx="304">
                  <c:v>2018-02-07</c:v>
                </c:pt>
                <c:pt idx="305">
                  <c:v>2018-02-14</c:v>
                </c:pt>
                <c:pt idx="306">
                  <c:v>2018-02-21</c:v>
                </c:pt>
                <c:pt idx="307">
                  <c:v>2018-02-28</c:v>
                </c:pt>
                <c:pt idx="308">
                  <c:v>2018-03-07</c:v>
                </c:pt>
                <c:pt idx="309">
                  <c:v>2018-03-14</c:v>
                </c:pt>
                <c:pt idx="310">
                  <c:v>2018-03-21</c:v>
                </c:pt>
                <c:pt idx="311">
                  <c:v>2018-03-28</c:v>
                </c:pt>
                <c:pt idx="312">
                  <c:v>2018-04-04</c:v>
                </c:pt>
                <c:pt idx="313">
                  <c:v>2018-04-11</c:v>
                </c:pt>
                <c:pt idx="314">
                  <c:v>2018-04-18</c:v>
                </c:pt>
                <c:pt idx="315">
                  <c:v>2018-04-25</c:v>
                </c:pt>
                <c:pt idx="316">
                  <c:v>2018-05-02</c:v>
                </c:pt>
                <c:pt idx="317">
                  <c:v>2018-05-09</c:v>
                </c:pt>
                <c:pt idx="318">
                  <c:v>2018-05-16</c:v>
                </c:pt>
                <c:pt idx="319">
                  <c:v>2018-05-23</c:v>
                </c:pt>
                <c:pt idx="320">
                  <c:v>2018-05-30</c:v>
                </c:pt>
                <c:pt idx="321">
                  <c:v>2018-06-06</c:v>
                </c:pt>
                <c:pt idx="322">
                  <c:v>2018-06-13</c:v>
                </c:pt>
                <c:pt idx="323">
                  <c:v>2018-06-20</c:v>
                </c:pt>
                <c:pt idx="324">
                  <c:v>2018-06-27</c:v>
                </c:pt>
                <c:pt idx="325">
                  <c:v>2018-07-03</c:v>
                </c:pt>
              </c:strCache>
            </c:strRef>
          </c:cat>
          <c:val>
            <c:numRef>
              <c:f>'Dynamic Pivot'!$C$4:$C$330</c:f>
              <c:numCache>
                <c:formatCode>General</c:formatCode>
                <c:ptCount val="326"/>
                <c:pt idx="0">
                  <c:v>0.85740605792428326</c:v>
                </c:pt>
                <c:pt idx="1">
                  <c:v>0.90892898726938398</c:v>
                </c:pt>
                <c:pt idx="2">
                  <c:v>0.90800277596573187</c:v>
                </c:pt>
                <c:pt idx="3">
                  <c:v>0.91262067011153603</c:v>
                </c:pt>
                <c:pt idx="4">
                  <c:v>0.90097138481057204</c:v>
                </c:pt>
                <c:pt idx="5">
                  <c:v>0.93226042608146331</c:v>
                </c:pt>
                <c:pt idx="6">
                  <c:v>1.0123684617614601</c:v>
                </c:pt>
                <c:pt idx="7">
                  <c:v>0.9549130523202578</c:v>
                </c:pt>
                <c:pt idx="8">
                  <c:v>0.95912365236317143</c:v>
                </c:pt>
                <c:pt idx="9">
                  <c:v>0.96597913618116982</c:v>
                </c:pt>
                <c:pt idx="10">
                  <c:v>0.96884999094910818</c:v>
                </c:pt>
                <c:pt idx="11">
                  <c:v>0.97184038648178994</c:v>
                </c:pt>
                <c:pt idx="12">
                  <c:v>0.99417922391653057</c:v>
                </c:pt>
                <c:pt idx="13">
                  <c:v>1.0216256281574356</c:v>
                </c:pt>
                <c:pt idx="14">
                  <c:v>1.0408564220641514</c:v>
                </c:pt>
                <c:pt idx="15">
                  <c:v>1.113828001384062</c:v>
                </c:pt>
                <c:pt idx="16">
                  <c:v>1.1203370163762019</c:v>
                </c:pt>
                <c:pt idx="17">
                  <c:v>1.0715425606276678</c:v>
                </c:pt>
                <c:pt idx="18">
                  <c:v>1.0263037120360501</c:v>
                </c:pt>
                <c:pt idx="19">
                  <c:v>0.97182588093212185</c:v>
                </c:pt>
                <c:pt idx="20">
                  <c:v>1.0417252559202934</c:v>
                </c:pt>
                <c:pt idx="21">
                  <c:v>1.0794750119876446</c:v>
                </c:pt>
                <c:pt idx="22">
                  <c:v>1.0438632001782735</c:v>
                </c:pt>
                <c:pt idx="23">
                  <c:v>1.14290341735098</c:v>
                </c:pt>
                <c:pt idx="24">
                  <c:v>1.2473596910048554</c:v>
                </c:pt>
                <c:pt idx="25">
                  <c:v>1.2712583065251897</c:v>
                </c:pt>
                <c:pt idx="26">
                  <c:v>1.2313259281931122</c:v>
                </c:pt>
                <c:pt idx="27">
                  <c:v>1.221532633132588</c:v>
                </c:pt>
                <c:pt idx="28">
                  <c:v>1.1294682073968798</c:v>
                </c:pt>
                <c:pt idx="29">
                  <c:v>1.1145028618487873</c:v>
                </c:pt>
                <c:pt idx="30">
                  <c:v>1.1417668460790016</c:v>
                </c:pt>
                <c:pt idx="31">
                  <c:v>1.1833770087833524</c:v>
                </c:pt>
                <c:pt idx="32">
                  <c:v>1.1284005640703798</c:v>
                </c:pt>
                <c:pt idx="33">
                  <c:v>1.1627033991714875</c:v>
                </c:pt>
                <c:pt idx="34">
                  <c:v>1.1892056578850116</c:v>
                </c:pt>
                <c:pt idx="35">
                  <c:v>1.1057047425687876</c:v>
                </c:pt>
                <c:pt idx="36">
                  <c:v>1.0942885560516555</c:v>
                </c:pt>
                <c:pt idx="37">
                  <c:v>1.1063680189480301</c:v>
                </c:pt>
                <c:pt idx="38">
                  <c:v>1.1069595168310897</c:v>
                </c:pt>
                <c:pt idx="39">
                  <c:v>1.0145948608518434</c:v>
                </c:pt>
                <c:pt idx="40">
                  <c:v>1.0141710064866696</c:v>
                </c:pt>
                <c:pt idx="41">
                  <c:v>0.99132234894860982</c:v>
                </c:pt>
                <c:pt idx="42">
                  <c:v>0.94516652064090945</c:v>
                </c:pt>
                <c:pt idx="43">
                  <c:v>0.90384962704580385</c:v>
                </c:pt>
                <c:pt idx="44">
                  <c:v>0.88988438351751764</c:v>
                </c:pt>
                <c:pt idx="45">
                  <c:v>0.8836686136567824</c:v>
                </c:pt>
                <c:pt idx="46">
                  <c:v>0.87581677834386751</c:v>
                </c:pt>
                <c:pt idx="47">
                  <c:v>0.88622952847936753</c:v>
                </c:pt>
                <c:pt idx="48">
                  <c:v>0.86557968848864597</c:v>
                </c:pt>
                <c:pt idx="49">
                  <c:v>0.8393464554548542</c:v>
                </c:pt>
                <c:pt idx="50">
                  <c:v>0.87842756337797567</c:v>
                </c:pt>
                <c:pt idx="51">
                  <c:v>0.89390476749033487</c:v>
                </c:pt>
                <c:pt idx="52">
                  <c:v>0.89712483729844417</c:v>
                </c:pt>
                <c:pt idx="53">
                  <c:v>0.87366480645118783</c:v>
                </c:pt>
                <c:pt idx="54">
                  <c:v>0.91084602973204198</c:v>
                </c:pt>
                <c:pt idx="55">
                  <c:v>0.90495480779242188</c:v>
                </c:pt>
                <c:pt idx="56">
                  <c:v>0.89859093907637577</c:v>
                </c:pt>
                <c:pt idx="57">
                  <c:v>0.82917950097367354</c:v>
                </c:pt>
                <c:pt idx="58">
                  <c:v>0.83189190189967199</c:v>
                </c:pt>
                <c:pt idx="59">
                  <c:v>0.88486679864157303</c:v>
                </c:pt>
                <c:pt idx="60">
                  <c:v>0.87785175594484377</c:v>
                </c:pt>
                <c:pt idx="61">
                  <c:v>0.91416362066455337</c:v>
                </c:pt>
                <c:pt idx="62">
                  <c:v>0.88065906412418204</c:v>
                </c:pt>
                <c:pt idx="63">
                  <c:v>0.98456375260017603</c:v>
                </c:pt>
                <c:pt idx="64">
                  <c:v>0.89324065283713949</c:v>
                </c:pt>
                <c:pt idx="65">
                  <c:v>0.88718035738519019</c:v>
                </c:pt>
                <c:pt idx="66">
                  <c:v>0.87836810718017366</c:v>
                </c:pt>
                <c:pt idx="67">
                  <c:v>0.8928195291848855</c:v>
                </c:pt>
                <c:pt idx="68">
                  <c:v>0.8989221091593893</c:v>
                </c:pt>
                <c:pt idx="69">
                  <c:v>0.88362698207436008</c:v>
                </c:pt>
                <c:pt idx="70">
                  <c:v>0.90499821940306191</c:v>
                </c:pt>
                <c:pt idx="71">
                  <c:v>0.89138719541262024</c:v>
                </c:pt>
                <c:pt idx="72">
                  <c:v>0.84777413248060141</c:v>
                </c:pt>
                <c:pt idx="73">
                  <c:v>0.91072084174458956</c:v>
                </c:pt>
                <c:pt idx="74">
                  <c:v>0.8145678412256081</c:v>
                </c:pt>
                <c:pt idx="75">
                  <c:v>0.84250774755549518</c:v>
                </c:pt>
                <c:pt idx="76">
                  <c:v>0.86603183508412407</c:v>
                </c:pt>
                <c:pt idx="77">
                  <c:v>0.83763999185427762</c:v>
                </c:pt>
                <c:pt idx="78">
                  <c:v>0.84001905618454797</c:v>
                </c:pt>
                <c:pt idx="79">
                  <c:v>0.84753171821839191</c:v>
                </c:pt>
                <c:pt idx="80">
                  <c:v>0.85360660524252374</c:v>
                </c:pt>
                <c:pt idx="81">
                  <c:v>0.86417278846292955</c:v>
                </c:pt>
                <c:pt idx="82">
                  <c:v>0.85197165380436024</c:v>
                </c:pt>
                <c:pt idx="83">
                  <c:v>0.89491633082500721</c:v>
                </c:pt>
                <c:pt idx="84">
                  <c:v>0.81071558225969742</c:v>
                </c:pt>
                <c:pt idx="85">
                  <c:v>0.83041220042444985</c:v>
                </c:pt>
                <c:pt idx="86">
                  <c:v>0.85550847627348992</c:v>
                </c:pt>
                <c:pt idx="87">
                  <c:v>0.83043179444173365</c:v>
                </c:pt>
                <c:pt idx="88">
                  <c:v>0.8660511497503891</c:v>
                </c:pt>
                <c:pt idx="89">
                  <c:v>0.83937775459051833</c:v>
                </c:pt>
                <c:pt idx="90">
                  <c:v>0.88295887871594037</c:v>
                </c:pt>
                <c:pt idx="91">
                  <c:v>0.85129572055250113</c:v>
                </c:pt>
                <c:pt idx="92">
                  <c:v>0.84471417203169974</c:v>
                </c:pt>
                <c:pt idx="93">
                  <c:v>0.86348562078973634</c:v>
                </c:pt>
                <c:pt idx="94">
                  <c:v>0.84322503676377236</c:v>
                </c:pt>
                <c:pt idx="95">
                  <c:v>0.82452595912363202</c:v>
                </c:pt>
                <c:pt idx="96">
                  <c:v>0.82605526303721</c:v>
                </c:pt>
                <c:pt idx="97">
                  <c:v>0.84411844457305207</c:v>
                </c:pt>
                <c:pt idx="98">
                  <c:v>0.88844338887899754</c:v>
                </c:pt>
                <c:pt idx="99">
                  <c:v>0.84227253204870145</c:v>
                </c:pt>
                <c:pt idx="100">
                  <c:v>0.83318476282103004</c:v>
                </c:pt>
                <c:pt idx="101">
                  <c:v>0.82079480253288439</c:v>
                </c:pt>
                <c:pt idx="102">
                  <c:v>0.84709182986651399</c:v>
                </c:pt>
                <c:pt idx="103">
                  <c:v>0.88258708976065581</c:v>
                </c:pt>
                <c:pt idx="104">
                  <c:v>0.85360778295215578</c:v>
                </c:pt>
                <c:pt idx="105">
                  <c:v>0.86274866991849919</c:v>
                </c:pt>
                <c:pt idx="106">
                  <c:v>0.82585339815649306</c:v>
                </c:pt>
                <c:pt idx="107">
                  <c:v>0.86267006166820348</c:v>
                </c:pt>
                <c:pt idx="108">
                  <c:v>0.83878032658738588</c:v>
                </c:pt>
                <c:pt idx="109">
                  <c:v>0.84724827691488036</c:v>
                </c:pt>
                <c:pt idx="110">
                  <c:v>0.83946977676809009</c:v>
                </c:pt>
                <c:pt idx="111">
                  <c:v>0.84409128823692559</c:v>
                </c:pt>
                <c:pt idx="112">
                  <c:v>0.81759330053535173</c:v>
                </c:pt>
                <c:pt idx="113">
                  <c:v>0.83559014848221214</c:v>
                </c:pt>
                <c:pt idx="114">
                  <c:v>0.81375933723712812</c:v>
                </c:pt>
                <c:pt idx="115">
                  <c:v>0.78812707418207362</c:v>
                </c:pt>
                <c:pt idx="116">
                  <c:v>0.80064650220220157</c:v>
                </c:pt>
                <c:pt idx="117">
                  <c:v>0.82509417663536055</c:v>
                </c:pt>
                <c:pt idx="118">
                  <c:v>0.81383103061336382</c:v>
                </c:pt>
                <c:pt idx="119">
                  <c:v>0.84940851846354981</c:v>
                </c:pt>
                <c:pt idx="120">
                  <c:v>0.80388311452594197</c:v>
                </c:pt>
                <c:pt idx="121">
                  <c:v>0.8339038922414912</c:v>
                </c:pt>
                <c:pt idx="122">
                  <c:v>0.84212003389910217</c:v>
                </c:pt>
                <c:pt idx="123">
                  <c:v>0.8307534730727153</c:v>
                </c:pt>
                <c:pt idx="124">
                  <c:v>0.84010646840897341</c:v>
                </c:pt>
                <c:pt idx="125">
                  <c:v>0.87067892107677958</c:v>
                </c:pt>
                <c:pt idx="126">
                  <c:v>0.80679490705007595</c:v>
                </c:pt>
                <c:pt idx="127">
                  <c:v>0.82615699913622809</c:v>
                </c:pt>
                <c:pt idx="128">
                  <c:v>0.82472958838509403</c:v>
                </c:pt>
                <c:pt idx="129">
                  <c:v>0.85375816585871789</c:v>
                </c:pt>
                <c:pt idx="130">
                  <c:v>0.90219902143229191</c:v>
                </c:pt>
                <c:pt idx="131">
                  <c:v>0.91180688712756508</c:v>
                </c:pt>
                <c:pt idx="132">
                  <c:v>0.89511154996298181</c:v>
                </c:pt>
                <c:pt idx="133">
                  <c:v>0.88359443264210391</c:v>
                </c:pt>
                <c:pt idx="134">
                  <c:v>0.86817520738981724</c:v>
                </c:pt>
                <c:pt idx="135">
                  <c:v>0.85345182538145181</c:v>
                </c:pt>
                <c:pt idx="136">
                  <c:v>0.86645888695955975</c:v>
                </c:pt>
                <c:pt idx="137">
                  <c:v>0.90826415378847614</c:v>
                </c:pt>
                <c:pt idx="138">
                  <c:v>0.87366934715331013</c:v>
                </c:pt>
                <c:pt idx="139">
                  <c:v>0.9043131383849321</c:v>
                </c:pt>
                <c:pt idx="140">
                  <c:v>0.87648274738158749</c:v>
                </c:pt>
                <c:pt idx="141">
                  <c:v>0.86246175683130177</c:v>
                </c:pt>
                <c:pt idx="142">
                  <c:v>0.91047831060005491</c:v>
                </c:pt>
                <c:pt idx="143">
                  <c:v>0.94926924716328553</c:v>
                </c:pt>
                <c:pt idx="144">
                  <c:v>0.96240997316998156</c:v>
                </c:pt>
                <c:pt idx="145">
                  <c:v>1.0133311898249322</c:v>
                </c:pt>
                <c:pt idx="146">
                  <c:v>0.98490012917051439</c:v>
                </c:pt>
                <c:pt idx="147">
                  <c:v>1.0111831522740093</c:v>
                </c:pt>
                <c:pt idx="148">
                  <c:v>0.90928562594270579</c:v>
                </c:pt>
                <c:pt idx="149">
                  <c:v>0.875728818326452</c:v>
                </c:pt>
                <c:pt idx="150">
                  <c:v>0.90845864458322145</c:v>
                </c:pt>
                <c:pt idx="151">
                  <c:v>0.85983776942586232</c:v>
                </c:pt>
                <c:pt idx="152">
                  <c:v>0.89554165009332376</c:v>
                </c:pt>
                <c:pt idx="153">
                  <c:v>0.88836167527510357</c:v>
                </c:pt>
                <c:pt idx="154">
                  <c:v>0.92742898162233178</c:v>
                </c:pt>
                <c:pt idx="155">
                  <c:v>0.92071906526186842</c:v>
                </c:pt>
                <c:pt idx="156">
                  <c:v>0.93496156723867019</c:v>
                </c:pt>
                <c:pt idx="157">
                  <c:v>0.96741087135837933</c:v>
                </c:pt>
                <c:pt idx="158">
                  <c:v>0.94210798536828388</c:v>
                </c:pt>
                <c:pt idx="159">
                  <c:v>0.90490640481897167</c:v>
                </c:pt>
                <c:pt idx="160">
                  <c:v>0.8617891383925933</c:v>
                </c:pt>
                <c:pt idx="161">
                  <c:v>0.852646747577682</c:v>
                </c:pt>
                <c:pt idx="162">
                  <c:v>0.87408042789640161</c:v>
                </c:pt>
                <c:pt idx="163">
                  <c:v>0.90809149211963769</c:v>
                </c:pt>
                <c:pt idx="164">
                  <c:v>0.85462320236515188</c:v>
                </c:pt>
                <c:pt idx="165">
                  <c:v>0.83278277682371415</c:v>
                </c:pt>
                <c:pt idx="166">
                  <c:v>0.85723884767587721</c:v>
                </c:pt>
                <c:pt idx="167">
                  <c:v>0.88133173263289866</c:v>
                </c:pt>
                <c:pt idx="168">
                  <c:v>0.85212125647781578</c:v>
                </c:pt>
                <c:pt idx="169">
                  <c:v>0.89927364361321738</c:v>
                </c:pt>
                <c:pt idx="170">
                  <c:v>0.88674357160479156</c:v>
                </c:pt>
                <c:pt idx="171">
                  <c:v>0.88927169748666346</c:v>
                </c:pt>
                <c:pt idx="172">
                  <c:v>0.88950843438376603</c:v>
                </c:pt>
                <c:pt idx="173">
                  <c:v>0.85718384954390769</c:v>
                </c:pt>
                <c:pt idx="174">
                  <c:v>0.91068756970760179</c:v>
                </c:pt>
                <c:pt idx="175">
                  <c:v>0.89217615693167218</c:v>
                </c:pt>
                <c:pt idx="176">
                  <c:v>0.87914752064901158</c:v>
                </c:pt>
                <c:pt idx="177">
                  <c:v>0.86967053775170999</c:v>
                </c:pt>
                <c:pt idx="178">
                  <c:v>0.89873051853940211</c:v>
                </c:pt>
                <c:pt idx="179">
                  <c:v>0.86198685751409831</c:v>
                </c:pt>
                <c:pt idx="180">
                  <c:v>0.9092593641497877</c:v>
                </c:pt>
                <c:pt idx="181">
                  <c:v>0.90219892916849176</c:v>
                </c:pt>
                <c:pt idx="182">
                  <c:v>0.8982800501721897</c:v>
                </c:pt>
                <c:pt idx="183">
                  <c:v>0.93781489728944178</c:v>
                </c:pt>
                <c:pt idx="184">
                  <c:v>0.94665395599520386</c:v>
                </c:pt>
                <c:pt idx="185">
                  <c:v>0.90714148420835139</c:v>
                </c:pt>
                <c:pt idx="186">
                  <c:v>0.88642613417952409</c:v>
                </c:pt>
                <c:pt idx="187">
                  <c:v>0.87623495416439257</c:v>
                </c:pt>
                <c:pt idx="188">
                  <c:v>0.86936456480838231</c:v>
                </c:pt>
                <c:pt idx="189">
                  <c:v>0.90387693137009562</c:v>
                </c:pt>
                <c:pt idx="190">
                  <c:v>0.899610927819392</c:v>
                </c:pt>
                <c:pt idx="191">
                  <c:v>0.86312978072764812</c:v>
                </c:pt>
                <c:pt idx="192">
                  <c:v>0.87298623173157397</c:v>
                </c:pt>
                <c:pt idx="193">
                  <c:v>0.86144301748626795</c:v>
                </c:pt>
                <c:pt idx="194">
                  <c:v>0.875902626333664</c:v>
                </c:pt>
                <c:pt idx="195">
                  <c:v>0.88815502678196001</c:v>
                </c:pt>
                <c:pt idx="196">
                  <c:v>0.94989804181903592</c:v>
                </c:pt>
                <c:pt idx="197">
                  <c:v>0.92584729351585482</c:v>
                </c:pt>
                <c:pt idx="198">
                  <c:v>0.93208019459837388</c:v>
                </c:pt>
                <c:pt idx="199">
                  <c:v>0.96099133410500004</c:v>
                </c:pt>
                <c:pt idx="200">
                  <c:v>0.9755902944607433</c:v>
                </c:pt>
                <c:pt idx="201">
                  <c:v>0.98749010289840466</c:v>
                </c:pt>
                <c:pt idx="202">
                  <c:v>0.98090021845741004</c:v>
                </c:pt>
                <c:pt idx="203">
                  <c:v>0.94898560229812201</c:v>
                </c:pt>
                <c:pt idx="204">
                  <c:v>0.90289359115288592</c:v>
                </c:pt>
                <c:pt idx="205">
                  <c:v>0.87942559518201602</c:v>
                </c:pt>
                <c:pt idx="206">
                  <c:v>0.90917936314590175</c:v>
                </c:pt>
                <c:pt idx="207">
                  <c:v>0.94850784650315312</c:v>
                </c:pt>
                <c:pt idx="208">
                  <c:v>0.94230167496133888</c:v>
                </c:pt>
                <c:pt idx="209">
                  <c:v>0.96247243810223182</c:v>
                </c:pt>
                <c:pt idx="210">
                  <c:v>0.94834769078847136</c:v>
                </c:pt>
                <c:pt idx="211">
                  <c:v>0.90735927911730174</c:v>
                </c:pt>
                <c:pt idx="212">
                  <c:v>0.93901473766328758</c:v>
                </c:pt>
                <c:pt idx="213">
                  <c:v>0.93139308523528408</c:v>
                </c:pt>
                <c:pt idx="214">
                  <c:v>0.93137135924501591</c:v>
                </c:pt>
                <c:pt idx="215">
                  <c:v>0.89462225309558807</c:v>
                </c:pt>
                <c:pt idx="216">
                  <c:v>0.93519856292601267</c:v>
                </c:pt>
                <c:pt idx="217">
                  <c:v>0.95218299419774954</c:v>
                </c:pt>
                <c:pt idx="218">
                  <c:v>0.94852570352587806</c:v>
                </c:pt>
                <c:pt idx="219">
                  <c:v>0.97208037975313788</c:v>
                </c:pt>
                <c:pt idx="220">
                  <c:v>0.99018948820538188</c:v>
                </c:pt>
                <c:pt idx="221">
                  <c:v>1.0735658724926154</c:v>
                </c:pt>
                <c:pt idx="222">
                  <c:v>1.037797354015682</c:v>
                </c:pt>
                <c:pt idx="223">
                  <c:v>0.98469006528880598</c:v>
                </c:pt>
                <c:pt idx="224">
                  <c:v>0.98723561935022808</c:v>
                </c:pt>
                <c:pt idx="225">
                  <c:v>0.99665005488915215</c:v>
                </c:pt>
                <c:pt idx="226">
                  <c:v>0.9945243470140821</c:v>
                </c:pt>
                <c:pt idx="227">
                  <c:v>0.96204881830722577</c:v>
                </c:pt>
                <c:pt idx="228">
                  <c:v>0.98171953969376968</c:v>
                </c:pt>
                <c:pt idx="229">
                  <c:v>0.96508275197817595</c:v>
                </c:pt>
                <c:pt idx="230">
                  <c:v>0.97208936427686243</c:v>
                </c:pt>
                <c:pt idx="231">
                  <c:v>0.93586808956743406</c:v>
                </c:pt>
                <c:pt idx="232">
                  <c:v>0.92115160869279222</c:v>
                </c:pt>
                <c:pt idx="233">
                  <c:v>0.95124142083594565</c:v>
                </c:pt>
                <c:pt idx="234">
                  <c:v>0.92620506460670349</c:v>
                </c:pt>
                <c:pt idx="235">
                  <c:v>0.90588785273436301</c:v>
                </c:pt>
                <c:pt idx="236">
                  <c:v>0.91980968494587811</c:v>
                </c:pt>
                <c:pt idx="237">
                  <c:v>0.90511955976279213</c:v>
                </c:pt>
                <c:pt idx="238">
                  <c:v>0.88488060414335834</c:v>
                </c:pt>
                <c:pt idx="239">
                  <c:v>0.8584733617448137</c:v>
                </c:pt>
                <c:pt idx="240">
                  <c:v>0.90773422124067249</c:v>
                </c:pt>
                <c:pt idx="241">
                  <c:v>0.87731262305362634</c:v>
                </c:pt>
                <c:pt idx="242">
                  <c:v>0.90524767330484757</c:v>
                </c:pt>
                <c:pt idx="243">
                  <c:v>0.92185342194210973</c:v>
                </c:pt>
                <c:pt idx="244">
                  <c:v>0.88893752261056624</c:v>
                </c:pt>
                <c:pt idx="245">
                  <c:v>0.88370808502503184</c:v>
                </c:pt>
                <c:pt idx="246">
                  <c:v>0.94730744414890777</c:v>
                </c:pt>
                <c:pt idx="247">
                  <c:v>0.9474160854844027</c:v>
                </c:pt>
                <c:pt idx="248">
                  <c:v>0.92485446392402393</c:v>
                </c:pt>
                <c:pt idx="249">
                  <c:v>0.89197298289928284</c:v>
                </c:pt>
                <c:pt idx="250">
                  <c:v>0.86035015234781387</c:v>
                </c:pt>
                <c:pt idx="251">
                  <c:v>0.87561313617701186</c:v>
                </c:pt>
                <c:pt idx="252">
                  <c:v>0.88650682531750347</c:v>
                </c:pt>
                <c:pt idx="253">
                  <c:v>0.86874414258515431</c:v>
                </c:pt>
                <c:pt idx="254">
                  <c:v>0.88107535813014515</c:v>
                </c:pt>
                <c:pt idx="255">
                  <c:v>0.85735043819388768</c:v>
                </c:pt>
                <c:pt idx="256">
                  <c:v>0.84166725186550151</c:v>
                </c:pt>
                <c:pt idx="257">
                  <c:v>0.85260067426625152</c:v>
                </c:pt>
                <c:pt idx="258">
                  <c:v>0.90124471058864231</c:v>
                </c:pt>
                <c:pt idx="259">
                  <c:v>0.8620916580372513</c:v>
                </c:pt>
                <c:pt idx="260">
                  <c:v>0.85702989930147888</c:v>
                </c:pt>
                <c:pt idx="261">
                  <c:v>0.87661473916072197</c:v>
                </c:pt>
                <c:pt idx="262">
                  <c:v>0.88658621422266304</c:v>
                </c:pt>
                <c:pt idx="263">
                  <c:v>0.87823974631429813</c:v>
                </c:pt>
                <c:pt idx="264">
                  <c:v>0.85938241926992953</c:v>
                </c:pt>
                <c:pt idx="265">
                  <c:v>0.82247325028628548</c:v>
                </c:pt>
                <c:pt idx="266">
                  <c:v>0.85493656794160744</c:v>
                </c:pt>
                <c:pt idx="267">
                  <c:v>0.84272047965754027</c:v>
                </c:pt>
                <c:pt idx="268">
                  <c:v>0.86664703584267988</c:v>
                </c:pt>
                <c:pt idx="269">
                  <c:v>0.8567737565426099</c:v>
                </c:pt>
                <c:pt idx="270">
                  <c:v>0.86677283534917215</c:v>
                </c:pt>
                <c:pt idx="271">
                  <c:v>0.87353339954588582</c:v>
                </c:pt>
                <c:pt idx="272">
                  <c:v>0.84834995650368583</c:v>
                </c:pt>
                <c:pt idx="273">
                  <c:v>0.82730929200230241</c:v>
                </c:pt>
                <c:pt idx="274">
                  <c:v>0.83360449243724632</c:v>
                </c:pt>
                <c:pt idx="275">
                  <c:v>0.86078542204780151</c:v>
                </c:pt>
                <c:pt idx="276">
                  <c:v>0.82262069897648349</c:v>
                </c:pt>
                <c:pt idx="277">
                  <c:v>0.83851233234212819</c:v>
                </c:pt>
                <c:pt idx="278">
                  <c:v>0.84142799275333591</c:v>
                </c:pt>
                <c:pt idx="279">
                  <c:v>0.83312386224272394</c:v>
                </c:pt>
                <c:pt idx="280">
                  <c:v>0.85176049856034552</c:v>
                </c:pt>
                <c:pt idx="281">
                  <c:v>0.84406096762433602</c:v>
                </c:pt>
                <c:pt idx="282">
                  <c:v>0.84245188372241975</c:v>
                </c:pt>
                <c:pt idx="283">
                  <c:v>0.83449038223768968</c:v>
                </c:pt>
                <c:pt idx="284">
                  <c:v>0.80383631383465781</c:v>
                </c:pt>
                <c:pt idx="285">
                  <c:v>0.81249346145899226</c:v>
                </c:pt>
                <c:pt idx="286">
                  <c:v>0.77354547449920785</c:v>
                </c:pt>
                <c:pt idx="287">
                  <c:v>0.80107485898952291</c:v>
                </c:pt>
                <c:pt idx="288">
                  <c:v>0.81275494005357363</c:v>
                </c:pt>
                <c:pt idx="289">
                  <c:v>0.79776437369248399</c:v>
                </c:pt>
                <c:pt idx="290">
                  <c:v>0.79107437152216997</c:v>
                </c:pt>
                <c:pt idx="291">
                  <c:v>0.79241338881606982</c:v>
                </c:pt>
                <c:pt idx="292">
                  <c:v>0.81282214731401004</c:v>
                </c:pt>
                <c:pt idx="293">
                  <c:v>0.80294448791896356</c:v>
                </c:pt>
                <c:pt idx="294">
                  <c:v>0.79632390030913269</c:v>
                </c:pt>
                <c:pt idx="295">
                  <c:v>0.80939229073785546</c:v>
                </c:pt>
                <c:pt idx="296">
                  <c:v>0.79424508208161004</c:v>
                </c:pt>
                <c:pt idx="297">
                  <c:v>0.800780119695224</c:v>
                </c:pt>
                <c:pt idx="298">
                  <c:v>0.80860437939095986</c:v>
                </c:pt>
                <c:pt idx="299">
                  <c:v>0.81162929912762483</c:v>
                </c:pt>
                <c:pt idx="300">
                  <c:v>0.78827744236445607</c:v>
                </c:pt>
                <c:pt idx="301">
                  <c:v>0.80885754220186712</c:v>
                </c:pt>
                <c:pt idx="302">
                  <c:v>0.78267782318073031</c:v>
                </c:pt>
                <c:pt idx="303">
                  <c:v>0.79861940554259947</c:v>
                </c:pt>
                <c:pt idx="304">
                  <c:v>0.78721619804623844</c:v>
                </c:pt>
                <c:pt idx="305">
                  <c:v>0.76199639189863788</c:v>
                </c:pt>
                <c:pt idx="306">
                  <c:v>0.72457355869900031</c:v>
                </c:pt>
                <c:pt idx="307">
                  <c:v>0.75941967259826759</c:v>
                </c:pt>
                <c:pt idx="308">
                  <c:v>0.79058548620881597</c:v>
                </c:pt>
                <c:pt idx="309">
                  <c:v>0.77853887153815782</c:v>
                </c:pt>
                <c:pt idx="310">
                  <c:v>0.7798789037483016</c:v>
                </c:pt>
                <c:pt idx="311">
                  <c:v>0.80397348870682217</c:v>
                </c:pt>
                <c:pt idx="312">
                  <c:v>0.80174800274837299</c:v>
                </c:pt>
                <c:pt idx="313">
                  <c:v>0.78395157572935537</c:v>
                </c:pt>
                <c:pt idx="314">
                  <c:v>0.8252403365394736</c:v>
                </c:pt>
                <c:pt idx="315">
                  <c:v>0.79010483438286805</c:v>
                </c:pt>
                <c:pt idx="316">
                  <c:v>0.76878793877236795</c:v>
                </c:pt>
                <c:pt idx="317">
                  <c:v>0.76896910877716973</c:v>
                </c:pt>
                <c:pt idx="318">
                  <c:v>0.7436986734603801</c:v>
                </c:pt>
                <c:pt idx="319">
                  <c:v>0.7542574869202614</c:v>
                </c:pt>
                <c:pt idx="320">
                  <c:v>0.82706436153865148</c:v>
                </c:pt>
                <c:pt idx="321">
                  <c:v>0.78975511215847582</c:v>
                </c:pt>
                <c:pt idx="322">
                  <c:v>0.780761749725849</c:v>
                </c:pt>
                <c:pt idx="323">
                  <c:v>0.79170993834724612</c:v>
                </c:pt>
                <c:pt idx="324">
                  <c:v>0.80069300443382163</c:v>
                </c:pt>
                <c:pt idx="325">
                  <c:v>0.79689524142056456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0191352"/>
        <c:axId val="1023022480"/>
      </c:lineChart>
      <c:lineChart>
        <c:grouping val="standard"/>
        <c:varyColors val="0"/>
        <c:ser>
          <c:idx val="0"/>
          <c:order val="0"/>
          <c:tx>
            <c:strRef>
              <c:f>'Dynamic Pivot'!$B$3</c:f>
              <c:strCache>
                <c:ptCount val="1"/>
                <c:pt idx="0">
                  <c:v>FHLMC Survey Rate</c:v>
                </c:pt>
              </c:strCache>
            </c:strRef>
          </c:tx>
          <c:spPr>
            <a:ln w="19050">
              <a:solidFill>
                <a:srgbClr val="AD275C"/>
              </a:solidFill>
              <a:prstDash val="solid"/>
            </a:ln>
          </c:spPr>
          <c:marker>
            <c:symbol val="none"/>
          </c:marker>
          <c:cat>
            <c:strRef>
              <c:f>'Dynamic Pivot'!$A$4:$A$330</c:f>
              <c:strCache>
                <c:ptCount val="326"/>
                <c:pt idx="0">
                  <c:v>2012-04-11</c:v>
                </c:pt>
                <c:pt idx="1">
                  <c:v>2012-04-18</c:v>
                </c:pt>
                <c:pt idx="2">
                  <c:v>2012-04-25</c:v>
                </c:pt>
                <c:pt idx="3">
                  <c:v>2012-05-02</c:v>
                </c:pt>
                <c:pt idx="4">
                  <c:v>2012-05-09</c:v>
                </c:pt>
                <c:pt idx="5">
                  <c:v>2012-05-16</c:v>
                </c:pt>
                <c:pt idx="6">
                  <c:v>2012-05-23</c:v>
                </c:pt>
                <c:pt idx="7">
                  <c:v>2012-05-30</c:v>
                </c:pt>
                <c:pt idx="8">
                  <c:v>2012-06-06</c:v>
                </c:pt>
                <c:pt idx="9">
                  <c:v>2012-06-13</c:v>
                </c:pt>
                <c:pt idx="10">
                  <c:v>2012-06-20</c:v>
                </c:pt>
                <c:pt idx="11">
                  <c:v>2012-06-27</c:v>
                </c:pt>
                <c:pt idx="12">
                  <c:v>2012-07-03</c:v>
                </c:pt>
                <c:pt idx="13">
                  <c:v>2012-07-11</c:v>
                </c:pt>
                <c:pt idx="14">
                  <c:v>2012-07-18</c:v>
                </c:pt>
                <c:pt idx="15">
                  <c:v>2012-07-25</c:v>
                </c:pt>
                <c:pt idx="16">
                  <c:v>2012-08-01</c:v>
                </c:pt>
                <c:pt idx="17">
                  <c:v>2012-08-08</c:v>
                </c:pt>
                <c:pt idx="18">
                  <c:v>2012-08-15</c:v>
                </c:pt>
                <c:pt idx="19">
                  <c:v>2012-08-22</c:v>
                </c:pt>
                <c:pt idx="20">
                  <c:v>2012-08-29</c:v>
                </c:pt>
                <c:pt idx="21">
                  <c:v>2012-09-05</c:v>
                </c:pt>
                <c:pt idx="22">
                  <c:v>2012-09-12</c:v>
                </c:pt>
                <c:pt idx="23">
                  <c:v>2012-09-19</c:v>
                </c:pt>
                <c:pt idx="24">
                  <c:v>2012-09-26</c:v>
                </c:pt>
                <c:pt idx="25">
                  <c:v>2012-10-03</c:v>
                </c:pt>
                <c:pt idx="26">
                  <c:v>2012-10-10</c:v>
                </c:pt>
                <c:pt idx="27">
                  <c:v>2012-10-17</c:v>
                </c:pt>
                <c:pt idx="28">
                  <c:v>2012-10-24</c:v>
                </c:pt>
                <c:pt idx="29">
                  <c:v>2012-10-31</c:v>
                </c:pt>
                <c:pt idx="30">
                  <c:v>2012-11-07</c:v>
                </c:pt>
                <c:pt idx="31">
                  <c:v>2012-11-14</c:v>
                </c:pt>
                <c:pt idx="32">
                  <c:v>2012-11-21</c:v>
                </c:pt>
                <c:pt idx="33">
                  <c:v>2012-11-28</c:v>
                </c:pt>
                <c:pt idx="34">
                  <c:v>2012-12-05</c:v>
                </c:pt>
                <c:pt idx="35">
                  <c:v>2012-12-12</c:v>
                </c:pt>
                <c:pt idx="36">
                  <c:v>2012-12-19</c:v>
                </c:pt>
                <c:pt idx="37">
                  <c:v>2012-12-26</c:v>
                </c:pt>
                <c:pt idx="38">
                  <c:v>2013-01-02</c:v>
                </c:pt>
                <c:pt idx="39">
                  <c:v>2013-01-09</c:v>
                </c:pt>
                <c:pt idx="40">
                  <c:v>2013-01-16</c:v>
                </c:pt>
                <c:pt idx="41">
                  <c:v>2013-01-23</c:v>
                </c:pt>
                <c:pt idx="42">
                  <c:v>2013-01-30</c:v>
                </c:pt>
                <c:pt idx="43">
                  <c:v>2013-02-06</c:v>
                </c:pt>
                <c:pt idx="44">
                  <c:v>2013-02-13</c:v>
                </c:pt>
                <c:pt idx="45">
                  <c:v>2013-02-20</c:v>
                </c:pt>
                <c:pt idx="46">
                  <c:v>2013-02-27</c:v>
                </c:pt>
                <c:pt idx="47">
                  <c:v>2013-03-06</c:v>
                </c:pt>
                <c:pt idx="48">
                  <c:v>2013-03-13</c:v>
                </c:pt>
                <c:pt idx="49">
                  <c:v>2013-03-20</c:v>
                </c:pt>
                <c:pt idx="50">
                  <c:v>2013-03-27</c:v>
                </c:pt>
                <c:pt idx="51">
                  <c:v>2013-04-03</c:v>
                </c:pt>
                <c:pt idx="52">
                  <c:v>2013-04-10</c:v>
                </c:pt>
                <c:pt idx="53">
                  <c:v>2013-04-17</c:v>
                </c:pt>
                <c:pt idx="54">
                  <c:v>2013-04-24</c:v>
                </c:pt>
                <c:pt idx="55">
                  <c:v>2013-05-01</c:v>
                </c:pt>
                <c:pt idx="56">
                  <c:v>2013-05-08</c:v>
                </c:pt>
                <c:pt idx="57">
                  <c:v>2013-05-15</c:v>
                </c:pt>
                <c:pt idx="58">
                  <c:v>2013-05-22</c:v>
                </c:pt>
                <c:pt idx="59">
                  <c:v>2013-05-29</c:v>
                </c:pt>
                <c:pt idx="60">
                  <c:v>2013-06-05</c:v>
                </c:pt>
                <c:pt idx="61">
                  <c:v>2013-06-12</c:v>
                </c:pt>
                <c:pt idx="62">
                  <c:v>2013-06-19</c:v>
                </c:pt>
                <c:pt idx="63">
                  <c:v>2013-06-26</c:v>
                </c:pt>
                <c:pt idx="64">
                  <c:v>2013-07-03</c:v>
                </c:pt>
                <c:pt idx="65">
                  <c:v>2013-07-10</c:v>
                </c:pt>
                <c:pt idx="66">
                  <c:v>2013-07-17</c:v>
                </c:pt>
                <c:pt idx="67">
                  <c:v>2013-07-24</c:v>
                </c:pt>
                <c:pt idx="68">
                  <c:v>2013-07-31</c:v>
                </c:pt>
                <c:pt idx="69">
                  <c:v>2013-08-07</c:v>
                </c:pt>
                <c:pt idx="70">
                  <c:v>2013-08-14</c:v>
                </c:pt>
                <c:pt idx="71">
                  <c:v>2013-08-21</c:v>
                </c:pt>
                <c:pt idx="72">
                  <c:v>2013-08-28</c:v>
                </c:pt>
                <c:pt idx="73">
                  <c:v>2013-09-04</c:v>
                </c:pt>
                <c:pt idx="74">
                  <c:v>2013-09-11</c:v>
                </c:pt>
                <c:pt idx="75">
                  <c:v>2013-09-18</c:v>
                </c:pt>
                <c:pt idx="76">
                  <c:v>2013-09-25</c:v>
                </c:pt>
                <c:pt idx="77">
                  <c:v>2013-10-02</c:v>
                </c:pt>
                <c:pt idx="78">
                  <c:v>2013-10-09</c:v>
                </c:pt>
                <c:pt idx="79">
                  <c:v>2013-10-16</c:v>
                </c:pt>
                <c:pt idx="80">
                  <c:v>2013-10-23</c:v>
                </c:pt>
                <c:pt idx="81">
                  <c:v>2013-10-30</c:v>
                </c:pt>
                <c:pt idx="82">
                  <c:v>2013-11-06</c:v>
                </c:pt>
                <c:pt idx="83">
                  <c:v>2013-11-13</c:v>
                </c:pt>
                <c:pt idx="84">
                  <c:v>2013-11-20</c:v>
                </c:pt>
                <c:pt idx="85">
                  <c:v>2013-11-27</c:v>
                </c:pt>
                <c:pt idx="86">
                  <c:v>2013-12-04</c:v>
                </c:pt>
                <c:pt idx="87">
                  <c:v>2013-12-11</c:v>
                </c:pt>
                <c:pt idx="88">
                  <c:v>2013-12-18</c:v>
                </c:pt>
                <c:pt idx="89">
                  <c:v>2013-12-24</c:v>
                </c:pt>
                <c:pt idx="90">
                  <c:v>2013-12-31</c:v>
                </c:pt>
                <c:pt idx="91">
                  <c:v>2014-01-08</c:v>
                </c:pt>
                <c:pt idx="92">
                  <c:v>2014-01-15</c:v>
                </c:pt>
                <c:pt idx="93">
                  <c:v>2014-01-22</c:v>
                </c:pt>
                <c:pt idx="94">
                  <c:v>2014-01-29</c:v>
                </c:pt>
                <c:pt idx="95">
                  <c:v>2014-02-05</c:v>
                </c:pt>
                <c:pt idx="96">
                  <c:v>2014-02-12</c:v>
                </c:pt>
                <c:pt idx="97">
                  <c:v>2014-02-19</c:v>
                </c:pt>
                <c:pt idx="98">
                  <c:v>2014-02-26</c:v>
                </c:pt>
                <c:pt idx="99">
                  <c:v>2014-03-05</c:v>
                </c:pt>
                <c:pt idx="100">
                  <c:v>2014-03-12</c:v>
                </c:pt>
                <c:pt idx="101">
                  <c:v>2014-03-19</c:v>
                </c:pt>
                <c:pt idx="102">
                  <c:v>2014-03-26</c:v>
                </c:pt>
                <c:pt idx="103">
                  <c:v>2014-04-02</c:v>
                </c:pt>
                <c:pt idx="104">
                  <c:v>2014-04-09</c:v>
                </c:pt>
                <c:pt idx="105">
                  <c:v>2014-04-16</c:v>
                </c:pt>
                <c:pt idx="106">
                  <c:v>2014-04-23</c:v>
                </c:pt>
                <c:pt idx="107">
                  <c:v>2014-04-30</c:v>
                </c:pt>
                <c:pt idx="108">
                  <c:v>2014-05-07</c:v>
                </c:pt>
                <c:pt idx="109">
                  <c:v>2014-05-14</c:v>
                </c:pt>
                <c:pt idx="110">
                  <c:v>2014-05-21</c:v>
                </c:pt>
                <c:pt idx="111">
                  <c:v>2014-05-28</c:v>
                </c:pt>
                <c:pt idx="112">
                  <c:v>2014-06-04</c:v>
                </c:pt>
                <c:pt idx="113">
                  <c:v>2014-06-11</c:v>
                </c:pt>
                <c:pt idx="114">
                  <c:v>2014-06-18</c:v>
                </c:pt>
                <c:pt idx="115">
                  <c:v>2014-06-25</c:v>
                </c:pt>
                <c:pt idx="116">
                  <c:v>2014-07-02</c:v>
                </c:pt>
                <c:pt idx="117">
                  <c:v>2014-07-09</c:v>
                </c:pt>
                <c:pt idx="118">
                  <c:v>2014-07-16</c:v>
                </c:pt>
                <c:pt idx="119">
                  <c:v>2014-07-23</c:v>
                </c:pt>
                <c:pt idx="120">
                  <c:v>2014-07-30</c:v>
                </c:pt>
                <c:pt idx="121">
                  <c:v>2014-08-06</c:v>
                </c:pt>
                <c:pt idx="122">
                  <c:v>2014-08-13</c:v>
                </c:pt>
                <c:pt idx="123">
                  <c:v>2014-08-20</c:v>
                </c:pt>
                <c:pt idx="124">
                  <c:v>2014-08-27</c:v>
                </c:pt>
                <c:pt idx="125">
                  <c:v>2014-09-03</c:v>
                </c:pt>
                <c:pt idx="126">
                  <c:v>2014-09-10</c:v>
                </c:pt>
                <c:pt idx="127">
                  <c:v>2014-09-17</c:v>
                </c:pt>
                <c:pt idx="128">
                  <c:v>2014-09-24</c:v>
                </c:pt>
                <c:pt idx="129">
                  <c:v>2014-10-01</c:v>
                </c:pt>
                <c:pt idx="130">
                  <c:v>2014-10-08</c:v>
                </c:pt>
                <c:pt idx="131">
                  <c:v>2014-10-15</c:v>
                </c:pt>
                <c:pt idx="132">
                  <c:v>2014-10-22</c:v>
                </c:pt>
                <c:pt idx="133">
                  <c:v>2014-10-29</c:v>
                </c:pt>
                <c:pt idx="134">
                  <c:v>2014-11-05</c:v>
                </c:pt>
                <c:pt idx="135">
                  <c:v>2014-11-12</c:v>
                </c:pt>
                <c:pt idx="136">
                  <c:v>2014-11-19</c:v>
                </c:pt>
                <c:pt idx="137">
                  <c:v>2014-11-26</c:v>
                </c:pt>
                <c:pt idx="138">
                  <c:v>2014-12-03</c:v>
                </c:pt>
                <c:pt idx="139">
                  <c:v>2014-12-10</c:v>
                </c:pt>
                <c:pt idx="140">
                  <c:v>2014-12-17</c:v>
                </c:pt>
                <c:pt idx="141">
                  <c:v>2014-12-24</c:v>
                </c:pt>
                <c:pt idx="142">
                  <c:v>2014-12-31</c:v>
                </c:pt>
                <c:pt idx="143">
                  <c:v>2015-01-07</c:v>
                </c:pt>
                <c:pt idx="144">
                  <c:v>2015-01-14</c:v>
                </c:pt>
                <c:pt idx="145">
                  <c:v>2015-01-21</c:v>
                </c:pt>
                <c:pt idx="146">
                  <c:v>2015-01-28</c:v>
                </c:pt>
                <c:pt idx="147">
                  <c:v>2015-02-04</c:v>
                </c:pt>
                <c:pt idx="148">
                  <c:v>2015-02-11</c:v>
                </c:pt>
                <c:pt idx="149">
                  <c:v>2015-02-18</c:v>
                </c:pt>
                <c:pt idx="150">
                  <c:v>2015-02-25</c:v>
                </c:pt>
                <c:pt idx="151">
                  <c:v>2015-03-04</c:v>
                </c:pt>
                <c:pt idx="152">
                  <c:v>2015-03-11</c:v>
                </c:pt>
                <c:pt idx="153">
                  <c:v>2015-03-18</c:v>
                </c:pt>
                <c:pt idx="154">
                  <c:v>2015-03-25</c:v>
                </c:pt>
                <c:pt idx="155">
                  <c:v>2015-04-01</c:v>
                </c:pt>
                <c:pt idx="156">
                  <c:v>2015-04-08</c:v>
                </c:pt>
                <c:pt idx="157">
                  <c:v>2015-04-15</c:v>
                </c:pt>
                <c:pt idx="158">
                  <c:v>2015-04-22</c:v>
                </c:pt>
                <c:pt idx="159">
                  <c:v>2015-04-29</c:v>
                </c:pt>
                <c:pt idx="160">
                  <c:v>2015-05-06</c:v>
                </c:pt>
                <c:pt idx="161">
                  <c:v>2015-05-13</c:v>
                </c:pt>
                <c:pt idx="162">
                  <c:v>2015-05-20</c:v>
                </c:pt>
                <c:pt idx="163">
                  <c:v>2015-05-27</c:v>
                </c:pt>
                <c:pt idx="164">
                  <c:v>2015-06-03</c:v>
                </c:pt>
                <c:pt idx="165">
                  <c:v>2015-06-10</c:v>
                </c:pt>
                <c:pt idx="166">
                  <c:v>2015-06-17</c:v>
                </c:pt>
                <c:pt idx="167">
                  <c:v>2015-06-24</c:v>
                </c:pt>
                <c:pt idx="168">
                  <c:v>2015-07-01</c:v>
                </c:pt>
                <c:pt idx="169">
                  <c:v>2015-07-08</c:v>
                </c:pt>
                <c:pt idx="170">
                  <c:v>2015-07-15</c:v>
                </c:pt>
                <c:pt idx="171">
                  <c:v>2015-07-22</c:v>
                </c:pt>
                <c:pt idx="172">
                  <c:v>2015-07-29</c:v>
                </c:pt>
                <c:pt idx="173">
                  <c:v>2015-08-05</c:v>
                </c:pt>
                <c:pt idx="174">
                  <c:v>2015-08-12</c:v>
                </c:pt>
                <c:pt idx="175">
                  <c:v>2015-08-19</c:v>
                </c:pt>
                <c:pt idx="176">
                  <c:v>2015-08-26</c:v>
                </c:pt>
                <c:pt idx="177">
                  <c:v>2015-09-02</c:v>
                </c:pt>
                <c:pt idx="178">
                  <c:v>2015-09-09</c:v>
                </c:pt>
                <c:pt idx="179">
                  <c:v>2015-09-16</c:v>
                </c:pt>
                <c:pt idx="180">
                  <c:v>2015-09-23</c:v>
                </c:pt>
                <c:pt idx="181">
                  <c:v>2015-09-30</c:v>
                </c:pt>
                <c:pt idx="182">
                  <c:v>2015-10-07</c:v>
                </c:pt>
                <c:pt idx="183">
                  <c:v>2015-10-14</c:v>
                </c:pt>
                <c:pt idx="184">
                  <c:v>2015-10-21</c:v>
                </c:pt>
                <c:pt idx="185">
                  <c:v>2015-10-28</c:v>
                </c:pt>
                <c:pt idx="186">
                  <c:v>2015-11-04</c:v>
                </c:pt>
                <c:pt idx="187">
                  <c:v>2015-11-10</c:v>
                </c:pt>
                <c:pt idx="188">
                  <c:v>2015-11-18</c:v>
                </c:pt>
                <c:pt idx="189">
                  <c:v>2015-11-25</c:v>
                </c:pt>
                <c:pt idx="190">
                  <c:v>2015-12-02</c:v>
                </c:pt>
                <c:pt idx="191">
                  <c:v>2015-12-09</c:v>
                </c:pt>
                <c:pt idx="192">
                  <c:v>2015-12-16</c:v>
                </c:pt>
                <c:pt idx="193">
                  <c:v>2015-12-23</c:v>
                </c:pt>
                <c:pt idx="194">
                  <c:v>2015-12-30</c:v>
                </c:pt>
                <c:pt idx="195">
                  <c:v>2016-01-06</c:v>
                </c:pt>
                <c:pt idx="196">
                  <c:v>2016-01-13</c:v>
                </c:pt>
                <c:pt idx="197">
                  <c:v>2016-01-20</c:v>
                </c:pt>
                <c:pt idx="198">
                  <c:v>2016-01-27</c:v>
                </c:pt>
                <c:pt idx="199">
                  <c:v>2016-02-03</c:v>
                </c:pt>
                <c:pt idx="200">
                  <c:v>2016-02-10</c:v>
                </c:pt>
                <c:pt idx="201">
                  <c:v>2016-02-17</c:v>
                </c:pt>
                <c:pt idx="202">
                  <c:v>2016-02-24</c:v>
                </c:pt>
                <c:pt idx="203">
                  <c:v>2016-03-02</c:v>
                </c:pt>
                <c:pt idx="204">
                  <c:v>2016-03-09</c:v>
                </c:pt>
                <c:pt idx="205">
                  <c:v>2016-03-16</c:v>
                </c:pt>
                <c:pt idx="206">
                  <c:v>2016-03-23</c:v>
                </c:pt>
                <c:pt idx="207">
                  <c:v>2016-03-30</c:v>
                </c:pt>
                <c:pt idx="208">
                  <c:v>2016-04-06</c:v>
                </c:pt>
                <c:pt idx="209">
                  <c:v>2016-04-13</c:v>
                </c:pt>
                <c:pt idx="210">
                  <c:v>2016-04-20</c:v>
                </c:pt>
                <c:pt idx="211">
                  <c:v>2016-04-27</c:v>
                </c:pt>
                <c:pt idx="212">
                  <c:v>2016-05-04</c:v>
                </c:pt>
                <c:pt idx="213">
                  <c:v>2016-05-11</c:v>
                </c:pt>
                <c:pt idx="214">
                  <c:v>2016-05-18</c:v>
                </c:pt>
                <c:pt idx="215">
                  <c:v>2016-05-25</c:v>
                </c:pt>
                <c:pt idx="216">
                  <c:v>2016-06-01</c:v>
                </c:pt>
                <c:pt idx="217">
                  <c:v>2016-06-08</c:v>
                </c:pt>
                <c:pt idx="218">
                  <c:v>2016-06-15</c:v>
                </c:pt>
                <c:pt idx="219">
                  <c:v>2016-06-22</c:v>
                </c:pt>
                <c:pt idx="220">
                  <c:v>2016-06-29</c:v>
                </c:pt>
                <c:pt idx="221">
                  <c:v>2016-07-06</c:v>
                </c:pt>
                <c:pt idx="222">
                  <c:v>2016-07-13</c:v>
                </c:pt>
                <c:pt idx="223">
                  <c:v>2016-07-20</c:v>
                </c:pt>
                <c:pt idx="224">
                  <c:v>2016-07-27</c:v>
                </c:pt>
                <c:pt idx="225">
                  <c:v>2016-08-03</c:v>
                </c:pt>
                <c:pt idx="226">
                  <c:v>2016-08-10</c:v>
                </c:pt>
                <c:pt idx="227">
                  <c:v>2016-08-17</c:v>
                </c:pt>
                <c:pt idx="228">
                  <c:v>2016-08-24</c:v>
                </c:pt>
                <c:pt idx="229">
                  <c:v>2016-08-31</c:v>
                </c:pt>
                <c:pt idx="230">
                  <c:v>2016-09-07</c:v>
                </c:pt>
                <c:pt idx="231">
                  <c:v>2016-09-14</c:v>
                </c:pt>
                <c:pt idx="232">
                  <c:v>2016-09-21</c:v>
                </c:pt>
                <c:pt idx="233">
                  <c:v>2016-09-28</c:v>
                </c:pt>
                <c:pt idx="234">
                  <c:v>2016-10-05</c:v>
                </c:pt>
                <c:pt idx="235">
                  <c:v>2016-10-12</c:v>
                </c:pt>
                <c:pt idx="236">
                  <c:v>2016-10-19</c:v>
                </c:pt>
                <c:pt idx="237">
                  <c:v>2016-10-26</c:v>
                </c:pt>
                <c:pt idx="238">
                  <c:v>2016-11-02</c:v>
                </c:pt>
                <c:pt idx="239">
                  <c:v>2016-11-09</c:v>
                </c:pt>
                <c:pt idx="240">
                  <c:v>2016-11-16</c:v>
                </c:pt>
                <c:pt idx="241">
                  <c:v>2016-11-23</c:v>
                </c:pt>
                <c:pt idx="242">
                  <c:v>2016-11-30</c:v>
                </c:pt>
                <c:pt idx="243">
                  <c:v>2016-12-07</c:v>
                </c:pt>
                <c:pt idx="244">
                  <c:v>2016-12-14</c:v>
                </c:pt>
                <c:pt idx="245">
                  <c:v>2016-12-21</c:v>
                </c:pt>
                <c:pt idx="246">
                  <c:v>2016-12-28</c:v>
                </c:pt>
                <c:pt idx="247">
                  <c:v>2017-01-04</c:v>
                </c:pt>
                <c:pt idx="248">
                  <c:v>2017-01-11</c:v>
                </c:pt>
                <c:pt idx="249">
                  <c:v>2017-01-18</c:v>
                </c:pt>
                <c:pt idx="250">
                  <c:v>2017-01-25</c:v>
                </c:pt>
                <c:pt idx="251">
                  <c:v>2017-02-01</c:v>
                </c:pt>
                <c:pt idx="252">
                  <c:v>2017-02-08</c:v>
                </c:pt>
                <c:pt idx="253">
                  <c:v>2017-02-15</c:v>
                </c:pt>
                <c:pt idx="254">
                  <c:v>2017-02-22</c:v>
                </c:pt>
                <c:pt idx="255">
                  <c:v>2017-03-01</c:v>
                </c:pt>
                <c:pt idx="256">
                  <c:v>2017-03-08</c:v>
                </c:pt>
                <c:pt idx="257">
                  <c:v>2017-03-15</c:v>
                </c:pt>
                <c:pt idx="258">
                  <c:v>2017-03-22</c:v>
                </c:pt>
                <c:pt idx="259">
                  <c:v>2017-03-29</c:v>
                </c:pt>
                <c:pt idx="260">
                  <c:v>2017-04-05</c:v>
                </c:pt>
                <c:pt idx="261">
                  <c:v>2017-04-12</c:v>
                </c:pt>
                <c:pt idx="262">
                  <c:v>2017-04-19</c:v>
                </c:pt>
                <c:pt idx="263">
                  <c:v>2017-04-26</c:v>
                </c:pt>
                <c:pt idx="264">
                  <c:v>2017-05-03</c:v>
                </c:pt>
                <c:pt idx="265">
                  <c:v>2017-05-10</c:v>
                </c:pt>
                <c:pt idx="266">
                  <c:v>2017-05-17</c:v>
                </c:pt>
                <c:pt idx="267">
                  <c:v>2017-05-24</c:v>
                </c:pt>
                <c:pt idx="268">
                  <c:v>2017-05-31</c:v>
                </c:pt>
                <c:pt idx="269">
                  <c:v>2017-06-07</c:v>
                </c:pt>
                <c:pt idx="270">
                  <c:v>2017-06-14</c:v>
                </c:pt>
                <c:pt idx="271">
                  <c:v>2017-06-21</c:v>
                </c:pt>
                <c:pt idx="272">
                  <c:v>2017-06-28</c:v>
                </c:pt>
                <c:pt idx="273">
                  <c:v>2017-07-05</c:v>
                </c:pt>
                <c:pt idx="274">
                  <c:v>2017-07-12</c:v>
                </c:pt>
                <c:pt idx="275">
                  <c:v>2017-07-19</c:v>
                </c:pt>
                <c:pt idx="276">
                  <c:v>2017-07-26</c:v>
                </c:pt>
                <c:pt idx="277">
                  <c:v>2017-08-02</c:v>
                </c:pt>
                <c:pt idx="278">
                  <c:v>2017-08-09</c:v>
                </c:pt>
                <c:pt idx="279">
                  <c:v>2017-08-16</c:v>
                </c:pt>
                <c:pt idx="280">
                  <c:v>2017-08-23</c:v>
                </c:pt>
                <c:pt idx="281">
                  <c:v>2017-08-30</c:v>
                </c:pt>
                <c:pt idx="282">
                  <c:v>2017-09-06</c:v>
                </c:pt>
                <c:pt idx="283">
                  <c:v>2017-09-13</c:v>
                </c:pt>
                <c:pt idx="284">
                  <c:v>2017-09-20</c:v>
                </c:pt>
                <c:pt idx="285">
                  <c:v>2017-09-27</c:v>
                </c:pt>
                <c:pt idx="286">
                  <c:v>2017-10-04</c:v>
                </c:pt>
                <c:pt idx="287">
                  <c:v>2017-10-11</c:v>
                </c:pt>
                <c:pt idx="288">
                  <c:v>2017-10-18</c:v>
                </c:pt>
                <c:pt idx="289">
                  <c:v>2017-10-25</c:v>
                </c:pt>
                <c:pt idx="290">
                  <c:v>2017-11-01</c:v>
                </c:pt>
                <c:pt idx="291">
                  <c:v>2017-11-08</c:v>
                </c:pt>
                <c:pt idx="292">
                  <c:v>2017-11-15</c:v>
                </c:pt>
                <c:pt idx="293">
                  <c:v>2017-11-22</c:v>
                </c:pt>
                <c:pt idx="294">
                  <c:v>2017-11-29</c:v>
                </c:pt>
                <c:pt idx="295">
                  <c:v>2017-12-06</c:v>
                </c:pt>
                <c:pt idx="296">
                  <c:v>2017-12-13</c:v>
                </c:pt>
                <c:pt idx="297">
                  <c:v>2017-12-20</c:v>
                </c:pt>
                <c:pt idx="298">
                  <c:v>2017-12-27</c:v>
                </c:pt>
                <c:pt idx="299">
                  <c:v>2018-01-03</c:v>
                </c:pt>
                <c:pt idx="300">
                  <c:v>2018-01-10</c:v>
                </c:pt>
                <c:pt idx="301">
                  <c:v>2018-01-17</c:v>
                </c:pt>
                <c:pt idx="302">
                  <c:v>2018-01-24</c:v>
                </c:pt>
                <c:pt idx="303">
                  <c:v>2018-01-31</c:v>
                </c:pt>
                <c:pt idx="304">
                  <c:v>2018-02-07</c:v>
                </c:pt>
                <c:pt idx="305">
                  <c:v>2018-02-14</c:v>
                </c:pt>
                <c:pt idx="306">
                  <c:v>2018-02-21</c:v>
                </c:pt>
                <c:pt idx="307">
                  <c:v>2018-02-28</c:v>
                </c:pt>
                <c:pt idx="308">
                  <c:v>2018-03-07</c:v>
                </c:pt>
                <c:pt idx="309">
                  <c:v>2018-03-14</c:v>
                </c:pt>
                <c:pt idx="310">
                  <c:v>2018-03-21</c:v>
                </c:pt>
                <c:pt idx="311">
                  <c:v>2018-03-28</c:v>
                </c:pt>
                <c:pt idx="312">
                  <c:v>2018-04-04</c:v>
                </c:pt>
                <c:pt idx="313">
                  <c:v>2018-04-11</c:v>
                </c:pt>
                <c:pt idx="314">
                  <c:v>2018-04-18</c:v>
                </c:pt>
                <c:pt idx="315">
                  <c:v>2018-04-25</c:v>
                </c:pt>
                <c:pt idx="316">
                  <c:v>2018-05-02</c:v>
                </c:pt>
                <c:pt idx="317">
                  <c:v>2018-05-09</c:v>
                </c:pt>
                <c:pt idx="318">
                  <c:v>2018-05-16</c:v>
                </c:pt>
                <c:pt idx="319">
                  <c:v>2018-05-23</c:v>
                </c:pt>
                <c:pt idx="320">
                  <c:v>2018-05-30</c:v>
                </c:pt>
                <c:pt idx="321">
                  <c:v>2018-06-06</c:v>
                </c:pt>
                <c:pt idx="322">
                  <c:v>2018-06-13</c:v>
                </c:pt>
                <c:pt idx="323">
                  <c:v>2018-06-20</c:v>
                </c:pt>
                <c:pt idx="324">
                  <c:v>2018-06-27</c:v>
                </c:pt>
                <c:pt idx="325">
                  <c:v>2018-07-03</c:v>
                </c:pt>
              </c:strCache>
            </c:strRef>
          </c:cat>
          <c:val>
            <c:numRef>
              <c:f>'Dynamic Pivot'!$B$4:$B$330</c:f>
              <c:numCache>
                <c:formatCode>General</c:formatCode>
                <c:ptCount val="326"/>
                <c:pt idx="0">
                  <c:v>3.8049999999999997</c:v>
                </c:pt>
                <c:pt idx="1">
                  <c:v>3.85</c:v>
                </c:pt>
                <c:pt idx="2">
                  <c:v>3.8049999999999997</c:v>
                </c:pt>
                <c:pt idx="3">
                  <c:v>3.79</c:v>
                </c:pt>
                <c:pt idx="4">
                  <c:v>3.7549999999999999</c:v>
                </c:pt>
                <c:pt idx="5">
                  <c:v>3.7149999999999999</c:v>
                </c:pt>
                <c:pt idx="6">
                  <c:v>3.73</c:v>
                </c:pt>
                <c:pt idx="7">
                  <c:v>3.7</c:v>
                </c:pt>
                <c:pt idx="8">
                  <c:v>3.5949999999999998</c:v>
                </c:pt>
                <c:pt idx="9">
                  <c:v>3.6349999999999998</c:v>
                </c:pt>
                <c:pt idx="10">
                  <c:v>3.585</c:v>
                </c:pt>
                <c:pt idx="11">
                  <c:v>3.585</c:v>
                </c:pt>
                <c:pt idx="12">
                  <c:v>3.5700000000000003</c:v>
                </c:pt>
                <c:pt idx="13">
                  <c:v>3.4849999999999999</c:v>
                </c:pt>
                <c:pt idx="14">
                  <c:v>3.4549999999999996</c:v>
                </c:pt>
                <c:pt idx="15">
                  <c:v>3.415</c:v>
                </c:pt>
                <c:pt idx="16">
                  <c:v>3.4749999999999996</c:v>
                </c:pt>
                <c:pt idx="17">
                  <c:v>3.4899999999999998</c:v>
                </c:pt>
                <c:pt idx="18">
                  <c:v>3.52</c:v>
                </c:pt>
                <c:pt idx="19">
                  <c:v>3.585</c:v>
                </c:pt>
                <c:pt idx="20">
                  <c:v>3.4899999999999998</c:v>
                </c:pt>
                <c:pt idx="21">
                  <c:v>3.4749999999999996</c:v>
                </c:pt>
                <c:pt idx="22">
                  <c:v>3.4499999999999997</c:v>
                </c:pt>
                <c:pt idx="23">
                  <c:v>3.39</c:v>
                </c:pt>
                <c:pt idx="24">
                  <c:v>3.3</c:v>
                </c:pt>
                <c:pt idx="25">
                  <c:v>3.26</c:v>
                </c:pt>
                <c:pt idx="26">
                  <c:v>3.3149999999999999</c:v>
                </c:pt>
                <c:pt idx="27">
                  <c:v>3.2949999999999999</c:v>
                </c:pt>
                <c:pt idx="28">
                  <c:v>3.335</c:v>
                </c:pt>
                <c:pt idx="29">
                  <c:v>3.3149999999999999</c:v>
                </c:pt>
                <c:pt idx="30">
                  <c:v>3.3249999999999997</c:v>
                </c:pt>
                <c:pt idx="31">
                  <c:v>3.2649999999999997</c:v>
                </c:pt>
                <c:pt idx="32">
                  <c:v>3.2349999999999999</c:v>
                </c:pt>
                <c:pt idx="33">
                  <c:v>3.27</c:v>
                </c:pt>
                <c:pt idx="34">
                  <c:v>3.2649999999999997</c:v>
                </c:pt>
                <c:pt idx="35">
                  <c:v>3.2449999999999997</c:v>
                </c:pt>
                <c:pt idx="36">
                  <c:v>3.2949999999999999</c:v>
                </c:pt>
                <c:pt idx="37">
                  <c:v>3.2749999999999999</c:v>
                </c:pt>
                <c:pt idx="38">
                  <c:v>3.2649999999999997</c:v>
                </c:pt>
                <c:pt idx="39">
                  <c:v>3.3249999999999997</c:v>
                </c:pt>
                <c:pt idx="40">
                  <c:v>3.3049999999999997</c:v>
                </c:pt>
                <c:pt idx="41">
                  <c:v>3.3449999999999998</c:v>
                </c:pt>
                <c:pt idx="42">
                  <c:v>3.4549999999999996</c:v>
                </c:pt>
                <c:pt idx="43">
                  <c:v>3.48</c:v>
                </c:pt>
                <c:pt idx="44">
                  <c:v>3.48</c:v>
                </c:pt>
                <c:pt idx="45">
                  <c:v>3.5100000000000002</c:v>
                </c:pt>
                <c:pt idx="46">
                  <c:v>3.46</c:v>
                </c:pt>
                <c:pt idx="47">
                  <c:v>3.4449999999999998</c:v>
                </c:pt>
                <c:pt idx="48">
                  <c:v>3.58</c:v>
                </c:pt>
                <c:pt idx="49">
                  <c:v>3.49</c:v>
                </c:pt>
                <c:pt idx="50">
                  <c:v>3.52</c:v>
                </c:pt>
                <c:pt idx="51">
                  <c:v>3.49</c:v>
                </c:pt>
                <c:pt idx="52">
                  <c:v>3.3800000000000003</c:v>
                </c:pt>
                <c:pt idx="53">
                  <c:v>3.335</c:v>
                </c:pt>
                <c:pt idx="54">
                  <c:v>3.35</c:v>
                </c:pt>
                <c:pt idx="55">
                  <c:v>3.2749999999999999</c:v>
                </c:pt>
                <c:pt idx="56">
                  <c:v>3.3449999999999998</c:v>
                </c:pt>
                <c:pt idx="57">
                  <c:v>3.4349999999999996</c:v>
                </c:pt>
                <c:pt idx="58">
                  <c:v>3.5149999999999997</c:v>
                </c:pt>
                <c:pt idx="59">
                  <c:v>3.7600000000000002</c:v>
                </c:pt>
                <c:pt idx="60">
                  <c:v>3.835</c:v>
                </c:pt>
                <c:pt idx="61">
                  <c:v>3.9049999999999998</c:v>
                </c:pt>
                <c:pt idx="62">
                  <c:v>3.8800000000000003</c:v>
                </c:pt>
                <c:pt idx="63">
                  <c:v>4.41</c:v>
                </c:pt>
                <c:pt idx="64">
                  <c:v>4.2149999999999999</c:v>
                </c:pt>
                <c:pt idx="65">
                  <c:v>4.46</c:v>
                </c:pt>
                <c:pt idx="66">
                  <c:v>4.2949999999999999</c:v>
                </c:pt>
                <c:pt idx="67">
                  <c:v>4.26</c:v>
                </c:pt>
                <c:pt idx="68">
                  <c:v>4.3149999999999995</c:v>
                </c:pt>
                <c:pt idx="69">
                  <c:v>4.3250000000000002</c:v>
                </c:pt>
                <c:pt idx="70">
                  <c:v>4.3250000000000002</c:v>
                </c:pt>
                <c:pt idx="71">
                  <c:v>4.53</c:v>
                </c:pt>
                <c:pt idx="72">
                  <c:v>4.4349999999999996</c:v>
                </c:pt>
                <c:pt idx="73">
                  <c:v>4.4950000000000001</c:v>
                </c:pt>
                <c:pt idx="74">
                  <c:v>4.5200000000000005</c:v>
                </c:pt>
                <c:pt idx="75">
                  <c:v>4.4249999999999998</c:v>
                </c:pt>
                <c:pt idx="76">
                  <c:v>4.2450000000000001</c:v>
                </c:pt>
                <c:pt idx="77">
                  <c:v>4.1449999999999996</c:v>
                </c:pt>
                <c:pt idx="78">
                  <c:v>4.1550000000000002</c:v>
                </c:pt>
                <c:pt idx="79">
                  <c:v>4.2050000000000001</c:v>
                </c:pt>
                <c:pt idx="80">
                  <c:v>4.08</c:v>
                </c:pt>
                <c:pt idx="81">
                  <c:v>4.0249999999999995</c:v>
                </c:pt>
                <c:pt idx="82">
                  <c:v>4.1100000000000003</c:v>
                </c:pt>
                <c:pt idx="83">
                  <c:v>4.2749999999999995</c:v>
                </c:pt>
                <c:pt idx="84">
                  <c:v>4.1449999999999996</c:v>
                </c:pt>
                <c:pt idx="85">
                  <c:v>4.2149999999999999</c:v>
                </c:pt>
                <c:pt idx="86">
                  <c:v>4.335</c:v>
                </c:pt>
                <c:pt idx="87">
                  <c:v>4.3449999999999998</c:v>
                </c:pt>
                <c:pt idx="88">
                  <c:v>4.3949999999999996</c:v>
                </c:pt>
                <c:pt idx="89">
                  <c:v>4.4050000000000002</c:v>
                </c:pt>
                <c:pt idx="90">
                  <c:v>4.4800000000000004</c:v>
                </c:pt>
                <c:pt idx="91">
                  <c:v>4.4349999999999996</c:v>
                </c:pt>
                <c:pt idx="92">
                  <c:v>4.335</c:v>
                </c:pt>
                <c:pt idx="93">
                  <c:v>4.3149999999999995</c:v>
                </c:pt>
                <c:pt idx="94">
                  <c:v>4.2450000000000001</c:v>
                </c:pt>
                <c:pt idx="95">
                  <c:v>4.1550000000000002</c:v>
                </c:pt>
                <c:pt idx="96">
                  <c:v>4.2050000000000001</c:v>
                </c:pt>
                <c:pt idx="97">
                  <c:v>4.2549999999999999</c:v>
                </c:pt>
                <c:pt idx="98">
                  <c:v>4.2949999999999999</c:v>
                </c:pt>
                <c:pt idx="99">
                  <c:v>4.2050000000000001</c:v>
                </c:pt>
                <c:pt idx="100">
                  <c:v>4.2700000000000005</c:v>
                </c:pt>
                <c:pt idx="101">
                  <c:v>4.2200000000000006</c:v>
                </c:pt>
                <c:pt idx="102">
                  <c:v>4.3000000000000007</c:v>
                </c:pt>
                <c:pt idx="103">
                  <c:v>4.335</c:v>
                </c:pt>
                <c:pt idx="104">
                  <c:v>4.2649999999999997</c:v>
                </c:pt>
                <c:pt idx="105">
                  <c:v>4.1949999999999994</c:v>
                </c:pt>
                <c:pt idx="106">
                  <c:v>4.2300000000000004</c:v>
                </c:pt>
                <c:pt idx="107">
                  <c:v>4.2149999999999999</c:v>
                </c:pt>
                <c:pt idx="108">
                  <c:v>4.1100000000000003</c:v>
                </c:pt>
                <c:pt idx="109">
                  <c:v>4.1000000000000005</c:v>
                </c:pt>
                <c:pt idx="110">
                  <c:v>4.04</c:v>
                </c:pt>
                <c:pt idx="111">
                  <c:v>4.0200000000000005</c:v>
                </c:pt>
                <c:pt idx="112">
                  <c:v>4.0149999999999997</c:v>
                </c:pt>
                <c:pt idx="113">
                  <c:v>4.1000000000000005</c:v>
                </c:pt>
                <c:pt idx="114">
                  <c:v>4.07</c:v>
                </c:pt>
                <c:pt idx="115">
                  <c:v>4.0149999999999997</c:v>
                </c:pt>
                <c:pt idx="116">
                  <c:v>3.9950000000000001</c:v>
                </c:pt>
                <c:pt idx="117">
                  <c:v>4.0750000000000002</c:v>
                </c:pt>
                <c:pt idx="118">
                  <c:v>4.03</c:v>
                </c:pt>
                <c:pt idx="119">
                  <c:v>4.03</c:v>
                </c:pt>
                <c:pt idx="120">
                  <c:v>4.0200000000000005</c:v>
                </c:pt>
                <c:pt idx="121">
                  <c:v>4.0649999999999995</c:v>
                </c:pt>
                <c:pt idx="122">
                  <c:v>4.0200000000000005</c:v>
                </c:pt>
                <c:pt idx="123">
                  <c:v>3.9749999999999996</c:v>
                </c:pt>
                <c:pt idx="124">
                  <c:v>3.9749999999999996</c:v>
                </c:pt>
                <c:pt idx="125">
                  <c:v>3.9749999999999996</c:v>
                </c:pt>
                <c:pt idx="126">
                  <c:v>3.9950000000000001</c:v>
                </c:pt>
                <c:pt idx="127">
                  <c:v>4.1050000000000004</c:v>
                </c:pt>
                <c:pt idx="128">
                  <c:v>4.0750000000000002</c:v>
                </c:pt>
                <c:pt idx="129">
                  <c:v>4.04</c:v>
                </c:pt>
                <c:pt idx="130">
                  <c:v>3.9950000000000001</c:v>
                </c:pt>
                <c:pt idx="131">
                  <c:v>3.8450000000000002</c:v>
                </c:pt>
                <c:pt idx="132">
                  <c:v>3.7949999999999999</c:v>
                </c:pt>
                <c:pt idx="133">
                  <c:v>3.855</c:v>
                </c:pt>
                <c:pt idx="134">
                  <c:v>3.8949999999999996</c:v>
                </c:pt>
                <c:pt idx="135">
                  <c:v>3.8849999999999998</c:v>
                </c:pt>
                <c:pt idx="136">
                  <c:v>3.8650000000000002</c:v>
                </c:pt>
                <c:pt idx="137">
                  <c:v>3.8450000000000002</c:v>
                </c:pt>
                <c:pt idx="138">
                  <c:v>3.7650000000000001</c:v>
                </c:pt>
                <c:pt idx="139">
                  <c:v>3.8050000000000002</c:v>
                </c:pt>
                <c:pt idx="140">
                  <c:v>3.6999999999999997</c:v>
                </c:pt>
                <c:pt idx="141">
                  <c:v>3.73</c:v>
                </c:pt>
                <c:pt idx="142">
                  <c:v>3.77</c:v>
                </c:pt>
                <c:pt idx="143">
                  <c:v>3.63</c:v>
                </c:pt>
                <c:pt idx="144">
                  <c:v>3.56</c:v>
                </c:pt>
                <c:pt idx="145">
                  <c:v>3.5549999999999997</c:v>
                </c:pt>
                <c:pt idx="146">
                  <c:v>3.56</c:v>
                </c:pt>
                <c:pt idx="147">
                  <c:v>3.5149999999999997</c:v>
                </c:pt>
                <c:pt idx="148">
                  <c:v>3.59</c:v>
                </c:pt>
                <c:pt idx="149">
                  <c:v>3.6599999999999997</c:v>
                </c:pt>
                <c:pt idx="150">
                  <c:v>3.6999999999999997</c:v>
                </c:pt>
                <c:pt idx="151">
                  <c:v>3.65</c:v>
                </c:pt>
                <c:pt idx="152">
                  <c:v>3.76</c:v>
                </c:pt>
                <c:pt idx="153">
                  <c:v>3.6799999999999997</c:v>
                </c:pt>
                <c:pt idx="154">
                  <c:v>3.59</c:v>
                </c:pt>
                <c:pt idx="155">
                  <c:v>3.6</c:v>
                </c:pt>
                <c:pt idx="156">
                  <c:v>3.56</c:v>
                </c:pt>
                <c:pt idx="157">
                  <c:v>3.5949999999999998</c:v>
                </c:pt>
                <c:pt idx="158">
                  <c:v>3.55</c:v>
                </c:pt>
                <c:pt idx="159">
                  <c:v>3.58</c:v>
                </c:pt>
                <c:pt idx="160">
                  <c:v>3.6999999999999997</c:v>
                </c:pt>
                <c:pt idx="161">
                  <c:v>3.75</c:v>
                </c:pt>
                <c:pt idx="162">
                  <c:v>3.7649999999999997</c:v>
                </c:pt>
                <c:pt idx="163">
                  <c:v>3.77</c:v>
                </c:pt>
                <c:pt idx="164">
                  <c:v>3.77</c:v>
                </c:pt>
                <c:pt idx="165">
                  <c:v>3.94</c:v>
                </c:pt>
                <c:pt idx="166">
                  <c:v>3.9249999999999998</c:v>
                </c:pt>
                <c:pt idx="167">
                  <c:v>3.9449999999999994</c:v>
                </c:pt>
                <c:pt idx="168">
                  <c:v>3.98</c:v>
                </c:pt>
                <c:pt idx="169">
                  <c:v>3.94</c:v>
                </c:pt>
                <c:pt idx="170">
                  <c:v>3.9899999999999998</c:v>
                </c:pt>
                <c:pt idx="171">
                  <c:v>3.94</c:v>
                </c:pt>
                <c:pt idx="172">
                  <c:v>3.88</c:v>
                </c:pt>
                <c:pt idx="173">
                  <c:v>3.81</c:v>
                </c:pt>
                <c:pt idx="174">
                  <c:v>3.84</c:v>
                </c:pt>
                <c:pt idx="175">
                  <c:v>3.83</c:v>
                </c:pt>
                <c:pt idx="176">
                  <c:v>3.7399999999999998</c:v>
                </c:pt>
                <c:pt idx="177">
                  <c:v>3.79</c:v>
                </c:pt>
                <c:pt idx="178">
                  <c:v>3.8</c:v>
                </c:pt>
                <c:pt idx="179">
                  <c:v>3.81</c:v>
                </c:pt>
                <c:pt idx="180">
                  <c:v>3.7849999999999997</c:v>
                </c:pt>
                <c:pt idx="181">
                  <c:v>3.75</c:v>
                </c:pt>
                <c:pt idx="182">
                  <c:v>3.6599999999999997</c:v>
                </c:pt>
                <c:pt idx="183">
                  <c:v>3.7199999999999998</c:v>
                </c:pt>
                <c:pt idx="184">
                  <c:v>3.69</c:v>
                </c:pt>
                <c:pt idx="185">
                  <c:v>3.6599999999999997</c:v>
                </c:pt>
                <c:pt idx="186">
                  <c:v>3.77</c:v>
                </c:pt>
                <c:pt idx="187">
                  <c:v>3.88</c:v>
                </c:pt>
                <c:pt idx="188">
                  <c:v>3.87</c:v>
                </c:pt>
                <c:pt idx="189">
                  <c:v>3.875</c:v>
                </c:pt>
                <c:pt idx="190">
                  <c:v>3.83</c:v>
                </c:pt>
                <c:pt idx="191">
                  <c:v>3.85</c:v>
                </c:pt>
                <c:pt idx="192">
                  <c:v>3.87</c:v>
                </c:pt>
                <c:pt idx="193">
                  <c:v>3.86</c:v>
                </c:pt>
                <c:pt idx="194">
                  <c:v>3.9099999999999997</c:v>
                </c:pt>
                <c:pt idx="195">
                  <c:v>3.87</c:v>
                </c:pt>
                <c:pt idx="196">
                  <c:v>3.82</c:v>
                </c:pt>
                <c:pt idx="197">
                  <c:v>3.71</c:v>
                </c:pt>
                <c:pt idx="198">
                  <c:v>3.69</c:v>
                </c:pt>
                <c:pt idx="199">
                  <c:v>3.62</c:v>
                </c:pt>
                <c:pt idx="200">
                  <c:v>3.5249999999999999</c:v>
                </c:pt>
                <c:pt idx="201">
                  <c:v>3.5249999999999999</c:v>
                </c:pt>
                <c:pt idx="202">
                  <c:v>3.52</c:v>
                </c:pt>
                <c:pt idx="203">
                  <c:v>3.5150000000000001</c:v>
                </c:pt>
                <c:pt idx="204">
                  <c:v>3.5550000000000002</c:v>
                </c:pt>
                <c:pt idx="205">
                  <c:v>3.605</c:v>
                </c:pt>
                <c:pt idx="206">
                  <c:v>3.585</c:v>
                </c:pt>
                <c:pt idx="207">
                  <c:v>3.585</c:v>
                </c:pt>
                <c:pt idx="208">
                  <c:v>3.4649999999999999</c:v>
                </c:pt>
                <c:pt idx="209">
                  <c:v>3.4550000000000001</c:v>
                </c:pt>
                <c:pt idx="210">
                  <c:v>3.4899999999999998</c:v>
                </c:pt>
                <c:pt idx="211">
                  <c:v>3.56</c:v>
                </c:pt>
                <c:pt idx="212">
                  <c:v>3.51</c:v>
                </c:pt>
                <c:pt idx="213">
                  <c:v>3.4449999999999998</c:v>
                </c:pt>
                <c:pt idx="214">
                  <c:v>3.48</c:v>
                </c:pt>
                <c:pt idx="215">
                  <c:v>3.5150000000000001</c:v>
                </c:pt>
                <c:pt idx="216">
                  <c:v>3.5350000000000001</c:v>
                </c:pt>
                <c:pt idx="217">
                  <c:v>3.4750000000000001</c:v>
                </c:pt>
                <c:pt idx="218">
                  <c:v>3.415</c:v>
                </c:pt>
                <c:pt idx="219">
                  <c:v>3.46</c:v>
                </c:pt>
                <c:pt idx="220">
                  <c:v>3.355</c:v>
                </c:pt>
                <c:pt idx="221">
                  <c:v>3.2850000000000001</c:v>
                </c:pt>
                <c:pt idx="222">
                  <c:v>3.2949999999999999</c:v>
                </c:pt>
                <c:pt idx="223">
                  <c:v>3.3250000000000002</c:v>
                </c:pt>
                <c:pt idx="224">
                  <c:v>3.355</c:v>
                </c:pt>
                <c:pt idx="225">
                  <c:v>3.3050000000000002</c:v>
                </c:pt>
                <c:pt idx="226">
                  <c:v>3.3250000000000002</c:v>
                </c:pt>
                <c:pt idx="227">
                  <c:v>3.3050000000000002</c:v>
                </c:pt>
                <c:pt idx="228">
                  <c:v>3.33</c:v>
                </c:pt>
                <c:pt idx="229">
                  <c:v>3.335</c:v>
                </c:pt>
                <c:pt idx="230">
                  <c:v>3.34</c:v>
                </c:pt>
                <c:pt idx="231">
                  <c:v>3.375</c:v>
                </c:pt>
                <c:pt idx="232">
                  <c:v>3.38</c:v>
                </c:pt>
                <c:pt idx="233">
                  <c:v>3.2949999999999999</c:v>
                </c:pt>
                <c:pt idx="234">
                  <c:v>3.2949999999999999</c:v>
                </c:pt>
                <c:pt idx="235">
                  <c:v>3.37</c:v>
                </c:pt>
                <c:pt idx="236">
                  <c:v>3.395</c:v>
                </c:pt>
                <c:pt idx="237">
                  <c:v>3.37</c:v>
                </c:pt>
                <c:pt idx="238">
                  <c:v>3.415</c:v>
                </c:pt>
                <c:pt idx="239">
                  <c:v>3.4449999999999998</c:v>
                </c:pt>
                <c:pt idx="240">
                  <c:v>3.8149999999999999</c:v>
                </c:pt>
                <c:pt idx="241">
                  <c:v>3.9050000000000002</c:v>
                </c:pt>
                <c:pt idx="242">
                  <c:v>3.9550000000000001</c:v>
                </c:pt>
                <c:pt idx="243">
                  <c:v>4.0049999999999999</c:v>
                </c:pt>
                <c:pt idx="244">
                  <c:v>4.0350000000000001</c:v>
                </c:pt>
                <c:pt idx="245">
                  <c:v>4.1749999999999998</c:v>
                </c:pt>
                <c:pt idx="246">
                  <c:v>4.1950000000000003</c:v>
                </c:pt>
                <c:pt idx="247">
                  <c:v>4.0750000000000002</c:v>
                </c:pt>
                <c:pt idx="248">
                  <c:v>3.9950000000000001</c:v>
                </c:pt>
                <c:pt idx="249">
                  <c:v>3.9649999999999999</c:v>
                </c:pt>
                <c:pt idx="250">
                  <c:v>4.04</c:v>
                </c:pt>
                <c:pt idx="251">
                  <c:v>4.0650000000000004</c:v>
                </c:pt>
                <c:pt idx="252">
                  <c:v>4.0199999999999996</c:v>
                </c:pt>
                <c:pt idx="253">
                  <c:v>4.0250000000000004</c:v>
                </c:pt>
                <c:pt idx="254">
                  <c:v>4.0350000000000001</c:v>
                </c:pt>
                <c:pt idx="255">
                  <c:v>3.9749999999999996</c:v>
                </c:pt>
                <c:pt idx="256">
                  <c:v>4.085</c:v>
                </c:pt>
                <c:pt idx="257">
                  <c:v>4.1749999999999998</c:v>
                </c:pt>
                <c:pt idx="258">
                  <c:v>4.1050000000000004</c:v>
                </c:pt>
                <c:pt idx="259">
                  <c:v>4.0149999999999997</c:v>
                </c:pt>
                <c:pt idx="260">
                  <c:v>3.9749999999999996</c:v>
                </c:pt>
                <c:pt idx="261">
                  <c:v>3.9550000000000001</c:v>
                </c:pt>
                <c:pt idx="262">
                  <c:v>3.8450000000000002</c:v>
                </c:pt>
                <c:pt idx="263">
                  <c:v>3.9050000000000002</c:v>
                </c:pt>
                <c:pt idx="264">
                  <c:v>3.8949999999999996</c:v>
                </c:pt>
                <c:pt idx="265">
                  <c:v>3.9249999999999998</c:v>
                </c:pt>
                <c:pt idx="266">
                  <c:v>3.8949999999999996</c:v>
                </c:pt>
                <c:pt idx="267">
                  <c:v>3.8250000000000002</c:v>
                </c:pt>
                <c:pt idx="268">
                  <c:v>3.8149999999999999</c:v>
                </c:pt>
                <c:pt idx="269">
                  <c:v>3.7650000000000001</c:v>
                </c:pt>
                <c:pt idx="270">
                  <c:v>3.7850000000000001</c:v>
                </c:pt>
                <c:pt idx="271">
                  <c:v>3.7749999999999999</c:v>
                </c:pt>
                <c:pt idx="272">
                  <c:v>3.7549999999999999</c:v>
                </c:pt>
                <c:pt idx="273">
                  <c:v>3.86</c:v>
                </c:pt>
                <c:pt idx="274">
                  <c:v>3.9050000000000002</c:v>
                </c:pt>
                <c:pt idx="275">
                  <c:v>3.86</c:v>
                </c:pt>
                <c:pt idx="276">
                  <c:v>3.7949999999999999</c:v>
                </c:pt>
                <c:pt idx="277">
                  <c:v>3.8050000000000002</c:v>
                </c:pt>
                <c:pt idx="278">
                  <c:v>3.7749999999999999</c:v>
                </c:pt>
                <c:pt idx="279">
                  <c:v>3.74</c:v>
                </c:pt>
                <c:pt idx="280">
                  <c:v>3.7349999999999999</c:v>
                </c:pt>
                <c:pt idx="281">
                  <c:v>3.6949999999999998</c:v>
                </c:pt>
                <c:pt idx="282">
                  <c:v>3.6549999999999998</c:v>
                </c:pt>
                <c:pt idx="283">
                  <c:v>3.6549999999999998</c:v>
                </c:pt>
                <c:pt idx="284">
                  <c:v>3.7050000000000001</c:v>
                </c:pt>
                <c:pt idx="285">
                  <c:v>3.73</c:v>
                </c:pt>
                <c:pt idx="286">
                  <c:v>3.7250000000000001</c:v>
                </c:pt>
                <c:pt idx="287">
                  <c:v>3.7850000000000001</c:v>
                </c:pt>
                <c:pt idx="288">
                  <c:v>3.7549999999999999</c:v>
                </c:pt>
                <c:pt idx="289">
                  <c:v>3.8149999999999999</c:v>
                </c:pt>
                <c:pt idx="290">
                  <c:v>3.8149999999999999</c:v>
                </c:pt>
                <c:pt idx="291">
                  <c:v>3.75</c:v>
                </c:pt>
                <c:pt idx="292">
                  <c:v>3.8250000000000002</c:v>
                </c:pt>
                <c:pt idx="293">
                  <c:v>3.7949999999999999</c:v>
                </c:pt>
                <c:pt idx="294">
                  <c:v>3.7749999999999999</c:v>
                </c:pt>
                <c:pt idx="295">
                  <c:v>3.8149999999999999</c:v>
                </c:pt>
                <c:pt idx="296">
                  <c:v>3.8050000000000002</c:v>
                </c:pt>
                <c:pt idx="297">
                  <c:v>3.8149999999999999</c:v>
                </c:pt>
                <c:pt idx="298">
                  <c:v>3.8650000000000002</c:v>
                </c:pt>
                <c:pt idx="299">
                  <c:v>3.8250000000000002</c:v>
                </c:pt>
                <c:pt idx="300">
                  <c:v>3.8650000000000002</c:v>
                </c:pt>
                <c:pt idx="301">
                  <c:v>3.94</c:v>
                </c:pt>
                <c:pt idx="302">
                  <c:v>4.0250000000000004</c:v>
                </c:pt>
                <c:pt idx="303">
                  <c:v>4.0949999999999998</c:v>
                </c:pt>
                <c:pt idx="304">
                  <c:v>4.2200000000000006</c:v>
                </c:pt>
                <c:pt idx="305">
                  <c:v>4.28</c:v>
                </c:pt>
                <c:pt idx="306">
                  <c:v>4.2750000000000004</c:v>
                </c:pt>
                <c:pt idx="307">
                  <c:v>4.3049999999999997</c:v>
                </c:pt>
                <c:pt idx="308">
                  <c:v>4.335</c:v>
                </c:pt>
                <c:pt idx="309">
                  <c:v>4.3150000000000004</c:v>
                </c:pt>
                <c:pt idx="310">
                  <c:v>4.3250000000000002</c:v>
                </c:pt>
                <c:pt idx="311">
                  <c:v>4.3150000000000004</c:v>
                </c:pt>
                <c:pt idx="312">
                  <c:v>4.2750000000000004</c:v>
                </c:pt>
                <c:pt idx="313">
                  <c:v>4.2699999999999996</c:v>
                </c:pt>
                <c:pt idx="314">
                  <c:v>4.3449999999999998</c:v>
                </c:pt>
                <c:pt idx="315">
                  <c:v>4.4550000000000001</c:v>
                </c:pt>
                <c:pt idx="316">
                  <c:v>4.4249999999999998</c:v>
                </c:pt>
                <c:pt idx="317">
                  <c:v>4.4249999999999998</c:v>
                </c:pt>
                <c:pt idx="318">
                  <c:v>4.46</c:v>
                </c:pt>
                <c:pt idx="319">
                  <c:v>4.51</c:v>
                </c:pt>
                <c:pt idx="320">
                  <c:v>4.4099999999999993</c:v>
                </c:pt>
                <c:pt idx="321">
                  <c:v>4.415</c:v>
                </c:pt>
                <c:pt idx="322">
                  <c:v>4.47</c:v>
                </c:pt>
                <c:pt idx="323">
                  <c:v>4.4450000000000003</c:v>
                </c:pt>
                <c:pt idx="324">
                  <c:v>4.4249999999999998</c:v>
                </c:pt>
                <c:pt idx="325">
                  <c:v>4.3949999999999996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0562400"/>
        <c:axId val="850425424"/>
      </c:lineChart>
      <c:catAx>
        <c:axId val="7701913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23022480"/>
        <c:crosses val="autoZero"/>
        <c:auto val="0"/>
        <c:lblAlgn val="ctr"/>
        <c:lblOffset val="100"/>
        <c:tickLblSkip val="12"/>
        <c:tickMarkSkip val="12"/>
        <c:noMultiLvlLbl val="0"/>
      </c:catAx>
      <c:valAx>
        <c:axId val="1023022480"/>
        <c:scaling>
          <c:orientation val="minMax"/>
          <c:min val="0.70000000000000007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Servicing Spread (%)</a:t>
                </a:r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770191352"/>
        <c:crossesAt val="1"/>
        <c:crossBetween val="between"/>
      </c:valAx>
      <c:valAx>
        <c:axId val="850425424"/>
        <c:scaling>
          <c:orientation val="minMax"/>
          <c:min val="3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FHLMC Survey Rate</a:t>
                </a:r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980562400"/>
        <c:crosses val="max"/>
        <c:crossBetween val="between"/>
      </c:valAx>
      <c:catAx>
        <c:axId val="9805624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50425424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1053354</xdr:colOff>
      <xdr:row>5</xdr:row>
      <xdr:rowOff>10265</xdr:rowOff>
    </xdr:from>
    <xdr:to>
      <xdr:col>19</xdr:col>
      <xdr:colOff>1580030</xdr:colOff>
      <xdr:row>6</xdr:row>
      <xdr:rowOff>144736</xdr:rowOff>
    </xdr:to>
    <xdr:sp macro="[0]!RunServicingSpreadandSurveyRateReport" textlink="">
      <xdr:nvSpPr>
        <xdr:cNvPr id="6" name="Rounded Rectangle 5"/>
        <xdr:cNvSpPr/>
      </xdr:nvSpPr>
      <xdr:spPr>
        <a:xfrm>
          <a:off x="18113687" y="962765"/>
          <a:ext cx="1595593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10</xdr:col>
      <xdr:colOff>814917</xdr:colOff>
      <xdr:row>19</xdr:row>
      <xdr:rowOff>74083</xdr:rowOff>
    </xdr:from>
    <xdr:to>
      <xdr:col>16</xdr:col>
      <xdr:colOff>95250</xdr:colOff>
      <xdr:row>48</xdr:row>
      <xdr:rowOff>84666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269874</xdr:colOff>
      <xdr:row>19</xdr:row>
      <xdr:rowOff>95873</xdr:rowOff>
    </xdr:from>
    <xdr:to>
      <xdr:col>10</xdr:col>
      <xdr:colOff>920748</xdr:colOff>
      <xdr:row>48</xdr:row>
      <xdr:rowOff>140697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148166</xdr:colOff>
      <xdr:row>47</xdr:row>
      <xdr:rowOff>173567</xdr:rowOff>
    </xdr:from>
    <xdr:to>
      <xdr:col>10</xdr:col>
      <xdr:colOff>571500</xdr:colOff>
      <xdr:row>49</xdr:row>
      <xdr:rowOff>14817</xdr:rowOff>
    </xdr:to>
    <xdr:sp macro="" textlink="">
      <xdr:nvSpPr>
        <xdr:cNvPr id="2" name="TextBox 1"/>
        <xdr:cNvSpPr txBox="1"/>
      </xdr:nvSpPr>
      <xdr:spPr>
        <a:xfrm>
          <a:off x="9429749" y="9127067"/>
          <a:ext cx="1439334" cy="222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 Freddie Mac</a:t>
          </a:r>
        </a:p>
      </xdr:txBody>
    </xdr:sp>
    <xdr:clientData/>
  </xdr:twoCellAnchor>
  <xdr:twoCellAnchor>
    <xdr:from>
      <xdr:col>14</xdr:col>
      <xdr:colOff>258232</xdr:colOff>
      <xdr:row>47</xdr:row>
      <xdr:rowOff>173567</xdr:rowOff>
    </xdr:from>
    <xdr:to>
      <xdr:col>16</xdr:col>
      <xdr:colOff>67733</xdr:colOff>
      <xdr:row>49</xdr:row>
      <xdr:rowOff>14817</xdr:rowOff>
    </xdr:to>
    <xdr:sp macro="" textlink="">
      <xdr:nvSpPr>
        <xdr:cNvPr id="7" name="TextBox 6"/>
        <xdr:cNvSpPr txBox="1"/>
      </xdr:nvSpPr>
      <xdr:spPr>
        <a:xfrm>
          <a:off x="14217649" y="9127067"/>
          <a:ext cx="1439334" cy="222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 Freddie Mac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hen Yang" refreshedDate="43287.429648379628" createdVersion="4" refreshedVersion="5" minRefreshableVersion="3" recordCount="1564">
  <cacheSource type="worksheet">
    <worksheetSource name="CurrentMtgRatesDataTable8"/>
  </cacheSource>
  <cacheFields count="14">
    <cacheField name="AsOfDate" numFmtId="14">
      <sharedItems count="1564">
        <s v="2012-04-04"/>
        <s v="2012-04-05"/>
        <s v="2012-04-06"/>
        <s v="2012-04-09"/>
        <s v="2012-04-10"/>
        <s v="2012-04-11"/>
        <s v="2012-04-12"/>
        <s v="2012-04-13"/>
        <s v="2012-04-16"/>
        <s v="2012-04-17"/>
        <s v="2012-04-18"/>
        <s v="2012-04-19"/>
        <s v="2012-04-20"/>
        <s v="2012-04-23"/>
        <s v="2012-04-24"/>
        <s v="2012-04-25"/>
        <s v="2012-04-26"/>
        <s v="2012-04-27"/>
        <s v="2012-04-30"/>
        <s v="2012-05-01"/>
        <s v="2012-05-02"/>
        <s v="2012-05-03"/>
        <s v="2012-05-04"/>
        <s v="2012-05-07"/>
        <s v="2012-05-08"/>
        <s v="2012-05-09"/>
        <s v="2012-05-10"/>
        <s v="2012-05-11"/>
        <s v="2012-05-14"/>
        <s v="2012-05-15"/>
        <s v="2012-05-16"/>
        <s v="2012-05-17"/>
        <s v="2012-05-18"/>
        <s v="2012-05-21"/>
        <s v="2012-05-22"/>
        <s v="2012-05-23"/>
        <s v="2012-05-24"/>
        <s v="2012-05-25"/>
        <s v="2012-05-29"/>
        <s v="2012-05-30"/>
        <s v="2012-05-31"/>
        <s v="2012-06-01"/>
        <s v="2012-06-04"/>
        <s v="2012-06-05"/>
        <s v="2012-06-06"/>
        <s v="2012-06-07"/>
        <s v="2012-06-08"/>
        <s v="2012-06-11"/>
        <s v="2012-06-12"/>
        <s v="2012-06-13"/>
        <s v="2012-06-14"/>
        <s v="2012-06-15"/>
        <s v="2012-06-18"/>
        <s v="2012-06-19"/>
        <s v="2012-06-20"/>
        <s v="2012-06-21"/>
        <s v="2012-06-22"/>
        <s v="2012-06-25"/>
        <s v="2012-06-26"/>
        <s v="2012-06-27"/>
        <s v="2012-06-28"/>
        <s v="2012-06-29"/>
        <s v="2012-07-02"/>
        <s v="2012-07-03"/>
        <s v="2012-07-05"/>
        <s v="2012-07-06"/>
        <s v="2012-07-09"/>
        <s v="2012-07-10"/>
        <s v="2012-07-11"/>
        <s v="2012-07-12"/>
        <s v="2012-07-13"/>
        <s v="2012-07-16"/>
        <s v="2012-07-17"/>
        <s v="2012-07-18"/>
        <s v="2012-07-19"/>
        <s v="2012-07-20"/>
        <s v="2012-07-23"/>
        <s v="2012-07-24"/>
        <s v="2012-07-25"/>
        <s v="2012-07-26"/>
        <s v="2012-07-27"/>
        <s v="2012-07-30"/>
        <s v="2012-07-31"/>
        <s v="2012-08-01"/>
        <s v="2012-08-02"/>
        <s v="2012-08-03"/>
        <s v="2012-08-06"/>
        <s v="2012-08-07"/>
        <s v="2012-08-08"/>
        <s v="2012-08-09"/>
        <s v="2012-08-10"/>
        <s v="2012-08-13"/>
        <s v="2012-08-14"/>
        <s v="2012-08-15"/>
        <s v="2012-08-16"/>
        <s v="2012-08-17"/>
        <s v="2012-08-20"/>
        <s v="2012-08-21"/>
        <s v="2012-08-22"/>
        <s v="2012-08-23"/>
        <s v="2012-08-24"/>
        <s v="2012-08-27"/>
        <s v="2012-08-28"/>
        <s v="2012-08-29"/>
        <s v="2012-08-30"/>
        <s v="2012-08-31"/>
        <s v="2012-09-04"/>
        <s v="2012-09-05"/>
        <s v="2012-09-06"/>
        <s v="2012-09-07"/>
        <s v="2012-09-10"/>
        <s v="2012-09-11"/>
        <s v="2012-09-12"/>
        <s v="2012-09-13"/>
        <s v="2012-09-14"/>
        <s v="2012-09-17"/>
        <s v="2012-09-18"/>
        <s v="2012-09-19"/>
        <s v="2012-09-20"/>
        <s v="2012-09-21"/>
        <s v="2012-09-24"/>
        <s v="2012-09-25"/>
        <s v="2012-09-26"/>
        <s v="2012-09-27"/>
        <s v="2012-09-28"/>
        <s v="2012-10-01"/>
        <s v="2012-10-02"/>
        <s v="2012-10-03"/>
        <s v="2012-10-04"/>
        <s v="2012-10-05"/>
        <s v="2012-10-09"/>
        <s v="2012-10-10"/>
        <s v="2012-10-11"/>
        <s v="2012-10-12"/>
        <s v="2012-10-15"/>
        <s v="2012-10-16"/>
        <s v="2012-10-17"/>
        <s v="2012-10-18"/>
        <s v="2012-10-19"/>
        <s v="2012-10-22"/>
        <s v="2012-10-23"/>
        <s v="2012-10-24"/>
        <s v="2012-10-25"/>
        <s v="2012-10-26"/>
        <s v="2012-10-29"/>
        <s v="2012-10-31"/>
        <s v="2012-11-01"/>
        <s v="2012-11-02"/>
        <s v="2012-11-05"/>
        <s v="2012-11-06"/>
        <s v="2012-11-07"/>
        <s v="2012-11-08"/>
        <s v="2012-11-09"/>
        <s v="2012-11-13"/>
        <s v="2012-11-14"/>
        <s v="2012-11-15"/>
        <s v="2012-11-16"/>
        <s v="2012-11-19"/>
        <s v="2012-11-20"/>
        <s v="2012-11-21"/>
        <s v="2012-11-23"/>
        <s v="2012-11-26"/>
        <s v="2012-11-27"/>
        <s v="2012-11-28"/>
        <s v="2012-11-29"/>
        <s v="2012-11-30"/>
        <s v="2012-12-03"/>
        <s v="2012-12-04"/>
        <s v="2012-12-05"/>
        <s v="2012-12-06"/>
        <s v="2012-12-07"/>
        <s v="2012-12-10"/>
        <s v="2012-12-11"/>
        <s v="2012-12-12"/>
        <s v="2012-12-13"/>
        <s v="2012-12-14"/>
        <s v="2012-12-17"/>
        <s v="2012-12-18"/>
        <s v="2012-12-19"/>
        <s v="2012-12-20"/>
        <s v="2012-12-21"/>
        <s v="2012-12-24"/>
        <s v="2012-12-26"/>
        <s v="2012-12-27"/>
        <s v="2012-12-28"/>
        <s v="2012-12-31"/>
        <s v="2013-01-02"/>
        <s v="2013-01-03"/>
        <s v="2013-01-04"/>
        <s v="2013-01-07"/>
        <s v="2013-01-08"/>
        <s v="2013-01-09"/>
        <s v="2013-01-10"/>
        <s v="2013-01-11"/>
        <s v="2013-01-14"/>
        <s v="2013-01-15"/>
        <s v="2013-01-16"/>
        <s v="2013-01-17"/>
        <s v="2013-01-18"/>
        <s v="2013-01-22"/>
        <s v="2013-01-23"/>
        <s v="2013-01-24"/>
        <s v="2013-01-25"/>
        <s v="2013-01-28"/>
        <s v="2013-01-29"/>
        <s v="2013-01-30"/>
        <s v="2013-01-31"/>
        <s v="2013-02-01"/>
        <s v="2013-02-04"/>
        <s v="2013-02-05"/>
        <s v="2013-02-06"/>
        <s v="2013-02-07"/>
        <s v="2013-02-08"/>
        <s v="2013-02-11"/>
        <s v="2013-02-12"/>
        <s v="2013-02-13"/>
        <s v="2013-02-14"/>
        <s v="2013-02-15"/>
        <s v="2013-02-19"/>
        <s v="2013-02-20"/>
        <s v="2013-02-21"/>
        <s v="2013-02-22"/>
        <s v="2013-02-25"/>
        <s v="2013-02-26"/>
        <s v="2013-02-27"/>
        <s v="2013-02-28"/>
        <s v="2013-03-01"/>
        <s v="2013-03-04"/>
        <s v="2013-03-05"/>
        <s v="2013-03-06"/>
        <s v="2013-03-07"/>
        <s v="2013-03-08"/>
        <s v="2013-03-11"/>
        <s v="2013-03-12"/>
        <s v="2013-03-13"/>
        <s v="2013-03-14"/>
        <s v="2013-03-15"/>
        <s v="2013-03-18"/>
        <s v="2013-03-19"/>
        <s v="2013-03-20"/>
        <s v="2013-03-21"/>
        <s v="2013-03-22"/>
        <s v="2013-03-25"/>
        <s v="2013-03-26"/>
        <s v="2013-03-27"/>
        <s v="2013-03-28"/>
        <s v="2013-04-01"/>
        <s v="2013-04-02"/>
        <s v="2013-04-03"/>
        <s v="2013-04-04"/>
        <s v="2013-04-05"/>
        <s v="2013-04-08"/>
        <s v="2013-04-09"/>
        <s v="2013-04-10"/>
        <s v="2013-04-11"/>
        <s v="2013-04-12"/>
        <s v="2013-04-15"/>
        <s v="2013-04-16"/>
        <s v="2013-04-17"/>
        <s v="2013-04-18"/>
        <s v="2013-04-19"/>
        <s v="2013-04-22"/>
        <s v="2013-04-23"/>
        <s v="2013-04-24"/>
        <s v="2013-04-25"/>
        <s v="2013-04-26"/>
        <s v="2013-04-29"/>
        <s v="2013-04-30"/>
        <s v="2013-05-01"/>
        <s v="2013-05-02"/>
        <s v="2013-05-03"/>
        <s v="2013-05-06"/>
        <s v="2013-05-07"/>
        <s v="2013-05-08"/>
        <s v="2013-05-09"/>
        <s v="2013-05-10"/>
        <s v="2013-05-13"/>
        <s v="2013-05-14"/>
        <s v="2013-05-15"/>
        <s v="2013-05-16"/>
        <s v="2013-05-17"/>
        <s v="2013-05-20"/>
        <s v="2013-05-21"/>
        <s v="2013-05-22"/>
        <s v="2013-05-23"/>
        <s v="2013-05-24"/>
        <s v="2013-05-28"/>
        <s v="2013-05-29"/>
        <s v="2013-05-30"/>
        <s v="2013-05-31"/>
        <s v="2013-06-03"/>
        <s v="2013-06-04"/>
        <s v="2013-06-05"/>
        <s v="2013-06-06"/>
        <s v="2013-06-07"/>
        <s v="2013-06-10"/>
        <s v="2013-06-11"/>
        <s v="2013-06-12"/>
        <s v="2013-06-13"/>
        <s v="2013-06-14"/>
        <s v="2013-06-17"/>
        <s v="2013-06-18"/>
        <s v="2013-06-19"/>
        <s v="2013-06-20"/>
        <s v="2013-06-21"/>
        <s v="2013-06-24"/>
        <s v="2013-06-25"/>
        <s v="2013-06-26"/>
        <s v="2013-06-27"/>
        <s v="2013-06-28"/>
        <s v="2013-07-01"/>
        <s v="2013-07-02"/>
        <s v="2013-07-03"/>
        <s v="2013-07-05"/>
        <s v="2013-07-08"/>
        <s v="2013-07-09"/>
        <s v="2013-07-10"/>
        <s v="2013-07-11"/>
        <s v="2013-07-12"/>
        <s v="2013-07-15"/>
        <s v="2013-07-16"/>
        <s v="2013-07-17"/>
        <s v="2013-07-18"/>
        <s v="2013-07-19"/>
        <s v="2013-07-22"/>
        <s v="2013-07-23"/>
        <s v="2013-07-24"/>
        <s v="2013-07-25"/>
        <s v="2013-07-26"/>
        <s v="2013-07-29"/>
        <s v="2013-07-30"/>
        <s v="2013-07-31"/>
        <s v="2013-08-01"/>
        <s v="2013-08-02"/>
        <s v="2013-08-05"/>
        <s v="2013-08-06"/>
        <s v="2013-08-07"/>
        <s v="2013-08-08"/>
        <s v="2013-08-09"/>
        <s v="2013-08-12"/>
        <s v="2013-08-13"/>
        <s v="2013-08-14"/>
        <s v="2013-08-15"/>
        <s v="2013-08-16"/>
        <s v="2013-08-19"/>
        <s v="2013-08-20"/>
        <s v="2013-08-21"/>
        <s v="2013-08-22"/>
        <s v="2013-08-23"/>
        <s v="2013-08-26"/>
        <s v="2013-08-27"/>
        <s v="2013-08-28"/>
        <s v="2013-08-29"/>
        <s v="2013-08-30"/>
        <s v="2013-09-03"/>
        <s v="2013-09-04"/>
        <s v="2013-09-05"/>
        <s v="2013-09-06"/>
        <s v="2013-09-09"/>
        <s v="2013-09-10"/>
        <s v="2013-09-11"/>
        <s v="2013-09-12"/>
        <s v="2013-09-13"/>
        <s v="2013-09-16"/>
        <s v="2013-09-17"/>
        <s v="2013-09-18"/>
        <s v="2013-09-19"/>
        <s v="2013-09-20"/>
        <s v="2013-09-23"/>
        <s v="2013-09-24"/>
        <s v="2013-09-25"/>
        <s v="2013-09-26"/>
        <s v="2013-09-27"/>
        <s v="2013-09-30"/>
        <s v="2013-10-01"/>
        <s v="2013-10-02"/>
        <s v="2013-10-03"/>
        <s v="2013-10-04"/>
        <s v="2013-10-07"/>
        <s v="2013-10-08"/>
        <s v="2013-10-09"/>
        <s v="2013-10-10"/>
        <s v="2013-10-11"/>
        <s v="2013-10-15"/>
        <s v="2013-10-16"/>
        <s v="2013-10-17"/>
        <s v="2013-10-18"/>
        <s v="2013-10-21"/>
        <s v="2013-10-22"/>
        <s v="2013-10-23"/>
        <s v="2013-10-24"/>
        <s v="2013-10-25"/>
        <s v="2013-10-28"/>
        <s v="2013-10-29"/>
        <s v="2013-10-30"/>
        <s v="2013-10-31"/>
        <s v="2013-11-01"/>
        <s v="2013-11-04"/>
        <s v="2013-11-05"/>
        <s v="2013-11-06"/>
        <s v="2013-11-07"/>
        <s v="2013-11-08"/>
        <s v="2013-11-12"/>
        <s v="2013-11-13"/>
        <s v="2013-11-14"/>
        <s v="2013-11-15"/>
        <s v="2013-11-18"/>
        <s v="2013-11-19"/>
        <s v="2013-11-20"/>
        <s v="2013-11-21"/>
        <s v="2013-11-22"/>
        <s v="2013-11-25"/>
        <s v="2013-11-26"/>
        <s v="2013-11-27"/>
        <s v="2013-11-29"/>
        <s v="2013-12-02"/>
        <s v="2013-12-03"/>
        <s v="2013-12-04"/>
        <s v="2013-12-05"/>
        <s v="2013-12-06"/>
        <s v="2013-12-09"/>
        <s v="2013-12-10"/>
        <s v="2013-12-11"/>
        <s v="2013-12-12"/>
        <s v="2013-12-13"/>
        <s v="2013-12-16"/>
        <s v="2013-12-17"/>
        <s v="2013-12-18"/>
        <s v="2013-12-19"/>
        <s v="2013-12-20"/>
        <s v="2013-12-23"/>
        <s v="2013-12-24"/>
        <s v="2013-12-26"/>
        <s v="2013-12-27"/>
        <s v="2013-12-30"/>
        <s v="2013-12-31"/>
        <s v="2014-01-02"/>
        <s v="2014-01-03"/>
        <s v="2014-01-06"/>
        <s v="2014-01-07"/>
        <s v="2014-01-08"/>
        <s v="2014-01-09"/>
        <s v="2014-01-10"/>
        <s v="2014-01-13"/>
        <s v="2014-01-14"/>
        <s v="2014-01-15"/>
        <s v="2014-01-16"/>
        <s v="2014-01-17"/>
        <s v="2014-01-21"/>
        <s v="2014-01-22"/>
        <s v="2014-01-23"/>
        <s v="2014-01-24"/>
        <s v="2014-01-27"/>
        <s v="2014-01-28"/>
        <s v="2014-01-29"/>
        <s v="2014-01-30"/>
        <s v="2014-01-31"/>
        <s v="2014-02-03"/>
        <s v="2014-02-04"/>
        <s v="2014-02-05"/>
        <s v="2014-02-06"/>
        <s v="2014-02-07"/>
        <s v="2014-02-10"/>
        <s v="2014-02-11"/>
        <s v="2014-02-12"/>
        <s v="2014-02-13"/>
        <s v="2014-02-14"/>
        <s v="2014-02-18"/>
        <s v="2014-02-19"/>
        <s v="2014-02-20"/>
        <s v="2014-02-21"/>
        <s v="2014-02-24"/>
        <s v="2014-02-25"/>
        <s v="2014-02-26"/>
        <s v="2014-02-27"/>
        <s v="2014-02-28"/>
        <s v="2014-03-03"/>
        <s v="2014-03-04"/>
        <s v="2014-03-05"/>
        <s v="2014-03-06"/>
        <s v="2014-03-07"/>
        <s v="2014-03-10"/>
        <s v="2014-03-11"/>
        <s v="2014-03-12"/>
        <s v="2014-03-13"/>
        <s v="2014-03-14"/>
        <s v="2014-03-17"/>
        <s v="2014-03-18"/>
        <s v="2014-03-19"/>
        <s v="2014-03-20"/>
        <s v="2014-03-21"/>
        <s v="2014-03-24"/>
        <s v="2014-03-25"/>
        <s v="2014-03-26"/>
        <s v="2014-03-27"/>
        <s v="2014-03-28"/>
        <s v="2014-03-31"/>
        <s v="2014-04-01"/>
        <s v="2014-04-02"/>
        <s v="2014-04-03"/>
        <s v="2014-04-04"/>
        <s v="2014-04-07"/>
        <s v="2014-04-08"/>
        <s v="2014-04-09"/>
        <s v="2014-04-10"/>
        <s v="2014-04-11"/>
        <s v="2014-04-14"/>
        <s v="2014-04-15"/>
        <s v="2014-04-16"/>
        <s v="2014-04-17"/>
        <s v="2014-04-21"/>
        <s v="2014-04-22"/>
        <s v="2014-04-23"/>
        <s v="2014-04-24"/>
        <s v="2014-04-25"/>
        <s v="2014-04-28"/>
        <s v="2014-04-29"/>
        <s v="2014-04-30"/>
        <s v="2014-05-01"/>
        <s v="2014-05-02"/>
        <s v="2014-05-05"/>
        <s v="2014-05-06"/>
        <s v="2014-05-07"/>
        <s v="2014-05-08"/>
        <s v="2014-05-09"/>
        <s v="2014-05-12"/>
        <s v="2014-05-13"/>
        <s v="2014-05-14"/>
        <s v="2014-05-15"/>
        <s v="2014-05-16"/>
        <s v="2014-05-19"/>
        <s v="2014-05-20"/>
        <s v="2014-05-21"/>
        <s v="2014-05-22"/>
        <s v="2014-05-23"/>
        <s v="2014-05-27"/>
        <s v="2014-05-28"/>
        <s v="2014-05-29"/>
        <s v="2014-05-30"/>
        <s v="2014-06-02"/>
        <s v="2014-06-03"/>
        <s v="2014-06-04"/>
        <s v="2014-06-05"/>
        <s v="2014-06-06"/>
        <s v="2014-06-09"/>
        <s v="2014-06-10"/>
        <s v="2014-06-11"/>
        <s v="2014-06-12"/>
        <s v="2014-06-13"/>
        <s v="2014-06-16"/>
        <s v="2014-06-17"/>
        <s v="2014-06-18"/>
        <s v="2014-06-19"/>
        <s v="2014-06-20"/>
        <s v="2014-06-23"/>
        <s v="2014-06-24"/>
        <s v="2014-06-25"/>
        <s v="2014-06-26"/>
        <s v="2014-06-27"/>
        <s v="2014-06-30"/>
        <s v="2014-07-01"/>
        <s v="2014-07-02"/>
        <s v="2014-07-03"/>
        <s v="2014-07-07"/>
        <s v="2014-07-08"/>
        <s v="2014-07-09"/>
        <s v="2014-07-10"/>
        <s v="2014-07-11"/>
        <s v="2014-07-14"/>
        <s v="2014-07-15"/>
        <s v="2014-07-16"/>
        <s v="2014-07-17"/>
        <s v="2014-07-18"/>
        <s v="2014-07-21"/>
        <s v="2014-07-22"/>
        <s v="2014-07-23"/>
        <s v="2014-07-24"/>
        <s v="2014-07-25"/>
        <s v="2014-07-28"/>
        <s v="2014-07-29"/>
        <s v="2014-07-30"/>
        <s v="2014-07-31"/>
        <s v="2014-08-01"/>
        <s v="2014-08-04"/>
        <s v="2014-08-05"/>
        <s v="2014-08-06"/>
        <s v="2014-08-07"/>
        <s v="2014-08-08"/>
        <s v="2014-08-11"/>
        <s v="2014-08-12"/>
        <s v="2014-08-13"/>
        <s v="2014-08-14"/>
        <s v="2014-08-15"/>
        <s v="2014-08-18"/>
        <s v="2014-08-19"/>
        <s v="2014-08-20"/>
        <s v="2014-08-21"/>
        <s v="2014-08-22"/>
        <s v="2014-08-25"/>
        <s v="2014-08-26"/>
        <s v="2014-08-27"/>
        <s v="2014-08-28"/>
        <s v="2014-08-29"/>
        <s v="2014-09-02"/>
        <s v="2014-09-03"/>
        <s v="2014-09-04"/>
        <s v="2014-09-05"/>
        <s v="2014-09-08"/>
        <s v="2014-09-09"/>
        <s v="2014-09-10"/>
        <s v="2014-09-11"/>
        <s v="2014-09-12"/>
        <s v="2014-09-15"/>
        <s v="2014-09-16"/>
        <s v="2014-09-17"/>
        <s v="2014-09-18"/>
        <s v="2014-09-19"/>
        <s v="2014-09-22"/>
        <s v="2014-09-23"/>
        <s v="2014-09-24"/>
        <s v="2014-09-25"/>
        <s v="2014-09-26"/>
        <s v="2014-09-29"/>
        <s v="2014-09-30"/>
        <s v="2014-10-01"/>
        <s v="2014-10-02"/>
        <s v="2014-10-03"/>
        <s v="2014-10-06"/>
        <s v="2014-10-07"/>
        <s v="2014-10-08"/>
        <s v="2014-10-09"/>
        <s v="2014-10-10"/>
        <s v="2014-10-14"/>
        <s v="2014-10-15"/>
        <s v="2014-10-16"/>
        <s v="2014-10-17"/>
        <s v="2014-10-20"/>
        <s v="2014-10-21"/>
        <s v="2014-10-22"/>
        <s v="2014-10-23"/>
        <s v="2014-10-24"/>
        <s v="2014-10-27"/>
        <s v="2014-10-28"/>
        <s v="2014-10-29"/>
        <s v="2014-10-30"/>
        <s v="2014-10-31"/>
        <s v="2014-11-03"/>
        <s v="2014-11-04"/>
        <s v="2014-11-05"/>
        <s v="2014-11-06"/>
        <s v="2014-11-07"/>
        <s v="2014-11-10"/>
        <s v="2014-11-12"/>
        <s v="2014-11-13"/>
        <s v="2014-11-14"/>
        <s v="2014-11-17"/>
        <s v="2014-11-18"/>
        <s v="2014-11-19"/>
        <s v="2014-11-20"/>
        <s v="2014-11-21"/>
        <s v="2014-11-24"/>
        <s v="2014-11-25"/>
        <s v="2014-11-26"/>
        <s v="2014-11-28"/>
        <s v="2014-12-01"/>
        <s v="2014-12-02"/>
        <s v="2014-12-03"/>
        <s v="2014-12-04"/>
        <s v="2014-12-05"/>
        <s v="2014-12-08"/>
        <s v="2014-12-09"/>
        <s v="2014-12-10"/>
        <s v="2014-12-11"/>
        <s v="2014-12-12"/>
        <s v="2014-12-15"/>
        <s v="2014-12-16"/>
        <s v="2014-12-17"/>
        <s v="2014-12-18"/>
        <s v="2014-12-19"/>
        <s v="2014-12-22"/>
        <s v="2014-12-23"/>
        <s v="2014-12-24"/>
        <s v="2014-12-26"/>
        <s v="2014-12-29"/>
        <s v="2014-12-30"/>
        <s v="2014-12-31"/>
        <s v="2015-01-02"/>
        <s v="2015-01-05"/>
        <s v="2015-01-06"/>
        <s v="2015-01-07"/>
        <s v="2015-01-08"/>
        <s v="2015-01-09"/>
        <s v="2015-01-12"/>
        <s v="2015-01-13"/>
        <s v="2015-01-14"/>
        <s v="2015-01-15"/>
        <s v="2015-01-16"/>
        <s v="2015-01-20"/>
        <s v="2015-01-21"/>
        <s v="2015-01-22"/>
        <s v="2015-01-23"/>
        <s v="2015-01-26"/>
        <s v="2015-01-27"/>
        <s v="2015-01-28"/>
        <s v="2015-01-29"/>
        <s v="2015-01-30"/>
        <s v="2015-02-02"/>
        <s v="2015-02-03"/>
        <s v="2015-02-04"/>
        <s v="2015-02-05"/>
        <s v="2015-02-06"/>
        <s v="2015-02-09"/>
        <s v="2015-02-10"/>
        <s v="2015-02-11"/>
        <s v="2015-02-12"/>
        <s v="2015-02-13"/>
        <s v="2015-02-17"/>
        <s v="2015-02-18"/>
        <s v="2015-02-19"/>
        <s v="2015-02-20"/>
        <s v="2015-02-23"/>
        <s v="2015-02-24"/>
        <s v="2015-02-25"/>
        <s v="2015-02-26"/>
        <s v="2015-02-27"/>
        <s v="2015-03-02"/>
        <s v="2015-03-03"/>
        <s v="2015-03-04"/>
        <s v="2015-03-05"/>
        <s v="2015-03-06"/>
        <s v="2015-03-09"/>
        <s v="2015-03-10"/>
        <s v="2015-03-11"/>
        <s v="2015-03-12"/>
        <s v="2015-03-13"/>
        <s v="2015-03-16"/>
        <s v="2015-03-17"/>
        <s v="2015-03-18"/>
        <s v="2015-03-19"/>
        <s v="2015-03-20"/>
        <s v="2015-03-23"/>
        <s v="2015-03-24"/>
        <s v="2015-03-25"/>
        <s v="2015-03-26"/>
        <s v="2015-03-27"/>
        <s v="2015-03-30"/>
        <s v="2015-03-31"/>
        <s v="2015-04-01"/>
        <s v="2015-04-02"/>
        <s v="2015-04-03"/>
        <s v="2015-04-06"/>
        <s v="2015-04-07"/>
        <s v="2015-04-08"/>
        <s v="2015-04-09"/>
        <s v="2015-04-10"/>
        <s v="2015-04-13"/>
        <s v="2015-04-14"/>
        <s v="2015-04-15"/>
        <s v="2015-04-16"/>
        <s v="2015-04-17"/>
        <s v="2015-04-20"/>
        <s v="2015-04-21"/>
        <s v="2015-04-22"/>
        <s v="2015-04-23"/>
        <s v="2015-04-24"/>
        <s v="2015-04-27"/>
        <s v="2015-04-28"/>
        <s v="2015-04-29"/>
        <s v="2015-04-30"/>
        <s v="2015-05-01"/>
        <s v="2015-05-04"/>
        <s v="2015-05-05"/>
        <s v="2015-05-06"/>
        <s v="2015-05-07"/>
        <s v="2015-05-08"/>
        <s v="2015-05-11"/>
        <s v="2015-05-12"/>
        <s v="2015-05-13"/>
        <s v="2015-05-14"/>
        <s v="2015-05-15"/>
        <s v="2015-05-18"/>
        <s v="2015-05-19"/>
        <s v="2015-05-20"/>
        <s v="2015-05-21"/>
        <s v="2015-05-22"/>
        <s v="2015-05-26"/>
        <s v="2015-05-27"/>
        <s v="2015-05-28"/>
        <s v="2015-05-29"/>
        <s v="2015-06-01"/>
        <s v="2015-06-02"/>
        <s v="2015-06-03"/>
        <s v="2015-06-04"/>
        <s v="2015-06-05"/>
        <s v="2015-06-08"/>
        <s v="2015-06-09"/>
        <s v="2015-06-10"/>
        <s v="2015-06-11"/>
        <s v="2015-06-12"/>
        <s v="2015-06-15"/>
        <s v="2015-06-16"/>
        <s v="2015-06-17"/>
        <s v="2015-06-18"/>
        <s v="2015-06-19"/>
        <s v="2015-06-22"/>
        <s v="2015-06-23"/>
        <s v="2015-06-24"/>
        <s v="2015-06-25"/>
        <s v="2015-06-26"/>
        <s v="2015-06-29"/>
        <s v="2015-06-30"/>
        <s v="2015-07-01"/>
        <s v="2015-07-02"/>
        <s v="2015-07-06"/>
        <s v="2015-07-07"/>
        <s v="2015-07-08"/>
        <s v="2015-07-09"/>
        <s v="2015-07-10"/>
        <s v="2015-07-13"/>
        <s v="2015-07-14"/>
        <s v="2015-07-15"/>
        <s v="2015-07-16"/>
        <s v="2015-07-17"/>
        <s v="2015-07-20"/>
        <s v="2015-07-21"/>
        <s v="2015-07-22"/>
        <s v="2015-07-23"/>
        <s v="2015-07-24"/>
        <s v="2015-07-27"/>
        <s v="2015-07-28"/>
        <s v="2015-07-29"/>
        <s v="2015-07-30"/>
        <s v="2015-07-31"/>
        <s v="2015-08-03"/>
        <s v="2015-08-04"/>
        <s v="2015-08-05"/>
        <s v="2015-08-06"/>
        <s v="2015-08-07"/>
        <s v="2015-08-10"/>
        <s v="2015-08-11"/>
        <s v="2015-08-12"/>
        <s v="2015-08-13"/>
        <s v="2015-08-14"/>
        <s v="2015-08-17"/>
        <s v="2015-08-18"/>
        <s v="2015-08-19"/>
        <s v="2015-08-20"/>
        <s v="2015-08-21"/>
        <s v="2015-08-24"/>
        <s v="2015-08-25"/>
        <s v="2015-08-26"/>
        <s v="2015-08-27"/>
        <s v="2015-08-28"/>
        <s v="2015-08-31"/>
        <s v="2015-09-01"/>
        <s v="2015-09-02"/>
        <s v="2015-09-03"/>
        <s v="2015-09-04"/>
        <s v="2015-09-08"/>
        <s v="2015-09-09"/>
        <s v="2015-09-10"/>
        <s v="2015-09-11"/>
        <s v="2015-09-14"/>
        <s v="2015-09-15"/>
        <s v="2015-09-16"/>
        <s v="2015-09-17"/>
        <s v="2015-09-18"/>
        <s v="2015-09-21"/>
        <s v="2015-09-22"/>
        <s v="2015-09-23"/>
        <s v="2015-09-24"/>
        <s v="2015-09-25"/>
        <s v="2015-09-28"/>
        <s v="2015-09-29"/>
        <s v="2015-09-30"/>
        <s v="2015-10-01"/>
        <s v="2015-10-02"/>
        <s v="2015-10-05"/>
        <s v="2015-10-06"/>
        <s v="2015-10-07"/>
        <s v="2015-10-08"/>
        <s v="2015-10-09"/>
        <s v="2015-10-13"/>
        <s v="2015-10-14"/>
        <s v="2015-10-15"/>
        <s v="2015-10-16"/>
        <s v="2015-10-19"/>
        <s v="2015-10-20"/>
        <s v="2015-10-21"/>
        <s v="2015-10-22"/>
        <s v="2015-10-23"/>
        <s v="2015-10-26"/>
        <s v="2015-10-27"/>
        <s v="2015-10-28"/>
        <s v="2015-10-29"/>
        <s v="2015-10-30"/>
        <s v="2015-11-02"/>
        <s v="2015-11-03"/>
        <s v="2015-11-04"/>
        <s v="2015-11-05"/>
        <s v="2015-11-06"/>
        <s v="2015-11-09"/>
        <s v="2015-11-10"/>
        <s v="2015-11-12"/>
        <s v="2015-11-13"/>
        <s v="2015-11-16"/>
        <s v="2015-11-17"/>
        <s v="2015-11-18"/>
        <s v="2015-11-19"/>
        <s v="2015-11-20"/>
        <s v="2015-11-23"/>
        <s v="2015-11-24"/>
        <s v="2015-11-25"/>
        <s v="2015-11-27"/>
        <s v="2015-11-30"/>
        <s v="2015-12-01"/>
        <s v="2015-12-02"/>
        <s v="2015-12-03"/>
        <s v="2015-12-04"/>
        <s v="2015-12-07"/>
        <s v="2015-12-08"/>
        <s v="2015-12-09"/>
        <s v="2015-12-10"/>
        <s v="2015-12-11"/>
        <s v="2015-12-14"/>
        <s v="2015-12-15"/>
        <s v="2015-12-16"/>
        <s v="2015-12-17"/>
        <s v="2015-12-18"/>
        <s v="2015-12-21"/>
        <s v="2015-12-22"/>
        <s v="2015-12-23"/>
        <s v="2015-12-24"/>
        <s v="2015-12-28"/>
        <s v="2015-12-29"/>
        <s v="2015-12-30"/>
        <s v="2015-12-31"/>
        <s v="2016-01-04"/>
        <s v="2016-01-05"/>
        <s v="2016-01-06"/>
        <s v="2016-01-07"/>
        <s v="2016-01-08"/>
        <s v="2016-01-11"/>
        <s v="2016-01-12"/>
        <s v="2016-01-13"/>
        <s v="2016-01-14"/>
        <s v="2016-01-15"/>
        <s v="2016-01-19"/>
        <s v="2016-01-20"/>
        <s v="2016-01-21"/>
        <s v="2016-01-22"/>
        <s v="2016-01-25"/>
        <s v="2016-01-26"/>
        <s v="2016-01-27"/>
        <s v="2016-01-28"/>
        <s v="2016-01-29"/>
        <s v="2016-02-01"/>
        <s v="2016-02-02"/>
        <s v="2016-02-03"/>
        <s v="2016-02-04"/>
        <s v="2016-02-05"/>
        <s v="2016-02-08"/>
        <s v="2016-02-09"/>
        <s v="2016-02-10"/>
        <s v="2016-02-11"/>
        <s v="2016-02-12"/>
        <s v="2016-02-16"/>
        <s v="2016-02-17"/>
        <s v="2016-02-18"/>
        <s v="2016-02-19"/>
        <s v="2016-02-22"/>
        <s v="2016-02-23"/>
        <s v="2016-02-24"/>
        <s v="2016-02-25"/>
        <s v="2016-02-26"/>
        <s v="2016-02-29"/>
        <s v="2016-03-01"/>
        <s v="2016-03-02"/>
        <s v="2016-03-03"/>
        <s v="2016-03-04"/>
        <s v="2016-03-07"/>
        <s v="2016-03-08"/>
        <s v="2016-03-09"/>
        <s v="2016-03-10"/>
        <s v="2016-03-11"/>
        <s v="2016-03-14"/>
        <s v="2016-03-15"/>
        <s v="2016-03-16"/>
        <s v="2016-03-17"/>
        <s v="2016-03-18"/>
        <s v="2016-03-21"/>
        <s v="2016-03-22"/>
        <s v="2016-03-23"/>
        <s v="2016-03-24"/>
        <s v="2016-03-28"/>
        <s v="2016-03-29"/>
        <s v="2016-03-30"/>
        <s v="2016-03-31"/>
        <s v="2016-04-01"/>
        <s v="2016-04-04"/>
        <s v="2016-04-05"/>
        <s v="2016-04-06"/>
        <s v="2016-04-07"/>
        <s v="2016-04-08"/>
        <s v="2016-04-11"/>
        <s v="2016-04-12"/>
        <s v="2016-04-13"/>
        <s v="2016-04-14"/>
        <s v="2016-04-15"/>
        <s v="2016-04-18"/>
        <s v="2016-04-19"/>
        <s v="2016-04-20"/>
        <s v="2016-04-21"/>
        <s v="2016-04-22"/>
        <s v="2016-04-25"/>
        <s v="2016-04-26"/>
        <s v="2016-04-27"/>
        <s v="2016-04-28"/>
        <s v="2016-04-29"/>
        <s v="2016-05-02"/>
        <s v="2016-05-03"/>
        <s v="2016-05-04"/>
        <s v="2016-05-05"/>
        <s v="2016-05-06"/>
        <s v="2016-05-09"/>
        <s v="2016-05-10"/>
        <s v="2016-05-11"/>
        <s v="2016-05-12"/>
        <s v="2016-05-13"/>
        <s v="2016-05-16"/>
        <s v="2016-05-17"/>
        <s v="2016-05-18"/>
        <s v="2016-05-19"/>
        <s v="2016-05-20"/>
        <s v="2016-05-23"/>
        <s v="2016-05-24"/>
        <s v="2016-05-25"/>
        <s v="2016-05-26"/>
        <s v="2016-05-27"/>
        <s v="2016-05-31"/>
        <s v="2016-06-01"/>
        <s v="2016-06-02"/>
        <s v="2016-06-03"/>
        <s v="2016-06-06"/>
        <s v="2016-06-07"/>
        <s v="2016-06-08"/>
        <s v="2016-06-09"/>
        <s v="2016-06-10"/>
        <s v="2016-06-13"/>
        <s v="2016-06-14"/>
        <s v="2016-06-15"/>
        <s v="2016-06-16"/>
        <s v="2016-06-17"/>
        <s v="2016-06-20"/>
        <s v="2016-06-21"/>
        <s v="2016-06-22"/>
        <s v="2016-06-23"/>
        <s v="2016-06-24"/>
        <s v="2016-06-27"/>
        <s v="2016-06-28"/>
        <s v="2016-06-29"/>
        <s v="2016-06-30"/>
        <s v="2016-07-01"/>
        <s v="2016-07-05"/>
        <s v="2016-07-06"/>
        <s v="2016-07-07"/>
        <s v="2016-07-08"/>
        <s v="2016-07-11"/>
        <s v="2016-07-12"/>
        <s v="2016-07-13"/>
        <s v="2016-07-14"/>
        <s v="2016-07-15"/>
        <s v="2016-07-18"/>
        <s v="2016-07-19"/>
        <s v="2016-07-20"/>
        <s v="2016-07-21"/>
        <s v="2016-07-22"/>
        <s v="2016-07-25"/>
        <s v="2016-07-26"/>
        <s v="2016-07-27"/>
        <s v="2016-07-28"/>
        <s v="2016-07-29"/>
        <s v="2016-08-01"/>
        <s v="2016-08-02"/>
        <s v="2016-08-03"/>
        <s v="2016-08-04"/>
        <s v="2016-08-05"/>
        <s v="2016-08-08"/>
        <s v="2016-08-09"/>
        <s v="2016-08-10"/>
        <s v="2016-08-11"/>
        <s v="2016-08-12"/>
        <s v="2016-08-15"/>
        <s v="2016-08-16"/>
        <s v="2016-08-17"/>
        <s v="2016-08-18"/>
        <s v="2016-08-19"/>
        <s v="2016-08-22"/>
        <s v="2016-08-23"/>
        <s v="2016-08-24"/>
        <s v="2016-08-25"/>
        <s v="2016-08-26"/>
        <s v="2016-08-29"/>
        <s v="2016-08-30"/>
        <s v="2016-08-31"/>
        <s v="2016-09-01"/>
        <s v="2016-09-02"/>
        <s v="2016-09-06"/>
        <s v="2016-09-07"/>
        <s v="2016-09-08"/>
        <s v="2016-09-09"/>
        <s v="2016-09-12"/>
        <s v="2016-09-13"/>
        <s v="2016-09-14"/>
        <s v="2016-09-15"/>
        <s v="2016-09-16"/>
        <s v="2016-09-19"/>
        <s v="2016-09-20"/>
        <s v="2016-09-21"/>
        <s v="2016-09-22"/>
        <s v="2016-09-23"/>
        <s v="2016-09-26"/>
        <s v="2016-09-27"/>
        <s v="2016-09-28"/>
        <s v="2016-09-29"/>
        <s v="2016-09-30"/>
        <s v="2016-10-03"/>
        <s v="2016-10-04"/>
        <s v="2016-10-05"/>
        <s v="2016-10-06"/>
        <s v="2016-10-07"/>
        <s v="2016-10-11"/>
        <s v="2016-10-12"/>
        <s v="2016-10-13"/>
        <s v="2016-10-14"/>
        <s v="2016-10-17"/>
        <s v="2016-10-18"/>
        <s v="2016-10-19"/>
        <s v="2016-10-20"/>
        <s v="2016-10-21"/>
        <s v="2016-10-24"/>
        <s v="2016-10-25"/>
        <s v="2016-10-26"/>
        <s v="2016-10-27"/>
        <s v="2016-10-28"/>
        <s v="2016-10-31"/>
        <s v="2016-11-01"/>
        <s v="2016-11-02"/>
        <s v="2016-11-03"/>
        <s v="2016-11-04"/>
        <s v="2016-11-07"/>
        <s v="2016-11-08"/>
        <s v="2016-11-09"/>
        <s v="2016-11-10"/>
        <s v="2016-11-14"/>
        <s v="2016-11-15"/>
        <s v="2016-11-16"/>
        <s v="2016-11-17"/>
        <s v="2016-11-18"/>
        <s v="2016-11-21"/>
        <s v="2016-11-22"/>
        <s v="2016-11-23"/>
        <s v="2016-11-25"/>
        <s v="2016-11-28"/>
        <s v="2016-11-29"/>
        <s v="2016-11-30"/>
        <s v="2016-12-01"/>
        <s v="2016-12-02"/>
        <s v="2016-12-05"/>
        <s v="2016-12-06"/>
        <s v="2016-12-07"/>
        <s v="2016-12-08"/>
        <s v="2016-12-09"/>
        <s v="2016-12-12"/>
        <s v="2016-12-13"/>
        <s v="2016-12-14"/>
        <s v="2016-12-15"/>
        <s v="2016-12-16"/>
        <s v="2016-12-19"/>
        <s v="2016-12-20"/>
        <s v="2016-12-21"/>
        <s v="2016-12-22"/>
        <s v="2016-12-23"/>
        <s v="2016-12-27"/>
        <s v="2016-12-28"/>
        <s v="2016-12-29"/>
        <s v="2016-12-30"/>
        <s v="2017-01-03"/>
        <s v="2017-01-04"/>
        <s v="2017-01-05"/>
        <s v="2017-01-06"/>
        <s v="2017-01-09"/>
        <s v="2017-01-10"/>
        <s v="2017-01-11"/>
        <s v="2017-01-12"/>
        <s v="2017-01-13"/>
        <s v="2017-01-17"/>
        <s v="2017-01-18"/>
        <s v="2017-01-19"/>
        <s v="2017-01-20"/>
        <s v="2017-01-23"/>
        <s v="2017-01-24"/>
        <s v="2017-01-25"/>
        <s v="2017-01-26"/>
        <s v="2017-01-27"/>
        <s v="2017-01-30"/>
        <s v="2017-01-31"/>
        <s v="2017-02-01"/>
        <s v="2017-02-02"/>
        <s v="2017-02-03"/>
        <s v="2017-02-06"/>
        <s v="2017-02-07"/>
        <s v="2017-02-08"/>
        <s v="2017-02-09"/>
        <s v="2017-02-10"/>
        <s v="2017-02-13"/>
        <s v="2017-02-14"/>
        <s v="2017-02-15"/>
        <s v="2017-02-16"/>
        <s v="2017-02-17"/>
        <s v="2017-02-21"/>
        <s v="2017-02-22"/>
        <s v="2017-02-23"/>
        <s v="2017-02-24"/>
        <s v="2017-02-27"/>
        <s v="2017-02-28"/>
        <s v="2017-03-01"/>
        <s v="2017-03-02"/>
        <s v="2017-03-03"/>
        <s v="2017-03-06"/>
        <s v="2017-03-07"/>
        <s v="2017-03-08"/>
        <s v="2017-03-09"/>
        <s v="2017-03-10"/>
        <s v="2017-03-13"/>
        <s v="2017-03-14"/>
        <s v="2017-03-15"/>
        <s v="2017-03-16"/>
        <s v="2017-03-17"/>
        <s v="2017-03-20"/>
        <s v="2017-03-21"/>
        <s v="2017-03-22"/>
        <s v="2017-03-23"/>
        <s v="2017-03-24"/>
        <s v="2017-03-27"/>
        <s v="2017-03-28"/>
        <s v="2017-03-29"/>
        <s v="2017-03-30"/>
        <s v="2017-03-31"/>
        <s v="2017-04-03"/>
        <s v="2017-04-04"/>
        <s v="2017-04-05"/>
        <s v="2017-04-06"/>
        <s v="2017-04-07"/>
        <s v="2017-04-10"/>
        <s v="2017-04-11"/>
        <s v="2017-04-12"/>
        <s v="2017-04-13"/>
        <s v="2017-04-17"/>
        <s v="2017-04-18"/>
        <s v="2017-04-19"/>
        <s v="2017-04-20"/>
        <s v="2017-04-21"/>
        <s v="2017-04-24"/>
        <s v="2017-04-25"/>
        <s v="2017-04-26"/>
        <s v="2017-04-27"/>
        <s v="2017-04-28"/>
        <s v="2017-05-01"/>
        <s v="2017-05-02"/>
        <s v="2017-05-03"/>
        <s v="2017-05-04"/>
        <s v="2017-05-05"/>
        <s v="2017-05-08"/>
        <s v="2017-05-09"/>
        <s v="2017-05-10"/>
        <s v="2017-05-11"/>
        <s v="2017-05-12"/>
        <s v="2017-05-15"/>
        <s v="2017-05-16"/>
        <s v="2017-05-17"/>
        <s v="2017-05-18"/>
        <s v="2017-05-19"/>
        <s v="2017-05-22"/>
        <s v="2017-05-23"/>
        <s v="2017-05-24"/>
        <s v="2017-05-25"/>
        <s v="2017-05-26"/>
        <s v="2017-05-30"/>
        <s v="2017-05-31"/>
        <s v="2017-06-01"/>
        <s v="2017-06-02"/>
        <s v="2017-06-05"/>
        <s v="2017-06-06"/>
        <s v="2017-06-07"/>
        <s v="2017-06-08"/>
        <s v="2017-06-09"/>
        <s v="2017-06-12"/>
        <s v="2017-06-13"/>
        <s v="2017-06-14"/>
        <s v="2017-06-15"/>
        <s v="2017-06-16"/>
        <s v="2017-06-19"/>
        <s v="2017-06-20"/>
        <s v="2017-06-21"/>
        <s v="2017-06-22"/>
        <s v="2017-06-23"/>
        <s v="2017-06-26"/>
        <s v="2017-06-27"/>
        <s v="2017-06-28"/>
        <s v="2017-06-29"/>
        <s v="2017-06-30"/>
        <s v="2017-07-03"/>
        <s v="2017-07-05"/>
        <s v="2017-07-06"/>
        <s v="2017-07-07"/>
        <s v="2017-07-10"/>
        <s v="2017-07-11"/>
        <s v="2017-07-12"/>
        <s v="2017-07-13"/>
        <s v="2017-07-14"/>
        <s v="2017-07-17"/>
        <s v="2017-07-18"/>
        <s v="2017-07-19"/>
        <s v="2017-07-20"/>
        <s v="2017-07-21"/>
        <s v="2017-07-24"/>
        <s v="2017-07-25"/>
        <s v="2017-07-26"/>
        <s v="2017-07-27"/>
        <s v="2017-07-28"/>
        <s v="2017-07-31"/>
        <s v="2017-08-01"/>
        <s v="2017-08-02"/>
        <s v="2017-08-03"/>
        <s v="2017-08-04"/>
        <s v="2017-08-07"/>
        <s v="2017-08-08"/>
        <s v="2017-08-09"/>
        <s v="2017-08-10"/>
        <s v="2017-08-11"/>
        <s v="2017-08-14"/>
        <s v="2017-08-15"/>
        <s v="2017-08-16"/>
        <s v="2017-08-17"/>
        <s v="2017-08-18"/>
        <s v="2017-08-21"/>
        <s v="2017-08-22"/>
        <s v="2017-08-23"/>
        <s v="2017-08-24"/>
        <s v="2017-08-25"/>
        <s v="2017-08-28"/>
        <s v="2017-08-29"/>
        <s v="2017-08-30"/>
        <s v="2017-08-31"/>
        <s v="2017-09-01"/>
        <s v="2017-09-05"/>
        <s v="2017-09-06"/>
        <s v="2017-09-07"/>
        <s v="2017-09-08"/>
        <s v="2017-09-11"/>
        <s v="2017-09-12"/>
        <s v="2017-09-13"/>
        <s v="2017-09-14"/>
        <s v="2017-09-15"/>
        <s v="2017-09-18"/>
        <s v="2017-09-19"/>
        <s v="2017-09-20"/>
        <s v="2017-09-21"/>
        <s v="2017-09-22"/>
        <s v="2017-09-25"/>
        <s v="2017-09-26"/>
        <s v="2017-09-27"/>
        <s v="2017-09-28"/>
        <s v="2017-09-29"/>
        <s v="2017-10-02"/>
        <s v="2017-10-03"/>
        <s v="2017-10-04"/>
        <s v="2017-10-05"/>
        <s v="2017-10-06"/>
        <s v="2017-10-10"/>
        <s v="2017-10-11"/>
        <s v="2017-10-12"/>
        <s v="2017-10-13"/>
        <s v="2017-10-16"/>
        <s v="2017-10-17"/>
        <s v="2017-10-18"/>
        <s v="2017-10-19"/>
        <s v="2017-10-20"/>
        <s v="2017-10-23"/>
        <s v="2017-10-24"/>
        <s v="2017-10-25"/>
        <s v="2017-10-26"/>
        <s v="2017-10-27"/>
        <s v="2017-10-30"/>
        <s v="2017-10-31"/>
        <s v="2017-11-01"/>
        <s v="2017-11-02"/>
        <s v="2017-11-03"/>
        <s v="2017-11-06"/>
        <s v="2017-11-07"/>
        <s v="2017-11-08"/>
        <s v="2017-11-09"/>
        <s v="2017-11-10"/>
        <s v="2017-11-13"/>
        <s v="2017-11-14"/>
        <s v="2017-11-15"/>
        <s v="2017-11-16"/>
        <s v="2017-11-17"/>
        <s v="2017-11-20"/>
        <s v="2017-11-21"/>
        <s v="2017-11-22"/>
        <s v="2017-11-24"/>
        <s v="2017-11-27"/>
        <s v="2017-11-28"/>
        <s v="2017-11-29"/>
        <s v="2017-11-30"/>
        <s v="2017-12-01"/>
        <s v="2017-12-04"/>
        <s v="2017-12-05"/>
        <s v="2017-12-06"/>
        <s v="2017-12-07"/>
        <s v="2017-12-08"/>
        <s v="2017-12-11"/>
        <s v="2017-12-12"/>
        <s v="2017-12-13"/>
        <s v="2017-12-14"/>
        <s v="2017-12-15"/>
        <s v="2017-12-18"/>
        <s v="2017-12-19"/>
        <s v="2017-12-20"/>
        <s v="2017-12-21"/>
        <s v="2017-12-22"/>
        <s v="2017-12-26"/>
        <s v="2017-12-27"/>
        <s v="2017-12-28"/>
        <s v="2017-12-29"/>
        <s v="2018-01-02"/>
        <s v="2018-01-03"/>
        <s v="2018-01-04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</sharedItems>
    </cacheField>
    <cacheField name="SeriesNumValue" numFmtId="0">
      <sharedItems containsSemiMixedTypes="0" containsString="0" containsNumber="1" minValue="1.89926870046304" maxValue="3.8022991192017099"/>
    </cacheField>
    <cacheField name="Rate" numFmtId="0">
      <sharedItems containsSemiMixedTypes="0" containsString="0" containsNumber="1" minValue="3.2349999999999999" maxValue="4.53"/>
    </cacheField>
    <cacheField name="Weekday" numFmtId="0">
      <sharedItems containsSemiMixedTypes="0" containsString="0" containsNumber="1" containsInteger="1" minValue="1" maxValue="7"/>
    </cacheField>
    <cacheField name="Weight" numFmtId="0">
      <sharedItems containsSemiMixedTypes="0" containsString="0" containsNumber="1" minValue="0.2" maxValue="0.2"/>
    </cacheField>
    <cacheField name="Counter" numFmtId="0">
      <sharedItems containsSemiMixedTypes="0" containsString="0" containsNumber="1" containsInteger="1" minValue="1" maxValue="5"/>
    </cacheField>
    <cacheField name="Accumulated Weighted CC" numFmtId="0">
      <sharedItems containsSemiMixedTypes="0" containsString="0" containsNumber="1" minValue="0.40376301284174598" maxValue="3.7557425130797384"/>
    </cacheField>
    <cacheField name="AccumulatedWeight" numFmtId="0">
      <sharedItems containsSemiMixedTypes="0" containsString="0" containsNumber="1" minValue="0.2" maxValue="1"/>
    </cacheField>
    <cacheField name="EndWeek" numFmtId="0">
      <sharedItems containsSemiMixedTypes="0" containsString="0" containsNumber="1" containsInteger="1" minValue="0" maxValue="1" count="2">
        <n v="0"/>
        <n v="1"/>
      </sharedItems>
    </cacheField>
    <cacheField name="WA CC" numFmtId="0">
      <sharedItems containsSemiMixedTypes="0" containsString="0" containsNumber="1" minValue="0" maxValue="3.7557425130797384"/>
    </cacheField>
    <cacheField name="Servicing Spread" numFmtId="0">
      <sharedItems containsSemiMixedTypes="0" containsString="0" containsNumber="1" minValue="0" maxValue="1.2712583065251897"/>
    </cacheField>
    <cacheField name="Servicing Spread Non-Zero" numFmtId="0">
      <sharedItems containsMixedTypes="1" containsNumber="1" minValue="0.72457355869900031" maxValue="1.2712583065251897"/>
    </cacheField>
    <cacheField name="Servicing Spread 1m chg" numFmtId="0">
      <sharedItems containsMixedTypes="1" containsNumber="1" minValue="-0.10189752633130356" maxValue="0.10445627365387544"/>
    </cacheField>
    <cacheField name="Survey Rate 1m chg" numFmtId="0">
      <sharedItems containsMixedTypes="1" containsNumber="1" minValue="-0.19500000000000028" maxValue="0.52999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64">
  <r>
    <x v="0"/>
    <n v="3.10879854950432"/>
    <n v="3.9049999999999998"/>
    <n v="7"/>
    <n v="0.2"/>
    <n v="1"/>
    <n v="0.62175970990086404"/>
    <n v="0.2"/>
    <x v="0"/>
    <n v="0"/>
    <n v="0"/>
    <s v="Servicing Spread Non-Zero"/>
    <e v="#VALUE!"/>
    <e v="#VALUE!"/>
  </r>
  <r>
    <x v="1"/>
    <n v="3.0539631363774702"/>
    <n v="3.8049999999999997"/>
    <n v="1"/>
    <n v="0.2"/>
    <n v="1"/>
    <n v="0.6107926272754941"/>
    <n v="0.2"/>
    <x v="0"/>
    <n v="0"/>
    <n v="0"/>
    <s v="Servicing Spread Non-Zero"/>
    <e v="#VALUE!"/>
    <e v="#VALUE!"/>
  </r>
  <r>
    <x v="2"/>
    <n v="2.93072207475555"/>
    <n v="3.8049999999999997"/>
    <n v="2"/>
    <n v="0.2"/>
    <n v="2"/>
    <n v="1.1969370422266041"/>
    <n v="0.4"/>
    <x v="0"/>
    <n v="0"/>
    <n v="0"/>
    <s v="Servicing Spread Non-Zero"/>
    <e v="#VALUE!"/>
    <e v="#VALUE!"/>
  </r>
  <r>
    <x v="3"/>
    <n v="2.9115161148392898"/>
    <n v="3.8049999999999997"/>
    <n v="5"/>
    <n v="0.2"/>
    <n v="3"/>
    <n v="1.7792402651944621"/>
    <n v="0.60000000000000009"/>
    <x v="0"/>
    <n v="0"/>
    <n v="0"/>
    <s v="Servicing Spread Non-Zero"/>
    <e v="#VALUE!"/>
    <e v="#VALUE!"/>
  </r>
  <r>
    <x v="4"/>
    <n v="2.9109852395687899"/>
    <n v="3.8049999999999997"/>
    <n v="6"/>
    <n v="0.2"/>
    <n v="4"/>
    <n v="2.3614373131082202"/>
    <n v="0.8"/>
    <x v="0"/>
    <n v="0"/>
    <n v="0"/>
    <s v="Servicing Spread Non-Zero"/>
    <e v="#VALUE!"/>
    <e v="#VALUE!"/>
  </r>
  <r>
    <x v="5"/>
    <n v="2.9307831448374801"/>
    <n v="3.8049999999999997"/>
    <n v="7"/>
    <n v="0.2"/>
    <n v="5"/>
    <n v="2.9475939420757165"/>
    <n v="1"/>
    <x v="1"/>
    <n v="2.9475939420757165"/>
    <n v="0.85740605792428326"/>
    <n v="0.85740605792428326"/>
    <e v="#VALUE!"/>
    <e v="#VALUE!"/>
  </r>
  <r>
    <x v="6"/>
    <n v="2.9674500244903301"/>
    <n v="3.85"/>
    <n v="1"/>
    <n v="0.2"/>
    <n v="1"/>
    <n v="0.59349000489806603"/>
    <n v="0.2"/>
    <x v="0"/>
    <n v="0"/>
    <n v="0"/>
    <n v="0.85740605792428326"/>
    <n v="0"/>
    <n v="4.5000000000000373E-2"/>
  </r>
  <r>
    <x v="7"/>
    <n v="2.93226575052006"/>
    <n v="3.85"/>
    <n v="2"/>
    <n v="0.2"/>
    <n v="2"/>
    <n v="1.179943155002078"/>
    <n v="0.4"/>
    <x v="0"/>
    <n v="0"/>
    <n v="0"/>
    <n v="0.85740605792428326"/>
    <n v="0"/>
    <n v="4.5000000000000373E-2"/>
  </r>
  <r>
    <x v="8"/>
    <n v="2.91808321555345"/>
    <n v="3.85"/>
    <n v="5"/>
    <n v="0.2"/>
    <n v="3"/>
    <n v="1.7635597981127682"/>
    <n v="0.60000000000000009"/>
    <x v="0"/>
    <n v="0"/>
    <n v="0"/>
    <n v="0.85740605792428326"/>
    <n v="0"/>
    <n v="4.5000000000000373E-2"/>
  </r>
  <r>
    <x v="9"/>
    <n v="2.9570995386029302"/>
    <n v="3.85"/>
    <n v="6"/>
    <n v="0.2"/>
    <n v="4"/>
    <n v="2.3549797058333541"/>
    <n v="0.8"/>
    <x v="0"/>
    <n v="0"/>
    <n v="0"/>
    <n v="0.85740605792428326"/>
    <n v="0"/>
    <n v="4.5000000000000373E-2"/>
  </r>
  <r>
    <x v="10"/>
    <n v="2.9304565344863098"/>
    <n v="3.85"/>
    <n v="7"/>
    <n v="0.2"/>
    <n v="5"/>
    <n v="2.9410710127306161"/>
    <n v="1"/>
    <x v="1"/>
    <n v="2.9410710127306161"/>
    <n v="0.90892898726938398"/>
    <n v="0.90892898726938398"/>
    <n v="5.1522929345100721E-2"/>
    <n v="4.5000000000000373E-2"/>
  </r>
  <r>
    <x v="11"/>
    <n v="2.8874390264499499"/>
    <n v="3.8049999999999997"/>
    <n v="1"/>
    <n v="0.2"/>
    <n v="1"/>
    <n v="0.57748780528999"/>
    <n v="0.2"/>
    <x v="0"/>
    <n v="0"/>
    <n v="0"/>
    <n v="0.90892898726938398"/>
    <n v="0"/>
    <n v="-4.5000000000000373E-2"/>
  </r>
  <r>
    <x v="12"/>
    <n v="2.90335136163185"/>
    <n v="3.8049999999999997"/>
    <n v="2"/>
    <n v="0.2"/>
    <n v="2"/>
    <n v="1.15815807761636"/>
    <n v="0.4"/>
    <x v="0"/>
    <n v="0"/>
    <n v="0"/>
    <n v="0.90892898726938398"/>
    <n v="0"/>
    <n v="-4.5000000000000373E-2"/>
  </r>
  <r>
    <x v="13"/>
    <n v="2.8708141508909"/>
    <n v="3.8049999999999997"/>
    <n v="5"/>
    <n v="0.2"/>
    <n v="3"/>
    <n v="1.7323209077945401"/>
    <n v="0.60000000000000009"/>
    <x v="0"/>
    <n v="0"/>
    <n v="0"/>
    <n v="0.90892898726938398"/>
    <n v="0"/>
    <n v="-4.5000000000000373E-2"/>
  </r>
  <r>
    <x v="14"/>
    <n v="2.9009701197976399"/>
    <n v="3.8049999999999997"/>
    <n v="6"/>
    <n v="0.2"/>
    <n v="4"/>
    <n v="2.3125149317540679"/>
    <n v="0.8"/>
    <x v="0"/>
    <n v="0"/>
    <n v="0"/>
    <n v="0.90892898726938398"/>
    <n v="0"/>
    <n v="-4.5000000000000373E-2"/>
  </r>
  <r>
    <x v="15"/>
    <n v="2.9224114614009999"/>
    <n v="3.8049999999999997"/>
    <n v="7"/>
    <n v="0.2"/>
    <n v="5"/>
    <n v="2.8969972240342678"/>
    <n v="1"/>
    <x v="1"/>
    <n v="2.8969972240342678"/>
    <n v="0.90800277596573187"/>
    <n v="0.90800277596573187"/>
    <n v="-9.2621130365211357E-4"/>
    <n v="-4.5000000000000373E-2"/>
  </r>
  <r>
    <x v="16"/>
    <n v="2.8924009736045302"/>
    <n v="3.79"/>
    <n v="1"/>
    <n v="0.2"/>
    <n v="1"/>
    <n v="0.57848019472090606"/>
    <n v="0.2"/>
    <x v="0"/>
    <n v="0"/>
    <n v="0"/>
    <n v="0.90800277596573187"/>
    <n v="0"/>
    <n v="-1.499999999999968E-2"/>
  </r>
  <r>
    <x v="17"/>
    <n v="2.8716721168117001"/>
    <n v="3.79"/>
    <n v="2"/>
    <n v="0.2"/>
    <n v="2"/>
    <n v="1.1528146180832461"/>
    <n v="0.4"/>
    <x v="0"/>
    <n v="0"/>
    <n v="0"/>
    <n v="0.90800277596573187"/>
    <n v="0"/>
    <n v="-1.499999999999968E-2"/>
  </r>
  <r>
    <x v="18"/>
    <n v="2.8585941716778001"/>
    <n v="3.79"/>
    <n v="5"/>
    <n v="0.2"/>
    <n v="3"/>
    <n v="1.7245334524188061"/>
    <n v="0.60000000000000009"/>
    <x v="0"/>
    <n v="0"/>
    <n v="0"/>
    <n v="0.90800277596573187"/>
    <n v="0"/>
    <n v="-1.499999999999968E-2"/>
  </r>
  <r>
    <x v="19"/>
    <n v="2.8908484323394701"/>
    <n v="3.79"/>
    <n v="6"/>
    <n v="0.2"/>
    <n v="4"/>
    <n v="2.3027031388867001"/>
    <n v="0.8"/>
    <x v="0"/>
    <n v="0"/>
    <n v="0"/>
    <n v="0.90800277596573187"/>
    <n v="0"/>
    <n v="-1.499999999999968E-2"/>
  </r>
  <r>
    <x v="20"/>
    <n v="2.8733809550088201"/>
    <n v="3.79"/>
    <n v="7"/>
    <n v="0.2"/>
    <n v="5"/>
    <n v="2.877379329888464"/>
    <n v="1"/>
    <x v="1"/>
    <n v="2.877379329888464"/>
    <n v="0.91262067011153603"/>
    <n v="0.91262067011153603"/>
    <n v="4.6178941458041578E-3"/>
    <n v="-1.499999999999968E-2"/>
  </r>
  <r>
    <x v="21"/>
    <n v="2.88233463781564"/>
    <n v="3.7549999999999999"/>
    <n v="1"/>
    <n v="0.2"/>
    <n v="1"/>
    <n v="0.57646692756312801"/>
    <n v="0.2"/>
    <x v="0"/>
    <n v="0"/>
    <n v="0"/>
    <n v="0.91262067011153603"/>
    <n v="0"/>
    <n v="-3.5000000000000142E-2"/>
  </r>
  <r>
    <x v="22"/>
    <n v="2.8508681241779898"/>
    <n v="3.7549999999999999"/>
    <n v="2"/>
    <n v="0.2"/>
    <n v="2"/>
    <n v="1.146640552398726"/>
    <n v="0.4"/>
    <x v="0"/>
    <n v="0"/>
    <n v="0"/>
    <n v="0.91262067011153603"/>
    <n v="0"/>
    <n v="-3.5000000000000142E-2"/>
  </r>
  <r>
    <x v="23"/>
    <n v="2.85847369417964"/>
    <n v="3.7549999999999999"/>
    <n v="5"/>
    <n v="0.2"/>
    <n v="3"/>
    <n v="1.7183352912346539"/>
    <n v="0.60000000000000009"/>
    <x v="0"/>
    <n v="0"/>
    <n v="0"/>
    <n v="0.91262067011153603"/>
    <n v="0"/>
    <n v="-3.5000000000000142E-2"/>
  </r>
  <r>
    <x v="24"/>
    <n v="2.8457023219339699"/>
    <n v="3.7549999999999999"/>
    <n v="6"/>
    <n v="0.2"/>
    <n v="4"/>
    <n v="2.2874757556214478"/>
    <n v="0.8"/>
    <x v="0"/>
    <n v="0"/>
    <n v="0"/>
    <n v="0.91262067011153603"/>
    <n v="0"/>
    <n v="-3.5000000000000142E-2"/>
  </r>
  <r>
    <x v="25"/>
    <n v="2.8327642978398999"/>
    <n v="3.7549999999999999"/>
    <n v="7"/>
    <n v="0.2"/>
    <n v="5"/>
    <n v="2.8540286151894279"/>
    <n v="1"/>
    <x v="1"/>
    <n v="2.8540286151894279"/>
    <n v="0.90097138481057204"/>
    <n v="0.90097138481057204"/>
    <n v="-1.1649285300963985E-2"/>
    <n v="-3.5000000000000142E-2"/>
  </r>
  <r>
    <x v="26"/>
    <n v="2.8246078637178802"/>
    <n v="3.7149999999999999"/>
    <n v="1"/>
    <n v="0.2"/>
    <n v="1"/>
    <n v="0.56492157274357602"/>
    <n v="0.2"/>
    <x v="0"/>
    <n v="0"/>
    <n v="0"/>
    <n v="0.90097138481057204"/>
    <n v="0"/>
    <n v="-4.0000000000000036E-2"/>
  </r>
  <r>
    <x v="27"/>
    <n v="2.8052772077153998"/>
    <n v="3.7149999999999999"/>
    <n v="2"/>
    <n v="0.2"/>
    <n v="2"/>
    <n v="1.1259770142866561"/>
    <n v="0.4"/>
    <x v="0"/>
    <n v="0"/>
    <n v="0"/>
    <n v="0.90097138481057204"/>
    <n v="0"/>
    <n v="-4.0000000000000036E-2"/>
  </r>
  <r>
    <x v="28"/>
    <n v="2.7739749118365999"/>
    <n v="3.7149999999999999"/>
    <n v="5"/>
    <n v="0.2"/>
    <n v="3"/>
    <n v="1.6807719966539763"/>
    <n v="0.60000000000000009"/>
    <x v="0"/>
    <n v="0"/>
    <n v="0"/>
    <n v="0.90097138481057204"/>
    <n v="0"/>
    <n v="-4.0000000000000036E-2"/>
  </r>
  <r>
    <x v="29"/>
    <n v="2.7697091879875599"/>
    <n v="3.7149999999999999"/>
    <n v="6"/>
    <n v="0.2"/>
    <n v="4"/>
    <n v="2.2347138342514885"/>
    <n v="0.8"/>
    <x v="0"/>
    <n v="0"/>
    <n v="0"/>
    <n v="0.90097138481057204"/>
    <n v="0"/>
    <n v="-4.0000000000000036E-2"/>
  </r>
  <r>
    <x v="30"/>
    <n v="2.7401286983352402"/>
    <n v="3.7149999999999999"/>
    <n v="7"/>
    <n v="0.2"/>
    <n v="5"/>
    <n v="2.7827395739185365"/>
    <n v="1"/>
    <x v="1"/>
    <n v="2.7827395739185365"/>
    <n v="0.93226042608146331"/>
    <n v="0.93226042608146331"/>
    <n v="3.1289041270891271E-2"/>
    <n v="-4.0000000000000036E-2"/>
  </r>
  <r>
    <x v="31"/>
    <n v="2.6718406862121098"/>
    <n v="3.73"/>
    <n v="1"/>
    <n v="0.2"/>
    <n v="1"/>
    <n v="0.53436813724242194"/>
    <n v="0.2"/>
    <x v="0"/>
    <n v="0"/>
    <n v="0"/>
    <n v="0.93226042608146331"/>
    <n v="0"/>
    <n v="1.5000000000000124E-2"/>
  </r>
  <r>
    <x v="32"/>
    <n v="2.67797206633489"/>
    <n v="3.73"/>
    <n v="2"/>
    <n v="0.2"/>
    <n v="2"/>
    <n v="1.0699625505093999"/>
    <n v="0.4"/>
    <x v="0"/>
    <n v="0"/>
    <n v="0"/>
    <n v="0.93226042608146331"/>
    <n v="0"/>
    <n v="1.5000000000000124E-2"/>
  </r>
  <r>
    <x v="33"/>
    <n v="2.73357010628694"/>
    <n v="3.73"/>
    <n v="5"/>
    <n v="0.2"/>
    <n v="3"/>
    <n v="1.6166765717667879"/>
    <n v="0.60000000000000009"/>
    <x v="0"/>
    <n v="0"/>
    <n v="0"/>
    <n v="0.93226042608146331"/>
    <n v="0"/>
    <n v="1.5000000000000124E-2"/>
  </r>
  <r>
    <x v="34"/>
    <n v="2.76969358536605"/>
    <n v="3.73"/>
    <n v="6"/>
    <n v="0.2"/>
    <n v="4"/>
    <n v="2.1706152888399979"/>
    <n v="0.8"/>
    <x v="0"/>
    <n v="0"/>
    <n v="0"/>
    <n v="0.93226042608146331"/>
    <n v="0"/>
    <n v="1.5000000000000124E-2"/>
  </r>
  <r>
    <x v="35"/>
    <n v="2.7350812469927099"/>
    <n v="3.73"/>
    <n v="7"/>
    <n v="0.2"/>
    <n v="5"/>
    <n v="2.7176315382385399"/>
    <n v="1"/>
    <x v="1"/>
    <n v="2.7176315382385399"/>
    <n v="1.0123684617614601"/>
    <n v="1.0123684617614601"/>
    <n v="8.0108035679996803E-2"/>
    <n v="1.5000000000000124E-2"/>
  </r>
  <r>
    <x v="36"/>
    <n v="2.7605421873144298"/>
    <n v="3.7"/>
    <n v="1"/>
    <n v="0.2"/>
    <n v="1"/>
    <n v="0.55210843746288596"/>
    <n v="0.2"/>
    <x v="0"/>
    <n v="0"/>
    <n v="0"/>
    <n v="1.0123684617614601"/>
    <n v="0"/>
    <n v="-2.9999999999999805E-2"/>
  </r>
  <r>
    <x v="37"/>
    <n v="2.7634534959262198"/>
    <n v="3.7"/>
    <n v="2"/>
    <n v="0.2"/>
    <n v="2"/>
    <n v="1.10479913664813"/>
    <n v="0.4"/>
    <x v="0"/>
    <n v="0"/>
    <n v="0"/>
    <n v="1.0123684617614601"/>
    <n v="0"/>
    <n v="-2.9999999999999805E-2"/>
  </r>
  <r>
    <x v="38"/>
    <n v="2.77148784579206"/>
    <n v="3.7"/>
    <n v="6"/>
    <n v="0.2"/>
    <n v="3"/>
    <n v="1.659096705806542"/>
    <n v="0.60000000000000009"/>
    <x v="0"/>
    <n v="0"/>
    <n v="0"/>
    <n v="1.0123684617614601"/>
    <n v="0"/>
    <n v="-2.9999999999999805E-2"/>
  </r>
  <r>
    <x v="39"/>
    <n v="2.6848642616862599"/>
    <n v="3.7"/>
    <n v="7"/>
    <n v="0.2"/>
    <n v="4"/>
    <n v="2.1960695581437939"/>
    <n v="0.8"/>
    <x v="1"/>
    <n v="2.7450869476797424"/>
    <n v="0.9549130523202578"/>
    <n v="0.9549130523202578"/>
    <n v="-5.745540944120231E-2"/>
    <n v="-2.9999999999999805E-2"/>
  </r>
  <r>
    <x v="40"/>
    <n v="2.6463905286345102"/>
    <n v="3.5949999999999998"/>
    <n v="1"/>
    <n v="0.2"/>
    <n v="1"/>
    <n v="0.52927810572690204"/>
    <n v="0.2"/>
    <x v="0"/>
    <n v="0"/>
    <n v="0"/>
    <n v="0.9549130523202578"/>
    <n v="0"/>
    <n v="-0.10500000000000043"/>
  </r>
  <r>
    <x v="41"/>
    <n v="2.5315862032348999"/>
    <n v="3.5949999999999998"/>
    <n v="2"/>
    <n v="0.2"/>
    <n v="2"/>
    <n v="1.0355953463738821"/>
    <n v="0.4"/>
    <x v="0"/>
    <n v="0"/>
    <n v="0"/>
    <n v="0.9549130523202578"/>
    <n v="0"/>
    <n v="-0.10500000000000043"/>
  </r>
  <r>
    <x v="42"/>
    <n v="2.62225605452167"/>
    <n v="3.5949999999999998"/>
    <n v="5"/>
    <n v="0.2"/>
    <n v="3"/>
    <n v="1.5600465572782161"/>
    <n v="0.60000000000000009"/>
    <x v="0"/>
    <n v="0"/>
    <n v="0"/>
    <n v="0.9549130523202578"/>
    <n v="0"/>
    <n v="-0.10500000000000043"/>
  </r>
  <r>
    <x v="43"/>
    <n v="2.67215902179854"/>
    <n v="3.5949999999999998"/>
    <n v="6"/>
    <n v="0.2"/>
    <n v="4"/>
    <n v="2.0944783616379241"/>
    <n v="0.8"/>
    <x v="0"/>
    <n v="0"/>
    <n v="0"/>
    <n v="0.9549130523202578"/>
    <n v="0"/>
    <n v="-0.10500000000000043"/>
  </r>
  <r>
    <x v="44"/>
    <n v="2.7069899299945201"/>
    <n v="3.5949999999999998"/>
    <n v="7"/>
    <n v="0.2"/>
    <n v="5"/>
    <n v="2.6358763476368283"/>
    <n v="1"/>
    <x v="1"/>
    <n v="2.6358763476368283"/>
    <n v="0.95912365236317143"/>
    <n v="0.95912365236317143"/>
    <n v="4.2106000429136259E-3"/>
    <n v="-0.10500000000000043"/>
  </r>
  <r>
    <x v="45"/>
    <n v="2.6775785563630401"/>
    <n v="3.6349999999999998"/>
    <n v="1"/>
    <n v="0.2"/>
    <n v="1"/>
    <n v="0.535515711272608"/>
    <n v="0.2"/>
    <x v="0"/>
    <n v="0"/>
    <n v="0"/>
    <n v="0.95912365236317143"/>
    <n v="0"/>
    <n v="4.0000000000000036E-2"/>
  </r>
  <r>
    <x v="46"/>
    <n v="2.6791053539735099"/>
    <n v="3.6349999999999998"/>
    <n v="2"/>
    <n v="0.2"/>
    <n v="2"/>
    <n v="1.0713367820673101"/>
    <n v="0.4"/>
    <x v="0"/>
    <n v="0"/>
    <n v="0"/>
    <n v="0.95912365236317143"/>
    <n v="0"/>
    <n v="4.0000000000000036E-2"/>
  </r>
  <r>
    <x v="47"/>
    <n v="2.6398968961248501"/>
    <n v="3.6349999999999998"/>
    <n v="5"/>
    <n v="0.2"/>
    <n v="3"/>
    <n v="1.5993161612922802"/>
    <n v="0.60000000000000009"/>
    <x v="0"/>
    <n v="0"/>
    <n v="0"/>
    <n v="0.95912365236317143"/>
    <n v="0"/>
    <n v="4.0000000000000036E-2"/>
  </r>
  <r>
    <x v="48"/>
    <n v="2.6959588926221301"/>
    <n v="3.6349999999999998"/>
    <n v="6"/>
    <n v="0.2"/>
    <n v="4"/>
    <n v="2.1385079398167059"/>
    <n v="0.8"/>
    <x v="0"/>
    <n v="0"/>
    <n v="0"/>
    <n v="0.95912365236317143"/>
    <n v="0"/>
    <n v="4.0000000000000036E-2"/>
  </r>
  <r>
    <x v="49"/>
    <n v="2.6525646200106201"/>
    <n v="3.6349999999999998"/>
    <n v="7"/>
    <n v="0.2"/>
    <n v="5"/>
    <n v="2.66902086381883"/>
    <n v="1"/>
    <x v="1"/>
    <n v="2.66902086381883"/>
    <n v="0.96597913618116982"/>
    <n v="0.96597913618116982"/>
    <n v="6.8554838179983868E-3"/>
    <n v="4.0000000000000036E-2"/>
  </r>
  <r>
    <x v="50"/>
    <n v="2.63093877997242"/>
    <n v="3.585"/>
    <n v="1"/>
    <n v="0.2"/>
    <n v="1"/>
    <n v="0.52618775599448397"/>
    <n v="0.2"/>
    <x v="0"/>
    <n v="0"/>
    <n v="0"/>
    <n v="0.96597913618116982"/>
    <n v="0"/>
    <n v="-4.9999999999999822E-2"/>
  </r>
  <r>
    <x v="51"/>
    <n v="2.6135481549442598"/>
    <n v="3.585"/>
    <n v="2"/>
    <n v="0.2"/>
    <n v="2"/>
    <n v="1.048897386983336"/>
    <n v="0.4"/>
    <x v="0"/>
    <n v="0"/>
    <n v="0"/>
    <n v="0.96597913618116982"/>
    <n v="0"/>
    <n v="-4.9999999999999822E-2"/>
  </r>
  <r>
    <x v="52"/>
    <n v="2.5951502868946998"/>
    <n v="3.585"/>
    <n v="5"/>
    <n v="0.2"/>
    <n v="3"/>
    <n v="1.5679274443622759"/>
    <n v="0.60000000000000009"/>
    <x v="0"/>
    <n v="0"/>
    <n v="0"/>
    <n v="0.96597913618116982"/>
    <n v="0"/>
    <n v="-4.9999999999999822E-2"/>
  </r>
  <r>
    <x v="53"/>
    <n v="2.5989008122860202"/>
    <n v="3.585"/>
    <n v="6"/>
    <n v="0.2"/>
    <n v="4"/>
    <n v="2.08770760681948"/>
    <n v="0.8"/>
    <x v="0"/>
    <n v="0"/>
    <n v="0"/>
    <n v="0.96597913618116982"/>
    <n v="0"/>
    <n v="-4.9999999999999822E-2"/>
  </r>
  <r>
    <x v="54"/>
    <n v="2.6422120111570599"/>
    <n v="3.585"/>
    <n v="7"/>
    <n v="0.2"/>
    <n v="5"/>
    <n v="2.6161500090508918"/>
    <n v="1"/>
    <x v="1"/>
    <n v="2.6161500090508918"/>
    <n v="0.96884999094910818"/>
    <n v="0.96884999094910818"/>
    <n v="2.8708547679383578E-3"/>
    <n v="-4.9999999999999822E-2"/>
  </r>
  <r>
    <x v="55"/>
    <n v="2.61404533663225"/>
    <n v="3.585"/>
    <n v="1"/>
    <n v="0.2"/>
    <n v="1"/>
    <n v="0.52280906732645005"/>
    <n v="0.2"/>
    <x v="0"/>
    <n v="0"/>
    <n v="0"/>
    <n v="0.96884999094910818"/>
    <n v="0"/>
    <n v="0"/>
  </r>
  <r>
    <x v="56"/>
    <n v="2.6681925280418901"/>
    <n v="3.585"/>
    <n v="2"/>
    <n v="0.2"/>
    <n v="2"/>
    <n v="1.0564475729348279"/>
    <n v="0.4"/>
    <x v="0"/>
    <n v="0"/>
    <n v="0"/>
    <n v="0.96884999094910818"/>
    <n v="0"/>
    <n v="0"/>
  </r>
  <r>
    <x v="57"/>
    <n v="2.57850061271707"/>
    <n v="3.585"/>
    <n v="5"/>
    <n v="0.2"/>
    <n v="3"/>
    <n v="1.5721476954782418"/>
    <n v="0.60000000000000009"/>
    <x v="0"/>
    <n v="0"/>
    <n v="0"/>
    <n v="0.96884999094910818"/>
    <n v="0"/>
    <n v="0"/>
  </r>
  <r>
    <x v="58"/>
    <n v="2.6163872152587899"/>
    <n v="3.585"/>
    <n v="6"/>
    <n v="0.2"/>
    <n v="4"/>
    <n v="2.09542513853"/>
    <n v="0.8"/>
    <x v="0"/>
    <n v="0"/>
    <n v="0"/>
    <n v="0.96884999094910818"/>
    <n v="0"/>
    <n v="0"/>
  </r>
  <r>
    <x v="59"/>
    <n v="2.5886723749410501"/>
    <n v="3.585"/>
    <n v="7"/>
    <n v="0.2"/>
    <n v="5"/>
    <n v="2.61315961351821"/>
    <n v="1"/>
    <x v="1"/>
    <n v="2.61315961351821"/>
    <n v="0.97184038648178994"/>
    <n v="0.97184038648178994"/>
    <n v="2.9903955326817666E-3"/>
    <n v="0"/>
  </r>
  <r>
    <x v="60"/>
    <n v="2.5509636037861898"/>
    <n v="3.5700000000000003"/>
    <n v="1"/>
    <n v="0.2"/>
    <n v="1"/>
    <n v="0.51019272075723798"/>
    <n v="0.2"/>
    <x v="0"/>
    <n v="0"/>
    <n v="0"/>
    <n v="0.97184038648178994"/>
    <n v="0"/>
    <n v="-1.499999999999968E-2"/>
  </r>
  <r>
    <x v="61"/>
    <n v="2.6237188553228199"/>
    <n v="3.5700000000000003"/>
    <n v="2"/>
    <n v="0.2"/>
    <n v="2"/>
    <n v="1.034936491821802"/>
    <n v="0.4"/>
    <x v="0"/>
    <n v="0"/>
    <n v="0"/>
    <n v="0.97184038648178994"/>
    <n v="0"/>
    <n v="-1.499999999999968E-2"/>
  </r>
  <r>
    <x v="62"/>
    <n v="2.54531844167705"/>
    <n v="3.5700000000000003"/>
    <n v="5"/>
    <n v="0.2"/>
    <n v="3"/>
    <n v="1.5440001801572121"/>
    <n v="0.60000000000000009"/>
    <x v="0"/>
    <n v="0"/>
    <n v="0"/>
    <n v="0.97184038648178994"/>
    <n v="0"/>
    <n v="-1.499999999999968E-2"/>
  </r>
  <r>
    <x v="63"/>
    <n v="2.58328220354782"/>
    <n v="3.5700000000000003"/>
    <n v="6"/>
    <n v="0.2"/>
    <n v="4"/>
    <n v="2.060656620866776"/>
    <n v="0.8"/>
    <x v="1"/>
    <n v="2.5758207760834697"/>
    <n v="0.99417922391653057"/>
    <n v="0.99417922391653057"/>
    <n v="2.2338837434740633E-2"/>
    <n v="-1.499999999999968E-2"/>
  </r>
  <r>
    <x v="64"/>
    <n v="2.5563795134905498"/>
    <n v="3.4849999999999999"/>
    <n v="1"/>
    <n v="0.2"/>
    <n v="1"/>
    <n v="0.51127590269810996"/>
    <n v="0.2"/>
    <x v="0"/>
    <n v="0"/>
    <n v="0"/>
    <n v="0.99417922391653057"/>
    <n v="0"/>
    <n v="-8.5000000000000409E-2"/>
  </r>
  <r>
    <x v="65"/>
    <n v="2.4766480457309101"/>
    <n v="3.4849999999999999"/>
    <n v="2"/>
    <n v="0.2"/>
    <n v="2"/>
    <n v="1.006605511844292"/>
    <n v="0.4"/>
    <x v="0"/>
    <n v="0"/>
    <n v="0"/>
    <n v="0.99417922391653057"/>
    <n v="0"/>
    <n v="-8.5000000000000409E-2"/>
  </r>
  <r>
    <x v="66"/>
    <n v="2.4491972100580299"/>
    <n v="3.4849999999999999"/>
    <n v="5"/>
    <n v="0.2"/>
    <n v="3"/>
    <n v="1.4964449538558982"/>
    <n v="0.60000000000000009"/>
    <x v="0"/>
    <n v="0"/>
    <n v="0"/>
    <n v="0.99417922391653057"/>
    <n v="0"/>
    <n v="-8.5000000000000409E-2"/>
  </r>
  <r>
    <x v="67"/>
    <n v="2.42302981927218"/>
    <n v="3.4849999999999999"/>
    <n v="6"/>
    <n v="0.2"/>
    <n v="4"/>
    <n v="1.9810509177103341"/>
    <n v="0.8"/>
    <x v="0"/>
    <n v="0"/>
    <n v="0"/>
    <n v="0.99417922391653057"/>
    <n v="0"/>
    <n v="-8.5000000000000409E-2"/>
  </r>
  <r>
    <x v="68"/>
    <n v="2.4116172706611501"/>
    <n v="3.4849999999999999"/>
    <n v="7"/>
    <n v="0.2"/>
    <n v="5"/>
    <n v="2.4633743718425642"/>
    <n v="1"/>
    <x v="1"/>
    <n v="2.4633743718425642"/>
    <n v="1.0216256281574356"/>
    <n v="1.0216256281574356"/>
    <n v="2.7446404240905053E-2"/>
    <n v="-8.5000000000000409E-2"/>
  </r>
  <r>
    <x v="69"/>
    <n v="2.4034266466938199"/>
    <n v="3.4549999999999996"/>
    <n v="1"/>
    <n v="0.2"/>
    <n v="1"/>
    <n v="0.48068532933876401"/>
    <n v="0.2"/>
    <x v="0"/>
    <n v="0"/>
    <n v="0"/>
    <n v="1.0216256281574356"/>
    <n v="0"/>
    <n v="-3.0000000000000249E-2"/>
  </r>
  <r>
    <x v="70"/>
    <n v="2.45850252986091"/>
    <n v="3.4549999999999996"/>
    <n v="2"/>
    <n v="0.2"/>
    <n v="2"/>
    <n v="0.97238583531094602"/>
    <n v="0.4"/>
    <x v="0"/>
    <n v="0"/>
    <n v="0"/>
    <n v="1.0216256281574356"/>
    <n v="0"/>
    <n v="-3.0000000000000249E-2"/>
  </r>
  <r>
    <x v="71"/>
    <n v="2.3968423718228902"/>
    <n v="3.4549999999999996"/>
    <n v="5"/>
    <n v="0.2"/>
    <n v="3"/>
    <n v="1.4517543096755241"/>
    <n v="0.60000000000000009"/>
    <x v="0"/>
    <n v="0"/>
    <n v="0"/>
    <n v="1.0216256281574356"/>
    <n v="0"/>
    <n v="-3.0000000000000249E-2"/>
  </r>
  <r>
    <x v="72"/>
    <n v="2.4360959184987601"/>
    <n v="3.4549999999999996"/>
    <n v="6"/>
    <n v="0.2"/>
    <n v="4"/>
    <n v="1.938973493375276"/>
    <n v="0.8"/>
    <x v="0"/>
    <n v="0"/>
    <n v="0"/>
    <n v="1.0216256281574356"/>
    <n v="0"/>
    <n v="-3.0000000000000249E-2"/>
  </r>
  <r>
    <x v="73"/>
    <n v="2.3758504228028601"/>
    <n v="3.4549999999999996"/>
    <n v="7"/>
    <n v="0.2"/>
    <n v="5"/>
    <n v="2.4141435779358482"/>
    <n v="1"/>
    <x v="1"/>
    <n v="2.4141435779358482"/>
    <n v="1.0408564220641514"/>
    <n v="1.0408564220641514"/>
    <n v="1.9230793906715782E-2"/>
    <n v="-3.0000000000000249E-2"/>
  </r>
  <r>
    <x v="74"/>
    <n v="2.3931217438343899"/>
    <n v="3.415"/>
    <n v="1"/>
    <n v="0.2"/>
    <n v="1"/>
    <n v="0.47862434876687798"/>
    <n v="0.2"/>
    <x v="0"/>
    <n v="0"/>
    <n v="0"/>
    <n v="1.0408564220641514"/>
    <n v="0"/>
    <n v="-3.9999999999999591E-2"/>
  </r>
  <r>
    <x v="75"/>
    <n v="2.32496037866738"/>
    <n v="3.415"/>
    <n v="2"/>
    <n v="0.2"/>
    <n v="2"/>
    <n v="0.94361642450035399"/>
    <n v="0.4"/>
    <x v="0"/>
    <n v="0"/>
    <n v="0"/>
    <n v="1.0408564220641514"/>
    <n v="0"/>
    <n v="-3.9999999999999591E-2"/>
  </r>
  <r>
    <x v="76"/>
    <n v="2.27723185682542"/>
    <n v="3.415"/>
    <n v="5"/>
    <n v="0.2"/>
    <n v="3"/>
    <n v="1.399062795865438"/>
    <n v="0.60000000000000009"/>
    <x v="0"/>
    <n v="0"/>
    <n v="0"/>
    <n v="1.0408564220641514"/>
    <n v="0"/>
    <n v="-3.9999999999999591E-2"/>
  </r>
  <r>
    <x v="77"/>
    <n v="2.2471779895370898"/>
    <n v="3.415"/>
    <n v="6"/>
    <n v="0.2"/>
    <n v="4"/>
    <n v="1.8484983937728561"/>
    <n v="0.8"/>
    <x v="0"/>
    <n v="0"/>
    <n v="0"/>
    <n v="1.0408564220641514"/>
    <n v="0"/>
    <n v="-3.9999999999999591E-2"/>
  </r>
  <r>
    <x v="78"/>
    <n v="2.2633680242154099"/>
    <n v="3.415"/>
    <n v="7"/>
    <n v="0.2"/>
    <n v="5"/>
    <n v="2.301171998615938"/>
    <n v="1"/>
    <x v="1"/>
    <n v="2.301171998615938"/>
    <n v="1.113828001384062"/>
    <n v="1.113828001384062"/>
    <n v="7.2971579319910607E-2"/>
    <n v="-3.9999999999999591E-2"/>
  </r>
  <r>
    <x v="79"/>
    <n v="2.2877898548229898"/>
    <n v="3.4749999999999996"/>
    <n v="1"/>
    <n v="0.2"/>
    <n v="1"/>
    <n v="0.45755797096459799"/>
    <n v="0.2"/>
    <x v="0"/>
    <n v="0"/>
    <n v="0"/>
    <n v="1.113828001384062"/>
    <n v="0"/>
    <n v="5.9999999999999609E-2"/>
  </r>
  <r>
    <x v="80"/>
    <n v="2.4685368274640398"/>
    <n v="3.4749999999999996"/>
    <n v="2"/>
    <n v="0.2"/>
    <n v="2"/>
    <n v="0.95126533645740596"/>
    <n v="0.4"/>
    <x v="0"/>
    <n v="0"/>
    <n v="0"/>
    <n v="1.113828001384062"/>
    <n v="0"/>
    <n v="5.9999999999999609E-2"/>
  </r>
  <r>
    <x v="81"/>
    <n v="2.3365107534465399"/>
    <n v="3.4749999999999996"/>
    <n v="5"/>
    <n v="0.2"/>
    <n v="3"/>
    <n v="1.418567487146714"/>
    <n v="0.60000000000000009"/>
    <x v="0"/>
    <n v="0"/>
    <n v="0"/>
    <n v="1.113828001384062"/>
    <n v="0"/>
    <n v="5.9999999999999609E-2"/>
  </r>
  <r>
    <x v="82"/>
    <n v="2.3145960727619199"/>
    <n v="3.4749999999999996"/>
    <n v="6"/>
    <n v="0.2"/>
    <n v="4"/>
    <n v="1.8814867016990979"/>
    <n v="0.8"/>
    <x v="0"/>
    <n v="0"/>
    <n v="0"/>
    <n v="1.113828001384062"/>
    <n v="0"/>
    <n v="5.9999999999999609E-2"/>
  </r>
  <r>
    <x v="83"/>
    <n v="2.3658814096234999"/>
    <n v="3.4749999999999996"/>
    <n v="7"/>
    <n v="0.2"/>
    <n v="5"/>
    <n v="2.3546629836237978"/>
    <n v="1"/>
    <x v="1"/>
    <n v="2.3546629836237978"/>
    <n v="1.1203370163762019"/>
    <n v="1.1203370163762019"/>
    <n v="6.5090149921398499E-3"/>
    <n v="5.9999999999999609E-2"/>
  </r>
  <r>
    <x v="84"/>
    <n v="2.33657189118883"/>
    <n v="3.4899999999999998"/>
    <n v="1"/>
    <n v="0.2"/>
    <n v="1"/>
    <n v="0.467314378237766"/>
    <n v="0.2"/>
    <x v="0"/>
    <n v="0"/>
    <n v="0"/>
    <n v="1.1203370163762019"/>
    <n v="0"/>
    <n v="1.5000000000000124E-2"/>
  </r>
  <r>
    <x v="85"/>
    <n v="2.42675409444622"/>
    <n v="3.4899999999999998"/>
    <n v="2"/>
    <n v="0.2"/>
    <n v="2"/>
    <n v="0.95266519712701003"/>
    <n v="0.4"/>
    <x v="0"/>
    <n v="0"/>
    <n v="0"/>
    <n v="1.1203370163762019"/>
    <n v="0"/>
    <n v="1.5000000000000124E-2"/>
  </r>
  <r>
    <x v="86"/>
    <n v="2.4102554462908099"/>
    <n v="3.4899999999999998"/>
    <n v="5"/>
    <n v="0.2"/>
    <n v="3"/>
    <n v="1.4347162863851719"/>
    <n v="0.60000000000000009"/>
    <x v="0"/>
    <n v="0"/>
    <n v="0"/>
    <n v="1.1203370163762019"/>
    <n v="0"/>
    <n v="1.5000000000000124E-2"/>
  </r>
  <r>
    <x v="87"/>
    <n v="2.4648279812140101"/>
    <n v="3.4899999999999998"/>
    <n v="6"/>
    <n v="0.2"/>
    <n v="4"/>
    <n v="1.927681882627974"/>
    <n v="0.8"/>
    <x v="0"/>
    <n v="0"/>
    <n v="0"/>
    <n v="1.1203370163762019"/>
    <n v="0"/>
    <n v="1.5000000000000124E-2"/>
  </r>
  <r>
    <x v="88"/>
    <n v="2.45387778372179"/>
    <n v="3.4899999999999998"/>
    <n v="7"/>
    <n v="0.2"/>
    <n v="5"/>
    <n v="2.4184574393723319"/>
    <n v="1"/>
    <x v="1"/>
    <n v="2.4184574393723319"/>
    <n v="1.0715425606276678"/>
    <n v="1.0715425606276678"/>
    <n v="-4.8794455748534027E-2"/>
    <n v="1.5000000000000124E-2"/>
  </r>
  <r>
    <x v="89"/>
    <n v="2.45717074132124"/>
    <n v="3.52"/>
    <n v="1"/>
    <n v="0.2"/>
    <n v="1"/>
    <n v="0.49143414826424803"/>
    <n v="0.2"/>
    <x v="0"/>
    <n v="0"/>
    <n v="0"/>
    <n v="1.0715425606276678"/>
    <n v="0"/>
    <n v="3.0000000000000249E-2"/>
  </r>
  <r>
    <x v="90"/>
    <n v="2.43734688080974"/>
    <n v="3.52"/>
    <n v="2"/>
    <n v="0.2"/>
    <n v="2"/>
    <n v="0.9789035244261961"/>
    <n v="0.4"/>
    <x v="0"/>
    <n v="0"/>
    <n v="0"/>
    <n v="1.0715425606276678"/>
    <n v="0"/>
    <n v="3.0000000000000249E-2"/>
  </r>
  <r>
    <x v="91"/>
    <n v="2.4326197879338101"/>
    <n v="3.52"/>
    <n v="5"/>
    <n v="0.2"/>
    <n v="3"/>
    <n v="1.465427482012958"/>
    <n v="0.60000000000000009"/>
    <x v="0"/>
    <n v="0"/>
    <n v="0"/>
    <n v="1.0715425606276678"/>
    <n v="0"/>
    <n v="3.0000000000000249E-2"/>
  </r>
  <r>
    <x v="92"/>
    <n v="2.5032104637526098"/>
    <n v="3.52"/>
    <n v="6"/>
    <n v="0.2"/>
    <n v="4"/>
    <n v="1.96606957476348"/>
    <n v="0.8"/>
    <x v="0"/>
    <n v="0"/>
    <n v="0"/>
    <n v="1.0715425606276678"/>
    <n v="0"/>
    <n v="3.0000000000000249E-2"/>
  </r>
  <r>
    <x v="93"/>
    <n v="2.6381335660023502"/>
    <n v="3.52"/>
    <n v="7"/>
    <n v="0.2"/>
    <n v="5"/>
    <n v="2.4936962879639499"/>
    <n v="1"/>
    <x v="1"/>
    <n v="2.4936962879639499"/>
    <n v="1.0263037120360501"/>
    <n v="1.0263037120360501"/>
    <n v="-4.5238848591617753E-2"/>
    <n v="3.0000000000000249E-2"/>
  </r>
  <r>
    <x v="94"/>
    <n v="2.67019432510418"/>
    <n v="3.585"/>
    <n v="1"/>
    <n v="0.2"/>
    <n v="1"/>
    <n v="0.53403886502083597"/>
    <n v="0.2"/>
    <x v="0"/>
    <n v="0"/>
    <n v="0"/>
    <n v="1.0263037120360501"/>
    <n v="0"/>
    <n v="6.4999999999999947E-2"/>
  </r>
  <r>
    <x v="95"/>
    <n v="2.6390371038052001"/>
    <n v="3.585"/>
    <n v="2"/>
    <n v="0.2"/>
    <n v="2"/>
    <n v="1.061846285781876"/>
    <n v="0.4"/>
    <x v="0"/>
    <n v="0"/>
    <n v="0"/>
    <n v="1.0263037120360501"/>
    <n v="0"/>
    <n v="6.4999999999999947E-2"/>
  </r>
  <r>
    <x v="96"/>
    <n v="2.6186769861639401"/>
    <n v="3.585"/>
    <n v="5"/>
    <n v="0.2"/>
    <n v="3"/>
    <n v="1.5855816830146641"/>
    <n v="0.60000000000000009"/>
    <x v="0"/>
    <n v="0"/>
    <n v="0"/>
    <n v="1.0263037120360501"/>
    <n v="0"/>
    <n v="6.4999999999999947E-2"/>
  </r>
  <r>
    <x v="97"/>
    <n v="2.6258914158610902"/>
    <n v="3.585"/>
    <n v="6"/>
    <n v="0.2"/>
    <n v="4"/>
    <n v="2.1107599661868823"/>
    <n v="0.8"/>
    <x v="0"/>
    <n v="0"/>
    <n v="0"/>
    <n v="1.0263037120360501"/>
    <n v="0"/>
    <n v="6.4999999999999947E-2"/>
  </r>
  <r>
    <x v="98"/>
    <n v="2.5120707644049798"/>
    <n v="3.585"/>
    <n v="7"/>
    <n v="0.2"/>
    <n v="5"/>
    <n v="2.6131741190678781"/>
    <n v="1"/>
    <x v="1"/>
    <n v="2.6131741190678781"/>
    <n v="0.97182588093212185"/>
    <n v="0.97182588093212185"/>
    <n v="-5.4477831103928231E-2"/>
    <n v="6.4999999999999947E-2"/>
  </r>
  <r>
    <x v="99"/>
    <n v="2.4447051610431401"/>
    <n v="3.4899999999999998"/>
    <n v="1"/>
    <n v="0.2"/>
    <n v="1"/>
    <n v="0.48894103220862806"/>
    <n v="0.2"/>
    <x v="0"/>
    <n v="0"/>
    <n v="0"/>
    <n v="0.97182588093212185"/>
    <n v="0"/>
    <n v="-9.5000000000000195E-2"/>
  </r>
  <r>
    <x v="100"/>
    <n v="2.4760934642707801"/>
    <n v="3.4899999999999998"/>
    <n v="2"/>
    <n v="0.2"/>
    <n v="2"/>
    <n v="0.98415972506278404"/>
    <n v="0.4"/>
    <x v="0"/>
    <n v="0"/>
    <n v="0"/>
    <n v="0.97182588093212185"/>
    <n v="0"/>
    <n v="-9.5000000000000195E-2"/>
  </r>
  <r>
    <x v="101"/>
    <n v="2.4407526300903402"/>
    <n v="3.4899999999999998"/>
    <n v="5"/>
    <n v="0.2"/>
    <n v="3"/>
    <n v="1.4723102510808521"/>
    <n v="0.60000000000000009"/>
    <x v="0"/>
    <n v="0"/>
    <n v="0"/>
    <n v="0.97182588093212185"/>
    <n v="0"/>
    <n v="-9.5000000000000195E-2"/>
  </r>
  <r>
    <x v="102"/>
    <n v="2.4110384199427202"/>
    <n v="3.4899999999999998"/>
    <n v="6"/>
    <n v="0.2"/>
    <n v="4"/>
    <n v="1.9545179350693962"/>
    <n v="0.8"/>
    <x v="0"/>
    <n v="0"/>
    <n v="0"/>
    <n v="0.97182588093212185"/>
    <n v="0"/>
    <n v="-9.5000000000000195E-2"/>
  </r>
  <r>
    <x v="103"/>
    <n v="2.4687840450515499"/>
    <n v="3.4899999999999998"/>
    <n v="7"/>
    <n v="0.2"/>
    <n v="5"/>
    <n v="2.4482747440797064"/>
    <n v="1"/>
    <x v="1"/>
    <n v="2.4482747440797064"/>
    <n v="1.0417252559202934"/>
    <n v="1.0417252559202934"/>
    <n v="6.9899374988171559E-2"/>
    <n v="-9.5000000000000195E-2"/>
  </r>
  <r>
    <x v="104"/>
    <n v="2.4337082726962702"/>
    <n v="3.4749999999999996"/>
    <n v="1"/>
    <n v="0.2"/>
    <n v="1"/>
    <n v="0.48674165453925405"/>
    <n v="0.2"/>
    <x v="0"/>
    <n v="0"/>
    <n v="0"/>
    <n v="1.0417252559202934"/>
    <n v="0"/>
    <n v="-1.5000000000000124E-2"/>
  </r>
  <r>
    <x v="105"/>
    <n v="2.3689486742097801"/>
    <n v="3.4749999999999996"/>
    <n v="2"/>
    <n v="0.2"/>
    <n v="2"/>
    <n v="0.96053138938121008"/>
    <n v="0.4"/>
    <x v="0"/>
    <n v="0"/>
    <n v="0"/>
    <n v="1.0417252559202934"/>
    <n v="0"/>
    <n v="-1.5000000000000124E-2"/>
  </r>
  <r>
    <x v="106"/>
    <n v="2.3841669341916099"/>
    <n v="3.4749999999999996"/>
    <n v="6"/>
    <n v="0.2"/>
    <n v="3"/>
    <n v="1.4373647762195321"/>
    <n v="0.60000000000000009"/>
    <x v="0"/>
    <n v="0"/>
    <n v="0"/>
    <n v="1.0417252559202934"/>
    <n v="0"/>
    <n v="-1.5000000000000124E-2"/>
  </r>
  <r>
    <x v="107"/>
    <n v="2.39527607095176"/>
    <n v="3.4749999999999996"/>
    <n v="7"/>
    <n v="0.2"/>
    <n v="4"/>
    <n v="1.9164199904098842"/>
    <n v="0.8"/>
    <x v="1"/>
    <n v="2.395524988012355"/>
    <n v="1.0794750119876446"/>
    <n v="1.0794750119876446"/>
    <n v="3.7749756067351203E-2"/>
    <n v="-1.5000000000000124E-2"/>
  </r>
  <r>
    <x v="108"/>
    <n v="2.4560721347491201"/>
    <n v="3.4499999999999997"/>
    <n v="1"/>
    <n v="0.2"/>
    <n v="1"/>
    <n v="0.49121442694982403"/>
    <n v="0.2"/>
    <x v="0"/>
    <n v="0"/>
    <n v="0"/>
    <n v="1.0794750119876446"/>
    <n v="0"/>
    <n v="-2.4999999999999911E-2"/>
  </r>
  <r>
    <x v="109"/>
    <n v="2.3738371878590399"/>
    <n v="3.4499999999999997"/>
    <n v="2"/>
    <n v="0.2"/>
    <n v="2"/>
    <n v="0.96598186452163204"/>
    <n v="0.4"/>
    <x v="0"/>
    <n v="0"/>
    <n v="0"/>
    <n v="1.0794750119876446"/>
    <n v="0"/>
    <n v="-2.4999999999999911E-2"/>
  </r>
  <r>
    <x v="110"/>
    <n v="2.3778465565534201"/>
    <n v="3.4499999999999997"/>
    <n v="5"/>
    <n v="0.2"/>
    <n v="3"/>
    <n v="1.4415511758323161"/>
    <n v="0.60000000000000009"/>
    <x v="0"/>
    <n v="0"/>
    <n v="0"/>
    <n v="1.0794750119876446"/>
    <n v="0"/>
    <n v="-2.4999999999999911E-2"/>
  </r>
  <r>
    <x v="111"/>
    <n v="2.3937114953982901"/>
    <n v="3.4499999999999997"/>
    <n v="6"/>
    <n v="0.2"/>
    <n v="4"/>
    <n v="1.9202934749119742"/>
    <n v="0.8"/>
    <x v="0"/>
    <n v="0"/>
    <n v="0"/>
    <n v="1.0794750119876446"/>
    <n v="0"/>
    <n v="-2.4999999999999911E-2"/>
  </r>
  <r>
    <x v="112"/>
    <n v="2.4292166245487601"/>
    <n v="3.4499999999999997"/>
    <n v="7"/>
    <n v="0.2"/>
    <n v="5"/>
    <n v="2.4061367998217262"/>
    <n v="1"/>
    <x v="1"/>
    <n v="2.4061367998217262"/>
    <n v="1.0438632001782735"/>
    <n v="1.0438632001782735"/>
    <n v="-3.5611811809371119E-2"/>
    <n v="-2.4999999999999911E-2"/>
  </r>
  <r>
    <x v="113"/>
    <n v="2.2060134697218898"/>
    <n v="3.39"/>
    <n v="1"/>
    <n v="0.2"/>
    <n v="1"/>
    <n v="0.441202693944378"/>
    <n v="0.2"/>
    <x v="0"/>
    <n v="0"/>
    <n v="0"/>
    <n v="1.0438632001782735"/>
    <n v="0"/>
    <n v="-5.9999999999999609E-2"/>
  </r>
  <r>
    <x v="114"/>
    <n v="2.2680491660278101"/>
    <n v="3.39"/>
    <n v="2"/>
    <n v="0.2"/>
    <n v="2"/>
    <n v="0.89481252714994008"/>
    <n v="0.4"/>
    <x v="0"/>
    <n v="0"/>
    <n v="0"/>
    <n v="1.0438632001782735"/>
    <n v="0"/>
    <n v="-5.9999999999999609E-2"/>
  </r>
  <r>
    <x v="115"/>
    <n v="2.2811650726171102"/>
    <n v="3.39"/>
    <n v="5"/>
    <n v="0.2"/>
    <n v="3"/>
    <n v="1.3510455416733622"/>
    <n v="0.60000000000000009"/>
    <x v="0"/>
    <n v="0"/>
    <n v="0"/>
    <n v="1.0438632001782735"/>
    <n v="0"/>
    <n v="-5.9999999999999609E-2"/>
  </r>
  <r>
    <x v="116"/>
    <n v="2.2693986193058602"/>
    <n v="3.39"/>
    <n v="6"/>
    <n v="0.2"/>
    <n v="4"/>
    <n v="1.8049252655345343"/>
    <n v="0.8"/>
    <x v="0"/>
    <n v="0"/>
    <n v="0"/>
    <n v="1.0438632001782735"/>
    <n v="0"/>
    <n v="-5.9999999999999609E-2"/>
  </r>
  <r>
    <x v="117"/>
    <n v="2.2108565855724298"/>
    <n v="3.39"/>
    <n v="7"/>
    <n v="0.2"/>
    <n v="5"/>
    <n v="2.2470965826490201"/>
    <n v="1"/>
    <x v="1"/>
    <n v="2.2470965826490201"/>
    <n v="1.14290341735098"/>
    <n v="1.14290341735098"/>
    <n v="9.9040217172706502E-2"/>
    <n v="-5.9999999999999609E-2"/>
  </r>
  <r>
    <x v="118"/>
    <n v="2.1699341948075102"/>
    <n v="3.3"/>
    <n v="1"/>
    <n v="0.2"/>
    <n v="1"/>
    <n v="0.43398683896150203"/>
    <n v="0.2"/>
    <x v="0"/>
    <n v="0"/>
    <n v="0"/>
    <n v="1.14290341735098"/>
    <n v="0"/>
    <n v="-9.0000000000000302E-2"/>
  </r>
  <r>
    <x v="119"/>
    <n v="2.0967004826224001"/>
    <n v="3.3"/>
    <n v="2"/>
    <n v="0.2"/>
    <n v="2"/>
    <n v="0.85332693548598204"/>
    <n v="0.4"/>
    <x v="0"/>
    <n v="0"/>
    <n v="0"/>
    <n v="1.14290341735098"/>
    <n v="0"/>
    <n v="-9.0000000000000302E-2"/>
  </r>
  <r>
    <x v="120"/>
    <n v="2.0433470771670201"/>
    <n v="3.3"/>
    <n v="5"/>
    <n v="0.2"/>
    <n v="3"/>
    <n v="1.2619963509193861"/>
    <n v="0.60000000000000009"/>
    <x v="0"/>
    <n v="0"/>
    <n v="0"/>
    <n v="1.14290341735098"/>
    <n v="0"/>
    <n v="-9.0000000000000302E-2"/>
  </r>
  <r>
    <x v="121"/>
    <n v="1.9795562323798399"/>
    <n v="3.3"/>
    <n v="6"/>
    <n v="0.2"/>
    <n v="4"/>
    <n v="1.6579075973953541"/>
    <n v="0.8"/>
    <x v="0"/>
    <n v="0"/>
    <n v="0"/>
    <n v="1.14290341735098"/>
    <n v="0"/>
    <n v="-9.0000000000000302E-2"/>
  </r>
  <r>
    <x v="122"/>
    <n v="1.9736635579989501"/>
    <n v="3.3"/>
    <n v="7"/>
    <n v="0.2"/>
    <n v="5"/>
    <n v="2.0526403089951444"/>
    <n v="1"/>
    <x v="1"/>
    <n v="2.0526403089951444"/>
    <n v="1.2473596910048554"/>
    <n v="1.2473596910048554"/>
    <n v="0.10445627365387544"/>
    <n v="-9.0000000000000302E-2"/>
  </r>
  <r>
    <x v="123"/>
    <n v="2.0509749333657501"/>
    <n v="3.26"/>
    <n v="1"/>
    <n v="0.2"/>
    <n v="1"/>
    <n v="0.41019498667315002"/>
    <n v="0.2"/>
    <x v="0"/>
    <n v="0"/>
    <n v="0"/>
    <n v="1.2473596910048554"/>
    <n v="0"/>
    <n v="-4.0000000000000036E-2"/>
  </r>
  <r>
    <x v="124"/>
    <n v="2.0399140401394802"/>
    <n v="3.26"/>
    <n v="2"/>
    <n v="0.2"/>
    <n v="2"/>
    <n v="0.81817779470104601"/>
    <n v="0.4"/>
    <x v="0"/>
    <n v="0"/>
    <n v="0"/>
    <n v="1.2473596910048554"/>
    <n v="0"/>
    <n v="-4.0000000000000036E-2"/>
  </r>
  <r>
    <x v="125"/>
    <n v="1.9791061697796299"/>
    <n v="3.26"/>
    <n v="5"/>
    <n v="0.2"/>
    <n v="3"/>
    <n v="1.213999028656972"/>
    <n v="0.60000000000000009"/>
    <x v="0"/>
    <n v="0"/>
    <n v="0"/>
    <n v="1.2473596910048554"/>
    <n v="0"/>
    <n v="-4.0000000000000036E-2"/>
  </r>
  <r>
    <x v="126"/>
    <n v="1.89926870046304"/>
    <n v="3.26"/>
    <n v="6"/>
    <n v="0.2"/>
    <n v="4"/>
    <n v="1.59385276874958"/>
    <n v="0.8"/>
    <x v="0"/>
    <n v="0"/>
    <n v="0"/>
    <n v="1.2473596910048554"/>
    <n v="0"/>
    <n v="-4.0000000000000036E-2"/>
  </r>
  <r>
    <x v="127"/>
    <n v="1.9744446236261499"/>
    <n v="3.26"/>
    <n v="7"/>
    <n v="0.2"/>
    <n v="5"/>
    <n v="1.9887416934748101"/>
    <n v="1"/>
    <x v="1"/>
    <n v="1.9887416934748101"/>
    <n v="1.2712583065251897"/>
    <n v="1.2712583065251897"/>
    <n v="2.3898615520334232E-2"/>
    <n v="-4.0000000000000036E-2"/>
  </r>
  <r>
    <x v="128"/>
    <n v="2.0658821659188802"/>
    <n v="3.3149999999999999"/>
    <n v="1"/>
    <n v="0.2"/>
    <n v="1"/>
    <n v="0.41317643318377606"/>
    <n v="0.2"/>
    <x v="0"/>
    <n v="0"/>
    <n v="0"/>
    <n v="1.2712583065251897"/>
    <n v="0"/>
    <n v="5.500000000000016E-2"/>
  </r>
  <r>
    <x v="129"/>
    <n v="2.0999165140206202"/>
    <n v="3.3149999999999999"/>
    <n v="2"/>
    <n v="0.2"/>
    <n v="2"/>
    <n v="0.83315973598790016"/>
    <n v="0.4"/>
    <x v="0"/>
    <n v="0"/>
    <n v="0"/>
    <n v="1.2712583065251897"/>
    <n v="0"/>
    <n v="5.500000000000016E-2"/>
  </r>
  <r>
    <x v="130"/>
    <n v="2.1121992044017102"/>
    <n v="3.3149999999999999"/>
    <n v="6"/>
    <n v="0.2"/>
    <n v="3"/>
    <n v="1.2555995768682422"/>
    <n v="0.60000000000000009"/>
    <x v="0"/>
    <n v="0"/>
    <n v="0"/>
    <n v="1.2712583065251897"/>
    <n v="0"/>
    <n v="5.500000000000016E-2"/>
  </r>
  <r>
    <x v="131"/>
    <n v="2.0566984028863402"/>
    <n v="3.3149999999999999"/>
    <n v="7"/>
    <n v="0.2"/>
    <n v="4"/>
    <n v="1.6669392574455102"/>
    <n v="0.8"/>
    <x v="1"/>
    <n v="2.0836740718068878"/>
    <n v="1.2313259281931122"/>
    <n v="1.2313259281931122"/>
    <n v="-3.9932378332077523E-2"/>
    <n v="5.500000000000016E-2"/>
  </r>
  <r>
    <x v="132"/>
    <n v="2.0188150642087299"/>
    <n v="3.2949999999999999"/>
    <n v="1"/>
    <n v="0.2"/>
    <n v="1"/>
    <n v="0.40376301284174598"/>
    <n v="0.2"/>
    <x v="0"/>
    <n v="0"/>
    <n v="0"/>
    <n v="1.2313259281931122"/>
    <n v="0"/>
    <n v="-2.0000000000000018E-2"/>
  </r>
  <r>
    <x v="133"/>
    <n v="2.0148705784973"/>
    <n v="3.2949999999999999"/>
    <n v="2"/>
    <n v="0.2"/>
    <n v="2"/>
    <n v="0.80673712854120594"/>
    <n v="0.4"/>
    <x v="0"/>
    <n v="0"/>
    <n v="0"/>
    <n v="1.2313259281931122"/>
    <n v="0"/>
    <n v="-2.0000000000000018E-2"/>
  </r>
  <r>
    <x v="134"/>
    <n v="2.0433983497425001"/>
    <n v="3.2949999999999999"/>
    <n v="5"/>
    <n v="0.2"/>
    <n v="3"/>
    <n v="1.215416798489706"/>
    <n v="0.60000000000000009"/>
    <x v="0"/>
    <n v="0"/>
    <n v="0"/>
    <n v="1.2313259281931122"/>
    <n v="0"/>
    <n v="-2.0000000000000018E-2"/>
  </r>
  <r>
    <x v="135"/>
    <n v="2.0903131154582399"/>
    <n v="3.2949999999999999"/>
    <n v="6"/>
    <n v="0.2"/>
    <n v="4"/>
    <n v="1.633479421581354"/>
    <n v="0.8"/>
    <x v="0"/>
    <n v="0"/>
    <n v="0"/>
    <n v="1.2313259281931122"/>
    <n v="0"/>
    <n v="-2.0000000000000018E-2"/>
  </r>
  <r>
    <x v="136"/>
    <n v="2.1999397264302898"/>
    <n v="3.2949999999999999"/>
    <n v="7"/>
    <n v="0.2"/>
    <n v="5"/>
    <n v="2.073467366867412"/>
    <n v="1"/>
    <x v="1"/>
    <n v="2.073467366867412"/>
    <n v="1.221532633132588"/>
    <n v="1.221532633132588"/>
    <n v="-9.7932950605241764E-3"/>
    <n v="-2.0000000000000018E-2"/>
  </r>
  <r>
    <x v="137"/>
    <n v="2.23804060063864"/>
    <n v="3.335"/>
    <n v="1"/>
    <n v="0.2"/>
    <n v="1"/>
    <n v="0.44760812012772799"/>
    <n v="0.2"/>
    <x v="0"/>
    <n v="0"/>
    <n v="0"/>
    <n v="1.221532633132588"/>
    <n v="0"/>
    <n v="4.0000000000000036E-2"/>
  </r>
  <r>
    <x v="138"/>
    <n v="2.17149064090427"/>
    <n v="3.335"/>
    <n v="2"/>
    <n v="0.2"/>
    <n v="2"/>
    <n v="0.881906248308582"/>
    <n v="0.4"/>
    <x v="0"/>
    <n v="0"/>
    <n v="0"/>
    <n v="1.221532633132588"/>
    <n v="0"/>
    <n v="4.0000000000000036E-2"/>
  </r>
  <r>
    <x v="139"/>
    <n v="2.2048003727510999"/>
    <n v="3.335"/>
    <n v="5"/>
    <n v="0.2"/>
    <n v="3"/>
    <n v="1.322866322858802"/>
    <n v="0.60000000000000009"/>
    <x v="0"/>
    <n v="0"/>
    <n v="0"/>
    <n v="1.221532633132588"/>
    <n v="0"/>
    <n v="4.0000000000000036E-2"/>
  </r>
  <r>
    <x v="140"/>
    <n v="2.1883122196514102"/>
    <n v="3.335"/>
    <n v="6"/>
    <n v="0.2"/>
    <n v="4"/>
    <n v="1.7605287667890841"/>
    <n v="0.8"/>
    <x v="0"/>
    <n v="0"/>
    <n v="0"/>
    <n v="1.221532633132588"/>
    <n v="0"/>
    <n v="4.0000000000000036E-2"/>
  </r>
  <r>
    <x v="141"/>
    <n v="2.2250151290701798"/>
    <n v="3.335"/>
    <n v="7"/>
    <n v="0.2"/>
    <n v="5"/>
    <n v="2.2055317926031202"/>
    <n v="1"/>
    <x v="1"/>
    <n v="2.2055317926031202"/>
    <n v="1.1294682073968798"/>
    <n v="1.1294682073968798"/>
    <n v="-9.2064425735708166E-2"/>
    <n v="4.0000000000000036E-2"/>
  </r>
  <r>
    <x v="142"/>
    <n v="2.2775343256732099"/>
    <n v="3.3149999999999999"/>
    <n v="1"/>
    <n v="0.2"/>
    <n v="1"/>
    <n v="0.455506865134642"/>
    <n v="0.2"/>
    <x v="0"/>
    <n v="0"/>
    <n v="0"/>
    <n v="1.1294682073968798"/>
    <n v="0"/>
    <n v="-2.0000000000000018E-2"/>
  </r>
  <r>
    <x v="143"/>
    <n v="2.2062412812927401"/>
    <n v="3.3149999999999999"/>
    <n v="2"/>
    <n v="0.2"/>
    <n v="2"/>
    <n v="0.89675512139319002"/>
    <n v="0.4"/>
    <x v="0"/>
    <n v="0"/>
    <n v="0"/>
    <n v="1.1294682073968798"/>
    <n v="0"/>
    <n v="-2.0000000000000018E-2"/>
  </r>
  <r>
    <x v="144"/>
    <n v="2.1758632003490601"/>
    <n v="3.3149999999999999"/>
    <n v="5"/>
    <n v="0.2"/>
    <n v="3"/>
    <n v="1.3319277614630021"/>
    <n v="0.60000000000000009"/>
    <x v="0"/>
    <n v="0"/>
    <n v="0"/>
    <n v="1.1294682073968798"/>
    <n v="0"/>
    <n v="-2.0000000000000018E-2"/>
  </r>
  <r>
    <x v="145"/>
    <n v="2.1423497452898399"/>
    <n v="3.3149999999999999"/>
    <n v="7"/>
    <n v="0.2"/>
    <n v="4"/>
    <n v="1.76039771052097"/>
    <n v="0.8"/>
    <x v="1"/>
    <n v="2.2004971381512126"/>
    <n v="1.1145028618487873"/>
    <n v="1.1145028618487873"/>
    <n v="-1.4965345548092479E-2"/>
    <n v="-2.0000000000000018E-2"/>
  </r>
  <r>
    <x v="146"/>
    <n v="2.2324289694544102"/>
    <n v="3.3249999999999997"/>
    <n v="1"/>
    <n v="0.2"/>
    <n v="1"/>
    <n v="0.44648579389088205"/>
    <n v="0.2"/>
    <x v="0"/>
    <n v="0"/>
    <n v="0"/>
    <n v="1.1145028618487873"/>
    <n v="0"/>
    <n v="9.9999999999997868E-3"/>
  </r>
  <r>
    <x v="147"/>
    <n v="2.1949310629738199"/>
    <n v="3.3249999999999997"/>
    <n v="2"/>
    <n v="0.2"/>
    <n v="2"/>
    <n v="0.88547200648564606"/>
    <n v="0.4"/>
    <x v="0"/>
    <n v="0"/>
    <n v="0"/>
    <n v="1.1145028618487873"/>
    <n v="0"/>
    <n v="9.9999999999997868E-3"/>
  </r>
  <r>
    <x v="148"/>
    <n v="2.1479421519661601"/>
    <n v="3.3249999999999997"/>
    <n v="5"/>
    <n v="0.2"/>
    <n v="3"/>
    <n v="1.3150604368788781"/>
    <n v="0.60000000000000009"/>
    <x v="0"/>
    <n v="0"/>
    <n v="0"/>
    <n v="1.1145028618487873"/>
    <n v="0"/>
    <n v="9.9999999999997868E-3"/>
  </r>
  <r>
    <x v="149"/>
    <n v="2.2488911274377399"/>
    <n v="3.3249999999999997"/>
    <n v="6"/>
    <n v="0.2"/>
    <n v="4"/>
    <n v="1.7648386623664261"/>
    <n v="0.8"/>
    <x v="0"/>
    <n v="0"/>
    <n v="0"/>
    <n v="1.1145028618487873"/>
    <n v="0"/>
    <n v="9.9999999999997868E-3"/>
  </r>
  <r>
    <x v="150"/>
    <n v="2.0919724577728598"/>
    <n v="3.3249999999999997"/>
    <n v="7"/>
    <n v="0.2"/>
    <n v="5"/>
    <n v="2.1832331539209981"/>
    <n v="1"/>
    <x v="1"/>
    <n v="2.1832331539209981"/>
    <n v="1.1417668460790016"/>
    <n v="1.1417668460790016"/>
    <n v="2.7263984230214255E-2"/>
    <n v="9.9999999999997868E-3"/>
  </r>
  <r>
    <x v="151"/>
    <n v="2.04956432037537"/>
    <n v="3.2649999999999997"/>
    <n v="1"/>
    <n v="0.2"/>
    <n v="1"/>
    <n v="0.40991286407507399"/>
    <n v="0.2"/>
    <x v="0"/>
    <n v="0"/>
    <n v="0"/>
    <n v="1.1417668460790016"/>
    <n v="0"/>
    <n v="-6.0000000000000053E-2"/>
  </r>
  <r>
    <x v="152"/>
    <n v="2.0595956654124499"/>
    <n v="3.2649999999999997"/>
    <n v="2"/>
    <n v="0.2"/>
    <n v="2"/>
    <n v="0.82183199715756405"/>
    <n v="0.4"/>
    <x v="0"/>
    <n v="0"/>
    <n v="0"/>
    <n v="1.1417668460790016"/>
    <n v="0"/>
    <n v="-6.0000000000000053E-2"/>
  </r>
  <r>
    <x v="153"/>
    <n v="2.0829778986268401"/>
    <n v="3.2649999999999997"/>
    <n v="6"/>
    <n v="0.2"/>
    <n v="3"/>
    <n v="1.238427576882932"/>
    <n v="0.60000000000000009"/>
    <x v="0"/>
    <n v="0"/>
    <n v="0"/>
    <n v="1.1417668460790016"/>
    <n v="0"/>
    <n v="-6.0000000000000053E-2"/>
  </r>
  <r>
    <x v="154"/>
    <n v="2.1343540804519301"/>
    <n v="3.2649999999999997"/>
    <n v="7"/>
    <n v="0.2"/>
    <n v="4"/>
    <n v="1.6652983929733181"/>
    <n v="0.8"/>
    <x v="1"/>
    <n v="2.0816229912166473"/>
    <n v="1.1833770087833524"/>
    <n v="1.1833770087833524"/>
    <n v="4.1610162704350806E-2"/>
    <n v="-6.0000000000000053E-2"/>
  </r>
  <r>
    <x v="155"/>
    <n v="2.0923386430292501"/>
    <n v="3.2349999999999999"/>
    <n v="1"/>
    <n v="0.2"/>
    <n v="1"/>
    <n v="0.41846772860585002"/>
    <n v="0.2"/>
    <x v="0"/>
    <n v="0"/>
    <n v="0"/>
    <n v="1.1833770087833524"/>
    <n v="0"/>
    <n v="-2.9999999999999805E-2"/>
  </r>
  <r>
    <x v="156"/>
    <n v="2.0361071292777302"/>
    <n v="3.2349999999999999"/>
    <n v="2"/>
    <n v="0.2"/>
    <n v="2"/>
    <n v="0.82568915446139601"/>
    <n v="0.4"/>
    <x v="0"/>
    <n v="0"/>
    <n v="0"/>
    <n v="1.1833770087833524"/>
    <n v="0"/>
    <n v="-2.9999999999999805E-2"/>
  </r>
  <r>
    <x v="157"/>
    <n v="2.0699676944682599"/>
    <n v="3.2349999999999999"/>
    <n v="5"/>
    <n v="0.2"/>
    <n v="3"/>
    <n v="1.239682693355048"/>
    <n v="0.60000000000000009"/>
    <x v="0"/>
    <n v="0"/>
    <n v="0"/>
    <n v="1.1833770087833524"/>
    <n v="0"/>
    <n v="-2.9999999999999805E-2"/>
  </r>
  <r>
    <x v="158"/>
    <n v="2.1420411801194499"/>
    <n v="3.2349999999999999"/>
    <n v="6"/>
    <n v="0.2"/>
    <n v="4"/>
    <n v="1.6680909293789381"/>
    <n v="0.8"/>
    <x v="0"/>
    <n v="0"/>
    <n v="0"/>
    <n v="1.1833770087833524"/>
    <n v="0"/>
    <n v="-2.9999999999999805E-2"/>
  </r>
  <r>
    <x v="159"/>
    <n v="2.1925425327534098"/>
    <n v="3.2349999999999999"/>
    <n v="7"/>
    <n v="0.2"/>
    <n v="5"/>
    <n v="2.1065994359296201"/>
    <n v="1"/>
    <x v="1"/>
    <n v="2.1065994359296201"/>
    <n v="1.1284005640703798"/>
    <n v="1.1284005640703798"/>
    <n v="-5.4976444712972583E-2"/>
    <n v="-2.9999999999999805E-2"/>
  </r>
  <r>
    <x v="160"/>
    <n v="2.2012643194611901"/>
    <n v="3.27"/>
    <n v="2"/>
    <n v="0.2"/>
    <n v="1"/>
    <n v="0.44025286389223806"/>
    <n v="0.2"/>
    <x v="0"/>
    <n v="0"/>
    <n v="0"/>
    <n v="1.1284005640703798"/>
    <n v="0"/>
    <n v="3.5000000000000142E-2"/>
  </r>
  <r>
    <x v="161"/>
    <n v="2.1328988734204701"/>
    <n v="3.27"/>
    <n v="5"/>
    <n v="0.2"/>
    <n v="2"/>
    <n v="0.86683263857633208"/>
    <n v="0.4"/>
    <x v="0"/>
    <n v="0"/>
    <n v="0"/>
    <n v="1.1284005640703798"/>
    <n v="0"/>
    <n v="3.5000000000000142E-2"/>
  </r>
  <r>
    <x v="162"/>
    <n v="2.0440489527996202"/>
    <n v="3.27"/>
    <n v="6"/>
    <n v="0.2"/>
    <n v="3"/>
    <n v="1.2756424291362563"/>
    <n v="0.60000000000000009"/>
    <x v="0"/>
    <n v="0"/>
    <n v="0"/>
    <n v="1.1284005640703798"/>
    <n v="0"/>
    <n v="3.5000000000000142E-2"/>
  </r>
  <r>
    <x v="163"/>
    <n v="2.0509742576327699"/>
    <n v="3.27"/>
    <n v="7"/>
    <n v="0.2"/>
    <n v="4"/>
    <n v="1.6858372806628101"/>
    <n v="0.8"/>
    <x v="1"/>
    <n v="2.1072966008285126"/>
    <n v="1.1627033991714875"/>
    <n v="1.1627033991714875"/>
    <n v="3.4302835101107654E-2"/>
    <n v="3.5000000000000142E-2"/>
  </r>
  <r>
    <x v="164"/>
    <n v="2.0724438614292899"/>
    <n v="3.2649999999999997"/>
    <n v="1"/>
    <n v="0.2"/>
    <n v="1"/>
    <n v="0.41448877228585801"/>
    <n v="0.2"/>
    <x v="0"/>
    <n v="0"/>
    <n v="0"/>
    <n v="1.1627033991714875"/>
    <n v="0"/>
    <n v="-5.0000000000003375E-3"/>
  </r>
  <r>
    <x v="165"/>
    <n v="2.0725335490580301"/>
    <n v="3.2649999999999997"/>
    <n v="2"/>
    <n v="0.2"/>
    <n v="2"/>
    <n v="0.8289954820974641"/>
    <n v="0.4"/>
    <x v="0"/>
    <n v="0"/>
    <n v="0"/>
    <n v="1.1627033991714875"/>
    <n v="0"/>
    <n v="-5.0000000000003375E-3"/>
  </r>
  <r>
    <x v="166"/>
    <n v="2.0862225711456399"/>
    <n v="3.2649999999999997"/>
    <n v="5"/>
    <n v="0.2"/>
    <n v="3"/>
    <n v="1.246239996326592"/>
    <n v="0.60000000000000009"/>
    <x v="0"/>
    <n v="0"/>
    <n v="0"/>
    <n v="1.1627033991714875"/>
    <n v="0"/>
    <n v="-5.0000000000003375E-3"/>
  </r>
  <r>
    <x v="167"/>
    <n v="2.0678302367394399"/>
    <n v="3.2649999999999997"/>
    <n v="6"/>
    <n v="0.2"/>
    <n v="4"/>
    <n v="1.6598060436744799"/>
    <n v="0.8"/>
    <x v="0"/>
    <n v="0"/>
    <n v="0"/>
    <n v="1.1627033991714875"/>
    <n v="0"/>
    <n v="-5.0000000000003375E-3"/>
  </r>
  <r>
    <x v="168"/>
    <n v="2.0799414922025399"/>
    <n v="3.2649999999999997"/>
    <n v="7"/>
    <n v="0.2"/>
    <n v="5"/>
    <n v="2.075794342114988"/>
    <n v="1"/>
    <x v="1"/>
    <n v="2.075794342114988"/>
    <n v="1.1892056578850116"/>
    <n v="1.1892056578850116"/>
    <n v="2.6502258713524185E-2"/>
    <n v="-5.0000000000003375E-3"/>
  </r>
  <r>
    <x v="169"/>
    <n v="2.1082736282319798"/>
    <n v="3.2449999999999997"/>
    <n v="1"/>
    <n v="0.2"/>
    <n v="1"/>
    <n v="0.421654725646396"/>
    <n v="0.2"/>
    <x v="0"/>
    <n v="0"/>
    <n v="0"/>
    <n v="1.1892056578850116"/>
    <n v="0"/>
    <n v="-2.0000000000000018E-2"/>
  </r>
  <r>
    <x v="170"/>
    <n v="2.1663327490122799"/>
    <n v="3.2449999999999997"/>
    <n v="2"/>
    <n v="0.2"/>
    <n v="2"/>
    <n v="0.85492127544885199"/>
    <n v="0.4"/>
    <x v="0"/>
    <n v="0"/>
    <n v="0"/>
    <n v="1.1892056578850116"/>
    <n v="0"/>
    <n v="-2.0000000000000018E-2"/>
  </r>
  <r>
    <x v="171"/>
    <n v="2.1263199579473602"/>
    <n v="3.2449999999999997"/>
    <n v="5"/>
    <n v="0.2"/>
    <n v="3"/>
    <n v="1.280185267038324"/>
    <n v="0.60000000000000009"/>
    <x v="0"/>
    <n v="0"/>
    <n v="0"/>
    <n v="1.1892056578850116"/>
    <n v="0"/>
    <n v="-2.0000000000000018E-2"/>
  </r>
  <r>
    <x v="172"/>
    <n v="2.1257047070821802"/>
    <n v="3.2449999999999997"/>
    <n v="6"/>
    <n v="0.2"/>
    <n v="4"/>
    <n v="1.70532620845476"/>
    <n v="0.8"/>
    <x v="0"/>
    <n v="0"/>
    <n v="0"/>
    <n v="1.1892056578850116"/>
    <n v="0"/>
    <n v="-2.0000000000000018E-2"/>
  </r>
  <r>
    <x v="173"/>
    <n v="2.1698452448822598"/>
    <n v="3.2449999999999997"/>
    <n v="7"/>
    <n v="0.2"/>
    <n v="5"/>
    <n v="2.1392952574312121"/>
    <n v="1"/>
    <x v="1"/>
    <n v="2.1392952574312121"/>
    <n v="1.1057047425687876"/>
    <n v="1.1057047425687876"/>
    <n v="-8.3500915316224056E-2"/>
    <n v="-2.0000000000000018E-2"/>
  </r>
  <r>
    <x v="174"/>
    <n v="2.17954329599754"/>
    <n v="3.2949999999999999"/>
    <n v="1"/>
    <n v="0.2"/>
    <n v="1"/>
    <n v="0.43590865919950805"/>
    <n v="0.2"/>
    <x v="0"/>
    <n v="0"/>
    <n v="0"/>
    <n v="1.1057047425687876"/>
    <n v="0"/>
    <n v="5.0000000000000266E-2"/>
  </r>
  <r>
    <x v="175"/>
    <n v="2.1747058079367898"/>
    <n v="3.2949999999999999"/>
    <n v="2"/>
    <n v="0.2"/>
    <n v="2"/>
    <n v="0.87084982078686601"/>
    <n v="0.4"/>
    <x v="0"/>
    <n v="0"/>
    <n v="0"/>
    <n v="1.1057047425687876"/>
    <n v="0"/>
    <n v="5.0000000000000266E-2"/>
  </r>
  <r>
    <x v="176"/>
    <n v="2.1860869431888501"/>
    <n v="3.2949999999999999"/>
    <n v="5"/>
    <n v="0.2"/>
    <n v="3"/>
    <n v="1.3080672094246362"/>
    <n v="0.60000000000000009"/>
    <x v="0"/>
    <n v="0"/>
    <n v="0"/>
    <n v="1.1057047425687876"/>
    <n v="0"/>
    <n v="5.0000000000000266E-2"/>
  </r>
  <r>
    <x v="177"/>
    <n v="2.2549632116225702"/>
    <n v="3.2949999999999999"/>
    <n v="6"/>
    <n v="0.2"/>
    <n v="4"/>
    <n v="1.7590598517491502"/>
    <n v="0.8"/>
    <x v="0"/>
    <n v="0"/>
    <n v="0"/>
    <n v="1.1057047425687876"/>
    <n v="0"/>
    <n v="5.0000000000000266E-2"/>
  </r>
  <r>
    <x v="178"/>
    <n v="2.20825796099597"/>
    <n v="3.2949999999999999"/>
    <n v="7"/>
    <n v="0.2"/>
    <n v="5"/>
    <n v="2.2007114439483444"/>
    <n v="1"/>
    <x v="1"/>
    <n v="2.2007114439483444"/>
    <n v="1.0942885560516555"/>
    <n v="1.0942885560516555"/>
    <n v="-1.1416186517132054E-2"/>
    <n v="5.0000000000000266E-2"/>
  </r>
  <r>
    <x v="179"/>
    <n v="2.18927927513684"/>
    <n v="3.2749999999999999"/>
    <n v="1"/>
    <n v="0.2"/>
    <n v="1"/>
    <n v="0.43785585502736801"/>
    <n v="0.2"/>
    <x v="0"/>
    <n v="0"/>
    <n v="0"/>
    <n v="1.0942885560516555"/>
    <n v="0"/>
    <n v="-2.0000000000000018E-2"/>
  </r>
  <r>
    <x v="180"/>
    <n v="2.14957407921754"/>
    <n v="3.2749999999999999"/>
    <n v="2"/>
    <n v="0.2"/>
    <n v="2"/>
    <n v="0.867770670870876"/>
    <n v="0.4"/>
    <x v="0"/>
    <n v="0"/>
    <n v="0"/>
    <n v="1.0942885560516555"/>
    <n v="0"/>
    <n v="-2.0000000000000018E-2"/>
  </r>
  <r>
    <x v="181"/>
    <n v="2.1781660184228402"/>
    <n v="3.2749999999999999"/>
    <n v="5"/>
    <n v="0.2"/>
    <n v="3"/>
    <n v="1.3034038745554439"/>
    <n v="0.60000000000000009"/>
    <x v="0"/>
    <n v="0"/>
    <n v="0"/>
    <n v="1.0942885560516555"/>
    <n v="0"/>
    <n v="-2.0000000000000018E-2"/>
  </r>
  <r>
    <x v="182"/>
    <n v="2.1575085514306598"/>
    <n v="3.2749999999999999"/>
    <n v="7"/>
    <n v="0.2"/>
    <n v="4"/>
    <n v="1.734905584841576"/>
    <n v="0.8"/>
    <x v="1"/>
    <n v="2.1686319810519699"/>
    <n v="1.1063680189480301"/>
    <n v="1.1063680189480301"/>
    <n v="1.2079462896374515E-2"/>
    <n v="-2.0000000000000018E-2"/>
  </r>
  <r>
    <x v="183"/>
    <n v="2.12227766952706"/>
    <n v="3.2649999999999997"/>
    <n v="1"/>
    <n v="0.2"/>
    <n v="1"/>
    <n v="0.42445553390541202"/>
    <n v="0.2"/>
    <x v="0"/>
    <n v="0"/>
    <n v="0"/>
    <n v="1.1063680189480301"/>
    <n v="0"/>
    <n v="-1.0000000000000231E-2"/>
  </r>
  <r>
    <x v="184"/>
    <n v="2.1401763219910399"/>
    <n v="3.2649999999999997"/>
    <n v="2"/>
    <n v="0.2"/>
    <n v="2"/>
    <n v="0.85249079830362007"/>
    <n v="0.4"/>
    <x v="0"/>
    <n v="0"/>
    <n v="0"/>
    <n v="1.1063680189480301"/>
    <n v="0"/>
    <n v="-1.0000000000000231E-2"/>
  </r>
  <r>
    <x v="185"/>
    <n v="2.1517307112587098"/>
    <n v="3.2649999999999997"/>
    <n v="5"/>
    <n v="0.2"/>
    <n v="3"/>
    <n v="1.2828369405553621"/>
    <n v="0.60000000000000009"/>
    <x v="0"/>
    <n v="0"/>
    <n v="0"/>
    <n v="1.1063680189480301"/>
    <n v="0"/>
    <n v="-1.0000000000000231E-2"/>
  </r>
  <r>
    <x v="186"/>
    <n v="2.2179772298988301"/>
    <n v="3.2649999999999997"/>
    <n v="7"/>
    <n v="0.2"/>
    <n v="4"/>
    <n v="1.7264323865351281"/>
    <n v="0.8"/>
    <x v="1"/>
    <n v="2.15804048316891"/>
    <n v="1.1069595168310897"/>
    <n v="1.1069595168310897"/>
    <n v="5.9149788305967732E-4"/>
    <n v="-1.0000000000000231E-2"/>
  </r>
  <r>
    <x v="187"/>
    <n v="2.33893527316877"/>
    <n v="3.3249999999999997"/>
    <n v="1"/>
    <n v="0.2"/>
    <n v="1"/>
    <n v="0.46778705463375403"/>
    <n v="0.2"/>
    <x v="0"/>
    <n v="0"/>
    <n v="0"/>
    <n v="1.1069595168310897"/>
    <n v="0"/>
    <n v="6.0000000000000053E-2"/>
  </r>
  <r>
    <x v="188"/>
    <n v="2.3583903097049501"/>
    <n v="3.3249999999999997"/>
    <n v="2"/>
    <n v="0.2"/>
    <n v="2"/>
    <n v="0.93946511657474407"/>
    <n v="0.4"/>
    <x v="0"/>
    <n v="0"/>
    <n v="0"/>
    <n v="1.1069595168310897"/>
    <n v="0"/>
    <n v="6.0000000000000053E-2"/>
  </r>
  <r>
    <x v="189"/>
    <n v="2.3132421541265802"/>
    <n v="3.3249999999999997"/>
    <n v="5"/>
    <n v="0.2"/>
    <n v="3"/>
    <n v="1.4021135474000601"/>
    <n v="0.60000000000000009"/>
    <x v="0"/>
    <n v="0"/>
    <n v="0"/>
    <n v="1.1069595168310897"/>
    <n v="0"/>
    <n v="6.0000000000000053E-2"/>
  </r>
  <r>
    <x v="190"/>
    <n v="2.2872202205924901"/>
    <n v="3.3249999999999997"/>
    <n v="6"/>
    <n v="0.2"/>
    <n v="4"/>
    <n v="1.8595575915185583"/>
    <n v="0.8"/>
    <x v="0"/>
    <n v="0"/>
    <n v="0"/>
    <n v="1.1069595168310897"/>
    <n v="0"/>
    <n v="6.0000000000000053E-2"/>
  </r>
  <r>
    <x v="191"/>
    <n v="2.2542377381479901"/>
    <n v="3.3249999999999997"/>
    <n v="7"/>
    <n v="0.2"/>
    <n v="5"/>
    <n v="2.3104051391481564"/>
    <n v="1"/>
    <x v="1"/>
    <n v="2.3104051391481564"/>
    <n v="1.0145948608518434"/>
    <n v="1.0145948608518434"/>
    <n v="-9.2364655979246368E-2"/>
    <n v="6.0000000000000053E-2"/>
  </r>
  <r>
    <x v="192"/>
    <n v="2.3058062237430601"/>
    <n v="3.3049999999999997"/>
    <n v="1"/>
    <n v="0.2"/>
    <n v="1"/>
    <n v="0.46116124474861203"/>
    <n v="0.2"/>
    <x v="0"/>
    <n v="0"/>
    <n v="0"/>
    <n v="1.0145948608518434"/>
    <n v="0"/>
    <n v="-2.0000000000000018E-2"/>
  </r>
  <r>
    <x v="193"/>
    <n v="2.2816853967186499"/>
    <n v="3.3049999999999997"/>
    <n v="2"/>
    <n v="0.2"/>
    <n v="2"/>
    <n v="0.917498324092342"/>
    <n v="0.4"/>
    <x v="0"/>
    <n v="0"/>
    <n v="0"/>
    <n v="1.0145948608518434"/>
    <n v="0"/>
    <n v="-2.0000000000000018E-2"/>
  </r>
  <r>
    <x v="194"/>
    <n v="2.2784009909774001"/>
    <n v="3.3049999999999997"/>
    <n v="5"/>
    <n v="0.2"/>
    <n v="3"/>
    <n v="1.3731785222878221"/>
    <n v="0.60000000000000009"/>
    <x v="0"/>
    <n v="0"/>
    <n v="0"/>
    <n v="1.0145948608518434"/>
    <n v="0"/>
    <n v="-2.0000000000000018E-2"/>
  </r>
  <r>
    <x v="195"/>
    <n v="2.2938425272831502"/>
    <n v="3.3049999999999997"/>
    <n v="6"/>
    <n v="0.2"/>
    <n v="4"/>
    <n v="1.8319470277444521"/>
    <n v="0.8"/>
    <x v="0"/>
    <n v="0"/>
    <n v="0"/>
    <n v="1.0145948608518434"/>
    <n v="0"/>
    <n v="-2.0000000000000018E-2"/>
  </r>
  <r>
    <x v="196"/>
    <n v="2.2944098288443899"/>
    <n v="3.3049999999999997"/>
    <n v="7"/>
    <n v="0.2"/>
    <n v="5"/>
    <n v="2.2908289935133301"/>
    <n v="1"/>
    <x v="1"/>
    <n v="2.2908289935133301"/>
    <n v="1.0141710064866696"/>
    <n v="1.0141710064866696"/>
    <n v="-4.2385436517378139E-4"/>
    <n v="-2.0000000000000018E-2"/>
  </r>
  <r>
    <x v="197"/>
    <n v="2.3689111618910199"/>
    <n v="3.3449999999999998"/>
    <n v="1"/>
    <n v="0.2"/>
    <n v="1"/>
    <n v="0.47378223237820399"/>
    <n v="0.2"/>
    <x v="0"/>
    <n v="0"/>
    <n v="0"/>
    <n v="1.0141710064866696"/>
    <n v="0"/>
    <n v="4.0000000000000036E-2"/>
  </r>
  <r>
    <x v="198"/>
    <n v="2.3502791672529901"/>
    <n v="3.3449999999999998"/>
    <n v="2"/>
    <n v="0.2"/>
    <n v="2"/>
    <n v="0.94383806582880203"/>
    <n v="0.4"/>
    <x v="0"/>
    <n v="0"/>
    <n v="0"/>
    <n v="1.0141710064866696"/>
    <n v="0"/>
    <n v="4.0000000000000036E-2"/>
  </r>
  <r>
    <x v="199"/>
    <n v="2.35220774246172"/>
    <n v="3.3449999999999998"/>
    <n v="6"/>
    <n v="0.2"/>
    <n v="3"/>
    <n v="1.414279614321146"/>
    <n v="0.60000000000000009"/>
    <x v="0"/>
    <n v="0"/>
    <n v="0"/>
    <n v="1.0141710064866696"/>
    <n v="0"/>
    <n v="4.0000000000000036E-2"/>
  </r>
  <r>
    <x v="200"/>
    <n v="2.3433125325998301"/>
    <n v="3.3449999999999998"/>
    <n v="7"/>
    <n v="0.2"/>
    <n v="4"/>
    <n v="1.8829421208411121"/>
    <n v="0.8"/>
    <x v="1"/>
    <n v="2.3536776510513899"/>
    <n v="0.99132234894860982"/>
    <n v="0.99132234894860982"/>
    <n v="-2.2848657538059758E-2"/>
    <n v="4.0000000000000036E-2"/>
  </r>
  <r>
    <x v="201"/>
    <n v="2.3674188938348699"/>
    <n v="3.4549999999999996"/>
    <n v="1"/>
    <n v="0.2"/>
    <n v="1"/>
    <n v="0.47348377876697401"/>
    <n v="0.2"/>
    <x v="0"/>
    <n v="0"/>
    <n v="0"/>
    <n v="0.99132234894860982"/>
    <n v="0"/>
    <n v="0.10999999999999988"/>
  </r>
  <r>
    <x v="202"/>
    <n v="2.50531849536197"/>
    <n v="3.4549999999999996"/>
    <n v="2"/>
    <n v="0.2"/>
    <n v="2"/>
    <n v="0.97454747783936801"/>
    <n v="0.4"/>
    <x v="0"/>
    <n v="0"/>
    <n v="0"/>
    <n v="0.99132234894860982"/>
    <n v="0"/>
    <n v="0.10999999999999988"/>
  </r>
  <r>
    <x v="203"/>
    <n v="2.5393282304868099"/>
    <n v="3.4549999999999996"/>
    <n v="5"/>
    <n v="0.2"/>
    <n v="3"/>
    <n v="1.48241312393673"/>
    <n v="0.60000000000000009"/>
    <x v="0"/>
    <n v="0"/>
    <n v="0"/>
    <n v="0.99132234894860982"/>
    <n v="0"/>
    <n v="0.10999999999999988"/>
  </r>
  <r>
    <x v="204"/>
    <n v="2.5598092537420398"/>
    <n v="3.4549999999999996"/>
    <n v="6"/>
    <n v="0.2"/>
    <n v="4"/>
    <n v="1.994374974685138"/>
    <n v="0.8"/>
    <x v="0"/>
    <n v="0"/>
    <n v="0"/>
    <n v="0.99132234894860982"/>
    <n v="0"/>
    <n v="0.10999999999999988"/>
  </r>
  <r>
    <x v="205"/>
    <n v="2.5772925233697599"/>
    <n v="3.4549999999999996"/>
    <n v="7"/>
    <n v="0.2"/>
    <n v="5"/>
    <n v="2.5098334793590902"/>
    <n v="1"/>
    <x v="1"/>
    <n v="2.5098334793590902"/>
    <n v="0.94516652064090945"/>
    <n v="0.94516652064090945"/>
    <n v="-4.6155828307700375E-2"/>
    <n v="0.10999999999999988"/>
  </r>
  <r>
    <x v="206"/>
    <n v="2.57376759097352"/>
    <n v="3.48"/>
    <n v="1"/>
    <n v="0.2"/>
    <n v="1"/>
    <n v="0.51475351819470405"/>
    <n v="0.2"/>
    <x v="0"/>
    <n v="0"/>
    <n v="0"/>
    <n v="0.94516652064090945"/>
    <n v="0"/>
    <n v="2.5000000000000355E-2"/>
  </r>
  <r>
    <x v="207"/>
    <n v="2.5914055356862402"/>
    <n v="3.48"/>
    <n v="2"/>
    <n v="0.2"/>
    <n v="2"/>
    <n v="1.0330346253319522"/>
    <n v="0.4"/>
    <x v="0"/>
    <n v="0"/>
    <n v="0"/>
    <n v="0.94516652064090945"/>
    <n v="0"/>
    <n v="2.5000000000000355E-2"/>
  </r>
  <r>
    <x v="208"/>
    <n v="2.5556270132589098"/>
    <n v="3.48"/>
    <n v="5"/>
    <n v="0.2"/>
    <n v="3"/>
    <n v="1.5441600279837342"/>
    <n v="0.60000000000000009"/>
    <x v="0"/>
    <n v="0"/>
    <n v="0"/>
    <n v="0.94516652064090945"/>
    <n v="0"/>
    <n v="2.5000000000000355E-2"/>
  </r>
  <r>
    <x v="209"/>
    <n v="2.6005196496782901"/>
    <n v="3.48"/>
    <n v="6"/>
    <n v="0.2"/>
    <n v="4"/>
    <n v="2.0642639579193922"/>
    <n v="0.8"/>
    <x v="0"/>
    <n v="0"/>
    <n v="0"/>
    <n v="0.94516652064090945"/>
    <n v="0"/>
    <n v="2.5000000000000355E-2"/>
  </r>
  <r>
    <x v="210"/>
    <n v="2.55943207517402"/>
    <n v="3.48"/>
    <n v="7"/>
    <n v="0.2"/>
    <n v="5"/>
    <n v="2.5761503729541961"/>
    <n v="1"/>
    <x v="1"/>
    <n v="2.5761503729541961"/>
    <n v="0.90384962704580385"/>
    <n v="0.90384962704580385"/>
    <n v="-4.1316893595105597E-2"/>
    <n v="2.5000000000000355E-2"/>
  </r>
  <r>
    <x v="211"/>
    <n v="2.5513624904448799"/>
    <n v="3.48"/>
    <n v="1"/>
    <n v="0.2"/>
    <n v="1"/>
    <n v="0.51027249808897601"/>
    <n v="0.2"/>
    <x v="0"/>
    <n v="0"/>
    <n v="0"/>
    <n v="0.90384962704580385"/>
    <n v="0"/>
    <n v="0"/>
  </r>
  <r>
    <x v="212"/>
    <n v="2.5731755488249699"/>
    <n v="3.48"/>
    <n v="2"/>
    <n v="0.2"/>
    <n v="2"/>
    <n v="1.0249076078539701"/>
    <n v="0.4"/>
    <x v="0"/>
    <n v="0"/>
    <n v="0"/>
    <n v="0.90384962704580385"/>
    <n v="0"/>
    <n v="0"/>
  </r>
  <r>
    <x v="213"/>
    <n v="2.56530846465939"/>
    <n v="3.48"/>
    <n v="5"/>
    <n v="0.2"/>
    <n v="3"/>
    <n v="1.5379693007858481"/>
    <n v="0.60000000000000009"/>
    <x v="0"/>
    <n v="0"/>
    <n v="0"/>
    <n v="0.90384962704580385"/>
    <n v="0"/>
    <n v="0"/>
  </r>
  <r>
    <x v="214"/>
    <n v="2.6070118411689598"/>
    <n v="3.48"/>
    <n v="6"/>
    <n v="0.2"/>
    <n v="4"/>
    <n v="2.0593716690196402"/>
    <n v="0.8"/>
    <x v="0"/>
    <n v="0"/>
    <n v="0"/>
    <n v="0.90384962704580385"/>
    <n v="0"/>
    <n v="0"/>
  </r>
  <r>
    <x v="215"/>
    <n v="2.6537197373142098"/>
    <n v="3.48"/>
    <n v="7"/>
    <n v="0.2"/>
    <n v="5"/>
    <n v="2.5901156164824823"/>
    <n v="1"/>
    <x v="1"/>
    <n v="2.5901156164824823"/>
    <n v="0.88988438351751764"/>
    <n v="0.88988438351751764"/>
    <n v="-1.3965243528286209E-2"/>
    <n v="0"/>
  </r>
  <r>
    <x v="216"/>
    <n v="2.6085491789438602"/>
    <n v="3.5100000000000002"/>
    <n v="1"/>
    <n v="0.2"/>
    <n v="1"/>
    <n v="0.52170983578877206"/>
    <n v="0.2"/>
    <x v="0"/>
    <n v="0"/>
    <n v="0"/>
    <n v="0.88988438351751764"/>
    <n v="0"/>
    <n v="3.0000000000000249E-2"/>
  </r>
  <r>
    <x v="217"/>
    <n v="2.6207856725732901"/>
    <n v="3.5100000000000002"/>
    <n v="2"/>
    <n v="0.2"/>
    <n v="2"/>
    <n v="1.0458669703034302"/>
    <n v="0.4"/>
    <x v="0"/>
    <n v="0"/>
    <n v="0"/>
    <n v="0.88988438351751764"/>
    <n v="0"/>
    <n v="3.0000000000000249E-2"/>
  </r>
  <r>
    <x v="218"/>
    <n v="2.6380211947179002"/>
    <n v="3.5100000000000002"/>
    <n v="6"/>
    <n v="0.2"/>
    <n v="3"/>
    <n v="1.5734712092470104"/>
    <n v="0.60000000000000009"/>
    <x v="0"/>
    <n v="0"/>
    <n v="0"/>
    <n v="0.88988438351751764"/>
    <n v="0"/>
    <n v="3.0000000000000249E-2"/>
  </r>
  <r>
    <x v="219"/>
    <n v="2.63796949913782"/>
    <n v="3.5100000000000002"/>
    <n v="7"/>
    <n v="0.2"/>
    <n v="4"/>
    <n v="2.1010651090745744"/>
    <n v="0.8"/>
    <x v="1"/>
    <n v="2.6263313863432178"/>
    <n v="0.8836686136567824"/>
    <n v="0.8836686136567824"/>
    <n v="-6.215769860735243E-3"/>
    <n v="3.0000000000000249E-2"/>
  </r>
  <r>
    <x v="220"/>
    <n v="2.6257405351132901"/>
    <n v="3.46"/>
    <n v="1"/>
    <n v="0.2"/>
    <n v="1"/>
    <n v="0.52514810702265802"/>
    <n v="0.2"/>
    <x v="0"/>
    <n v="0"/>
    <n v="0"/>
    <n v="0.8836686136567824"/>
    <n v="0"/>
    <n v="-5.0000000000000266E-2"/>
  </r>
  <r>
    <x v="221"/>
    <n v="2.6251399034844098"/>
    <n v="3.46"/>
    <n v="2"/>
    <n v="0.2"/>
    <n v="2"/>
    <n v="1.0501760877195401"/>
    <n v="0.4"/>
    <x v="0"/>
    <n v="0"/>
    <n v="0"/>
    <n v="0.8836686136567824"/>
    <n v="0"/>
    <n v="-5.0000000000000266E-2"/>
  </r>
  <r>
    <x v="222"/>
    <n v="2.5578588429933502"/>
    <n v="3.46"/>
    <n v="5"/>
    <n v="0.2"/>
    <n v="3"/>
    <n v="1.5617478563182101"/>
    <n v="0.60000000000000009"/>
    <x v="0"/>
    <n v="0"/>
    <n v="0"/>
    <n v="0.8836686136567824"/>
    <n v="0"/>
    <n v="-5.0000000000000266E-2"/>
  </r>
  <r>
    <x v="223"/>
    <n v="2.5389569445759999"/>
    <n v="3.46"/>
    <n v="6"/>
    <n v="0.2"/>
    <n v="4"/>
    <n v="2.0695392452334103"/>
    <n v="0.8"/>
    <x v="0"/>
    <n v="0"/>
    <n v="0"/>
    <n v="0.8836686136567824"/>
    <n v="0"/>
    <n v="-5.0000000000000266E-2"/>
  </r>
  <r>
    <x v="224"/>
    <n v="2.5732198821136101"/>
    <n v="3.46"/>
    <n v="7"/>
    <n v="0.2"/>
    <n v="5"/>
    <n v="2.5841832216561325"/>
    <n v="1"/>
    <x v="1"/>
    <n v="2.5841832216561325"/>
    <n v="0.87581677834386751"/>
    <n v="0.87581677834386751"/>
    <n v="-7.8518353129148899E-3"/>
    <n v="-5.0000000000000266E-2"/>
  </r>
  <r>
    <x v="225"/>
    <n v="2.5448374323223399"/>
    <n v="3.4449999999999998"/>
    <n v="1"/>
    <n v="0.2"/>
    <n v="1"/>
    <n v="0.50896748646446799"/>
    <n v="0.2"/>
    <x v="0"/>
    <n v="0"/>
    <n v="0"/>
    <n v="0.87581677834386751"/>
    <n v="0"/>
    <n v="-1.5000000000000124E-2"/>
  </r>
  <r>
    <x v="226"/>
    <n v="2.5299300395983999"/>
    <n v="3.4449999999999998"/>
    <n v="2"/>
    <n v="0.2"/>
    <n v="2"/>
    <n v="1.0149534943841481"/>
    <n v="0.4"/>
    <x v="0"/>
    <n v="0"/>
    <n v="0"/>
    <n v="0.87581677834386751"/>
    <n v="0"/>
    <n v="-1.5000000000000124E-2"/>
  </r>
  <r>
    <x v="227"/>
    <n v="2.5457760046441602"/>
    <n v="3.4449999999999998"/>
    <n v="5"/>
    <n v="0.2"/>
    <n v="3"/>
    <n v="1.5241086953129801"/>
    <n v="0.60000000000000009"/>
    <x v="0"/>
    <n v="0"/>
    <n v="0"/>
    <n v="0.87581677834386751"/>
    <n v="0"/>
    <n v="-1.5000000000000124E-2"/>
  </r>
  <r>
    <x v="228"/>
    <n v="2.56075645776348"/>
    <n v="3.4449999999999998"/>
    <n v="6"/>
    <n v="0.2"/>
    <n v="4"/>
    <n v="2.0362599868656761"/>
    <n v="0.8"/>
    <x v="0"/>
    <n v="0"/>
    <n v="0"/>
    <n v="0.87581677834386751"/>
    <n v="0"/>
    <n v="-1.5000000000000124E-2"/>
  </r>
  <r>
    <x v="229"/>
    <n v="2.6125524232747801"/>
    <n v="3.4449999999999998"/>
    <n v="7"/>
    <n v="0.2"/>
    <n v="5"/>
    <n v="2.5587704715206323"/>
    <n v="1"/>
    <x v="1"/>
    <n v="2.5587704715206323"/>
    <n v="0.88622952847936753"/>
    <n v="0.88622952847936753"/>
    <n v="1.0412750135500026E-2"/>
    <n v="-1.5000000000000124E-2"/>
  </r>
  <r>
    <x v="230"/>
    <n v="2.6733074908689098"/>
    <n v="3.58"/>
    <n v="1"/>
    <n v="0.2"/>
    <n v="1"/>
    <n v="0.53466149817378195"/>
    <n v="0.2"/>
    <x v="0"/>
    <n v="0"/>
    <n v="0"/>
    <n v="0.88622952847936753"/>
    <n v="0"/>
    <n v="0.13500000000000023"/>
  </r>
  <r>
    <x v="231"/>
    <n v="2.7519155244705402"/>
    <n v="3.58"/>
    <n v="2"/>
    <n v="0.2"/>
    <n v="2"/>
    <n v="1.08504460306789"/>
    <n v="0.4"/>
    <x v="0"/>
    <n v="0"/>
    <n v="0"/>
    <n v="0.88622952847936753"/>
    <n v="0"/>
    <n v="0.13500000000000023"/>
  </r>
  <r>
    <x v="232"/>
    <n v="2.7399845789483299"/>
    <n v="3.58"/>
    <n v="5"/>
    <n v="0.2"/>
    <n v="3"/>
    <n v="1.633041518857556"/>
    <n v="0.60000000000000009"/>
    <x v="0"/>
    <n v="0"/>
    <n v="0"/>
    <n v="0.88622952847936753"/>
    <n v="0"/>
    <n v="0.13500000000000023"/>
  </r>
  <r>
    <x v="233"/>
    <n v="2.7064552884836801"/>
    <n v="3.58"/>
    <n v="6"/>
    <n v="0.2"/>
    <n v="4"/>
    <n v="2.174332576554292"/>
    <n v="0.8"/>
    <x v="0"/>
    <n v="0"/>
    <n v="0"/>
    <n v="0.88622952847936753"/>
    <n v="0"/>
    <n v="0.13500000000000023"/>
  </r>
  <r>
    <x v="234"/>
    <n v="2.70043867478531"/>
    <n v="3.58"/>
    <n v="7"/>
    <n v="0.2"/>
    <n v="5"/>
    <n v="2.7144203115113541"/>
    <n v="1"/>
    <x v="1"/>
    <n v="2.7144203115113541"/>
    <n v="0.86557968848864597"/>
    <n v="0.86557968848864597"/>
    <n v="-2.0649839990721564E-2"/>
    <n v="0.13500000000000023"/>
  </r>
  <r>
    <x v="235"/>
    <n v="2.7054585787984"/>
    <n v="3.49"/>
    <n v="1"/>
    <n v="0.2"/>
    <n v="1"/>
    <n v="0.54109171575968007"/>
    <n v="0.2"/>
    <x v="0"/>
    <n v="0"/>
    <n v="0"/>
    <n v="0.86557968848864597"/>
    <n v="0"/>
    <n v="-8.9999999999999858E-2"/>
  </r>
  <r>
    <x v="236"/>
    <n v="2.6643363272696798"/>
    <n v="3.49"/>
    <n v="2"/>
    <n v="0.2"/>
    <n v="2"/>
    <n v="1.0739589812136161"/>
    <n v="0.4"/>
    <x v="0"/>
    <n v="0"/>
    <n v="0"/>
    <n v="0.86557968848864597"/>
    <n v="0"/>
    <n v="-8.9999999999999858E-2"/>
  </r>
  <r>
    <x v="237"/>
    <n v="2.6296268135310301"/>
    <n v="3.49"/>
    <n v="5"/>
    <n v="0.2"/>
    <n v="3"/>
    <n v="1.5998843439198223"/>
    <n v="0.60000000000000009"/>
    <x v="0"/>
    <n v="0"/>
    <n v="0"/>
    <n v="0.86557968848864597"/>
    <n v="0"/>
    <n v="-8.9999999999999858E-2"/>
  </r>
  <r>
    <x v="238"/>
    <n v="2.6068633017671599"/>
    <n v="3.49"/>
    <n v="6"/>
    <n v="0.2"/>
    <n v="4"/>
    <n v="2.1212570042732541"/>
    <n v="0.8"/>
    <x v="0"/>
    <n v="0"/>
    <n v="0"/>
    <n v="0.86557968848864597"/>
    <n v="0"/>
    <n v="-8.9999999999999858E-2"/>
  </r>
  <r>
    <x v="239"/>
    <n v="2.6469827013594598"/>
    <n v="3.49"/>
    <n v="7"/>
    <n v="0.2"/>
    <n v="5"/>
    <n v="2.650653544545146"/>
    <n v="1"/>
    <x v="1"/>
    <n v="2.650653544545146"/>
    <n v="0.8393464554548542"/>
    <n v="0.8393464554548542"/>
    <n v="-2.623323303379177E-2"/>
    <n v="-8.9999999999999858E-2"/>
  </r>
  <r>
    <x v="240"/>
    <n v="2.6762749111600002"/>
    <n v="3.52"/>
    <n v="1"/>
    <n v="0.2"/>
    <n v="1"/>
    <n v="0.53525498223200008"/>
    <n v="0.2"/>
    <x v="0"/>
    <n v="0"/>
    <n v="0"/>
    <n v="0.8393464554548542"/>
    <n v="0"/>
    <n v="2.9999999999999805E-2"/>
  </r>
  <r>
    <x v="241"/>
    <n v="2.6414844586182298"/>
    <n v="3.52"/>
    <n v="2"/>
    <n v="0.2"/>
    <n v="2"/>
    <n v="1.063551873955646"/>
    <n v="0.4"/>
    <x v="0"/>
    <n v="0"/>
    <n v="0"/>
    <n v="0.8393464554548542"/>
    <n v="0"/>
    <n v="2.9999999999999805E-2"/>
  </r>
  <r>
    <x v="242"/>
    <n v="2.6394759315969498"/>
    <n v="3.52"/>
    <n v="5"/>
    <n v="0.2"/>
    <n v="3"/>
    <n v="1.5914470602750361"/>
    <n v="0.60000000000000009"/>
    <x v="0"/>
    <n v="0"/>
    <n v="0"/>
    <n v="0.8393464554548542"/>
    <n v="0"/>
    <n v="2.9999999999999805E-2"/>
  </r>
  <r>
    <x v="243"/>
    <n v="2.6425583507311501"/>
    <n v="3.52"/>
    <n v="6"/>
    <n v="0.2"/>
    <n v="4"/>
    <n v="2.1199587304212661"/>
    <n v="0.8"/>
    <x v="0"/>
    <n v="0"/>
    <n v="0"/>
    <n v="0.8393464554548542"/>
    <n v="0"/>
    <n v="2.9999999999999805E-2"/>
  </r>
  <r>
    <x v="244"/>
    <n v="2.6080685310037901"/>
    <n v="3.52"/>
    <n v="7"/>
    <n v="0.2"/>
    <n v="5"/>
    <n v="2.6415724366220243"/>
    <n v="1"/>
    <x v="1"/>
    <n v="2.6415724366220243"/>
    <n v="0.87842756337797567"/>
    <n v="0.87842756337797567"/>
    <n v="3.9081107923121472E-2"/>
    <n v="2.9999999999999805E-2"/>
  </r>
  <r>
    <x v="245"/>
    <n v="2.6143335780898398"/>
    <n v="3.49"/>
    <n v="1"/>
    <n v="0.2"/>
    <n v="1"/>
    <n v="0.52286671561796794"/>
    <n v="0.2"/>
    <x v="0"/>
    <n v="0"/>
    <n v="0"/>
    <n v="0.87842756337797567"/>
    <n v="0"/>
    <n v="-2.9999999999999805E-2"/>
  </r>
  <r>
    <x v="246"/>
    <n v="2.5951295555522802"/>
    <n v="3.49"/>
    <n v="5"/>
    <n v="0.2"/>
    <n v="2"/>
    <n v="1.0418926267284241"/>
    <n v="0.4"/>
    <x v="0"/>
    <n v="0"/>
    <n v="0"/>
    <n v="0.87842756337797567"/>
    <n v="0"/>
    <n v="-2.9999999999999805E-2"/>
  </r>
  <r>
    <x v="247"/>
    <n v="2.6101991222676499"/>
    <n v="3.49"/>
    <n v="6"/>
    <n v="0.2"/>
    <n v="3"/>
    <n v="1.5639324511819541"/>
    <n v="0.60000000000000009"/>
    <x v="0"/>
    <n v="0"/>
    <n v="0"/>
    <n v="0.87842756337797567"/>
    <n v="0"/>
    <n v="-2.9999999999999805E-2"/>
  </r>
  <r>
    <x v="248"/>
    <n v="2.5647186741288901"/>
    <n v="3.49"/>
    <n v="7"/>
    <n v="0.2"/>
    <n v="4"/>
    <n v="2.0768761860077323"/>
    <n v="0.8"/>
    <x v="1"/>
    <n v="2.5960952325096653"/>
    <n v="0.89390476749033487"/>
    <n v="0.89390476749033487"/>
    <n v="1.54772041123592E-2"/>
    <n v="-2.9999999999999805E-2"/>
  </r>
  <r>
    <x v="249"/>
    <n v="2.4858730996264899"/>
    <n v="3.3800000000000003"/>
    <n v="1"/>
    <n v="0.2"/>
    <n v="1"/>
    <n v="0.49717461992529799"/>
    <n v="0.2"/>
    <x v="0"/>
    <n v="0"/>
    <n v="0"/>
    <n v="0.89390476749033487"/>
    <n v="0"/>
    <n v="-0.10999999999999988"/>
  </r>
  <r>
    <x v="250"/>
    <n v="2.4173832768427301"/>
    <n v="3.3800000000000003"/>
    <n v="2"/>
    <n v="0.2"/>
    <n v="2"/>
    <n v="0.9806512752938441"/>
    <n v="0.4"/>
    <x v="0"/>
    <n v="0"/>
    <n v="0"/>
    <n v="0.89390476749033487"/>
    <n v="0"/>
    <n v="-0.10999999999999988"/>
  </r>
  <r>
    <x v="251"/>
    <n v="2.4769497822755899"/>
    <n v="3.3800000000000003"/>
    <n v="5"/>
    <n v="0.2"/>
    <n v="3"/>
    <n v="1.4760412317489622"/>
    <n v="0.60000000000000009"/>
    <x v="0"/>
    <n v="0"/>
    <n v="0"/>
    <n v="0.89390476749033487"/>
    <n v="0"/>
    <n v="-0.10999999999999988"/>
  </r>
  <r>
    <x v="252"/>
    <n v="2.4893778182677"/>
    <n v="3.3800000000000003"/>
    <n v="6"/>
    <n v="0.2"/>
    <n v="4"/>
    <n v="1.9739167954025021"/>
    <n v="0.8"/>
    <x v="0"/>
    <n v="0"/>
    <n v="0"/>
    <n v="0.89390476749033487"/>
    <n v="0"/>
    <n v="-0.10999999999999988"/>
  </r>
  <r>
    <x v="253"/>
    <n v="2.54479183649527"/>
    <n v="3.3800000000000003"/>
    <n v="7"/>
    <n v="0.2"/>
    <n v="5"/>
    <n v="2.4828751627015562"/>
    <n v="1"/>
    <x v="1"/>
    <n v="2.4828751627015562"/>
    <n v="0.89712483729844417"/>
    <n v="0.89712483729844417"/>
    <n v="3.2200698081092938E-3"/>
    <n v="-0.10999999999999988"/>
  </r>
  <r>
    <x v="254"/>
    <n v="2.5180760618821498"/>
    <n v="3.335"/>
    <n v="1"/>
    <n v="0.2"/>
    <n v="1"/>
    <n v="0.50361521237643003"/>
    <n v="0.2"/>
    <x v="0"/>
    <n v="0"/>
    <n v="0"/>
    <n v="0.89712483729844417"/>
    <n v="0"/>
    <n v="-4.5000000000000373E-2"/>
  </r>
  <r>
    <x v="255"/>
    <n v="2.4532379481842601"/>
    <n v="3.335"/>
    <n v="2"/>
    <n v="0.2"/>
    <n v="2"/>
    <n v="0.9942628020132821"/>
    <n v="0.4"/>
    <x v="0"/>
    <n v="0"/>
    <n v="0"/>
    <n v="0.89712483729844417"/>
    <n v="0"/>
    <n v="-4.5000000000000373E-2"/>
  </r>
  <r>
    <x v="256"/>
    <n v="2.4306597894947899"/>
    <n v="3.335"/>
    <n v="5"/>
    <n v="0.2"/>
    <n v="3"/>
    <n v="1.4803947599122402"/>
    <n v="0.60000000000000009"/>
    <x v="0"/>
    <n v="0"/>
    <n v="0"/>
    <n v="0.89712483729844417"/>
    <n v="0"/>
    <n v="-4.5000000000000373E-2"/>
  </r>
  <r>
    <x v="257"/>
    <n v="2.45465029105896"/>
    <n v="3.335"/>
    <n v="6"/>
    <n v="0.2"/>
    <n v="4"/>
    <n v="1.9713248181240322"/>
    <n v="0.8"/>
    <x v="0"/>
    <n v="0"/>
    <n v="0"/>
    <n v="0.89712483729844417"/>
    <n v="0"/>
    <n v="-4.5000000000000373E-2"/>
  </r>
  <r>
    <x v="258"/>
    <n v="2.4500518771238999"/>
    <n v="3.335"/>
    <n v="7"/>
    <n v="0.2"/>
    <n v="5"/>
    <n v="2.4613351935488121"/>
    <n v="1"/>
    <x v="1"/>
    <n v="2.4613351935488121"/>
    <n v="0.87366480645118783"/>
    <n v="0.87366480645118783"/>
    <n v="-2.3460030847256341E-2"/>
    <n v="-4.5000000000000373E-2"/>
  </r>
  <r>
    <x v="259"/>
    <n v="2.43192110209089"/>
    <n v="3.35"/>
    <n v="1"/>
    <n v="0.2"/>
    <n v="1"/>
    <n v="0.48638422041817803"/>
    <n v="0.2"/>
    <x v="0"/>
    <n v="0"/>
    <n v="0"/>
    <n v="0.87366480645118783"/>
    <n v="0"/>
    <n v="1.5000000000000124E-2"/>
  </r>
  <r>
    <x v="260"/>
    <n v="2.4478292625910401"/>
    <n v="3.35"/>
    <n v="2"/>
    <n v="0.2"/>
    <n v="2"/>
    <n v="0.97595007293638614"/>
    <n v="0.4"/>
    <x v="0"/>
    <n v="0"/>
    <n v="0"/>
    <n v="0.87366480645118783"/>
    <n v="0"/>
    <n v="1.5000000000000124E-2"/>
  </r>
  <r>
    <x v="261"/>
    <n v="2.4460987781161698"/>
    <n v="3.35"/>
    <n v="5"/>
    <n v="0.2"/>
    <n v="3"/>
    <n v="1.4651698285596202"/>
    <n v="0.60000000000000009"/>
    <x v="0"/>
    <n v="0"/>
    <n v="0"/>
    <n v="0.87366480645118783"/>
    <n v="0"/>
    <n v="1.5000000000000124E-2"/>
  </r>
  <r>
    <x v="262"/>
    <n v="2.4375323431689502"/>
    <n v="3.35"/>
    <n v="6"/>
    <n v="0.2"/>
    <n v="4"/>
    <n v="1.9526762971934102"/>
    <n v="0.8"/>
    <x v="0"/>
    <n v="0"/>
    <n v="0"/>
    <n v="0.87366480645118783"/>
    <n v="0"/>
    <n v="1.5000000000000124E-2"/>
  </r>
  <r>
    <x v="263"/>
    <n v="2.4323883653727401"/>
    <n v="3.35"/>
    <n v="7"/>
    <n v="0.2"/>
    <n v="5"/>
    <n v="2.4391539702679581"/>
    <n v="1"/>
    <x v="1"/>
    <n v="2.4391539702679581"/>
    <n v="0.91084602973204198"/>
    <n v="0.91084602973204198"/>
    <n v="3.7181223280854159E-2"/>
    <n v="1.5000000000000124E-2"/>
  </r>
  <r>
    <x v="264"/>
    <n v="2.4323453281375"/>
    <n v="3.2749999999999999"/>
    <n v="1"/>
    <n v="0.2"/>
    <n v="1"/>
    <n v="0.48646906562750003"/>
    <n v="0.2"/>
    <x v="0"/>
    <n v="0"/>
    <n v="0"/>
    <n v="0.91084602973204198"/>
    <n v="0"/>
    <n v="-7.5000000000000178E-2"/>
  </r>
  <r>
    <x v="265"/>
    <n v="2.3795080679074299"/>
    <n v="3.2749999999999999"/>
    <n v="2"/>
    <n v="0.2"/>
    <n v="2"/>
    <n v="0.962370679208986"/>
    <n v="0.4"/>
    <x v="0"/>
    <n v="0"/>
    <n v="0"/>
    <n v="0.91084602973204198"/>
    <n v="0"/>
    <n v="-7.5000000000000178E-2"/>
  </r>
  <r>
    <x v="266"/>
    <n v="2.37447920783596"/>
    <n v="3.2749999999999999"/>
    <n v="5"/>
    <n v="0.2"/>
    <n v="3"/>
    <n v="1.4372665207761779"/>
    <n v="0.60000000000000009"/>
    <x v="0"/>
    <n v="0"/>
    <n v="0"/>
    <n v="0.91084602973204198"/>
    <n v="0"/>
    <n v="-7.5000000000000178E-2"/>
  </r>
  <r>
    <x v="267"/>
    <n v="2.3535373905486399"/>
    <n v="3.2749999999999999"/>
    <n v="6"/>
    <n v="0.2"/>
    <n v="4"/>
    <n v="1.9079739988859059"/>
    <n v="0.8"/>
    <x v="0"/>
    <n v="0"/>
    <n v="0"/>
    <n v="0.91084602973204198"/>
    <n v="0"/>
    <n v="-7.5000000000000178E-2"/>
  </r>
  <r>
    <x v="268"/>
    <n v="2.31035596660836"/>
    <n v="3.2749999999999999"/>
    <n v="7"/>
    <n v="0.2"/>
    <n v="5"/>
    <n v="2.370045192207578"/>
    <n v="1"/>
    <x v="1"/>
    <n v="2.370045192207578"/>
    <n v="0.90495480779242188"/>
    <n v="0.90495480779242188"/>
    <n v="-5.891221939620106E-3"/>
    <n v="-7.5000000000000178E-2"/>
  </r>
  <r>
    <x v="269"/>
    <n v="2.3421036791460899"/>
    <n v="3.3449999999999998"/>
    <n v="1"/>
    <n v="0.2"/>
    <n v="1"/>
    <n v="0.468420735829218"/>
    <n v="0.2"/>
    <x v="0"/>
    <n v="0"/>
    <n v="0"/>
    <n v="0.90495480779242188"/>
    <n v="0"/>
    <n v="6.999999999999984E-2"/>
  </r>
  <r>
    <x v="270"/>
    <n v="2.4561501214153099"/>
    <n v="3.3449999999999998"/>
    <n v="2"/>
    <n v="0.2"/>
    <n v="2"/>
    <n v="0.95965076011228001"/>
    <n v="0.4"/>
    <x v="0"/>
    <n v="0"/>
    <n v="0"/>
    <n v="0.90495480779242188"/>
    <n v="0"/>
    <n v="6.999999999999984E-2"/>
  </r>
  <r>
    <x v="271"/>
    <n v="2.4724031733010898"/>
    <n v="3.3449999999999998"/>
    <n v="5"/>
    <n v="0.2"/>
    <n v="3"/>
    <n v="1.4541313947724981"/>
    <n v="0.60000000000000009"/>
    <x v="0"/>
    <n v="0"/>
    <n v="0"/>
    <n v="0.90495480779242188"/>
    <n v="0"/>
    <n v="6.999999999999984E-2"/>
  </r>
  <r>
    <x v="272"/>
    <n v="2.48894298716524"/>
    <n v="3.3449999999999998"/>
    <n v="6"/>
    <n v="0.2"/>
    <n v="4"/>
    <n v="1.9519199922055461"/>
    <n v="0.8"/>
    <x v="0"/>
    <n v="0"/>
    <n v="0"/>
    <n v="0.90495480779242188"/>
    <n v="0"/>
    <n v="6.999999999999984E-2"/>
  </r>
  <r>
    <x v="273"/>
    <n v="2.4724453435903899"/>
    <n v="3.3449999999999998"/>
    <n v="7"/>
    <n v="0.2"/>
    <n v="5"/>
    <n v="2.446409060923624"/>
    <n v="1"/>
    <x v="1"/>
    <n v="2.446409060923624"/>
    <n v="0.89859093907637577"/>
    <n v="0.89859093907637577"/>
    <n v="-6.363868716046106E-3"/>
    <n v="6.999999999999984E-2"/>
  </r>
  <r>
    <x v="274"/>
    <n v="2.49665490312618"/>
    <n v="3.4349999999999996"/>
    <n v="1"/>
    <n v="0.2"/>
    <n v="1"/>
    <n v="0.49933098062523601"/>
    <n v="0.2"/>
    <x v="0"/>
    <n v="0"/>
    <n v="0"/>
    <n v="0.89859093907637577"/>
    <n v="0"/>
    <n v="8.9999999999999858E-2"/>
  </r>
  <r>
    <x v="275"/>
    <n v="2.5868571182044802"/>
    <n v="3.4349999999999996"/>
    <n v="2"/>
    <n v="0.2"/>
    <n v="2"/>
    <n v="1.0167024042661321"/>
    <n v="0.4"/>
    <x v="0"/>
    <n v="0"/>
    <n v="0"/>
    <n v="0.89859093907637577"/>
    <n v="0"/>
    <n v="8.9999999999999858E-2"/>
  </r>
  <r>
    <x v="276"/>
    <n v="2.6209995675214"/>
    <n v="3.4349999999999996"/>
    <n v="5"/>
    <n v="0.2"/>
    <n v="3"/>
    <n v="1.5409023177704122"/>
    <n v="0.60000000000000009"/>
    <x v="0"/>
    <n v="0"/>
    <n v="0"/>
    <n v="0.89859093907637577"/>
    <n v="0"/>
    <n v="8.9999999999999858E-2"/>
  </r>
  <r>
    <x v="277"/>
    <n v="2.6627244928863401"/>
    <n v="3.4349999999999996"/>
    <n v="6"/>
    <n v="0.2"/>
    <n v="4"/>
    <n v="2.07344721634768"/>
    <n v="0.8"/>
    <x v="0"/>
    <n v="0"/>
    <n v="0"/>
    <n v="0.89859093907637577"/>
    <n v="0"/>
    <n v="8.9999999999999858E-2"/>
  </r>
  <r>
    <x v="278"/>
    <n v="2.6618664133932302"/>
    <n v="3.4349999999999996"/>
    <n v="7"/>
    <n v="0.2"/>
    <n v="5"/>
    <n v="2.6058204990263261"/>
    <n v="1"/>
    <x v="1"/>
    <n v="2.6058204990263261"/>
    <n v="0.82917950097367354"/>
    <n v="0.82917950097367354"/>
    <n v="-6.9411438102702228E-2"/>
    <n v="8.9999999999999858E-2"/>
  </r>
  <r>
    <x v="279"/>
    <n v="2.5638774739999999"/>
    <n v="3.5149999999999997"/>
    <n v="1"/>
    <n v="0.2"/>
    <n v="1"/>
    <n v="0.51277549479999995"/>
    <n v="0.2"/>
    <x v="0"/>
    <n v="0"/>
    <n v="0"/>
    <n v="0.82917950097367354"/>
    <n v="0"/>
    <n v="8.0000000000000071E-2"/>
  </r>
  <r>
    <x v="280"/>
    <n v="2.6858134280305799"/>
    <n v="3.5149999999999997"/>
    <n v="2"/>
    <n v="0.2"/>
    <n v="2"/>
    <n v="1.0499381804061159"/>
    <n v="0.4"/>
    <x v="0"/>
    <n v="0"/>
    <n v="0"/>
    <n v="0.82917950097367354"/>
    <n v="0"/>
    <n v="8.0000000000000071E-2"/>
  </r>
  <r>
    <x v="281"/>
    <n v="2.7128835423314301"/>
    <n v="3.5149999999999997"/>
    <n v="5"/>
    <n v="0.2"/>
    <n v="3"/>
    <n v="1.5925148888724019"/>
    <n v="0.60000000000000009"/>
    <x v="0"/>
    <n v="0"/>
    <n v="0"/>
    <n v="0.82917950097367354"/>
    <n v="0"/>
    <n v="8.0000000000000071E-2"/>
  </r>
  <r>
    <x v="282"/>
    <n v="2.6645260639550199"/>
    <n v="3.5149999999999997"/>
    <n v="6"/>
    <n v="0.2"/>
    <n v="4"/>
    <n v="2.1254201016634058"/>
    <n v="0.8"/>
    <x v="0"/>
    <n v="0"/>
    <n v="0"/>
    <n v="0.82917950097367354"/>
    <n v="0"/>
    <n v="8.0000000000000071E-2"/>
  </r>
  <r>
    <x v="283"/>
    <n v="2.78843998218461"/>
    <n v="3.5149999999999997"/>
    <n v="7"/>
    <n v="0.2"/>
    <n v="5"/>
    <n v="2.6831080981003277"/>
    <n v="1"/>
    <x v="1"/>
    <n v="2.6831080981003277"/>
    <n v="0.83189190189967199"/>
    <n v="0.83189190189967199"/>
    <n v="2.7124009259984483E-3"/>
    <n v="8.0000000000000071E-2"/>
  </r>
  <r>
    <x v="284"/>
    <n v="2.8219074459123799"/>
    <n v="3.7600000000000002"/>
    <n v="1"/>
    <n v="0.2"/>
    <n v="1"/>
    <n v="0.56438148918247599"/>
    <n v="0.2"/>
    <x v="0"/>
    <n v="0"/>
    <n v="0"/>
    <n v="0.83189190189967199"/>
    <n v="0"/>
    <n v="0.24500000000000055"/>
  </r>
  <r>
    <x v="285"/>
    <n v="2.8149731764108399"/>
    <n v="3.7600000000000002"/>
    <n v="2"/>
    <n v="0.2"/>
    <n v="2"/>
    <n v="1.1273761244646439"/>
    <n v="0.4"/>
    <x v="0"/>
    <n v="0"/>
    <n v="0"/>
    <n v="0.83189190189967199"/>
    <n v="0"/>
    <n v="0.24500000000000055"/>
  </r>
  <r>
    <x v="286"/>
    <n v="2.9439593784478002"/>
    <n v="3.7600000000000002"/>
    <n v="6"/>
    <n v="0.2"/>
    <n v="3"/>
    <n v="1.7161680001542039"/>
    <n v="0.60000000000000009"/>
    <x v="0"/>
    <n v="0"/>
    <n v="0"/>
    <n v="0.83189190189967199"/>
    <n v="0"/>
    <n v="0.24500000000000055"/>
  </r>
  <r>
    <x v="287"/>
    <n v="2.9196928046626902"/>
    <n v="3.7600000000000002"/>
    <n v="7"/>
    <n v="0.2"/>
    <n v="4"/>
    <n v="2.3001065610867419"/>
    <n v="0.8"/>
    <x v="1"/>
    <n v="2.8751332013584272"/>
    <n v="0.88486679864157303"/>
    <n v="0.88486679864157303"/>
    <n v="5.2974896741901034E-2"/>
    <n v="0.24500000000000055"/>
  </r>
  <r>
    <x v="288"/>
    <n v="2.9046454407398898"/>
    <n v="3.835"/>
    <n v="1"/>
    <n v="0.2"/>
    <n v="1"/>
    <n v="0.58092908814797795"/>
    <n v="0.2"/>
    <x v="0"/>
    <n v="0"/>
    <n v="0"/>
    <n v="0.88486679864157303"/>
    <n v="0"/>
    <n v="7.4999999999999734E-2"/>
  </r>
  <r>
    <x v="289"/>
    <n v="2.95731349620652"/>
    <n v="3.835"/>
    <n v="2"/>
    <n v="0.2"/>
    <n v="2"/>
    <n v="1.172391787389282"/>
    <n v="0.4"/>
    <x v="0"/>
    <n v="0"/>
    <n v="0"/>
    <n v="0.88486679864157303"/>
    <n v="0"/>
    <n v="7.4999999999999734E-2"/>
  </r>
  <r>
    <x v="290"/>
    <n v="2.9603245306419401"/>
    <n v="3.835"/>
    <n v="5"/>
    <n v="0.2"/>
    <n v="3"/>
    <n v="1.76445669351767"/>
    <n v="0.60000000000000009"/>
    <x v="0"/>
    <n v="0"/>
    <n v="0"/>
    <n v="0.88486679864157303"/>
    <n v="0"/>
    <n v="7.4999999999999734E-2"/>
  </r>
  <r>
    <x v="291"/>
    <n v="2.9897357672895799"/>
    <n v="3.835"/>
    <n v="6"/>
    <n v="0.2"/>
    <n v="4"/>
    <n v="2.3624038469755861"/>
    <n v="0.8"/>
    <x v="0"/>
    <n v="0"/>
    <n v="0"/>
    <n v="0.88486679864157303"/>
    <n v="0"/>
    <n v="7.4999999999999734E-2"/>
  </r>
  <r>
    <x v="292"/>
    <n v="2.9737219853978498"/>
    <n v="3.835"/>
    <n v="7"/>
    <n v="0.2"/>
    <n v="5"/>
    <n v="2.9571482440551562"/>
    <n v="1"/>
    <x v="1"/>
    <n v="2.9571482440551562"/>
    <n v="0.87785175594484377"/>
    <n v="0.87785175594484377"/>
    <n v="-7.0150426967292567E-3"/>
    <n v="7.4999999999999734E-2"/>
  </r>
  <r>
    <x v="293"/>
    <n v="2.9363931746100702"/>
    <n v="3.9049999999999998"/>
    <n v="1"/>
    <n v="0.2"/>
    <n v="1"/>
    <n v="0.58727863492201404"/>
    <n v="0.2"/>
    <x v="0"/>
    <n v="0"/>
    <n v="0"/>
    <n v="0.87785175594484377"/>
    <n v="0"/>
    <n v="6.999999999999984E-2"/>
  </r>
  <r>
    <x v="294"/>
    <n v="2.9931159990094902"/>
    <n v="3.9049999999999998"/>
    <n v="2"/>
    <n v="0.2"/>
    <n v="2"/>
    <n v="1.1859018347239121"/>
    <n v="0.4"/>
    <x v="0"/>
    <n v="0"/>
    <n v="0"/>
    <n v="0.87785175594484377"/>
    <n v="0"/>
    <n v="6.999999999999984E-2"/>
  </r>
  <r>
    <x v="295"/>
    <n v="3.0187503286824402"/>
    <n v="3.9049999999999998"/>
    <n v="5"/>
    <n v="0.2"/>
    <n v="3"/>
    <n v="1.7896519004604001"/>
    <n v="0.60000000000000009"/>
    <x v="0"/>
    <n v="0"/>
    <n v="0"/>
    <n v="0.87785175594484377"/>
    <n v="0"/>
    <n v="6.999999999999984E-2"/>
  </r>
  <r>
    <x v="296"/>
    <n v="2.9886237940572"/>
    <n v="3.9049999999999998"/>
    <n v="6"/>
    <n v="0.2"/>
    <n v="4"/>
    <n v="2.3873766592718404"/>
    <n v="0.8"/>
    <x v="0"/>
    <n v="0"/>
    <n v="0"/>
    <n v="0.87785175594484377"/>
    <n v="0"/>
    <n v="6.999999999999984E-2"/>
  </r>
  <r>
    <x v="297"/>
    <n v="3.0172986003180302"/>
    <n v="3.9049999999999998"/>
    <n v="7"/>
    <n v="0.2"/>
    <n v="5"/>
    <n v="2.9908363793354464"/>
    <n v="1"/>
    <x v="1"/>
    <n v="2.9908363793354464"/>
    <n v="0.91416362066455337"/>
    <n v="0.91416362066455337"/>
    <n v="3.6311864719709597E-2"/>
    <n v="6.999999999999984E-2"/>
  </r>
  <r>
    <x v="298"/>
    <n v="2.97051771574304"/>
    <n v="3.8800000000000003"/>
    <n v="1"/>
    <n v="0.2"/>
    <n v="1"/>
    <n v="0.59410354314860803"/>
    <n v="0.2"/>
    <x v="0"/>
    <n v="0"/>
    <n v="0"/>
    <n v="0.91416362066455337"/>
    <n v="0"/>
    <n v="-2.4999999999999467E-2"/>
  </r>
  <r>
    <x v="299"/>
    <n v="2.93282407442446"/>
    <n v="3.8800000000000003"/>
    <n v="2"/>
    <n v="0.2"/>
    <n v="2"/>
    <n v="1.1806683580335"/>
    <n v="0.4"/>
    <x v="0"/>
    <n v="0"/>
    <n v="0"/>
    <n v="0.91416362066455337"/>
    <n v="0"/>
    <n v="-2.4999999999999467E-2"/>
  </r>
  <r>
    <x v="300"/>
    <n v="2.9838518305616502"/>
    <n v="3.8800000000000003"/>
    <n v="5"/>
    <n v="0.2"/>
    <n v="3"/>
    <n v="1.77743872414583"/>
    <n v="0.60000000000000009"/>
    <x v="0"/>
    <n v="0"/>
    <n v="0"/>
    <n v="0.91416362066455337"/>
    <n v="0"/>
    <n v="-2.4999999999999467E-2"/>
  </r>
  <r>
    <x v="301"/>
    <n v="2.9821306488123902"/>
    <n v="3.8800000000000003"/>
    <n v="6"/>
    <n v="0.2"/>
    <n v="4"/>
    <n v="2.3738648539083083"/>
    <n v="0.8"/>
    <x v="0"/>
    <n v="0"/>
    <n v="0"/>
    <n v="0.91416362066455337"/>
    <n v="0"/>
    <n v="-2.4999999999999467E-2"/>
  </r>
  <r>
    <x v="302"/>
    <n v="3.1273804098375502"/>
    <n v="3.8800000000000003"/>
    <n v="7"/>
    <n v="0.2"/>
    <n v="5"/>
    <n v="2.9993409358758183"/>
    <n v="1"/>
    <x v="1"/>
    <n v="2.9993409358758183"/>
    <n v="0.88065906412418204"/>
    <n v="0.88065906412418204"/>
    <n v="-3.3504556540371322E-2"/>
    <n v="-2.4999999999999467E-2"/>
  </r>
  <r>
    <x v="303"/>
    <n v="3.2731873242540099"/>
    <n v="4.41"/>
    <n v="1"/>
    <n v="0.2"/>
    <n v="1"/>
    <n v="0.65463746485080199"/>
    <n v="0.2"/>
    <x v="0"/>
    <n v="0"/>
    <n v="0"/>
    <n v="0.88065906412418204"/>
    <n v="0"/>
    <n v="0.5299999999999998"/>
  </r>
  <r>
    <x v="304"/>
    <n v="3.4290560333253501"/>
    <n v="4.41"/>
    <n v="2"/>
    <n v="0.2"/>
    <n v="2"/>
    <n v="1.3404486715158721"/>
    <n v="0.4"/>
    <x v="0"/>
    <n v="0"/>
    <n v="0"/>
    <n v="0.88065906412418204"/>
    <n v="0"/>
    <n v="0.5299999999999998"/>
  </r>
  <r>
    <x v="305"/>
    <n v="3.4842821250923999"/>
    <n v="4.41"/>
    <n v="5"/>
    <n v="0.2"/>
    <n v="3"/>
    <n v="2.037305096534352"/>
    <n v="0.60000000000000009"/>
    <x v="0"/>
    <n v="0"/>
    <n v="0"/>
    <n v="0.88065906412418204"/>
    <n v="0"/>
    <n v="0.5299999999999998"/>
  </r>
  <r>
    <x v="306"/>
    <n v="3.4979073592115801"/>
    <n v="4.41"/>
    <n v="6"/>
    <n v="0.2"/>
    <n v="4"/>
    <n v="2.7368865683766681"/>
    <n v="0.8"/>
    <x v="0"/>
    <n v="0"/>
    <n v="0"/>
    <n v="0.88065906412418204"/>
    <n v="0"/>
    <n v="0.5299999999999998"/>
  </r>
  <r>
    <x v="307"/>
    <n v="3.44274839511578"/>
    <n v="4.41"/>
    <n v="7"/>
    <n v="0.2"/>
    <n v="5"/>
    <n v="3.4254362473998241"/>
    <n v="1"/>
    <x v="1"/>
    <n v="3.4254362473998241"/>
    <n v="0.98456375260017603"/>
    <n v="0.98456375260017603"/>
    <n v="0.10390468847599399"/>
    <n v="0.5299999999999998"/>
  </r>
  <r>
    <x v="308"/>
    <n v="3.3206581307608101"/>
    <n v="4.2149999999999999"/>
    <n v="1"/>
    <n v="0.2"/>
    <n v="1"/>
    <n v="0.66413162615216204"/>
    <n v="0.2"/>
    <x v="0"/>
    <n v="0"/>
    <n v="0"/>
    <n v="0.98456375260017603"/>
    <n v="0"/>
    <n v="-0.19500000000000028"/>
  </r>
  <r>
    <x v="309"/>
    <n v="3.3094496735702101"/>
    <n v="4.2149999999999999"/>
    <n v="2"/>
    <n v="0.2"/>
    <n v="2"/>
    <n v="1.326021560866204"/>
    <n v="0.4"/>
    <x v="0"/>
    <n v="0"/>
    <n v="0"/>
    <n v="0.98456375260017603"/>
    <n v="0"/>
    <n v="-0.19500000000000028"/>
  </r>
  <r>
    <x v="310"/>
    <n v="3.2979461773808199"/>
    <n v="4.2149999999999999"/>
    <n v="5"/>
    <n v="0.2"/>
    <n v="3"/>
    <n v="1.9856107963423679"/>
    <n v="0.60000000000000009"/>
    <x v="0"/>
    <n v="0"/>
    <n v="0"/>
    <n v="0.98456375260017603"/>
    <n v="0"/>
    <n v="-0.19500000000000028"/>
  </r>
  <r>
    <x v="311"/>
    <n v="3.3118182496923301"/>
    <n v="4.2149999999999999"/>
    <n v="6"/>
    <n v="0.2"/>
    <n v="4"/>
    <n v="2.6479744462808341"/>
    <n v="0.8"/>
    <x v="0"/>
    <n v="0"/>
    <n v="0"/>
    <n v="0.98456375260017603"/>
    <n v="0"/>
    <n v="-0.19500000000000028"/>
  </r>
  <r>
    <x v="312"/>
    <n v="3.3689245044101299"/>
    <n v="4.2149999999999999"/>
    <n v="7"/>
    <n v="0.2"/>
    <n v="5"/>
    <n v="3.3217593471628604"/>
    <n v="1"/>
    <x v="1"/>
    <n v="3.3217593471628604"/>
    <n v="0.89324065283713949"/>
    <n v="0.89324065283713949"/>
    <n v="-9.1323099763036542E-2"/>
    <n v="-0.19500000000000028"/>
  </r>
  <r>
    <x v="313"/>
    <n v="3.6732513531495798"/>
    <n v="4.46"/>
    <n v="2"/>
    <n v="0.2"/>
    <n v="1"/>
    <n v="0.73465027062991606"/>
    <n v="0.2"/>
    <x v="0"/>
    <n v="0"/>
    <n v="0"/>
    <n v="0.89324065283713949"/>
    <n v="0"/>
    <n v="0.24500000000000011"/>
  </r>
  <r>
    <x v="314"/>
    <n v="3.5446391609564598"/>
    <n v="4.46"/>
    <n v="5"/>
    <n v="0.2"/>
    <n v="2"/>
    <n v="1.443578102821208"/>
    <n v="0.4"/>
    <x v="0"/>
    <n v="0"/>
    <n v="0"/>
    <n v="0.89324065283713949"/>
    <n v="0"/>
    <n v="0.24500000000000011"/>
  </r>
  <r>
    <x v="315"/>
    <n v="3.4880159980232399"/>
    <n v="4.46"/>
    <n v="6"/>
    <n v="0.2"/>
    <n v="3"/>
    <n v="2.1411813024258559"/>
    <n v="0.60000000000000009"/>
    <x v="0"/>
    <n v="0"/>
    <n v="0"/>
    <n v="0.89324065283713949"/>
    <n v="0"/>
    <n v="0.24500000000000011"/>
  </r>
  <r>
    <x v="316"/>
    <n v="3.58537205832996"/>
    <n v="4.46"/>
    <n v="7"/>
    <n v="0.2"/>
    <n v="4"/>
    <n v="2.8582557140918481"/>
    <n v="0.8"/>
    <x v="1"/>
    <n v="3.5728196426148098"/>
    <n v="0.88718035738519019"/>
    <n v="0.88718035738519019"/>
    <n v="-6.0602954519493046E-3"/>
    <n v="0.24500000000000011"/>
  </r>
  <r>
    <x v="317"/>
    <n v="3.4679725505405199"/>
    <n v="4.2949999999999999"/>
    <n v="1"/>
    <n v="0.2"/>
    <n v="1"/>
    <n v="0.69359451010810402"/>
    <n v="0.2"/>
    <x v="0"/>
    <n v="0"/>
    <n v="0"/>
    <n v="0.88718035738519019"/>
    <n v="0"/>
    <n v="-0.16500000000000004"/>
  </r>
  <r>
    <x v="318"/>
    <n v="3.4748173662638"/>
    <n v="4.2949999999999999"/>
    <n v="2"/>
    <n v="0.2"/>
    <n v="2"/>
    <n v="1.3885579833608641"/>
    <n v="0.4"/>
    <x v="0"/>
    <n v="0"/>
    <n v="0"/>
    <n v="0.88718035738519019"/>
    <n v="0"/>
    <n v="-0.16500000000000004"/>
  </r>
  <r>
    <x v="319"/>
    <n v="3.40503285889704"/>
    <n v="4.2949999999999999"/>
    <n v="5"/>
    <n v="0.2"/>
    <n v="3"/>
    <n v="2.0695645551402722"/>
    <n v="0.60000000000000009"/>
    <x v="0"/>
    <n v="0"/>
    <n v="0"/>
    <n v="0.88718035738519019"/>
    <n v="0"/>
    <n v="-0.16500000000000004"/>
  </r>
  <r>
    <x v="320"/>
    <n v="3.3914708524147601"/>
    <n v="4.2949999999999999"/>
    <n v="6"/>
    <n v="0.2"/>
    <n v="4"/>
    <n v="2.7478587256232241"/>
    <n v="0.8"/>
    <x v="0"/>
    <n v="0"/>
    <n v="0"/>
    <n v="0.88718035738519019"/>
    <n v="0"/>
    <n v="-0.16500000000000004"/>
  </r>
  <r>
    <x v="321"/>
    <n v="3.34386583598301"/>
    <n v="4.2949999999999999"/>
    <n v="7"/>
    <n v="0.2"/>
    <n v="5"/>
    <n v="3.4166318928198263"/>
    <n v="1"/>
    <x v="1"/>
    <n v="3.4166318928198263"/>
    <n v="0.87836810718017366"/>
    <n v="0.87836810718017366"/>
    <n v="-8.8122502050165252E-3"/>
    <n v="-0.16500000000000004"/>
  </r>
  <r>
    <x v="322"/>
    <n v="3.38884755763491"/>
    <n v="4.26"/>
    <n v="1"/>
    <n v="0.2"/>
    <n v="1"/>
    <n v="0.67776951152698206"/>
    <n v="0.2"/>
    <x v="0"/>
    <n v="0"/>
    <n v="0"/>
    <n v="0.87836810718017366"/>
    <n v="0"/>
    <n v="-3.5000000000000142E-2"/>
  </r>
  <r>
    <x v="323"/>
    <n v="3.3313912756576198"/>
    <n v="4.26"/>
    <n v="2"/>
    <n v="0.2"/>
    <n v="2"/>
    <n v="1.3440477666585062"/>
    <n v="0.4"/>
    <x v="0"/>
    <n v="0"/>
    <n v="0"/>
    <n v="0.87836810718017366"/>
    <n v="0"/>
    <n v="-3.5000000000000142E-2"/>
  </r>
  <r>
    <x v="324"/>
    <n v="3.3220828709767098"/>
    <n v="4.26"/>
    <n v="5"/>
    <n v="0.2"/>
    <n v="3"/>
    <n v="2.0084643408538483"/>
    <n v="0.60000000000000009"/>
    <x v="0"/>
    <n v="0"/>
    <n v="0"/>
    <n v="0.87836810718017366"/>
    <n v="0"/>
    <n v="-3.5000000000000142E-2"/>
  </r>
  <r>
    <x v="325"/>
    <n v="3.3639050543487601"/>
    <n v="4.26"/>
    <n v="6"/>
    <n v="0.2"/>
    <n v="4"/>
    <n v="2.6812453517236001"/>
    <n v="0.8"/>
    <x v="0"/>
    <n v="0"/>
    <n v="0"/>
    <n v="0.87836810718017366"/>
    <n v="0"/>
    <n v="-3.5000000000000142E-2"/>
  </r>
  <r>
    <x v="326"/>
    <n v="3.4296755954575699"/>
    <n v="4.26"/>
    <n v="7"/>
    <n v="0.2"/>
    <n v="5"/>
    <n v="3.3671804708151143"/>
    <n v="1"/>
    <x v="1"/>
    <n v="3.3671804708151143"/>
    <n v="0.8928195291848855"/>
    <n v="0.8928195291848855"/>
    <n v="1.4451422004711834E-2"/>
    <n v="-3.5000000000000142E-2"/>
  </r>
  <r>
    <x v="327"/>
    <n v="3.4407863915877401"/>
    <n v="4.3149999999999995"/>
    <n v="1"/>
    <n v="0.2"/>
    <n v="1"/>
    <n v="0.68815727831754803"/>
    <n v="0.2"/>
    <x v="0"/>
    <n v="0"/>
    <n v="0"/>
    <n v="0.8928195291848855"/>
    <n v="0"/>
    <n v="5.4999999999999716E-2"/>
  </r>
  <r>
    <x v="328"/>
    <n v="3.3953206082541598"/>
    <n v="4.3149999999999995"/>
    <n v="2"/>
    <n v="0.2"/>
    <n v="2"/>
    <n v="1.36722139996838"/>
    <n v="0.4"/>
    <x v="0"/>
    <n v="0"/>
    <n v="0"/>
    <n v="0.8928195291848855"/>
    <n v="0"/>
    <n v="5.4999999999999716E-2"/>
  </r>
  <r>
    <x v="329"/>
    <n v="3.4061464314062202"/>
    <n v="4.3149999999999995"/>
    <n v="5"/>
    <n v="0.2"/>
    <n v="3"/>
    <n v="2.0484506862496241"/>
    <n v="0.60000000000000009"/>
    <x v="0"/>
    <n v="0"/>
    <n v="0"/>
    <n v="0.8928195291848855"/>
    <n v="0"/>
    <n v="5.4999999999999716E-2"/>
  </r>
  <r>
    <x v="330"/>
    <n v="3.4285967572115399"/>
    <n v="4.3149999999999995"/>
    <n v="6"/>
    <n v="0.2"/>
    <n v="4"/>
    <n v="2.734170037691932"/>
    <n v="0.8"/>
    <x v="0"/>
    <n v="0"/>
    <n v="0"/>
    <n v="0.8928195291848855"/>
    <n v="0"/>
    <n v="5.4999999999999716E-2"/>
  </r>
  <r>
    <x v="331"/>
    <n v="3.4095392657433901"/>
    <n v="4.3149999999999995"/>
    <n v="7"/>
    <n v="0.2"/>
    <n v="5"/>
    <n v="3.4160778908406102"/>
    <n v="1"/>
    <x v="1"/>
    <n v="3.4160778908406102"/>
    <n v="0.8989221091593893"/>
    <n v="0.8989221091593893"/>
    <n v="6.1025799745038078E-3"/>
    <n v="5.4999999999999716E-2"/>
  </r>
  <r>
    <x v="332"/>
    <n v="3.5328707550914098"/>
    <n v="4.3250000000000002"/>
    <n v="1"/>
    <n v="0.2"/>
    <n v="1"/>
    <n v="0.70657415101828203"/>
    <n v="0.2"/>
    <x v="0"/>
    <n v="0"/>
    <n v="0"/>
    <n v="0.8989221091593893"/>
    <n v="0"/>
    <n v="1.0000000000000675E-2"/>
  </r>
  <r>
    <x v="333"/>
    <n v="3.4035662511479701"/>
    <n v="4.3250000000000002"/>
    <n v="2"/>
    <n v="0.2"/>
    <n v="2"/>
    <n v="1.387287401247876"/>
    <n v="0.4"/>
    <x v="0"/>
    <n v="0"/>
    <n v="0"/>
    <n v="0.8989221091593893"/>
    <n v="0"/>
    <n v="1.0000000000000675E-2"/>
  </r>
  <r>
    <x v="334"/>
    <n v="3.4178117990662802"/>
    <n v="4.3250000000000002"/>
    <n v="5"/>
    <n v="0.2"/>
    <n v="3"/>
    <n v="2.0708497610611323"/>
    <n v="0.60000000000000009"/>
    <x v="0"/>
    <n v="0"/>
    <n v="0"/>
    <n v="0.8989221091593893"/>
    <n v="0"/>
    <n v="1.0000000000000675E-2"/>
  </r>
  <r>
    <x v="335"/>
    <n v="3.44308693748463"/>
    <n v="4.3250000000000002"/>
    <n v="6"/>
    <n v="0.2"/>
    <n v="4"/>
    <n v="2.7594671485580582"/>
    <n v="0.8"/>
    <x v="0"/>
    <n v="0"/>
    <n v="0"/>
    <n v="0.8989221091593893"/>
    <n v="0"/>
    <n v="1.0000000000000675E-2"/>
  </r>
  <r>
    <x v="336"/>
    <n v="3.40952934683791"/>
    <n v="4.3250000000000002"/>
    <n v="7"/>
    <n v="0.2"/>
    <n v="5"/>
    <n v="3.4413730179256401"/>
    <n v="1"/>
    <x v="1"/>
    <n v="3.4413730179256401"/>
    <n v="0.88362698207436008"/>
    <n v="0.88362698207436008"/>
    <n v="-1.5295127085029225E-2"/>
    <n v="1.0000000000000675E-2"/>
  </r>
  <r>
    <x v="337"/>
    <n v="3.3814879030485301"/>
    <n v="4.3250000000000002"/>
    <n v="1"/>
    <n v="0.2"/>
    <n v="1"/>
    <n v="0.67629758060970602"/>
    <n v="0.2"/>
    <x v="0"/>
    <n v="0"/>
    <n v="0"/>
    <n v="0.88362698207436008"/>
    <n v="0"/>
    <n v="0"/>
  </r>
  <r>
    <x v="338"/>
    <n v="3.3639509131930398"/>
    <n v="4.3250000000000002"/>
    <n v="2"/>
    <n v="0.2"/>
    <n v="2"/>
    <n v="1.349087763248314"/>
    <n v="0.4"/>
    <x v="0"/>
    <n v="0"/>
    <n v="0"/>
    <n v="0.88362698207436008"/>
    <n v="0"/>
    <n v="0"/>
  </r>
  <r>
    <x v="339"/>
    <n v="3.38388390000057"/>
    <n v="4.3250000000000002"/>
    <n v="5"/>
    <n v="0.2"/>
    <n v="3"/>
    <n v="2.0258645432484279"/>
    <n v="0.60000000000000009"/>
    <x v="0"/>
    <n v="0"/>
    <n v="0"/>
    <n v="0.88362698207436008"/>
    <n v="0"/>
    <n v="0"/>
  </r>
  <r>
    <x v="340"/>
    <n v="3.48659769885389"/>
    <n v="4.3250000000000002"/>
    <n v="6"/>
    <n v="0.2"/>
    <n v="4"/>
    <n v="2.723184083019206"/>
    <n v="0.8"/>
    <x v="0"/>
    <n v="0"/>
    <n v="0"/>
    <n v="0.88362698207436008"/>
    <n v="0"/>
    <n v="0"/>
  </r>
  <r>
    <x v="341"/>
    <n v="3.48408848788866"/>
    <n v="4.3250000000000002"/>
    <n v="7"/>
    <n v="0.2"/>
    <n v="5"/>
    <n v="3.4200017805969383"/>
    <n v="1"/>
    <x v="1"/>
    <n v="3.4200017805969383"/>
    <n v="0.90499821940306191"/>
    <n v="0.90499821940306191"/>
    <n v="2.1371237328701831E-2"/>
    <n v="0"/>
  </r>
  <r>
    <x v="342"/>
    <n v="3.5424603238556802"/>
    <n v="4.53"/>
    <n v="1"/>
    <n v="0.2"/>
    <n v="1"/>
    <n v="0.70849206477113613"/>
    <n v="0.2"/>
    <x v="0"/>
    <n v="0"/>
    <n v="0"/>
    <n v="0.90499821940306191"/>
    <n v="0"/>
    <n v="0.20500000000000007"/>
  </r>
  <r>
    <x v="343"/>
    <n v="3.63422852757154"/>
    <n v="4.53"/>
    <n v="2"/>
    <n v="0.2"/>
    <n v="2"/>
    <n v="1.4353377702854442"/>
    <n v="0.4"/>
    <x v="0"/>
    <n v="0"/>
    <n v="0"/>
    <n v="0.90499821940306191"/>
    <n v="0"/>
    <n v="0.20500000000000007"/>
  </r>
  <r>
    <x v="344"/>
    <n v="3.71104784086622"/>
    <n v="4.53"/>
    <n v="5"/>
    <n v="0.2"/>
    <n v="3"/>
    <n v="2.1775473384586883"/>
    <n v="0.60000000000000009"/>
    <x v="0"/>
    <n v="0"/>
    <n v="0"/>
    <n v="0.90499821940306191"/>
    <n v="0"/>
    <n v="0.20500000000000007"/>
  </r>
  <r>
    <x v="345"/>
    <n v="3.63068303363114"/>
    <n v="4.53"/>
    <n v="6"/>
    <n v="0.2"/>
    <n v="4"/>
    <n v="2.9036839451849161"/>
    <n v="0.8"/>
    <x v="0"/>
    <n v="0"/>
    <n v="0"/>
    <n v="0.90499821940306191"/>
    <n v="0"/>
    <n v="0.20500000000000007"/>
  </r>
  <r>
    <x v="346"/>
    <n v="3.6746442970123199"/>
    <n v="4.53"/>
    <n v="7"/>
    <n v="0.2"/>
    <n v="5"/>
    <n v="3.63861280458738"/>
    <n v="1"/>
    <x v="1"/>
    <n v="3.63861280458738"/>
    <n v="0.89138719541262024"/>
    <n v="0.89138719541262024"/>
    <n v="-1.3611023990441673E-2"/>
    <n v="0.20500000000000007"/>
  </r>
  <r>
    <x v="347"/>
    <n v="3.7101937917241501"/>
    <n v="4.4349999999999996"/>
    <n v="1"/>
    <n v="0.2"/>
    <n v="1"/>
    <n v="0.74203875834483002"/>
    <n v="0.2"/>
    <x v="0"/>
    <n v="0"/>
    <n v="0"/>
    <n v="0.89138719541262024"/>
    <n v="0"/>
    <n v="-9.5000000000000639E-2"/>
  </r>
  <r>
    <x v="348"/>
    <n v="3.6014591745782401"/>
    <n v="4.4349999999999996"/>
    <n v="2"/>
    <n v="0.2"/>
    <n v="2"/>
    <n v="1.4623305932604782"/>
    <n v="0.4"/>
    <x v="0"/>
    <n v="0"/>
    <n v="0"/>
    <n v="0.89138719541262024"/>
    <n v="0"/>
    <n v="-9.5000000000000639E-2"/>
  </r>
  <r>
    <x v="349"/>
    <n v="3.5649427405180001"/>
    <n v="4.4349999999999996"/>
    <n v="5"/>
    <n v="0.2"/>
    <n v="3"/>
    <n v="2.1753191413640782"/>
    <n v="0.60000000000000009"/>
    <x v="0"/>
    <n v="0"/>
    <n v="0"/>
    <n v="0.89138719541262024"/>
    <n v="0"/>
    <n v="-9.5000000000000639E-2"/>
  </r>
  <r>
    <x v="350"/>
    <n v="3.4950120682199999"/>
    <n v="4.4349999999999996"/>
    <n v="6"/>
    <n v="0.2"/>
    <n v="4"/>
    <n v="2.8743215550080783"/>
    <n v="0.8"/>
    <x v="0"/>
    <n v="0"/>
    <n v="0"/>
    <n v="0.89138719541262024"/>
    <n v="0"/>
    <n v="-9.5000000000000639E-2"/>
  </r>
  <r>
    <x v="351"/>
    <n v="3.5645215625566"/>
    <n v="4.4349999999999996"/>
    <n v="7"/>
    <n v="0.2"/>
    <n v="5"/>
    <n v="3.5872258675193982"/>
    <n v="1"/>
    <x v="1"/>
    <n v="3.5872258675193982"/>
    <n v="0.84777413248060141"/>
    <n v="0.84777413248060141"/>
    <n v="-4.3613062932018831E-2"/>
    <n v="-9.5000000000000639E-2"/>
  </r>
  <r>
    <x v="352"/>
    <n v="3.5163998212649701"/>
    <n v="4.4950000000000001"/>
    <n v="1"/>
    <n v="0.2"/>
    <n v="1"/>
    <n v="0.70327996425299411"/>
    <n v="0.2"/>
    <x v="0"/>
    <n v="0"/>
    <n v="0"/>
    <n v="0.84777413248060141"/>
    <n v="0"/>
    <n v="6.0000000000000497E-2"/>
  </r>
  <r>
    <x v="353"/>
    <n v="3.5181082868119602"/>
    <n v="4.4950000000000001"/>
    <n v="2"/>
    <n v="0.2"/>
    <n v="2"/>
    <n v="1.4069016216153862"/>
    <n v="0.4"/>
    <x v="0"/>
    <n v="0"/>
    <n v="0"/>
    <n v="0.84777413248060141"/>
    <n v="0"/>
    <n v="6.0000000000000497E-2"/>
  </r>
  <r>
    <x v="354"/>
    <n v="3.6230343632850399"/>
    <n v="4.4950000000000001"/>
    <n v="6"/>
    <n v="0.2"/>
    <n v="3"/>
    <n v="2.1315084942723943"/>
    <n v="0.60000000000000009"/>
    <x v="0"/>
    <n v="0"/>
    <n v="0"/>
    <n v="0.84777413248060141"/>
    <n v="0"/>
    <n v="6.0000000000000497E-2"/>
  </r>
  <r>
    <x v="355"/>
    <n v="3.6795741616596702"/>
    <n v="4.4950000000000001"/>
    <n v="7"/>
    <n v="0.2"/>
    <n v="4"/>
    <n v="2.8674233266043285"/>
    <n v="0.8"/>
    <x v="1"/>
    <n v="3.5842791582554105"/>
    <n v="0.91072084174458956"/>
    <n v="0.91072084174458956"/>
    <n v="6.2946709263988154E-2"/>
    <n v="6.0000000000000497E-2"/>
  </r>
  <r>
    <x v="356"/>
    <n v="3.7866951063074699"/>
    <n v="4.5200000000000005"/>
    <n v="1"/>
    <n v="0.2"/>
    <n v="1"/>
    <n v="0.75733902126149399"/>
    <n v="0.2"/>
    <x v="0"/>
    <n v="0"/>
    <n v="0"/>
    <n v="0.91072084174458956"/>
    <n v="0"/>
    <n v="2.5000000000000355E-2"/>
  </r>
  <r>
    <x v="357"/>
    <n v="3.7212376856688798"/>
    <n v="4.5200000000000005"/>
    <n v="2"/>
    <n v="0.2"/>
    <n v="2"/>
    <n v="1.5015865583952701"/>
    <n v="0.4"/>
    <x v="0"/>
    <n v="0"/>
    <n v="0"/>
    <n v="0.91072084174458956"/>
    <n v="0"/>
    <n v="2.5000000000000355E-2"/>
  </r>
  <r>
    <x v="358"/>
    <n v="3.6494917316156599"/>
    <n v="4.5200000000000005"/>
    <n v="5"/>
    <n v="0.2"/>
    <n v="3"/>
    <n v="2.231484904718402"/>
    <n v="0.60000000000000009"/>
    <x v="0"/>
    <n v="0"/>
    <n v="0"/>
    <n v="0.91072084174458956"/>
    <n v="0"/>
    <n v="2.5000000000000355E-2"/>
  </r>
  <r>
    <x v="359"/>
    <n v="3.70255706458429"/>
    <n v="4.5200000000000005"/>
    <n v="6"/>
    <n v="0.2"/>
    <n v="4"/>
    <n v="2.9719963176352602"/>
    <n v="0.8"/>
    <x v="0"/>
    <n v="0"/>
    <n v="0"/>
    <n v="0.91072084174458956"/>
    <n v="0"/>
    <n v="2.5000000000000355E-2"/>
  </r>
  <r>
    <x v="360"/>
    <n v="3.66717920569566"/>
    <n v="4.5200000000000005"/>
    <n v="7"/>
    <n v="0.2"/>
    <n v="5"/>
    <n v="3.7054321587743924"/>
    <n v="1"/>
    <x v="1"/>
    <n v="3.7054321587743924"/>
    <n v="0.8145678412256081"/>
    <n v="0.8145678412256081"/>
    <n v="-9.6153000518981457E-2"/>
    <n v="2.5000000000000355E-2"/>
  </r>
  <r>
    <x v="361"/>
    <n v="3.6662950351399499"/>
    <n v="4.4249999999999998"/>
    <n v="1"/>
    <n v="0.2"/>
    <n v="1"/>
    <n v="0.73325900702799007"/>
    <n v="0.2"/>
    <x v="0"/>
    <n v="0"/>
    <n v="0"/>
    <n v="0.8145678412256081"/>
    <n v="0"/>
    <n v="-9.5000000000000639E-2"/>
  </r>
  <r>
    <x v="362"/>
    <n v="3.65073359446493"/>
    <n v="4.4249999999999998"/>
    <n v="2"/>
    <n v="0.2"/>
    <n v="2"/>
    <n v="1.4634057259209761"/>
    <n v="0.4"/>
    <x v="0"/>
    <n v="0"/>
    <n v="0"/>
    <n v="0.8145678412256081"/>
    <n v="0"/>
    <n v="-9.5000000000000639E-2"/>
  </r>
  <r>
    <x v="363"/>
    <n v="3.6050291044242799"/>
    <n v="4.4249999999999998"/>
    <n v="5"/>
    <n v="0.2"/>
    <n v="3"/>
    <n v="2.184411546805832"/>
    <n v="0.60000000000000009"/>
    <x v="0"/>
    <n v="0"/>
    <n v="0"/>
    <n v="0.8145678412256081"/>
    <n v="0"/>
    <n v="-9.5000000000000639E-2"/>
  </r>
  <r>
    <x v="364"/>
    <n v="3.5862960100393702"/>
    <n v="4.4249999999999998"/>
    <n v="6"/>
    <n v="0.2"/>
    <n v="4"/>
    <n v="2.9016707488137063"/>
    <n v="0.8"/>
    <x v="0"/>
    <n v="0"/>
    <n v="0"/>
    <n v="0.8145678412256081"/>
    <n v="0"/>
    <n v="-9.5000000000000639E-2"/>
  </r>
  <r>
    <x v="365"/>
    <n v="3.4041075181539902"/>
    <n v="4.4249999999999998"/>
    <n v="7"/>
    <n v="0.2"/>
    <n v="5"/>
    <n v="3.5824922524445046"/>
    <n v="1"/>
    <x v="1"/>
    <n v="3.5824922524445046"/>
    <n v="0.84250774755549518"/>
    <n v="0.84250774755549518"/>
    <n v="2.7939906329887076E-2"/>
    <n v="-9.5000000000000639E-2"/>
  </r>
  <r>
    <x v="366"/>
    <n v="3.4234814698257399"/>
    <n v="4.2450000000000001"/>
    <n v="1"/>
    <n v="0.2"/>
    <n v="1"/>
    <n v="0.68469629396514797"/>
    <n v="0.2"/>
    <x v="0"/>
    <n v="0"/>
    <n v="0"/>
    <n v="0.84250774755549518"/>
    <n v="0"/>
    <n v="-0.17999999999999972"/>
  </r>
  <r>
    <x v="367"/>
    <n v="3.43160773905766"/>
    <n v="4.2450000000000001"/>
    <n v="2"/>
    <n v="0.2"/>
    <n v="2"/>
    <n v="1.3710178417766801"/>
    <n v="0.4"/>
    <x v="0"/>
    <n v="0"/>
    <n v="0"/>
    <n v="0.84250774755549518"/>
    <n v="0"/>
    <n v="-0.17999999999999972"/>
  </r>
  <r>
    <x v="368"/>
    <n v="3.4029034600998802"/>
    <n v="4.2450000000000001"/>
    <n v="5"/>
    <n v="0.2"/>
    <n v="3"/>
    <n v="2.051598533796656"/>
    <n v="0.60000000000000009"/>
    <x v="0"/>
    <n v="0"/>
    <n v="0"/>
    <n v="0.84250774755549518"/>
    <n v="0"/>
    <n v="-0.17999999999999972"/>
  </r>
  <r>
    <x v="369"/>
    <n v="3.34069195374131"/>
    <n v="4.2450000000000001"/>
    <n v="6"/>
    <n v="0.2"/>
    <n v="4"/>
    <n v="2.7197369245449181"/>
    <n v="0.8"/>
    <x v="0"/>
    <n v="0"/>
    <n v="0"/>
    <n v="0.84250774755549518"/>
    <n v="0"/>
    <n v="-0.17999999999999972"/>
  </r>
  <r>
    <x v="370"/>
    <n v="3.2961562018547901"/>
    <n v="4.2450000000000001"/>
    <n v="7"/>
    <n v="0.2"/>
    <n v="5"/>
    <n v="3.378968164915876"/>
    <n v="1"/>
    <x v="1"/>
    <n v="3.378968164915876"/>
    <n v="0.86603183508412407"/>
    <n v="0.86603183508412407"/>
    <n v="2.352408752862889E-2"/>
    <n v="-0.17999999999999972"/>
  </r>
  <r>
    <x v="371"/>
    <n v="3.3233487722912298"/>
    <n v="4.1449999999999996"/>
    <n v="1"/>
    <n v="0.2"/>
    <n v="1"/>
    <n v="0.66466975445824605"/>
    <n v="0.2"/>
    <x v="0"/>
    <n v="0"/>
    <n v="0"/>
    <n v="0.86603183508412407"/>
    <n v="0"/>
    <n v="-0.10000000000000053"/>
  </r>
  <r>
    <x v="372"/>
    <n v="3.2948871217977098"/>
    <n v="4.1449999999999996"/>
    <n v="2"/>
    <n v="0.2"/>
    <n v="2"/>
    <n v="1.3236471788177879"/>
    <n v="0.4"/>
    <x v="0"/>
    <n v="0"/>
    <n v="0"/>
    <n v="0.86603183508412407"/>
    <n v="0"/>
    <n v="-0.10000000000000053"/>
  </r>
  <r>
    <x v="373"/>
    <n v="3.2952489842634298"/>
    <n v="4.1449999999999996"/>
    <n v="5"/>
    <n v="0.2"/>
    <n v="3"/>
    <n v="1.982696975670474"/>
    <n v="0.60000000000000009"/>
    <x v="0"/>
    <n v="0"/>
    <n v="0"/>
    <n v="0.86603183508412407"/>
    <n v="0"/>
    <n v="-0.10000000000000053"/>
  </r>
  <r>
    <x v="374"/>
    <n v="3.31544213268957"/>
    <n v="4.1449999999999996"/>
    <n v="6"/>
    <n v="0.2"/>
    <n v="4"/>
    <n v="2.645785402208388"/>
    <n v="0.8"/>
    <x v="0"/>
    <n v="0"/>
    <n v="0"/>
    <n v="0.86603183508412407"/>
    <n v="0"/>
    <n v="-0.10000000000000053"/>
  </r>
  <r>
    <x v="375"/>
    <n v="3.3078730296866699"/>
    <n v="4.1449999999999996"/>
    <n v="7"/>
    <n v="0.2"/>
    <n v="5"/>
    <n v="3.307360008145722"/>
    <n v="1"/>
    <x v="1"/>
    <n v="3.307360008145722"/>
    <n v="0.83763999185427762"/>
    <n v="0.83763999185427762"/>
    <n v="-2.8391843229846447E-2"/>
    <n v="-0.10000000000000053"/>
  </r>
  <r>
    <x v="376"/>
    <n v="3.2850779326666601"/>
    <n v="4.1550000000000002"/>
    <n v="1"/>
    <n v="0.2"/>
    <n v="1"/>
    <n v="0.65701558653333203"/>
    <n v="0.2"/>
    <x v="0"/>
    <n v="0"/>
    <n v="0"/>
    <n v="0.83763999185427762"/>
    <n v="0"/>
    <n v="1.0000000000000675E-2"/>
  </r>
  <r>
    <x v="377"/>
    <n v="3.3143904621736602"/>
    <n v="4.1550000000000002"/>
    <n v="2"/>
    <n v="0.2"/>
    <n v="2"/>
    <n v="1.319893678968064"/>
    <n v="0.4"/>
    <x v="0"/>
    <n v="0"/>
    <n v="0"/>
    <n v="0.83763999185427762"/>
    <n v="0"/>
    <n v="1.0000000000000675E-2"/>
  </r>
  <r>
    <x v="378"/>
    <n v="3.3152163432269299"/>
    <n v="4.1550000000000002"/>
    <n v="5"/>
    <n v="0.2"/>
    <n v="3"/>
    <n v="1.98293694761345"/>
    <n v="0.60000000000000009"/>
    <x v="0"/>
    <n v="0"/>
    <n v="0"/>
    <n v="0.83763999185427762"/>
    <n v="0"/>
    <n v="1.0000000000000675E-2"/>
  </r>
  <r>
    <x v="379"/>
    <n v="3.32900541071837"/>
    <n v="4.1550000000000002"/>
    <n v="6"/>
    <n v="0.2"/>
    <n v="4"/>
    <n v="2.6487380297571241"/>
    <n v="0.8"/>
    <x v="0"/>
    <n v="0"/>
    <n v="0"/>
    <n v="0.83763999185427762"/>
    <n v="0"/>
    <n v="1.0000000000000675E-2"/>
  </r>
  <r>
    <x v="380"/>
    <n v="3.3312145702916398"/>
    <n v="4.1550000000000002"/>
    <n v="7"/>
    <n v="0.2"/>
    <n v="5"/>
    <n v="3.3149809438154523"/>
    <n v="1"/>
    <x v="1"/>
    <n v="3.3149809438154523"/>
    <n v="0.84001905618454797"/>
    <n v="0.84001905618454797"/>
    <n v="2.3790643302703529E-3"/>
    <n v="1.0000000000000675E-2"/>
  </r>
  <r>
    <x v="381"/>
    <n v="3.3459270723169801"/>
    <n v="4.2050000000000001"/>
    <n v="1"/>
    <n v="0.2"/>
    <n v="1"/>
    <n v="0.66918541446339608"/>
    <n v="0.2"/>
    <x v="0"/>
    <n v="0"/>
    <n v="0"/>
    <n v="0.84001905618454797"/>
    <n v="0"/>
    <n v="4.9999999999999822E-2"/>
  </r>
  <r>
    <x v="382"/>
    <n v="3.3488826952464001"/>
    <n v="4.2050000000000001"/>
    <n v="2"/>
    <n v="0.2"/>
    <n v="2"/>
    <n v="1.3389619535126762"/>
    <n v="0.4"/>
    <x v="0"/>
    <n v="0"/>
    <n v="0"/>
    <n v="0.84001905618454797"/>
    <n v="0"/>
    <n v="4.9999999999999822E-2"/>
  </r>
  <r>
    <x v="383"/>
    <n v="3.3897329963191098"/>
    <n v="4.2050000000000001"/>
    <n v="6"/>
    <n v="0.2"/>
    <n v="3"/>
    <n v="2.0169085527764983"/>
    <n v="0.60000000000000009"/>
    <x v="0"/>
    <n v="0"/>
    <n v="0"/>
    <n v="0.84001905618454797"/>
    <n v="0"/>
    <n v="4.9999999999999822E-2"/>
  </r>
  <r>
    <x v="384"/>
    <n v="3.34533036324394"/>
    <n v="4.2050000000000001"/>
    <n v="7"/>
    <n v="0.2"/>
    <n v="4"/>
    <n v="2.6859746254252865"/>
    <n v="0.8"/>
    <x v="1"/>
    <n v="3.3574682817816082"/>
    <n v="0.84753171821839191"/>
    <n v="0.84753171821839191"/>
    <n v="7.5126620338439309E-3"/>
    <n v="4.9999999999999822E-2"/>
  </r>
  <r>
    <x v="385"/>
    <n v="3.2546149111271299"/>
    <n v="4.08"/>
    <n v="1"/>
    <n v="0.2"/>
    <n v="1"/>
    <n v="0.65092298222542599"/>
    <n v="0.2"/>
    <x v="0"/>
    <n v="0"/>
    <n v="0"/>
    <n v="0.84753171821839191"/>
    <n v="0"/>
    <n v="-0.125"/>
  </r>
  <r>
    <x v="386"/>
    <n v="3.2585675716606302"/>
    <n v="4.08"/>
    <n v="2"/>
    <n v="0.2"/>
    <n v="2"/>
    <n v="1.3026364965575521"/>
    <n v="0.4"/>
    <x v="0"/>
    <n v="0"/>
    <n v="0"/>
    <n v="0.84753171821839191"/>
    <n v="0"/>
    <n v="-0.125"/>
  </r>
  <r>
    <x v="387"/>
    <n v="3.2809533512237801"/>
    <n v="4.08"/>
    <n v="5"/>
    <n v="0.2"/>
    <n v="3"/>
    <n v="1.9588271668023083"/>
    <n v="0.60000000000000009"/>
    <x v="0"/>
    <n v="0"/>
    <n v="0"/>
    <n v="0.84753171821839191"/>
    <n v="0"/>
    <n v="-0.125"/>
  </r>
  <r>
    <x v="388"/>
    <n v="3.18365964576661"/>
    <n v="4.08"/>
    <n v="6"/>
    <n v="0.2"/>
    <n v="4"/>
    <n v="2.5955590959556303"/>
    <n v="0.8"/>
    <x v="0"/>
    <n v="0"/>
    <n v="0"/>
    <n v="0.84753171821839191"/>
    <n v="0"/>
    <n v="-0.125"/>
  </r>
  <r>
    <x v="389"/>
    <n v="3.1541714940092298"/>
    <n v="4.08"/>
    <n v="7"/>
    <n v="0.2"/>
    <n v="5"/>
    <n v="3.2263933947574763"/>
    <n v="1"/>
    <x v="1"/>
    <n v="3.2263933947574763"/>
    <n v="0.85360660524252374"/>
    <n v="0.85360660524252374"/>
    <n v="6.0748870241318365E-3"/>
    <n v="-0.125"/>
  </r>
  <r>
    <x v="390"/>
    <n v="3.1772287212477002"/>
    <n v="4.0249999999999995"/>
    <n v="1"/>
    <n v="0.2"/>
    <n v="1"/>
    <n v="0.63544574424954003"/>
    <n v="0.2"/>
    <x v="0"/>
    <n v="0"/>
    <n v="0"/>
    <n v="0.85360660524252374"/>
    <n v="0"/>
    <n v="-5.5000000000000604E-2"/>
  </r>
  <r>
    <x v="391"/>
    <n v="3.1521212861919801"/>
    <n v="4.0249999999999995"/>
    <n v="2"/>
    <n v="0.2"/>
    <n v="2"/>
    <n v="1.265870001487936"/>
    <n v="0.4"/>
    <x v="0"/>
    <n v="0"/>
    <n v="0"/>
    <n v="0.85360660524252374"/>
    <n v="0"/>
    <n v="-5.5000000000000604E-2"/>
  </r>
  <r>
    <x v="392"/>
    <n v="3.1593236616906499"/>
    <n v="4.0249999999999995"/>
    <n v="5"/>
    <n v="0.2"/>
    <n v="3"/>
    <n v="1.8977347338260659"/>
    <n v="0.60000000000000009"/>
    <x v="0"/>
    <n v="0"/>
    <n v="0"/>
    <n v="0.85360660524252374"/>
    <n v="0"/>
    <n v="-5.5000000000000604E-2"/>
  </r>
  <r>
    <x v="393"/>
    <n v="3.1543237441163701"/>
    <n v="4.0249999999999995"/>
    <n v="6"/>
    <n v="0.2"/>
    <n v="4"/>
    <n v="2.5285994826493399"/>
    <n v="0.8"/>
    <x v="0"/>
    <n v="0"/>
    <n v="0"/>
    <n v="0.85360660524252374"/>
    <n v="0"/>
    <n v="-5.5000000000000604E-2"/>
  </r>
  <r>
    <x v="394"/>
    <n v="3.1611386444386498"/>
    <n v="4.0249999999999995"/>
    <n v="7"/>
    <n v="0.2"/>
    <n v="5"/>
    <n v="3.1608272115370699"/>
    <n v="1"/>
    <x v="1"/>
    <n v="3.1608272115370699"/>
    <n v="0.86417278846292955"/>
    <n v="0.86417278846292955"/>
    <n v="1.0566183220405811E-2"/>
    <n v="-5.5000000000000604E-2"/>
  </r>
  <r>
    <x v="395"/>
    <n v="3.1803565883984102"/>
    <n v="4.1100000000000003"/>
    <n v="1"/>
    <n v="0.2"/>
    <n v="1"/>
    <n v="0.63607131767968206"/>
    <n v="0.2"/>
    <x v="0"/>
    <n v="0"/>
    <n v="0"/>
    <n v="0.86417278846292955"/>
    <n v="0"/>
    <n v="8.5000000000000853E-2"/>
  </r>
  <r>
    <x v="396"/>
    <n v="3.25928309164834"/>
    <n v="4.1100000000000003"/>
    <n v="2"/>
    <n v="0.2"/>
    <n v="2"/>
    <n v="1.2879279360093501"/>
    <n v="0.4"/>
    <x v="0"/>
    <n v="0"/>
    <n v="0"/>
    <n v="0.86417278846292955"/>
    <n v="0"/>
    <n v="8.5000000000000853E-2"/>
  </r>
  <r>
    <x v="397"/>
    <n v="3.2387584524434998"/>
    <n v="4.1100000000000003"/>
    <n v="5"/>
    <n v="0.2"/>
    <n v="3"/>
    <n v="1.93567962649805"/>
    <n v="0.60000000000000009"/>
    <x v="0"/>
    <n v="0"/>
    <n v="0"/>
    <n v="0.86417278846292955"/>
    <n v="0"/>
    <n v="8.5000000000000853E-2"/>
  </r>
  <r>
    <x v="398"/>
    <n v="3.31200880777374"/>
    <n v="4.1100000000000003"/>
    <n v="6"/>
    <n v="0.2"/>
    <n v="4"/>
    <n v="2.598081388052798"/>
    <n v="0.8"/>
    <x v="0"/>
    <n v="0"/>
    <n v="0"/>
    <n v="0.86417278846292955"/>
    <n v="0"/>
    <n v="8.5000000000000853E-2"/>
  </r>
  <r>
    <x v="399"/>
    <n v="3.2997347907142101"/>
    <n v="4.1100000000000003"/>
    <n v="7"/>
    <n v="0.2"/>
    <n v="5"/>
    <n v="3.2580283461956401"/>
    <n v="1"/>
    <x v="1"/>
    <n v="3.2580283461956401"/>
    <n v="0.85197165380436024"/>
    <n v="0.85197165380436024"/>
    <n v="-1.2201134658569313E-2"/>
    <n v="8.5000000000000853E-2"/>
  </r>
  <r>
    <x v="400"/>
    <n v="3.2915305734964"/>
    <n v="4.2749999999999995"/>
    <n v="1"/>
    <n v="0.2"/>
    <n v="1"/>
    <n v="0.65830611469928002"/>
    <n v="0.2"/>
    <x v="0"/>
    <n v="0"/>
    <n v="0"/>
    <n v="0.85197165380436024"/>
    <n v="0"/>
    <n v="0.16499999999999915"/>
  </r>
  <r>
    <x v="401"/>
    <n v="3.4185329478981301"/>
    <n v="4.2749999999999995"/>
    <n v="2"/>
    <n v="0.2"/>
    <n v="2"/>
    <n v="1.3420127042789061"/>
    <n v="0.4"/>
    <x v="0"/>
    <n v="0"/>
    <n v="0"/>
    <n v="0.85197165380436024"/>
    <n v="0"/>
    <n v="0.16499999999999915"/>
  </r>
  <r>
    <x v="402"/>
    <n v="3.42394236396553"/>
    <n v="4.2749999999999995"/>
    <n v="6"/>
    <n v="0.2"/>
    <n v="3"/>
    <n v="2.026801177072012"/>
    <n v="0.60000000000000009"/>
    <x v="0"/>
    <n v="0"/>
    <n v="0"/>
    <n v="0.85197165380436024"/>
    <n v="0"/>
    <n v="0.16499999999999915"/>
  </r>
  <r>
    <x v="403"/>
    <n v="3.3863287913399098"/>
    <n v="4.2749999999999995"/>
    <n v="7"/>
    <n v="0.2"/>
    <n v="4"/>
    <n v="2.704066935339994"/>
    <n v="0.8"/>
    <x v="1"/>
    <n v="3.3800836691749923"/>
    <n v="0.89491633082500721"/>
    <n v="0.89491633082500721"/>
    <n v="4.2944677020646971E-2"/>
    <n v="0.16499999999999915"/>
  </r>
  <r>
    <x v="404"/>
    <n v="3.33440232330382"/>
    <n v="4.1449999999999996"/>
    <n v="1"/>
    <n v="0.2"/>
    <n v="1"/>
    <n v="0.66688046466076401"/>
    <n v="0.2"/>
    <x v="0"/>
    <n v="0"/>
    <n v="0"/>
    <n v="0.89491633082500721"/>
    <n v="0"/>
    <n v="-0.12999999999999989"/>
  </r>
  <r>
    <x v="405"/>
    <n v="3.3274975263328299"/>
    <n v="4.1449999999999996"/>
    <n v="2"/>
    <n v="0.2"/>
    <n v="2"/>
    <n v="1.33237996992733"/>
    <n v="0.4"/>
    <x v="0"/>
    <n v="0"/>
    <n v="0"/>
    <n v="0.89491633082500721"/>
    <n v="0"/>
    <n v="-0.12999999999999989"/>
  </r>
  <r>
    <x v="406"/>
    <n v="3.2892170945558501"/>
    <n v="4.1449999999999996"/>
    <n v="5"/>
    <n v="0.2"/>
    <n v="3"/>
    <n v="1.9902233888384999"/>
    <n v="0.60000000000000009"/>
    <x v="0"/>
    <n v="0"/>
    <n v="0"/>
    <n v="0.89491633082500721"/>
    <n v="0"/>
    <n v="-0.12999999999999989"/>
  </r>
  <r>
    <x v="407"/>
    <n v="3.3249162804545902"/>
    <n v="4.1449999999999996"/>
    <n v="6"/>
    <n v="0.2"/>
    <n v="4"/>
    <n v="2.655206644929418"/>
    <n v="0.8"/>
    <x v="0"/>
    <n v="0"/>
    <n v="0"/>
    <n v="0.89491633082500721"/>
    <n v="0"/>
    <n v="-0.12999999999999989"/>
  </r>
  <r>
    <x v="408"/>
    <n v="3.3953888640544201"/>
    <n v="4.1449999999999996"/>
    <n v="7"/>
    <n v="0.2"/>
    <n v="5"/>
    <n v="3.3342844177403022"/>
    <n v="1"/>
    <x v="1"/>
    <n v="3.3342844177403022"/>
    <n v="0.81071558225969742"/>
    <n v="0.81071558225969742"/>
    <n v="-8.4200748565309791E-2"/>
    <n v="-0.12999999999999989"/>
  </r>
  <r>
    <x v="409"/>
    <n v="3.3902241574747198"/>
    <n v="4.2149999999999999"/>
    <n v="1"/>
    <n v="0.2"/>
    <n v="1"/>
    <n v="0.67804483149494399"/>
    <n v="0.2"/>
    <x v="0"/>
    <n v="0"/>
    <n v="0"/>
    <n v="0.81071558225969742"/>
    <n v="0"/>
    <n v="7.0000000000000284E-2"/>
  </r>
  <r>
    <x v="410"/>
    <n v="3.3765717476056198"/>
    <n v="4.2149999999999999"/>
    <n v="2"/>
    <n v="0.2"/>
    <n v="2"/>
    <n v="1.3533591810160681"/>
    <n v="0.4"/>
    <x v="0"/>
    <n v="0"/>
    <n v="0"/>
    <n v="0.81071558225969742"/>
    <n v="0"/>
    <n v="7.0000000000000284E-2"/>
  </r>
  <r>
    <x v="411"/>
    <n v="3.3786024673164099"/>
    <n v="4.2149999999999999"/>
    <n v="5"/>
    <n v="0.2"/>
    <n v="3"/>
    <n v="2.02907967447935"/>
    <n v="0.60000000000000009"/>
    <x v="0"/>
    <n v="0"/>
    <n v="0"/>
    <n v="0.81071558225969742"/>
    <n v="0"/>
    <n v="7.0000000000000284E-2"/>
  </r>
  <r>
    <x v="412"/>
    <n v="3.36567559686896"/>
    <n v="4.2149999999999999"/>
    <n v="6"/>
    <n v="0.2"/>
    <n v="4"/>
    <n v="2.702214793853142"/>
    <n v="0.8"/>
    <x v="0"/>
    <n v="0"/>
    <n v="0"/>
    <n v="0.81071558225969742"/>
    <n v="0"/>
    <n v="7.0000000000000284E-2"/>
  </r>
  <r>
    <x v="413"/>
    <n v="3.41186502861204"/>
    <n v="4.2149999999999999"/>
    <n v="7"/>
    <n v="0.2"/>
    <n v="5"/>
    <n v="3.38458779957555"/>
    <n v="1"/>
    <x v="1"/>
    <n v="3.38458779957555"/>
    <n v="0.83041220042444985"/>
    <n v="0.83041220042444985"/>
    <n v="1.9696618164752433E-2"/>
    <n v="7.0000000000000284E-2"/>
  </r>
  <r>
    <x v="414"/>
    <n v="3.4152065149267101"/>
    <n v="4.335"/>
    <n v="2"/>
    <n v="0.2"/>
    <n v="1"/>
    <n v="0.68304130298534205"/>
    <n v="0.2"/>
    <x v="0"/>
    <n v="0"/>
    <n v="0"/>
    <n v="0.83041220042444985"/>
    <n v="0"/>
    <n v="0.12000000000000011"/>
  </r>
  <r>
    <x v="415"/>
    <n v="3.48278493540972"/>
    <n v="4.335"/>
    <n v="5"/>
    <n v="0.2"/>
    <n v="2"/>
    <n v="1.3795982900672861"/>
    <n v="0.4"/>
    <x v="0"/>
    <n v="0"/>
    <n v="0"/>
    <n v="0.83041220042444985"/>
    <n v="0"/>
    <n v="0.12000000000000011"/>
  </r>
  <r>
    <x v="416"/>
    <n v="3.4820134464127701"/>
    <n v="4.335"/>
    <n v="6"/>
    <n v="0.2"/>
    <n v="3"/>
    <n v="2.07600097934984"/>
    <n v="0.60000000000000009"/>
    <x v="0"/>
    <n v="0"/>
    <n v="0"/>
    <n v="0.83041220042444985"/>
    <n v="0"/>
    <n v="0.12000000000000011"/>
  </r>
  <r>
    <x v="417"/>
    <n v="3.53796119815684"/>
    <n v="4.335"/>
    <n v="7"/>
    <n v="0.2"/>
    <n v="4"/>
    <n v="2.783593218981208"/>
    <n v="0.8"/>
    <x v="1"/>
    <n v="3.47949152372651"/>
    <n v="0.85550847627348992"/>
    <n v="0.85550847627348992"/>
    <n v="2.5096275849040062E-2"/>
    <n v="0.12000000000000011"/>
  </r>
  <r>
    <x v="418"/>
    <n v="3.5521293611692002"/>
    <n v="4.3449999999999998"/>
    <n v="1"/>
    <n v="0.2"/>
    <n v="1"/>
    <n v="0.71042587223384013"/>
    <n v="0.2"/>
    <x v="0"/>
    <n v="0"/>
    <n v="0"/>
    <n v="0.85550847627348992"/>
    <n v="0"/>
    <n v="9.9999999999997868E-3"/>
  </r>
  <r>
    <x v="419"/>
    <n v="3.5357721713068302"/>
    <n v="4.3449999999999998"/>
    <n v="2"/>
    <n v="0.2"/>
    <n v="2"/>
    <n v="1.4175803064952062"/>
    <n v="0.4"/>
    <x v="0"/>
    <n v="0"/>
    <n v="0"/>
    <n v="0.85550847627348992"/>
    <n v="0"/>
    <n v="9.9999999999997868E-3"/>
  </r>
  <r>
    <x v="420"/>
    <n v="3.5044888951704301"/>
    <n v="4.3449999999999998"/>
    <n v="5"/>
    <n v="0.2"/>
    <n v="3"/>
    <n v="2.1184780855292922"/>
    <n v="0.60000000000000009"/>
    <x v="0"/>
    <n v="0"/>
    <n v="0"/>
    <n v="0.85550847627348992"/>
    <n v="0"/>
    <n v="9.9999999999997868E-3"/>
  </r>
  <r>
    <x v="421"/>
    <n v="3.46476327795386"/>
    <n v="4.3449999999999998"/>
    <n v="6"/>
    <n v="0.2"/>
    <n v="4"/>
    <n v="2.8114307411200641"/>
    <n v="0.8"/>
    <x v="0"/>
    <n v="0"/>
    <n v="0"/>
    <n v="0.85550847627348992"/>
    <n v="0"/>
    <n v="9.9999999999997868E-3"/>
  </r>
  <r>
    <x v="422"/>
    <n v="3.5156873221910101"/>
    <n v="4.3449999999999998"/>
    <n v="7"/>
    <n v="0.2"/>
    <n v="5"/>
    <n v="3.5145682055582661"/>
    <n v="1"/>
    <x v="1"/>
    <n v="3.5145682055582661"/>
    <n v="0.83043179444173365"/>
    <n v="0.83043179444173365"/>
    <n v="-2.5076681831756265E-2"/>
    <n v="9.9999999999997868E-3"/>
  </r>
  <r>
    <x v="423"/>
    <n v="3.5427546786903199"/>
    <n v="4.3949999999999996"/>
    <n v="1"/>
    <n v="0.2"/>
    <n v="1"/>
    <n v="0.70855093573806405"/>
    <n v="0.2"/>
    <x v="0"/>
    <n v="0"/>
    <n v="0"/>
    <n v="0.83043179444173365"/>
    <n v="0"/>
    <n v="4.9999999999999822E-2"/>
  </r>
  <r>
    <x v="424"/>
    <n v="3.5290996894050202"/>
    <n v="4.3949999999999996"/>
    <n v="2"/>
    <n v="0.2"/>
    <n v="2"/>
    <n v="1.4143708736190681"/>
    <n v="0.4"/>
    <x v="0"/>
    <n v="0"/>
    <n v="0"/>
    <n v="0.83043179444173365"/>
    <n v="0"/>
    <n v="4.9999999999999822E-2"/>
  </r>
  <r>
    <x v="425"/>
    <n v="3.5307245323139602"/>
    <n v="4.3949999999999996"/>
    <n v="5"/>
    <n v="0.2"/>
    <n v="3"/>
    <n v="2.1205157800818601"/>
    <n v="0.60000000000000009"/>
    <x v="0"/>
    <n v="0"/>
    <n v="0"/>
    <n v="0.83043179444173365"/>
    <n v="0"/>
    <n v="4.9999999999999822E-2"/>
  </r>
  <r>
    <x v="426"/>
    <n v="3.4998898139893"/>
    <n v="4.3949999999999996"/>
    <n v="6"/>
    <n v="0.2"/>
    <n v="4"/>
    <n v="2.8204937428797203"/>
    <n v="0.8"/>
    <x v="0"/>
    <n v="0"/>
    <n v="0"/>
    <n v="0.83043179444173365"/>
    <n v="0"/>
    <n v="4.9999999999999822E-2"/>
  </r>
  <r>
    <x v="427"/>
    <n v="3.5422755368494498"/>
    <n v="4.3949999999999996"/>
    <n v="7"/>
    <n v="0.2"/>
    <n v="5"/>
    <n v="3.5289488502496105"/>
    <n v="1"/>
    <x v="1"/>
    <n v="3.5289488502496105"/>
    <n v="0.8660511497503891"/>
    <n v="0.8660511497503891"/>
    <n v="3.5619355308655454E-2"/>
    <n v="4.9999999999999822E-2"/>
  </r>
  <r>
    <x v="428"/>
    <n v="3.5894558660793101"/>
    <n v="4.4050000000000002"/>
    <n v="1"/>
    <n v="0.2"/>
    <n v="1"/>
    <n v="0.71789117321586204"/>
    <n v="0.2"/>
    <x v="0"/>
    <n v="0"/>
    <n v="0"/>
    <n v="0.8660511497503891"/>
    <n v="0"/>
    <n v="1.0000000000000675E-2"/>
  </r>
  <r>
    <x v="429"/>
    <n v="3.5207189291483099"/>
    <n v="4.4050000000000002"/>
    <n v="2"/>
    <n v="0.2"/>
    <n v="2"/>
    <n v="1.4220349590455239"/>
    <n v="0.4"/>
    <x v="0"/>
    <n v="0"/>
    <n v="0"/>
    <n v="0.8660511497503891"/>
    <n v="0"/>
    <n v="1.0000000000000675E-2"/>
  </r>
  <r>
    <x v="430"/>
    <n v="3.5422520494722902"/>
    <n v="4.4050000000000002"/>
    <n v="5"/>
    <n v="0.2"/>
    <n v="3"/>
    <n v="2.1304853689399819"/>
    <n v="0.60000000000000009"/>
    <x v="0"/>
    <n v="0"/>
    <n v="0"/>
    <n v="0.8660511497503891"/>
    <n v="0"/>
    <n v="1.0000000000000675E-2"/>
  </r>
  <r>
    <x v="431"/>
    <n v="3.6100621369380201"/>
    <n v="4.4050000000000002"/>
    <n v="6"/>
    <n v="0.2"/>
    <n v="4"/>
    <n v="2.8524977963275857"/>
    <n v="0.8"/>
    <x v="1"/>
    <n v="3.5656222454094819"/>
    <n v="0.83937775459051833"/>
    <n v="0.83937775459051833"/>
    <n v="-2.6673395159870772E-2"/>
    <n v="1.0000000000000675E-2"/>
  </r>
  <r>
    <x v="432"/>
    <n v="3.6110841836329799"/>
    <n v="4.4800000000000004"/>
    <n v="1"/>
    <n v="0.2"/>
    <n v="1"/>
    <n v="0.72221683672659598"/>
    <n v="0.2"/>
    <x v="0"/>
    <n v="0"/>
    <n v="0"/>
    <n v="0.83937775459051833"/>
    <n v="0"/>
    <n v="7.5000000000000178E-2"/>
  </r>
  <r>
    <x v="433"/>
    <n v="3.60938046615082"/>
    <n v="4.4800000000000004"/>
    <n v="2"/>
    <n v="0.2"/>
    <n v="2"/>
    <n v="1.44409292995676"/>
    <n v="0.4"/>
    <x v="0"/>
    <n v="0"/>
    <n v="0"/>
    <n v="0.83937775459051833"/>
    <n v="0"/>
    <n v="7.5000000000000178E-2"/>
  </r>
  <r>
    <x v="434"/>
    <n v="3.5746743392906399"/>
    <n v="4.4800000000000004"/>
    <n v="5"/>
    <n v="0.2"/>
    <n v="3"/>
    <n v="2.159027797814888"/>
    <n v="0.60000000000000009"/>
    <x v="0"/>
    <n v="0"/>
    <n v="0"/>
    <n v="0.83937775459051833"/>
    <n v="0"/>
    <n v="7.5000000000000178E-2"/>
  </r>
  <r>
    <x v="435"/>
    <n v="3.5930254960618"/>
    <n v="4.4800000000000004"/>
    <n v="6"/>
    <n v="0.2"/>
    <n v="4"/>
    <n v="2.8776328970272482"/>
    <n v="0.8"/>
    <x v="1"/>
    <n v="3.5970411212840601"/>
    <n v="0.88295887871594037"/>
    <n v="0.88295887871594037"/>
    <n v="4.3581124125422033E-2"/>
    <n v="7.5000000000000178E-2"/>
  </r>
  <r>
    <x v="436"/>
    <n v="3.5996964231875999"/>
    <n v="4.4349999999999996"/>
    <n v="1"/>
    <n v="0.2"/>
    <n v="1"/>
    <n v="0.71993928463751999"/>
    <n v="0.2"/>
    <x v="0"/>
    <n v="0"/>
    <n v="0"/>
    <n v="0.88295887871594037"/>
    <n v="0"/>
    <n v="-4.5000000000000817E-2"/>
  </r>
  <r>
    <x v="437"/>
    <n v="3.6032550852643102"/>
    <n v="4.4349999999999996"/>
    <n v="2"/>
    <n v="0.2"/>
    <n v="2"/>
    <n v="1.440590301690382"/>
    <n v="0.4"/>
    <x v="0"/>
    <n v="0"/>
    <n v="0"/>
    <n v="0.88295887871594037"/>
    <n v="0"/>
    <n v="-4.5000000000000817E-2"/>
  </r>
  <r>
    <x v="438"/>
    <n v="3.5763485946615199"/>
    <n v="4.4349999999999996"/>
    <n v="5"/>
    <n v="0.2"/>
    <n v="3"/>
    <n v="2.1558600206226863"/>
    <n v="0.60000000000000009"/>
    <x v="0"/>
    <n v="0"/>
    <n v="0"/>
    <n v="0.88295887871594037"/>
    <n v="0"/>
    <n v="-4.5000000000000817E-2"/>
  </r>
  <r>
    <x v="439"/>
    <n v="3.5428500405358099"/>
    <n v="4.4349999999999996"/>
    <n v="6"/>
    <n v="0.2"/>
    <n v="4"/>
    <n v="2.8644300287298483"/>
    <n v="0.8"/>
    <x v="0"/>
    <n v="0"/>
    <n v="0"/>
    <n v="0.88295887871594037"/>
    <n v="0"/>
    <n v="-4.5000000000000817E-2"/>
  </r>
  <r>
    <x v="440"/>
    <n v="3.5963712535882499"/>
    <n v="4.4349999999999996"/>
    <n v="7"/>
    <n v="0.2"/>
    <n v="5"/>
    <n v="3.5837042794474985"/>
    <n v="1"/>
    <x v="1"/>
    <n v="3.5837042794474985"/>
    <n v="0.85129572055250113"/>
    <n v="0.85129572055250113"/>
    <n v="-3.1663158163439231E-2"/>
    <n v="-4.5000000000000817E-2"/>
  </r>
  <r>
    <x v="441"/>
    <n v="3.5749416796778899"/>
    <n v="4.335"/>
    <n v="1"/>
    <n v="0.2"/>
    <n v="1"/>
    <n v="0.71498833593557798"/>
    <n v="0.2"/>
    <x v="0"/>
    <n v="0"/>
    <n v="0"/>
    <n v="0.85129572055250113"/>
    <n v="0"/>
    <n v="-9.9999999999999645E-2"/>
  </r>
  <r>
    <x v="442"/>
    <n v="3.4718387266108799"/>
    <n v="4.335"/>
    <n v="2"/>
    <n v="0.2"/>
    <n v="2"/>
    <n v="1.4093560812577541"/>
    <n v="0.4"/>
    <x v="0"/>
    <n v="0"/>
    <n v="0"/>
    <n v="0.85129572055250113"/>
    <n v="0"/>
    <n v="-9.9999999999999645E-2"/>
  </r>
  <r>
    <x v="443"/>
    <n v="3.4264575978101499"/>
    <n v="4.335"/>
    <n v="5"/>
    <n v="0.2"/>
    <n v="3"/>
    <n v="2.0946476008197843"/>
    <n v="0.60000000000000009"/>
    <x v="0"/>
    <n v="0"/>
    <n v="0"/>
    <n v="0.85129572055250113"/>
    <n v="0"/>
    <n v="-9.9999999999999645E-2"/>
  </r>
  <r>
    <x v="444"/>
    <n v="3.4834111891672799"/>
    <n v="4.335"/>
    <n v="6"/>
    <n v="0.2"/>
    <n v="4"/>
    <n v="2.7913298386532404"/>
    <n v="0.8"/>
    <x v="0"/>
    <n v="0"/>
    <n v="0"/>
    <n v="0.85129572055250113"/>
    <n v="0"/>
    <n v="-9.9999999999999645E-2"/>
  </r>
  <r>
    <x v="445"/>
    <n v="3.4947799465752998"/>
    <n v="4.335"/>
    <n v="7"/>
    <n v="0.2"/>
    <n v="5"/>
    <n v="3.4902858279683002"/>
    <n v="1"/>
    <x v="1"/>
    <n v="3.4902858279683002"/>
    <n v="0.84471417203169974"/>
    <n v="0.84471417203169974"/>
    <n v="-6.5815485208013946E-3"/>
    <n v="-9.9999999999999645E-2"/>
  </r>
  <r>
    <x v="446"/>
    <n v="3.4570560243786002"/>
    <n v="4.3149999999999995"/>
    <n v="1"/>
    <n v="0.2"/>
    <n v="1"/>
    <n v="0.69141120487572005"/>
    <n v="0.2"/>
    <x v="0"/>
    <n v="0"/>
    <n v="0"/>
    <n v="0.84471417203169974"/>
    <n v="0"/>
    <n v="-2.0000000000000462E-2"/>
  </r>
  <r>
    <x v="447"/>
    <n v="3.4370844050238198"/>
    <n v="4.3149999999999995"/>
    <n v="2"/>
    <n v="0.2"/>
    <n v="2"/>
    <n v="1.378828085880484"/>
    <n v="0.4"/>
    <x v="0"/>
    <n v="0"/>
    <n v="0"/>
    <n v="0.84471417203169974"/>
    <n v="0"/>
    <n v="-2.0000000000000462E-2"/>
  </r>
  <r>
    <x v="448"/>
    <n v="3.4306167460721202"/>
    <n v="4.3149999999999995"/>
    <n v="6"/>
    <n v="0.2"/>
    <n v="3"/>
    <n v="2.0649514350949083"/>
    <n v="0.60000000000000009"/>
    <x v="0"/>
    <n v="0"/>
    <n v="0"/>
    <n v="0.84471417203169974"/>
    <n v="0"/>
    <n v="-2.0000000000000462E-2"/>
  </r>
  <r>
    <x v="449"/>
    <n v="3.4813003413665098"/>
    <n v="4.3149999999999995"/>
    <n v="7"/>
    <n v="0.2"/>
    <n v="4"/>
    <n v="2.7612115033682105"/>
    <n v="0.8"/>
    <x v="1"/>
    <n v="3.4515143792102632"/>
    <n v="0.86348562078973634"/>
    <n v="0.86348562078973634"/>
    <n v="1.8771448758036602E-2"/>
    <n v="-2.0000000000000462E-2"/>
  </r>
  <r>
    <x v="450"/>
    <n v="3.42598487814407"/>
    <n v="4.2450000000000001"/>
    <n v="1"/>
    <n v="0.2"/>
    <n v="1"/>
    <n v="0.6851969756288141"/>
    <n v="0.2"/>
    <x v="0"/>
    <n v="0"/>
    <n v="0"/>
    <n v="0.86348562078973634"/>
    <n v="0"/>
    <n v="-6.9999999999999396E-2"/>
  </r>
  <r>
    <x v="451"/>
    <n v="3.3821795348389898"/>
    <n v="4.2450000000000001"/>
    <n v="2"/>
    <n v="0.2"/>
    <n v="2"/>
    <n v="1.361632882596612"/>
    <n v="0.4"/>
    <x v="0"/>
    <n v="0"/>
    <n v="0"/>
    <n v="0.86348562078973634"/>
    <n v="0"/>
    <n v="-6.9999999999999396E-2"/>
  </r>
  <r>
    <x v="452"/>
    <n v="3.4248929817112499"/>
    <n v="4.2450000000000001"/>
    <n v="5"/>
    <n v="0.2"/>
    <n v="3"/>
    <n v="2.0466114789388619"/>
    <n v="0.60000000000000009"/>
    <x v="0"/>
    <n v="0"/>
    <n v="0"/>
    <n v="0.86348562078973634"/>
    <n v="0"/>
    <n v="-6.9999999999999396E-2"/>
  </r>
  <r>
    <x v="453"/>
    <n v="3.4146699129436402"/>
    <n v="4.2450000000000001"/>
    <n v="6"/>
    <n v="0.2"/>
    <n v="4"/>
    <n v="2.7295454615275898"/>
    <n v="0.8"/>
    <x v="0"/>
    <n v="0"/>
    <n v="0"/>
    <n v="0.86348562078973634"/>
    <n v="0"/>
    <n v="-6.9999999999999396E-2"/>
  </r>
  <r>
    <x v="454"/>
    <n v="3.3611475085431901"/>
    <n v="4.2450000000000001"/>
    <n v="7"/>
    <n v="0.2"/>
    <n v="5"/>
    <n v="3.4017749632362277"/>
    <n v="1"/>
    <x v="1"/>
    <n v="3.4017749632362277"/>
    <n v="0.84322503676377236"/>
    <n v="0.84322503676377236"/>
    <n v="-2.0260584025963979E-2"/>
    <n v="-6.9999999999999396E-2"/>
  </r>
  <r>
    <x v="455"/>
    <n v="3.3710250871978902"/>
    <n v="4.1550000000000002"/>
    <n v="1"/>
    <n v="0.2"/>
    <n v="1"/>
    <n v="0.67420501743957806"/>
    <n v="0.2"/>
    <x v="0"/>
    <n v="0"/>
    <n v="0"/>
    <n v="0.84322503676377236"/>
    <n v="0"/>
    <n v="-8.9999999999999858E-2"/>
  </r>
  <r>
    <x v="456"/>
    <n v="3.3406752567006799"/>
    <n v="4.1550000000000002"/>
    <n v="2"/>
    <n v="0.2"/>
    <n v="2"/>
    <n v="1.342340068779714"/>
    <n v="0.4"/>
    <x v="0"/>
    <n v="0"/>
    <n v="0"/>
    <n v="0.84322503676377236"/>
    <n v="0"/>
    <n v="-8.9999999999999858E-2"/>
  </r>
  <r>
    <x v="457"/>
    <n v="3.2710992042590501"/>
    <n v="4.1550000000000002"/>
    <n v="5"/>
    <n v="0.2"/>
    <n v="3"/>
    <n v="1.9965599096315241"/>
    <n v="0.60000000000000009"/>
    <x v="0"/>
    <n v="0"/>
    <n v="0"/>
    <n v="0.84322503676377236"/>
    <n v="0"/>
    <n v="-8.9999999999999858E-2"/>
  </r>
  <r>
    <x v="458"/>
    <n v="3.3111616483337998"/>
    <n v="4.1550000000000002"/>
    <n v="6"/>
    <n v="0.2"/>
    <n v="4"/>
    <n v="2.6587922392982843"/>
    <n v="0.8"/>
    <x v="0"/>
    <n v="0"/>
    <n v="0"/>
    <n v="0.84322503676377236"/>
    <n v="0"/>
    <n v="-8.9999999999999858E-2"/>
  </r>
  <r>
    <x v="459"/>
    <n v="3.3584090078904199"/>
    <n v="4.1550000000000002"/>
    <n v="7"/>
    <n v="0.2"/>
    <n v="5"/>
    <n v="3.3304740408763682"/>
    <n v="1"/>
    <x v="1"/>
    <n v="3.3304740408763682"/>
    <n v="0.82452595912363202"/>
    <n v="0.82452595912363202"/>
    <n v="-1.8699077640140338E-2"/>
    <n v="-8.9999999999999858E-2"/>
  </r>
  <r>
    <x v="460"/>
    <n v="3.3799296471468399"/>
    <n v="4.2050000000000001"/>
    <n v="1"/>
    <n v="0.2"/>
    <n v="1"/>
    <n v="0.67598592942936797"/>
    <n v="0.2"/>
    <x v="0"/>
    <n v="0"/>
    <n v="0"/>
    <n v="0.82452595912363202"/>
    <n v="0"/>
    <n v="4.9999999999999822E-2"/>
  </r>
  <r>
    <x v="461"/>
    <n v="3.34300170180666"/>
    <n v="4.2050000000000001"/>
    <n v="2"/>
    <n v="0.2"/>
    <n v="2"/>
    <n v="1.3445862697907001"/>
    <n v="0.4"/>
    <x v="0"/>
    <n v="0"/>
    <n v="0"/>
    <n v="0.82452595912363202"/>
    <n v="0"/>
    <n v="4.9999999999999822E-2"/>
  </r>
  <r>
    <x v="462"/>
    <n v="3.34761054294983"/>
    <n v="4.2050000000000001"/>
    <n v="5"/>
    <n v="0.2"/>
    <n v="3"/>
    <n v="2.0141083783806661"/>
    <n v="0.60000000000000009"/>
    <x v="0"/>
    <n v="0"/>
    <n v="0"/>
    <n v="0.82452595912363202"/>
    <n v="0"/>
    <n v="4.9999999999999822E-2"/>
  </r>
  <r>
    <x v="463"/>
    <n v="3.3874003692749199"/>
    <n v="4.2050000000000001"/>
    <n v="6"/>
    <n v="0.2"/>
    <n v="4"/>
    <n v="2.6915884522356501"/>
    <n v="0.8"/>
    <x v="0"/>
    <n v="0"/>
    <n v="0"/>
    <n v="0.82452595912363202"/>
    <n v="0"/>
    <n v="4.9999999999999822E-2"/>
  </r>
  <r>
    <x v="464"/>
    <n v="3.4367814236357002"/>
    <n v="4.2050000000000001"/>
    <n v="7"/>
    <n v="0.2"/>
    <n v="5"/>
    <n v="3.3789447369627901"/>
    <n v="1"/>
    <x v="1"/>
    <n v="3.3789447369627901"/>
    <n v="0.82605526303721"/>
    <n v="0.82605526303721"/>
    <n v="1.5293039135779729E-3"/>
    <n v="4.9999999999999822E-2"/>
  </r>
  <r>
    <x v="465"/>
    <n v="3.3963820586764299"/>
    <n v="4.2549999999999999"/>
    <n v="1"/>
    <n v="0.2"/>
    <n v="1"/>
    <n v="0.67927641173528608"/>
    <n v="0.2"/>
    <x v="0"/>
    <n v="0"/>
    <n v="0"/>
    <n v="0.82605526303721"/>
    <n v="0"/>
    <n v="4.9999999999999822E-2"/>
  </r>
  <r>
    <x v="466"/>
    <n v="3.42404687499962"/>
    <n v="4.2549999999999999"/>
    <n v="2"/>
    <n v="0.2"/>
    <n v="2"/>
    <n v="1.3640857867352101"/>
    <n v="0.4"/>
    <x v="0"/>
    <n v="0"/>
    <n v="0"/>
    <n v="0.82605526303721"/>
    <n v="0"/>
    <n v="4.9999999999999822E-2"/>
  </r>
  <r>
    <x v="467"/>
    <n v="3.4022510541238402"/>
    <n v="4.2549999999999999"/>
    <n v="6"/>
    <n v="0.2"/>
    <n v="3"/>
    <n v="2.0445359975599784"/>
    <n v="0.60000000000000009"/>
    <x v="0"/>
    <n v="0"/>
    <n v="0"/>
    <n v="0.82605526303721"/>
    <n v="0"/>
    <n v="4.9999999999999822E-2"/>
  </r>
  <r>
    <x v="468"/>
    <n v="3.4208462339079002"/>
    <n v="4.2549999999999999"/>
    <n v="7"/>
    <n v="0.2"/>
    <n v="4"/>
    <n v="2.7287052443415583"/>
    <n v="0.8"/>
    <x v="1"/>
    <n v="3.4108815554269478"/>
    <n v="0.84411844457305207"/>
    <n v="0.84411844457305207"/>
    <n v="1.8063181535842077E-2"/>
    <n v="4.9999999999999822E-2"/>
  </r>
  <r>
    <x v="469"/>
    <n v="3.4409874974018302"/>
    <n v="4.2949999999999999"/>
    <n v="1"/>
    <n v="0.2"/>
    <n v="1"/>
    <n v="0.68819749948036613"/>
    <n v="0.2"/>
    <x v="0"/>
    <n v="0"/>
    <n v="0"/>
    <n v="0.84411844457305207"/>
    <n v="0"/>
    <n v="4.0000000000000036E-2"/>
  </r>
  <r>
    <x v="470"/>
    <n v="3.4238152467223899"/>
    <n v="4.2949999999999999"/>
    <n v="2"/>
    <n v="0.2"/>
    <n v="2"/>
    <n v="1.3729605488248442"/>
    <n v="0.4"/>
    <x v="0"/>
    <n v="0"/>
    <n v="0"/>
    <n v="0.84411844457305207"/>
    <n v="0"/>
    <n v="4.0000000000000036E-2"/>
  </r>
  <r>
    <x v="471"/>
    <n v="3.4298763218774999"/>
    <n v="4.2949999999999999"/>
    <n v="5"/>
    <n v="0.2"/>
    <n v="3"/>
    <n v="2.0589358132003444"/>
    <n v="0.60000000000000009"/>
    <x v="0"/>
    <n v="0"/>
    <n v="0"/>
    <n v="0.84411844457305207"/>
    <n v="0"/>
    <n v="4.0000000000000036E-2"/>
  </r>
  <r>
    <x v="472"/>
    <n v="3.3762483730993802"/>
    <n v="4.2949999999999999"/>
    <n v="6"/>
    <n v="0.2"/>
    <n v="4"/>
    <n v="2.7341854878202203"/>
    <n v="0.8"/>
    <x v="0"/>
    <n v="0"/>
    <n v="0"/>
    <n v="0.84411844457305207"/>
    <n v="0"/>
    <n v="4.0000000000000036E-2"/>
  </r>
  <r>
    <x v="473"/>
    <n v="3.36185561650391"/>
    <n v="4.2949999999999999"/>
    <n v="7"/>
    <n v="0.2"/>
    <n v="5"/>
    <n v="3.4065566111210024"/>
    <n v="1"/>
    <x v="1"/>
    <n v="3.4065566111210024"/>
    <n v="0.88844338887899754"/>
    <n v="0.88844338887899754"/>
    <n v="4.4324944305945468E-2"/>
    <n v="4.0000000000000036E-2"/>
  </r>
  <r>
    <x v="474"/>
    <n v="3.3370205659412702"/>
    <n v="4.2050000000000001"/>
    <n v="1"/>
    <n v="0.2"/>
    <n v="1"/>
    <n v="0.6674041131882541"/>
    <n v="0.2"/>
    <x v="0"/>
    <n v="0"/>
    <n v="0"/>
    <n v="0.88844338887899754"/>
    <n v="0"/>
    <n v="-8.9999999999999858E-2"/>
  </r>
  <r>
    <x v="475"/>
    <n v="3.3514861848067001"/>
    <n v="4.2050000000000001"/>
    <n v="2"/>
    <n v="0.2"/>
    <n v="2"/>
    <n v="1.3377013501495942"/>
    <n v="0.4"/>
    <x v="0"/>
    <n v="0"/>
    <n v="0"/>
    <n v="0.88844338887899754"/>
    <n v="0"/>
    <n v="-8.9999999999999858E-2"/>
  </r>
  <r>
    <x v="476"/>
    <n v="3.32529881785555"/>
    <n v="4.2050000000000001"/>
    <n v="5"/>
    <n v="0.2"/>
    <n v="3"/>
    <n v="2.0027611137207044"/>
    <n v="0.60000000000000009"/>
    <x v="0"/>
    <n v="0"/>
    <n v="0"/>
    <n v="0.88844338887899754"/>
    <n v="0"/>
    <n v="-8.9999999999999858E-2"/>
  </r>
  <r>
    <x v="477"/>
    <n v="3.3983132593490502"/>
    <n v="4.2050000000000001"/>
    <n v="6"/>
    <n v="0.2"/>
    <n v="4"/>
    <n v="2.6824237655905145"/>
    <n v="0.8"/>
    <x v="0"/>
    <n v="0"/>
    <n v="0"/>
    <n v="0.88844338887899754"/>
    <n v="0"/>
    <n v="-8.9999999999999858E-2"/>
  </r>
  <r>
    <x v="478"/>
    <n v="3.40151851180392"/>
    <n v="4.2050000000000001"/>
    <n v="7"/>
    <n v="0.2"/>
    <n v="5"/>
    <n v="3.3627274679512986"/>
    <n v="1"/>
    <x v="1"/>
    <n v="3.3627274679512986"/>
    <n v="0.84227253204870145"/>
    <n v="0.84227253204870145"/>
    <n v="-4.6170856830296092E-2"/>
    <n v="-8.9999999999999858E-2"/>
  </r>
  <r>
    <x v="479"/>
    <n v="3.4237035729301399"/>
    <n v="4.2700000000000005"/>
    <n v="1"/>
    <n v="0.2"/>
    <n v="1"/>
    <n v="0.68474071458602803"/>
    <n v="0.2"/>
    <x v="0"/>
    <n v="0"/>
    <n v="0"/>
    <n v="0.84227253204870145"/>
    <n v="0"/>
    <n v="6.5000000000000391E-2"/>
  </r>
  <r>
    <x v="480"/>
    <n v="3.4613667705973898"/>
    <n v="4.2700000000000005"/>
    <n v="2"/>
    <n v="0.2"/>
    <n v="2"/>
    <n v="1.3770140687055061"/>
    <n v="0.4"/>
    <x v="0"/>
    <n v="0"/>
    <n v="0"/>
    <n v="0.84227253204870145"/>
    <n v="0"/>
    <n v="6.5000000000000391E-2"/>
  </r>
  <r>
    <x v="481"/>
    <n v="3.4465671397565498"/>
    <n v="4.2700000000000005"/>
    <n v="5"/>
    <n v="0.2"/>
    <n v="3"/>
    <n v="2.0663274966568164"/>
    <n v="0.60000000000000009"/>
    <x v="0"/>
    <n v="0"/>
    <n v="0"/>
    <n v="0.84227253204870145"/>
    <n v="0"/>
    <n v="6.5000000000000391E-2"/>
  </r>
  <r>
    <x v="482"/>
    <n v="3.4438493655509599"/>
    <n v="4.2700000000000005"/>
    <n v="6"/>
    <n v="0.2"/>
    <n v="4"/>
    <n v="2.7550973697670083"/>
    <n v="0.8"/>
    <x v="0"/>
    <n v="0"/>
    <n v="0"/>
    <n v="0.84227253204870145"/>
    <n v="0"/>
    <n v="6.5000000000000391E-2"/>
  </r>
  <r>
    <x v="483"/>
    <n v="3.4085893370598099"/>
    <n v="4.2700000000000005"/>
    <n v="7"/>
    <n v="0.2"/>
    <n v="5"/>
    <n v="3.4368152371789704"/>
    <n v="1"/>
    <x v="1"/>
    <n v="3.4368152371789704"/>
    <n v="0.83318476282103004"/>
    <n v="0.83318476282103004"/>
    <n v="-9.087769227671405E-3"/>
    <n v="6.5000000000000391E-2"/>
  </r>
  <r>
    <x v="484"/>
    <n v="3.34843875975199"/>
    <n v="4.2200000000000006"/>
    <n v="1"/>
    <n v="0.2"/>
    <n v="1"/>
    <n v="0.66968775195039809"/>
    <n v="0.2"/>
    <x v="0"/>
    <n v="0"/>
    <n v="0"/>
    <n v="0.83318476282103004"/>
    <n v="0"/>
    <n v="-4.9999999999999822E-2"/>
  </r>
  <r>
    <x v="485"/>
    <n v="3.3634875299273701"/>
    <n v="4.2200000000000006"/>
    <n v="2"/>
    <n v="0.2"/>
    <n v="2"/>
    <n v="1.3423852579358722"/>
    <n v="0.4"/>
    <x v="0"/>
    <n v="0"/>
    <n v="0"/>
    <n v="0.83318476282103004"/>
    <n v="0"/>
    <n v="-4.9999999999999822E-2"/>
  </r>
  <r>
    <x v="486"/>
    <n v="3.4174617229589801"/>
    <n v="4.2200000000000006"/>
    <n v="5"/>
    <n v="0.2"/>
    <n v="3"/>
    <n v="2.0258776025276681"/>
    <n v="0.60000000000000009"/>
    <x v="0"/>
    <n v="0"/>
    <n v="0"/>
    <n v="0.83318476282103004"/>
    <n v="0"/>
    <n v="-4.9999999999999822E-2"/>
  </r>
  <r>
    <x v="487"/>
    <n v="3.3942283451593398"/>
    <n v="4.2200000000000006"/>
    <n v="6"/>
    <n v="0.2"/>
    <n v="4"/>
    <n v="2.7047232715595362"/>
    <n v="0.8"/>
    <x v="0"/>
    <n v="0"/>
    <n v="0"/>
    <n v="0.83318476282103004"/>
    <n v="0"/>
    <n v="-4.9999999999999822E-2"/>
  </r>
  <r>
    <x v="488"/>
    <n v="3.4724096295378999"/>
    <n v="4.2200000000000006"/>
    <n v="7"/>
    <n v="0.2"/>
    <n v="5"/>
    <n v="3.3992051974671162"/>
    <n v="1"/>
    <x v="1"/>
    <n v="3.3992051974671162"/>
    <n v="0.82079480253288439"/>
    <n v="0.82079480253288439"/>
    <n v="-1.2389960288145652E-2"/>
    <n v="-4.9999999999999822E-2"/>
  </r>
  <r>
    <x v="489"/>
    <n v="3.4858096996422701"/>
    <n v="4.3000000000000007"/>
    <n v="1"/>
    <n v="0.2"/>
    <n v="1"/>
    <n v="0.6971619399284541"/>
    <n v="0.2"/>
    <x v="0"/>
    <n v="0"/>
    <n v="0"/>
    <n v="0.82079480253288439"/>
    <n v="0"/>
    <n v="8.0000000000000071E-2"/>
  </r>
  <r>
    <x v="490"/>
    <n v="3.4523536219729101"/>
    <n v="4.3000000000000007"/>
    <n v="2"/>
    <n v="0.2"/>
    <n v="2"/>
    <n v="1.3876326643230361"/>
    <n v="0.4"/>
    <x v="0"/>
    <n v="0"/>
    <n v="0"/>
    <n v="0.82079480253288439"/>
    <n v="0"/>
    <n v="8.0000000000000071E-2"/>
  </r>
  <r>
    <x v="491"/>
    <n v="3.45266754883475"/>
    <n v="4.3000000000000007"/>
    <n v="5"/>
    <n v="0.2"/>
    <n v="3"/>
    <n v="2.0781661740899864"/>
    <n v="0.60000000000000009"/>
    <x v="0"/>
    <n v="0"/>
    <n v="0"/>
    <n v="0.82079480253288439"/>
    <n v="0"/>
    <n v="8.0000000000000071E-2"/>
  </r>
  <r>
    <x v="492"/>
    <n v="3.4519694257459901"/>
    <n v="4.3000000000000007"/>
    <n v="6"/>
    <n v="0.2"/>
    <n v="4"/>
    <n v="2.7685600592391846"/>
    <n v="0.8"/>
    <x v="0"/>
    <n v="0"/>
    <n v="0"/>
    <n v="0.82079480253288439"/>
    <n v="0"/>
    <n v="8.0000000000000071E-2"/>
  </r>
  <r>
    <x v="493"/>
    <n v="3.4217405544715098"/>
    <n v="4.3000000000000007"/>
    <n v="7"/>
    <n v="0.2"/>
    <n v="5"/>
    <n v="3.4529081701334867"/>
    <n v="1"/>
    <x v="1"/>
    <n v="3.4529081701334867"/>
    <n v="0.84709182986651399"/>
    <n v="0.84709182986651399"/>
    <n v="2.6297027333629597E-2"/>
    <n v="8.0000000000000071E-2"/>
  </r>
  <r>
    <x v="494"/>
    <n v="3.4052671978447102"/>
    <n v="4.335"/>
    <n v="1"/>
    <n v="0.2"/>
    <n v="1"/>
    <n v="0.68105343956894204"/>
    <n v="0.2"/>
    <x v="0"/>
    <n v="0"/>
    <n v="0"/>
    <n v="0.84709182986651399"/>
    <n v="0"/>
    <n v="3.4999999999999254E-2"/>
  </r>
  <r>
    <x v="495"/>
    <n v="3.4306094277170498"/>
    <n v="4.335"/>
    <n v="2"/>
    <n v="0.2"/>
    <n v="2"/>
    <n v="1.3671753251123522"/>
    <n v="0.4"/>
    <x v="0"/>
    <n v="0"/>
    <n v="0"/>
    <n v="0.84709182986651399"/>
    <n v="0"/>
    <n v="3.4999999999999254E-2"/>
  </r>
  <r>
    <x v="496"/>
    <n v="3.44685935064701"/>
    <n v="4.335"/>
    <n v="5"/>
    <n v="0.2"/>
    <n v="3"/>
    <n v="2.0565471952417544"/>
    <n v="0.60000000000000009"/>
    <x v="0"/>
    <n v="0"/>
    <n v="0"/>
    <n v="0.84709182986651399"/>
    <n v="0"/>
    <n v="3.4999999999999254E-2"/>
  </r>
  <r>
    <x v="497"/>
    <n v="3.4727016332033198"/>
    <n v="4.335"/>
    <n v="6"/>
    <n v="0.2"/>
    <n v="4"/>
    <n v="2.7510875218824182"/>
    <n v="0.8"/>
    <x v="0"/>
    <n v="0"/>
    <n v="0"/>
    <n v="0.84709182986651399"/>
    <n v="0"/>
    <n v="3.4999999999999254E-2"/>
  </r>
  <r>
    <x v="498"/>
    <n v="3.5066269417846301"/>
    <n v="4.335"/>
    <n v="7"/>
    <n v="0.2"/>
    <n v="5"/>
    <n v="3.4524129102393442"/>
    <n v="1"/>
    <x v="1"/>
    <n v="3.4524129102393442"/>
    <n v="0.88258708976065581"/>
    <n v="0.88258708976065581"/>
    <n v="3.5495259894141817E-2"/>
    <n v="3.4999999999999254E-2"/>
  </r>
  <r>
    <x v="499"/>
    <n v="3.4840318134841599"/>
    <n v="4.2649999999999997"/>
    <n v="1"/>
    <n v="0.2"/>
    <n v="1"/>
    <n v="0.69680636269683205"/>
    <n v="0.2"/>
    <x v="0"/>
    <n v="0"/>
    <n v="0"/>
    <n v="0.88258708976065581"/>
    <n v="0"/>
    <n v="-7.0000000000000284E-2"/>
  </r>
  <r>
    <x v="500"/>
    <n v="3.4295560527023699"/>
    <n v="4.2649999999999997"/>
    <n v="2"/>
    <n v="0.2"/>
    <n v="2"/>
    <n v="1.382717573237306"/>
    <n v="0.4"/>
    <x v="0"/>
    <n v="0"/>
    <n v="0"/>
    <n v="0.88258708976065581"/>
    <n v="0"/>
    <n v="-7.0000000000000284E-2"/>
  </r>
  <r>
    <x v="501"/>
    <n v="3.39509627944707"/>
    <n v="4.2649999999999997"/>
    <n v="5"/>
    <n v="0.2"/>
    <n v="3"/>
    <n v="2.06173682912672"/>
    <n v="0.60000000000000009"/>
    <x v="0"/>
    <n v="0"/>
    <n v="0"/>
    <n v="0.88258708976065581"/>
    <n v="0"/>
    <n v="-7.0000000000000284E-2"/>
  </r>
  <r>
    <x v="502"/>
    <n v="3.3731827621311399"/>
    <n v="4.2649999999999997"/>
    <n v="6"/>
    <n v="0.2"/>
    <n v="4"/>
    <n v="2.7363733815529478"/>
    <n v="0.8"/>
    <x v="0"/>
    <n v="0"/>
    <n v="0"/>
    <n v="0.88258708976065581"/>
    <n v="0"/>
    <n v="-7.0000000000000284E-2"/>
  </r>
  <r>
    <x v="503"/>
    <n v="3.3750941774744798"/>
    <n v="4.2649999999999997"/>
    <n v="7"/>
    <n v="0.2"/>
    <n v="5"/>
    <n v="3.4113922170478439"/>
    <n v="1"/>
    <x v="1"/>
    <n v="3.4113922170478439"/>
    <n v="0.85360778295215578"/>
    <n v="0.85360778295215578"/>
    <n v="-2.8979306808500027E-2"/>
    <n v="-7.0000000000000284E-2"/>
  </r>
  <r>
    <x v="504"/>
    <n v="3.3155243251593798"/>
    <n v="4.1949999999999994"/>
    <n v="1"/>
    <n v="0.2"/>
    <n v="1"/>
    <n v="0.66310486503187605"/>
    <n v="0.2"/>
    <x v="0"/>
    <n v="0"/>
    <n v="0"/>
    <n v="0.85360778295215578"/>
    <n v="0"/>
    <n v="-7.0000000000000284E-2"/>
  </r>
  <r>
    <x v="505"/>
    <n v="3.31617276522991"/>
    <n v="4.1949999999999994"/>
    <n v="2"/>
    <n v="0.2"/>
    <n v="2"/>
    <n v="1.326339418077858"/>
    <n v="0.4"/>
    <x v="0"/>
    <n v="0"/>
    <n v="0"/>
    <n v="0.85360778295215578"/>
    <n v="0"/>
    <n v="-7.0000000000000284E-2"/>
  </r>
  <r>
    <x v="506"/>
    <n v="3.3408272423510099"/>
    <n v="4.1949999999999994"/>
    <n v="5"/>
    <n v="0.2"/>
    <n v="3"/>
    <n v="1.99450486654806"/>
    <n v="0.60000000000000009"/>
    <x v="0"/>
    <n v="0"/>
    <n v="0"/>
    <n v="0.85360778295215578"/>
    <n v="0"/>
    <n v="-7.0000000000000284E-2"/>
  </r>
  <r>
    <x v="507"/>
    <n v="3.33793129587505"/>
    <n v="4.1949999999999994"/>
    <n v="6"/>
    <n v="0.2"/>
    <n v="4"/>
    <n v="2.6620911257230699"/>
    <n v="0.8"/>
    <x v="0"/>
    <n v="0"/>
    <n v="0"/>
    <n v="0.85360778295215578"/>
    <n v="0"/>
    <n v="-7.0000000000000284E-2"/>
  </r>
  <r>
    <x v="508"/>
    <n v="3.35080102179215"/>
    <n v="4.1949999999999994"/>
    <n v="7"/>
    <n v="0.2"/>
    <n v="5"/>
    <n v="3.3322513300815002"/>
    <n v="1"/>
    <x v="1"/>
    <n v="3.3322513300815002"/>
    <n v="0.86274866991849919"/>
    <n v="0.86274866991849919"/>
    <n v="9.1408869663434089E-3"/>
    <n v="-7.0000000000000284E-2"/>
  </r>
  <r>
    <x v="509"/>
    <n v="3.40802093158428"/>
    <n v="4.2300000000000004"/>
    <n v="1"/>
    <n v="0.2"/>
    <n v="1"/>
    <n v="0.68160418631685604"/>
    <n v="0.2"/>
    <x v="0"/>
    <n v="0"/>
    <n v="0"/>
    <n v="0.86274866991849919"/>
    <n v="0"/>
    <n v="3.500000000000103E-2"/>
  </r>
  <r>
    <x v="510"/>
    <n v="3.4214944697037502"/>
    <n v="4.2300000000000004"/>
    <n v="5"/>
    <n v="0.2"/>
    <n v="2"/>
    <n v="1.3659030802576062"/>
    <n v="0.4"/>
    <x v="0"/>
    <n v="0"/>
    <n v="0"/>
    <n v="0.86274866991849919"/>
    <n v="0"/>
    <n v="3.500000000000103E-2"/>
  </r>
  <r>
    <x v="511"/>
    <n v="3.41581155049382"/>
    <n v="4.2300000000000004"/>
    <n v="6"/>
    <n v="0.2"/>
    <n v="3"/>
    <n v="2.04906539035637"/>
    <n v="0.60000000000000009"/>
    <x v="0"/>
    <n v="0"/>
    <n v="0"/>
    <n v="0.86274866991849919"/>
    <n v="0"/>
    <n v="3.500000000000103E-2"/>
  </r>
  <r>
    <x v="512"/>
    <n v="3.3712594555921802"/>
    <n v="4.2300000000000004"/>
    <n v="7"/>
    <n v="0.2"/>
    <n v="4"/>
    <n v="2.7233172814748059"/>
    <n v="0.8"/>
    <x v="1"/>
    <n v="3.4041466018435074"/>
    <n v="0.82585339815649306"/>
    <n v="0.82585339815649306"/>
    <n v="-3.6895271762006132E-2"/>
    <n v="3.500000000000103E-2"/>
  </r>
  <r>
    <x v="513"/>
    <n v="3.3653149178353798"/>
    <n v="4.2149999999999999"/>
    <n v="1"/>
    <n v="0.2"/>
    <n v="1"/>
    <n v="0.67306298356707606"/>
    <n v="0.2"/>
    <x v="0"/>
    <n v="0"/>
    <n v="0"/>
    <n v="0.82585339815649306"/>
    <n v="0"/>
    <n v="-1.5000000000000568E-2"/>
  </r>
  <r>
    <x v="514"/>
    <n v="3.34407232938596"/>
    <n v="4.2149999999999999"/>
    <n v="2"/>
    <n v="0.2"/>
    <n v="2"/>
    <n v="1.3418774494442682"/>
    <n v="0.4"/>
    <x v="0"/>
    <n v="0"/>
    <n v="0"/>
    <n v="0.82585339815649306"/>
    <n v="0"/>
    <n v="-1.5000000000000568E-2"/>
  </r>
  <r>
    <x v="515"/>
    <n v="3.3514611406408399"/>
    <n v="4.2149999999999999"/>
    <n v="5"/>
    <n v="0.2"/>
    <n v="3"/>
    <n v="2.0121696775724365"/>
    <n v="0.60000000000000009"/>
    <x v="0"/>
    <n v="0"/>
    <n v="0"/>
    <n v="0.82585339815649306"/>
    <n v="0"/>
    <n v="-1.5000000000000568E-2"/>
  </r>
  <r>
    <x v="516"/>
    <n v="3.3733743387763999"/>
    <n v="4.2149999999999999"/>
    <n v="6"/>
    <n v="0.2"/>
    <n v="4"/>
    <n v="2.6868445453277165"/>
    <n v="0.8"/>
    <x v="0"/>
    <n v="0"/>
    <n v="0"/>
    <n v="0.82585339815649306"/>
    <n v="0"/>
    <n v="-1.5000000000000568E-2"/>
  </r>
  <r>
    <x v="517"/>
    <n v="3.3274269650204"/>
    <n v="4.2149999999999999"/>
    <n v="7"/>
    <n v="0.2"/>
    <n v="5"/>
    <n v="3.3523299383317964"/>
    <n v="1"/>
    <x v="1"/>
    <n v="3.3523299383317964"/>
    <n v="0.86267006166820348"/>
    <n v="0.86267006166820348"/>
    <n v="3.6816663511710424E-2"/>
    <n v="-1.5000000000000568E-2"/>
  </r>
  <r>
    <x v="518"/>
    <n v="3.2875255326595201"/>
    <n v="4.1100000000000003"/>
    <n v="1"/>
    <n v="0.2"/>
    <n v="1"/>
    <n v="0.65750510653190408"/>
    <n v="0.2"/>
    <x v="0"/>
    <n v="0"/>
    <n v="0"/>
    <n v="0.86267006166820348"/>
    <n v="0"/>
    <n v="-0.10499999999999954"/>
  </r>
  <r>
    <x v="519"/>
    <n v="3.27582122809376"/>
    <n v="4.1100000000000003"/>
    <n v="2"/>
    <n v="0.2"/>
    <n v="2"/>
    <n v="1.3126693521506563"/>
    <n v="0.4"/>
    <x v="0"/>
    <n v="0"/>
    <n v="0"/>
    <n v="0.86267006166820348"/>
    <n v="0"/>
    <n v="-0.10499999999999954"/>
  </r>
  <r>
    <x v="520"/>
    <n v="3.28849941945206"/>
    <n v="4.1100000000000003"/>
    <n v="5"/>
    <n v="0.2"/>
    <n v="3"/>
    <n v="1.9703692360410683"/>
    <n v="0.60000000000000009"/>
    <x v="0"/>
    <n v="0"/>
    <n v="0"/>
    <n v="0.86267006166820348"/>
    <n v="0"/>
    <n v="-0.10499999999999954"/>
  </r>
  <r>
    <x v="521"/>
    <n v="3.2676928756403698"/>
    <n v="4.1100000000000003"/>
    <n v="6"/>
    <n v="0.2"/>
    <n v="4"/>
    <n v="2.6239078111691425"/>
    <n v="0.8"/>
    <x v="0"/>
    <n v="0"/>
    <n v="0"/>
    <n v="0.86267006166820348"/>
    <n v="0"/>
    <n v="-0.10499999999999954"/>
  </r>
  <r>
    <x v="522"/>
    <n v="3.2365593112173601"/>
    <n v="4.1100000000000003"/>
    <n v="7"/>
    <n v="0.2"/>
    <n v="5"/>
    <n v="3.2712196734126144"/>
    <n v="1"/>
    <x v="1"/>
    <n v="3.2712196734126144"/>
    <n v="0.83878032658738588"/>
    <n v="0.83878032658738588"/>
    <n v="-2.3889735080817598E-2"/>
    <n v="-0.10499999999999954"/>
  </r>
  <r>
    <x v="523"/>
    <n v="3.2302009300383201"/>
    <n v="4.1000000000000005"/>
    <n v="1"/>
    <n v="0.2"/>
    <n v="1"/>
    <n v="0.64604018600766411"/>
    <n v="0.2"/>
    <x v="0"/>
    <n v="0"/>
    <n v="0"/>
    <n v="0.83878032658738588"/>
    <n v="0"/>
    <n v="-9.9999999999997868E-3"/>
  </r>
  <r>
    <x v="524"/>
    <n v="3.26793441628852"/>
    <n v="4.1000000000000005"/>
    <n v="2"/>
    <n v="0.2"/>
    <n v="2"/>
    <n v="1.2996270692653682"/>
    <n v="0.4"/>
    <x v="0"/>
    <n v="0"/>
    <n v="0"/>
    <n v="0.83878032658738588"/>
    <n v="0"/>
    <n v="-9.9999999999997868E-3"/>
  </r>
  <r>
    <x v="525"/>
    <n v="3.2957313796738501"/>
    <n v="4.1000000000000005"/>
    <n v="5"/>
    <n v="0.2"/>
    <n v="3"/>
    <n v="1.9587733452001381"/>
    <n v="0.60000000000000009"/>
    <x v="0"/>
    <n v="0"/>
    <n v="0"/>
    <n v="0.83878032658738588"/>
    <n v="0"/>
    <n v="-9.9999999999997868E-3"/>
  </r>
  <r>
    <x v="526"/>
    <n v="3.2728026621506001"/>
    <n v="4.1000000000000005"/>
    <n v="6"/>
    <n v="0.2"/>
    <n v="4"/>
    <n v="2.6133338776302582"/>
    <n v="0.8"/>
    <x v="0"/>
    <n v="0"/>
    <n v="0"/>
    <n v="0.83878032658738588"/>
    <n v="0"/>
    <n v="-9.9999999999997868E-3"/>
  </r>
  <r>
    <x v="527"/>
    <n v="3.1970892272743101"/>
    <n v="4.1000000000000005"/>
    <n v="7"/>
    <n v="0.2"/>
    <n v="5"/>
    <n v="3.2527517230851202"/>
    <n v="1"/>
    <x v="1"/>
    <n v="3.2527517230851202"/>
    <n v="0.84724827691488036"/>
    <n v="0.84724827691488036"/>
    <n v="8.4679503274944778E-3"/>
    <n v="-9.9999999999997868E-3"/>
  </r>
  <r>
    <x v="528"/>
    <n v="3.1795097734540301"/>
    <n v="4.04"/>
    <n v="1"/>
    <n v="0.2"/>
    <n v="1"/>
    <n v="0.63590195469080601"/>
    <n v="0.2"/>
    <x v="0"/>
    <n v="0"/>
    <n v="0"/>
    <n v="0.84724827691488036"/>
    <n v="0"/>
    <n v="-6.0000000000000497E-2"/>
  </r>
  <r>
    <x v="529"/>
    <n v="3.2071722937792901"/>
    <n v="4.04"/>
    <n v="2"/>
    <n v="0.2"/>
    <n v="2"/>
    <n v="1.277336413446664"/>
    <n v="0.4"/>
    <x v="0"/>
    <n v="0"/>
    <n v="0"/>
    <n v="0.84724827691488036"/>
    <n v="0"/>
    <n v="-6.0000000000000497E-2"/>
  </r>
  <r>
    <x v="530"/>
    <n v="3.2249711814966302"/>
    <n v="4.04"/>
    <n v="5"/>
    <n v="0.2"/>
    <n v="3"/>
    <n v="1.92233064974599"/>
    <n v="0.60000000000000009"/>
    <x v="0"/>
    <n v="0"/>
    <n v="0"/>
    <n v="0.84724827691488036"/>
    <n v="0"/>
    <n v="-6.0000000000000497E-2"/>
  </r>
  <r>
    <x v="531"/>
    <n v="3.1906249352690699"/>
    <n v="4.04"/>
    <n v="6"/>
    <n v="0.2"/>
    <n v="4"/>
    <n v="2.5604556367998041"/>
    <n v="0.8"/>
    <x v="0"/>
    <n v="0"/>
    <n v="0"/>
    <n v="0.84724827691488036"/>
    <n v="0"/>
    <n v="-6.0000000000000497E-2"/>
  </r>
  <r>
    <x v="532"/>
    <n v="3.2003729321605299"/>
    <n v="4.04"/>
    <n v="7"/>
    <n v="0.2"/>
    <n v="5"/>
    <n v="3.2005302232319099"/>
    <n v="1"/>
    <x v="1"/>
    <n v="3.2005302232319099"/>
    <n v="0.83946977676809009"/>
    <n v="0.83946977676809009"/>
    <n v="-7.7785001467902681E-3"/>
    <n v="-6.0000000000000497E-2"/>
  </r>
  <r>
    <x v="533"/>
    <n v="3.2144312113226099"/>
    <n v="4.0200000000000005"/>
    <n v="1"/>
    <n v="0.2"/>
    <n v="1"/>
    <n v="0.64288624226452207"/>
    <n v="0.2"/>
    <x v="0"/>
    <n v="0"/>
    <n v="0"/>
    <n v="0.83946977676809009"/>
    <n v="0"/>
    <n v="-1.9999999999999574E-2"/>
  </r>
  <r>
    <x v="534"/>
    <n v="3.2062850314999101"/>
    <n v="4.0200000000000005"/>
    <n v="2"/>
    <n v="0.2"/>
    <n v="2"/>
    <n v="1.2841432485645041"/>
    <n v="0.4"/>
    <x v="0"/>
    <n v="0"/>
    <n v="0"/>
    <n v="0.83946977676809009"/>
    <n v="0"/>
    <n v="-1.9999999999999574E-2"/>
  </r>
  <r>
    <x v="535"/>
    <n v="3.1863361498629699"/>
    <n v="4.0200000000000005"/>
    <n v="6"/>
    <n v="0.2"/>
    <n v="3"/>
    <n v="1.9214104785370982"/>
    <n v="0.60000000000000009"/>
    <x v="0"/>
    <n v="0"/>
    <n v="0"/>
    <n v="0.83946977676809009"/>
    <n v="0"/>
    <n v="-1.9999999999999574E-2"/>
  </r>
  <r>
    <x v="536"/>
    <n v="3.0965824543668101"/>
    <n v="4.0200000000000005"/>
    <n v="7"/>
    <n v="0.2"/>
    <n v="4"/>
    <n v="2.5407269694104602"/>
    <n v="0.8"/>
    <x v="1"/>
    <n v="3.1759087117630749"/>
    <n v="0.84409128823692559"/>
    <n v="0.84409128823692559"/>
    <n v="4.621511468835493E-3"/>
    <n v="-1.9999999999999574E-2"/>
  </r>
  <r>
    <x v="537"/>
    <n v="3.12360003836893"/>
    <n v="4.0149999999999997"/>
    <n v="1"/>
    <n v="0.2"/>
    <n v="1"/>
    <n v="0.62472000767378599"/>
    <n v="0.2"/>
    <x v="0"/>
    <n v="0"/>
    <n v="0"/>
    <n v="0.84409128823692559"/>
    <n v="0"/>
    <n v="-5.0000000000007816E-3"/>
  </r>
  <r>
    <x v="538"/>
    <n v="3.1327170492887499"/>
    <n v="4.0149999999999997"/>
    <n v="2"/>
    <n v="0.2"/>
    <n v="2"/>
    <n v="1.251263417531536"/>
    <n v="0.4"/>
    <x v="0"/>
    <n v="0"/>
    <n v="0"/>
    <n v="0.84409128823692559"/>
    <n v="0"/>
    <n v="-5.0000000000007816E-3"/>
  </r>
  <r>
    <x v="539"/>
    <n v="3.2077358231055602"/>
    <n v="4.0149999999999997"/>
    <n v="5"/>
    <n v="0.2"/>
    <n v="3"/>
    <n v="1.8928105821526482"/>
    <n v="0.60000000000000009"/>
    <x v="0"/>
    <n v="0"/>
    <n v="0"/>
    <n v="0.84409128823692559"/>
    <n v="0"/>
    <n v="-5.0000000000007816E-3"/>
  </r>
  <r>
    <x v="540"/>
    <n v="3.2594551208520199"/>
    <n v="4.0149999999999997"/>
    <n v="6"/>
    <n v="0.2"/>
    <n v="4"/>
    <n v="2.5447016063230521"/>
    <n v="0.8"/>
    <x v="0"/>
    <n v="0"/>
    <n v="0"/>
    <n v="0.84409128823692559"/>
    <n v="0"/>
    <n v="-5.0000000000007816E-3"/>
  </r>
  <r>
    <x v="541"/>
    <n v="3.2635254657079802"/>
    <n v="4.0149999999999997"/>
    <n v="7"/>
    <n v="0.2"/>
    <n v="5"/>
    <n v="3.197406699464648"/>
    <n v="1"/>
    <x v="1"/>
    <n v="3.197406699464648"/>
    <n v="0.81759330053535173"/>
    <n v="0.81759330053535173"/>
    <n v="-2.6497987701573855E-2"/>
    <n v="-5.0000000000007816E-3"/>
  </r>
  <r>
    <x v="542"/>
    <n v="3.2377628105001701"/>
    <n v="4.1000000000000005"/>
    <n v="1"/>
    <n v="0.2"/>
    <n v="1"/>
    <n v="0.64755256210003409"/>
    <n v="0.2"/>
    <x v="0"/>
    <n v="0"/>
    <n v="0"/>
    <n v="0.81759330053535173"/>
    <n v="0"/>
    <n v="8.5000000000000853E-2"/>
  </r>
  <r>
    <x v="543"/>
    <n v="3.24953377621733"/>
    <n v="4.1000000000000005"/>
    <n v="2"/>
    <n v="0.2"/>
    <n v="2"/>
    <n v="1.2974593173435003"/>
    <n v="0.4"/>
    <x v="0"/>
    <n v="0"/>
    <n v="0"/>
    <n v="0.81759330053535173"/>
    <n v="0"/>
    <n v="8.5000000000000853E-2"/>
  </r>
  <r>
    <x v="544"/>
    <n v="3.2647835350343399"/>
    <n v="4.1000000000000005"/>
    <n v="5"/>
    <n v="0.2"/>
    <n v="3"/>
    <n v="1.9504160243503683"/>
    <n v="0.60000000000000009"/>
    <x v="0"/>
    <n v="0"/>
    <n v="0"/>
    <n v="0.81759330053535173"/>
    <n v="0"/>
    <n v="8.5000000000000853E-2"/>
  </r>
  <r>
    <x v="545"/>
    <n v="3.2863723435874199"/>
    <n v="4.1000000000000005"/>
    <n v="6"/>
    <n v="0.2"/>
    <n v="4"/>
    <n v="2.6076904930678522"/>
    <n v="0.8"/>
    <x v="0"/>
    <n v="0"/>
    <n v="0"/>
    <n v="0.81759330053535173"/>
    <n v="0"/>
    <n v="8.5000000000000853E-2"/>
  </r>
  <r>
    <x v="546"/>
    <n v="3.2835967922496798"/>
    <n v="4.1000000000000005"/>
    <n v="7"/>
    <n v="0.2"/>
    <n v="5"/>
    <n v="3.2644098515177884"/>
    <n v="1"/>
    <x v="1"/>
    <n v="3.2644098515177884"/>
    <n v="0.83559014848221214"/>
    <n v="0.83559014848221214"/>
    <n v="1.7996847946860406E-2"/>
    <n v="8.5000000000000853E-2"/>
  </r>
  <r>
    <x v="547"/>
    <n v="3.2368252535266899"/>
    <n v="4.07"/>
    <n v="1"/>
    <n v="0.2"/>
    <n v="1"/>
    <n v="0.64736505070533801"/>
    <n v="0.2"/>
    <x v="0"/>
    <n v="0"/>
    <n v="0"/>
    <n v="0.83559014848221214"/>
    <n v="0"/>
    <n v="-3.0000000000000249E-2"/>
  </r>
  <r>
    <x v="548"/>
    <n v="3.2532056158969298"/>
    <n v="4.07"/>
    <n v="2"/>
    <n v="0.2"/>
    <n v="2"/>
    <n v="1.2980061738847239"/>
    <n v="0.4"/>
    <x v="0"/>
    <n v="0"/>
    <n v="0"/>
    <n v="0.83559014848221214"/>
    <n v="0"/>
    <n v="-3.0000000000000249E-2"/>
  </r>
  <r>
    <x v="549"/>
    <n v="3.2401980086341502"/>
    <n v="4.07"/>
    <n v="5"/>
    <n v="0.2"/>
    <n v="3"/>
    <n v="1.9460457756115539"/>
    <n v="0.60000000000000009"/>
    <x v="0"/>
    <n v="0"/>
    <n v="0"/>
    <n v="0.83559014848221214"/>
    <n v="0"/>
    <n v="-3.0000000000000249E-2"/>
  </r>
  <r>
    <x v="550"/>
    <n v="3.2955237008358602"/>
    <n v="4.07"/>
    <n v="6"/>
    <n v="0.2"/>
    <n v="4"/>
    <n v="2.605150515778726"/>
    <n v="0.8"/>
    <x v="0"/>
    <n v="0"/>
    <n v="0"/>
    <n v="0.83559014848221214"/>
    <n v="0"/>
    <n v="-3.0000000000000249E-2"/>
  </r>
  <r>
    <x v="551"/>
    <n v="3.2554507349207298"/>
    <n v="4.07"/>
    <n v="7"/>
    <n v="0.2"/>
    <n v="5"/>
    <n v="3.2562406627628722"/>
    <n v="1"/>
    <x v="1"/>
    <n v="3.2562406627628722"/>
    <n v="0.81375933723712812"/>
    <n v="0.81375933723712812"/>
    <n v="-2.1830811245084014E-2"/>
    <n v="-3.0000000000000249E-2"/>
  </r>
  <r>
    <x v="552"/>
    <n v="3.2406996477189098"/>
    <n v="4.0149999999999997"/>
    <n v="1"/>
    <n v="0.2"/>
    <n v="1"/>
    <n v="0.64813992954378197"/>
    <n v="0.2"/>
    <x v="0"/>
    <n v="0"/>
    <n v="0"/>
    <n v="0.81375933723712812"/>
    <n v="0"/>
    <n v="-5.5000000000000604E-2"/>
  </r>
  <r>
    <x v="553"/>
    <n v="3.2387092672418598"/>
    <n v="4.0149999999999997"/>
    <n v="2"/>
    <n v="0.2"/>
    <n v="2"/>
    <n v="1.2958817829921538"/>
    <n v="0.4"/>
    <x v="0"/>
    <n v="0"/>
    <n v="0"/>
    <n v="0.81375933723712812"/>
    <n v="0"/>
    <n v="-5.5000000000000604E-2"/>
  </r>
  <r>
    <x v="554"/>
    <n v="3.2420059350164898"/>
    <n v="4.0149999999999997"/>
    <n v="5"/>
    <n v="0.2"/>
    <n v="3"/>
    <n v="1.9442829699954518"/>
    <n v="0.60000000000000009"/>
    <x v="0"/>
    <n v="0"/>
    <n v="0"/>
    <n v="0.81375933723712812"/>
    <n v="0"/>
    <n v="-5.5000000000000604E-2"/>
  </r>
  <r>
    <x v="555"/>
    <n v="3.2180523990892298"/>
    <n v="4.0149999999999997"/>
    <n v="6"/>
    <n v="0.2"/>
    <n v="4"/>
    <n v="2.5878934498132979"/>
    <n v="0.8"/>
    <x v="0"/>
    <n v="0"/>
    <n v="0"/>
    <n v="0.81375933723712812"/>
    <n v="0"/>
    <n v="-5.5000000000000604E-2"/>
  </r>
  <r>
    <x v="556"/>
    <n v="3.1948973800231402"/>
    <n v="4.0149999999999997"/>
    <n v="7"/>
    <n v="0.2"/>
    <n v="5"/>
    <n v="3.2268729258179261"/>
    <n v="1"/>
    <x v="1"/>
    <n v="3.2268729258179261"/>
    <n v="0.78812707418207362"/>
    <n v="0.78812707418207362"/>
    <n v="-2.5632263055054505E-2"/>
    <n v="-5.5000000000000604E-2"/>
  </r>
  <r>
    <x v="557"/>
    <n v="3.1705026484021301"/>
    <n v="3.9950000000000001"/>
    <n v="1"/>
    <n v="0.2"/>
    <n v="1"/>
    <n v="0.63410052968042607"/>
    <n v="0.2"/>
    <x v="0"/>
    <n v="0"/>
    <n v="0"/>
    <n v="0.78812707418207362"/>
    <n v="0"/>
    <n v="-1.9999999999999574E-2"/>
  </r>
  <r>
    <x v="558"/>
    <n v="3.1723768258530498"/>
    <n v="3.9950000000000001"/>
    <n v="2"/>
    <n v="0.2"/>
    <n v="2"/>
    <n v="1.2685758948510362"/>
    <n v="0.4"/>
    <x v="0"/>
    <n v="0"/>
    <n v="0"/>
    <n v="0.78812707418207362"/>
    <n v="0"/>
    <n v="-1.9999999999999574E-2"/>
  </r>
  <r>
    <x v="559"/>
    <n v="3.16005861973392"/>
    <n v="3.9950000000000001"/>
    <n v="5"/>
    <n v="0.2"/>
    <n v="3"/>
    <n v="1.9005876187978203"/>
    <n v="0.60000000000000009"/>
    <x v="0"/>
    <n v="0"/>
    <n v="0"/>
    <n v="0.78812707418207362"/>
    <n v="0"/>
    <n v="-1.9999999999999574E-2"/>
  </r>
  <r>
    <x v="560"/>
    <n v="3.2107808202984001"/>
    <n v="3.9950000000000001"/>
    <n v="6"/>
    <n v="0.2"/>
    <n v="4"/>
    <n v="2.5427437828575004"/>
    <n v="0.8"/>
    <x v="0"/>
    <n v="0"/>
    <n v="0"/>
    <n v="0.78812707418207362"/>
    <n v="0"/>
    <n v="-1.9999999999999574E-2"/>
  </r>
  <r>
    <x v="561"/>
    <n v="3.25804857470149"/>
    <n v="3.9950000000000001"/>
    <n v="7"/>
    <n v="0.2"/>
    <n v="5"/>
    <n v="3.1943534977977985"/>
    <n v="1"/>
    <x v="1"/>
    <n v="3.1943534977977985"/>
    <n v="0.80064650220220157"/>
    <n v="0.80064650220220157"/>
    <n v="1.2519428020127954E-2"/>
    <n v="-1.9999999999999574E-2"/>
  </r>
  <r>
    <x v="562"/>
    <n v="3.2816971853818702"/>
    <n v="4.0750000000000002"/>
    <n v="1"/>
    <n v="0.2"/>
    <n v="1"/>
    <n v="0.6563394370763741"/>
    <n v="0.2"/>
    <x v="0"/>
    <n v="0"/>
    <n v="0"/>
    <n v="0.80064650220220157"/>
    <n v="0"/>
    <n v="8.0000000000000071E-2"/>
  </r>
  <r>
    <x v="563"/>
    <n v="3.2664759262762"/>
    <n v="4.0750000000000002"/>
    <n v="5"/>
    <n v="0.2"/>
    <n v="2"/>
    <n v="1.3096346223316142"/>
    <n v="0.4"/>
    <x v="0"/>
    <n v="0"/>
    <n v="0"/>
    <n v="0.80064650220220157"/>
    <n v="0"/>
    <n v="8.0000000000000071E-2"/>
  </r>
  <r>
    <x v="564"/>
    <n v="3.2329417252497299"/>
    <n v="4.0750000000000002"/>
    <n v="6"/>
    <n v="0.2"/>
    <n v="3"/>
    <n v="1.9562229673815601"/>
    <n v="0.60000000000000009"/>
    <x v="0"/>
    <n v="0"/>
    <n v="0"/>
    <n v="0.80064650220220157"/>
    <n v="0"/>
    <n v="8.0000000000000071E-2"/>
  </r>
  <r>
    <x v="565"/>
    <n v="3.2185084565507598"/>
    <n v="4.0750000000000002"/>
    <n v="7"/>
    <n v="0.2"/>
    <n v="4"/>
    <n v="2.599924658691712"/>
    <n v="0.8"/>
    <x v="1"/>
    <n v="3.2499058233646396"/>
    <n v="0.82509417663536055"/>
    <n v="0.82509417663536055"/>
    <n v="2.4447674433158983E-2"/>
    <n v="8.0000000000000071E-2"/>
  </r>
  <r>
    <x v="566"/>
    <n v="3.20098644724558"/>
    <n v="4.03"/>
    <n v="1"/>
    <n v="0.2"/>
    <n v="1"/>
    <n v="0.64019728944911602"/>
    <n v="0.2"/>
    <x v="0"/>
    <n v="0"/>
    <n v="0"/>
    <n v="0.82509417663536055"/>
    <n v="0"/>
    <n v="-4.4999999999999929E-2"/>
  </r>
  <r>
    <x v="567"/>
    <n v="3.1874045932907902"/>
    <n v="4.03"/>
    <n v="2"/>
    <n v="0.2"/>
    <n v="2"/>
    <n v="1.2776782081072739"/>
    <n v="0.4"/>
    <x v="0"/>
    <n v="0"/>
    <n v="0"/>
    <n v="0.82509417663536055"/>
    <n v="0"/>
    <n v="-4.4999999999999929E-2"/>
  </r>
  <r>
    <x v="568"/>
    <n v="3.22381281335216"/>
    <n v="4.03"/>
    <n v="5"/>
    <n v="0.2"/>
    <n v="3"/>
    <n v="1.922440770777706"/>
    <n v="0.60000000000000009"/>
    <x v="0"/>
    <n v="0"/>
    <n v="0"/>
    <n v="0.82509417663536055"/>
    <n v="0"/>
    <n v="-4.4999999999999929E-2"/>
  </r>
  <r>
    <x v="569"/>
    <n v="3.2327612765480098"/>
    <n v="4.03"/>
    <n v="6"/>
    <n v="0.2"/>
    <n v="4"/>
    <n v="2.5689930260873082"/>
    <n v="0.8"/>
    <x v="0"/>
    <n v="0"/>
    <n v="0"/>
    <n v="0.82509417663536055"/>
    <n v="0"/>
    <n v="-4.4999999999999929E-2"/>
  </r>
  <r>
    <x v="570"/>
    <n v="3.23587971649664"/>
    <n v="4.03"/>
    <n v="7"/>
    <n v="0.2"/>
    <n v="5"/>
    <n v="3.2161689693866364"/>
    <n v="1"/>
    <x v="1"/>
    <n v="3.2161689693866364"/>
    <n v="0.81383103061336382"/>
    <n v="0.81383103061336382"/>
    <n v="-1.1263146021996739E-2"/>
    <n v="-4.4999999999999929E-2"/>
  </r>
  <r>
    <x v="571"/>
    <n v="3.1839990162061"/>
    <n v="4.03"/>
    <n v="1"/>
    <n v="0.2"/>
    <n v="1"/>
    <n v="0.6367998032412201"/>
    <n v="0.2"/>
    <x v="0"/>
    <n v="0"/>
    <n v="0"/>
    <n v="0.81383103061336382"/>
    <n v="0"/>
    <n v="0"/>
  </r>
  <r>
    <x v="572"/>
    <n v="3.1834552504580702"/>
    <n v="4.03"/>
    <n v="2"/>
    <n v="0.2"/>
    <n v="2"/>
    <n v="1.2734908533328342"/>
    <n v="0.4"/>
    <x v="0"/>
    <n v="0"/>
    <n v="0"/>
    <n v="0.81383103061336382"/>
    <n v="0"/>
    <n v="0"/>
  </r>
  <r>
    <x v="573"/>
    <n v="3.1797287048205698"/>
    <n v="4.03"/>
    <n v="5"/>
    <n v="0.2"/>
    <n v="3"/>
    <n v="1.9094365942969482"/>
    <n v="0.60000000000000009"/>
    <x v="0"/>
    <n v="0"/>
    <n v="0"/>
    <n v="0.81383103061336382"/>
    <n v="0"/>
    <n v="0"/>
  </r>
  <r>
    <x v="574"/>
    <n v="3.1713427686584299"/>
    <n v="4.03"/>
    <n v="6"/>
    <n v="0.2"/>
    <n v="4"/>
    <n v="2.5437051480286343"/>
    <n v="0.8"/>
    <x v="0"/>
    <n v="0"/>
    <n v="0"/>
    <n v="0.81383103061336382"/>
    <n v="0"/>
    <n v="0"/>
  </r>
  <r>
    <x v="575"/>
    <n v="3.18443166753908"/>
    <n v="4.03"/>
    <n v="7"/>
    <n v="0.2"/>
    <n v="5"/>
    <n v="3.1805914815364504"/>
    <n v="1"/>
    <x v="1"/>
    <n v="3.1805914815364504"/>
    <n v="0.84940851846354981"/>
    <n v="0.84940851846354981"/>
    <n v="3.5577487850185996E-2"/>
    <n v="0"/>
  </r>
  <r>
    <x v="576"/>
    <n v="3.2359256063250199"/>
    <n v="4.0200000000000005"/>
    <n v="1"/>
    <n v="0.2"/>
    <n v="1"/>
    <n v="0.64718512126500405"/>
    <n v="0.2"/>
    <x v="0"/>
    <n v="0"/>
    <n v="0"/>
    <n v="0.84940851846354981"/>
    <n v="0"/>
    <n v="-9.9999999999997868E-3"/>
  </r>
  <r>
    <x v="577"/>
    <n v="3.1915306555493599"/>
    <n v="4.0200000000000005"/>
    <n v="2"/>
    <n v="0.2"/>
    <n v="2"/>
    <n v="1.285491252374876"/>
    <n v="0.4"/>
    <x v="0"/>
    <n v="0"/>
    <n v="0"/>
    <n v="0.84940851846354981"/>
    <n v="0"/>
    <n v="-9.9999999999997868E-3"/>
  </r>
  <r>
    <x v="578"/>
    <n v="3.2049602013827001"/>
    <n v="4.0200000000000005"/>
    <n v="5"/>
    <n v="0.2"/>
    <n v="3"/>
    <n v="1.9264832926514162"/>
    <n v="0.60000000000000009"/>
    <x v="0"/>
    <n v="0"/>
    <n v="0"/>
    <n v="0.84940851846354981"/>
    <n v="0"/>
    <n v="-9.9999999999997868E-3"/>
  </r>
  <r>
    <x v="579"/>
    <n v="3.1823757597493798"/>
    <n v="4.0200000000000005"/>
    <n v="6"/>
    <n v="0.2"/>
    <n v="4"/>
    <n v="2.5629584446012923"/>
    <n v="0.8"/>
    <x v="0"/>
    <n v="0"/>
    <n v="0"/>
    <n v="0.84940851846354981"/>
    <n v="0"/>
    <n v="-9.9999999999997868E-3"/>
  </r>
  <r>
    <x v="580"/>
    <n v="3.2657922043638301"/>
    <n v="4.0200000000000005"/>
    <n v="7"/>
    <n v="0.2"/>
    <n v="5"/>
    <n v="3.2161168854740585"/>
    <n v="1"/>
    <x v="1"/>
    <n v="3.2161168854740585"/>
    <n v="0.80388311452594197"/>
    <n v="0.80388311452594197"/>
    <n v="-4.5525403937607845E-2"/>
    <n v="-9.9999999999997868E-3"/>
  </r>
  <r>
    <x v="581"/>
    <n v="3.2761065930147799"/>
    <n v="4.0649999999999995"/>
    <n v="1"/>
    <n v="0.2"/>
    <n v="1"/>
    <n v="0.65522131860295607"/>
    <n v="0.2"/>
    <x v="0"/>
    <n v="0"/>
    <n v="0"/>
    <n v="0.80388311452594197"/>
    <n v="0"/>
    <n v="4.4999999999999041E-2"/>
  </r>
  <r>
    <x v="582"/>
    <n v="3.2284236378811801"/>
    <n v="4.0649999999999995"/>
    <n v="2"/>
    <n v="0.2"/>
    <n v="2"/>
    <n v="1.3009060461791921"/>
    <n v="0.4"/>
    <x v="0"/>
    <n v="0"/>
    <n v="0"/>
    <n v="0.80388311452594197"/>
    <n v="0"/>
    <n v="4.4999999999999041E-2"/>
  </r>
  <r>
    <x v="583"/>
    <n v="3.2178217897536898"/>
    <n v="4.0649999999999995"/>
    <n v="5"/>
    <n v="0.2"/>
    <n v="3"/>
    <n v="1.9444704041299301"/>
    <n v="0.60000000000000009"/>
    <x v="0"/>
    <n v="0"/>
    <n v="0"/>
    <n v="0.80388311452594197"/>
    <n v="0"/>
    <n v="4.4999999999999041E-2"/>
  </r>
  <r>
    <x v="584"/>
    <n v="3.21632428795722"/>
    <n v="4.0649999999999995"/>
    <n v="6"/>
    <n v="0.2"/>
    <n v="4"/>
    <n v="2.5877352617213742"/>
    <n v="0.8"/>
    <x v="0"/>
    <n v="0"/>
    <n v="0"/>
    <n v="0.80388311452594197"/>
    <n v="0"/>
    <n v="4.4999999999999041E-2"/>
  </r>
  <r>
    <x v="585"/>
    <n v="3.2168042301856699"/>
    <n v="4.0649999999999995"/>
    <n v="7"/>
    <n v="0.2"/>
    <n v="5"/>
    <n v="3.2310961077585083"/>
    <n v="1"/>
    <x v="1"/>
    <n v="3.2310961077585083"/>
    <n v="0.8339038922414912"/>
    <n v="0.8339038922414912"/>
    <n v="3.0020777715549229E-2"/>
    <n v="4.4999999999999041E-2"/>
  </r>
  <r>
    <x v="586"/>
    <n v="3.1812952620623198"/>
    <n v="4.0200000000000005"/>
    <n v="1"/>
    <n v="0.2"/>
    <n v="1"/>
    <n v="0.63625905241246405"/>
    <n v="0.2"/>
    <x v="0"/>
    <n v="0"/>
    <n v="0"/>
    <n v="0.8339038922414912"/>
    <n v="0"/>
    <n v="-4.4999999999999041E-2"/>
  </r>
  <r>
    <x v="587"/>
    <n v="3.1721768972748698"/>
    <n v="4.0200000000000005"/>
    <n v="2"/>
    <n v="0.2"/>
    <n v="2"/>
    <n v="1.270694431867438"/>
    <n v="0.4"/>
    <x v="0"/>
    <n v="0"/>
    <n v="0"/>
    <n v="0.8339038922414912"/>
    <n v="0"/>
    <n v="-4.4999999999999041E-2"/>
  </r>
  <r>
    <x v="588"/>
    <n v="3.1826449451887"/>
    <n v="4.0200000000000005"/>
    <n v="5"/>
    <n v="0.2"/>
    <n v="3"/>
    <n v="1.9072234209051779"/>
    <n v="0.60000000000000009"/>
    <x v="0"/>
    <n v="0"/>
    <n v="0"/>
    <n v="0.8339038922414912"/>
    <n v="0"/>
    <n v="-4.4999999999999041E-2"/>
  </r>
  <r>
    <x v="589"/>
    <n v="3.1921232293895798"/>
    <n v="4.0200000000000005"/>
    <n v="6"/>
    <n v="0.2"/>
    <n v="4"/>
    <n v="2.5456480667830941"/>
    <n v="0.8"/>
    <x v="0"/>
    <n v="0"/>
    <n v="0"/>
    <n v="0.8339038922414912"/>
    <n v="0"/>
    <n v="-4.4999999999999041E-2"/>
  </r>
  <r>
    <x v="590"/>
    <n v="3.1611594965890202"/>
    <n v="4.0200000000000005"/>
    <n v="7"/>
    <n v="0.2"/>
    <n v="5"/>
    <n v="3.1778799661008983"/>
    <n v="1"/>
    <x v="1"/>
    <n v="3.1778799661008983"/>
    <n v="0.84212003389910217"/>
    <n v="0.84212003389910217"/>
    <n v="8.2161416576109758E-3"/>
    <n v="-4.4999999999999041E-2"/>
  </r>
  <r>
    <x v="591"/>
    <n v="3.1399551635126901"/>
    <n v="3.9749999999999996"/>
    <n v="1"/>
    <n v="0.2"/>
    <n v="1"/>
    <n v="0.62799103270253809"/>
    <n v="0.2"/>
    <x v="0"/>
    <n v="0"/>
    <n v="0"/>
    <n v="0.84212003389910217"/>
    <n v="0"/>
    <n v="-4.5000000000000817E-2"/>
  </r>
  <r>
    <x v="592"/>
    <n v="3.0935764216510502"/>
    <n v="3.9749999999999996"/>
    <n v="2"/>
    <n v="0.2"/>
    <n v="2"/>
    <n v="1.2467063170327481"/>
    <n v="0.4"/>
    <x v="0"/>
    <n v="0"/>
    <n v="0"/>
    <n v="0.84212003389910217"/>
    <n v="0"/>
    <n v="-4.5000000000000817E-2"/>
  </r>
  <r>
    <x v="593"/>
    <n v="3.1399786597886301"/>
    <n v="3.9749999999999996"/>
    <n v="5"/>
    <n v="0.2"/>
    <n v="3"/>
    <n v="1.8747020489904742"/>
    <n v="0.60000000000000009"/>
    <x v="0"/>
    <n v="0"/>
    <n v="0"/>
    <n v="0.84212003389910217"/>
    <n v="0"/>
    <n v="-4.5000000000000817E-2"/>
  </r>
  <r>
    <x v="594"/>
    <n v="3.1648384217316798"/>
    <n v="3.9749999999999996"/>
    <n v="6"/>
    <n v="0.2"/>
    <n v="4"/>
    <n v="2.5076697333368103"/>
    <n v="0.8"/>
    <x v="0"/>
    <n v="0"/>
    <n v="0"/>
    <n v="0.84212003389910217"/>
    <n v="0"/>
    <n v="-4.5000000000000817E-2"/>
  </r>
  <r>
    <x v="595"/>
    <n v="3.1828839679523702"/>
    <n v="3.9749999999999996"/>
    <n v="7"/>
    <n v="0.2"/>
    <n v="5"/>
    <n v="3.1442465269272843"/>
    <n v="1"/>
    <x v="1"/>
    <n v="3.1442465269272843"/>
    <n v="0.8307534730727153"/>
    <n v="0.8307534730727153"/>
    <n v="-1.1366560826386873E-2"/>
    <n v="-4.5000000000000817E-2"/>
  </r>
  <r>
    <x v="596"/>
    <n v="3.1567795766011701"/>
    <n v="3.9749999999999996"/>
    <n v="1"/>
    <n v="0.2"/>
    <n v="1"/>
    <n v="0.63135591532023405"/>
    <n v="0.2"/>
    <x v="0"/>
    <n v="0"/>
    <n v="0"/>
    <n v="0.8307534730727153"/>
    <n v="0"/>
    <n v="0"/>
  </r>
  <r>
    <x v="597"/>
    <n v="3.1508216358267802"/>
    <n v="3.9749999999999996"/>
    <n v="2"/>
    <n v="0.2"/>
    <n v="2"/>
    <n v="1.2615202424855902"/>
    <n v="0.4"/>
    <x v="0"/>
    <n v="0"/>
    <n v="0"/>
    <n v="0.8307534730727153"/>
    <n v="0"/>
    <n v="0"/>
  </r>
  <r>
    <x v="598"/>
    <n v="3.1385592562937199"/>
    <n v="3.9749999999999996"/>
    <n v="5"/>
    <n v="0.2"/>
    <n v="3"/>
    <n v="1.8892320937443343"/>
    <n v="0.60000000000000009"/>
    <x v="0"/>
    <n v="0"/>
    <n v="0"/>
    <n v="0.8307534730727153"/>
    <n v="0"/>
    <n v="0"/>
  </r>
  <r>
    <x v="599"/>
    <n v="3.12943696082093"/>
    <n v="3.9749999999999996"/>
    <n v="6"/>
    <n v="0.2"/>
    <n v="4"/>
    <n v="2.5151194859085204"/>
    <n v="0.8"/>
    <x v="0"/>
    <n v="0"/>
    <n v="0"/>
    <n v="0.8307534730727153"/>
    <n v="0"/>
    <n v="0"/>
  </r>
  <r>
    <x v="600"/>
    <n v="3.09887022841253"/>
    <n v="3.9749999999999996"/>
    <n v="7"/>
    <n v="0.2"/>
    <n v="5"/>
    <n v="3.1348935315910262"/>
    <n v="1"/>
    <x v="1"/>
    <n v="3.1348935315910262"/>
    <n v="0.84010646840897341"/>
    <n v="0.84010646840897341"/>
    <n v="9.3529953362581075E-3"/>
    <n v="0"/>
  </r>
  <r>
    <x v="601"/>
    <n v="3.0781225342059799"/>
    <n v="3.9749999999999996"/>
    <n v="1"/>
    <n v="0.2"/>
    <n v="1"/>
    <n v="0.61562450684119607"/>
    <n v="0.2"/>
    <x v="0"/>
    <n v="0"/>
    <n v="0"/>
    <n v="0.84010646840897341"/>
    <n v="0"/>
    <n v="0"/>
  </r>
  <r>
    <x v="602"/>
    <n v="3.0803371977218901"/>
    <n v="3.9749999999999996"/>
    <n v="2"/>
    <n v="0.2"/>
    <n v="2"/>
    <n v="1.231691946385574"/>
    <n v="0.4"/>
    <x v="0"/>
    <n v="0"/>
    <n v="0"/>
    <n v="0.84010646840897341"/>
    <n v="0"/>
    <n v="0"/>
  </r>
  <r>
    <x v="603"/>
    <n v="3.1334692922129599"/>
    <n v="3.9749999999999996"/>
    <n v="6"/>
    <n v="0.2"/>
    <n v="3"/>
    <n v="1.8583858048281661"/>
    <n v="0.60000000000000009"/>
    <x v="0"/>
    <n v="0"/>
    <n v="0"/>
    <n v="0.84010646840897341"/>
    <n v="0"/>
    <n v="0"/>
  </r>
  <r>
    <x v="604"/>
    <n v="3.1253552915520499"/>
    <n v="3.9749999999999996"/>
    <n v="7"/>
    <n v="0.2"/>
    <n v="4"/>
    <n v="2.4834568631385761"/>
    <n v="0.8"/>
    <x v="1"/>
    <n v="3.1043210789232201"/>
    <n v="0.87067892107677958"/>
    <n v="0.87067892107677958"/>
    <n v="3.0572452667806171E-2"/>
    <n v="0"/>
  </r>
  <r>
    <x v="605"/>
    <n v="3.1528316914569898"/>
    <n v="3.9950000000000001"/>
    <n v="1"/>
    <n v="0.2"/>
    <n v="1"/>
    <n v="0.63056633829139797"/>
    <n v="0.2"/>
    <x v="0"/>
    <n v="0"/>
    <n v="0"/>
    <n v="0.87067892107677958"/>
    <n v="0"/>
    <n v="2.0000000000000462E-2"/>
  </r>
  <r>
    <x v="606"/>
    <n v="3.1681849384338299"/>
    <n v="3.9950000000000001"/>
    <n v="2"/>
    <n v="0.2"/>
    <n v="2"/>
    <n v="1.264203325978164"/>
    <n v="0.4"/>
    <x v="0"/>
    <n v="0"/>
    <n v="0"/>
    <n v="0.87067892107677958"/>
    <n v="0"/>
    <n v="2.0000000000000462E-2"/>
  </r>
  <r>
    <x v="607"/>
    <n v="3.1760802516618698"/>
    <n v="3.9950000000000001"/>
    <n v="5"/>
    <n v="0.2"/>
    <n v="3"/>
    <n v="1.899419376310538"/>
    <n v="0.60000000000000009"/>
    <x v="0"/>
    <n v="0"/>
    <n v="0"/>
    <n v="0.87067892107677958"/>
    <n v="0"/>
    <n v="2.0000000000000462E-2"/>
  </r>
  <r>
    <x v="608"/>
    <n v="3.20426354311416"/>
    <n v="3.9950000000000001"/>
    <n v="6"/>
    <n v="0.2"/>
    <n v="4"/>
    <n v="2.54027208493337"/>
    <n v="0.8"/>
    <x v="0"/>
    <n v="0"/>
    <n v="0"/>
    <n v="0.87067892107677958"/>
    <n v="0"/>
    <n v="2.0000000000000462E-2"/>
  </r>
  <r>
    <x v="609"/>
    <n v="3.23966504008277"/>
    <n v="3.9950000000000001"/>
    <n v="7"/>
    <n v="0.2"/>
    <n v="5"/>
    <n v="3.1882050929499242"/>
    <n v="1"/>
    <x v="1"/>
    <n v="3.1882050929499242"/>
    <n v="0.80679490705007595"/>
    <n v="0.80679490705007595"/>
    <n v="-6.3884014026703628E-2"/>
    <n v="2.0000000000000462E-2"/>
  </r>
  <r>
    <x v="610"/>
    <n v="3.2385398598967701"/>
    <n v="4.1050000000000004"/>
    <n v="1"/>
    <n v="0.2"/>
    <n v="1"/>
    <n v="0.64770797197935404"/>
    <n v="0.2"/>
    <x v="0"/>
    <n v="0"/>
    <n v="0"/>
    <n v="0.80679490705007595"/>
    <n v="0"/>
    <n v="0.11000000000000032"/>
  </r>
  <r>
    <x v="611"/>
    <n v="3.3013053863626398"/>
    <n v="4.1050000000000004"/>
    <n v="2"/>
    <n v="0.2"/>
    <n v="2"/>
    <n v="1.3079690492518821"/>
    <n v="0.4"/>
    <x v="0"/>
    <n v="0"/>
    <n v="0"/>
    <n v="0.80679490705007595"/>
    <n v="0"/>
    <n v="0.11000000000000032"/>
  </r>
  <r>
    <x v="612"/>
    <n v="3.2813411057709199"/>
    <n v="4.1050000000000004"/>
    <n v="5"/>
    <n v="0.2"/>
    <n v="3"/>
    <n v="1.9642372704060662"/>
    <n v="0.60000000000000009"/>
    <x v="0"/>
    <n v="0"/>
    <n v="0"/>
    <n v="0.80679490705007595"/>
    <n v="0"/>
    <n v="0.11000000000000032"/>
  </r>
  <r>
    <x v="613"/>
    <n v="3.28408302284724"/>
    <n v="4.1050000000000004"/>
    <n v="6"/>
    <n v="0.2"/>
    <n v="4"/>
    <n v="2.6210538749755141"/>
    <n v="0.8"/>
    <x v="0"/>
    <n v="0"/>
    <n v="0"/>
    <n v="0.80679490705007595"/>
    <n v="0"/>
    <n v="0.11000000000000032"/>
  </r>
  <r>
    <x v="614"/>
    <n v="3.2889456294412902"/>
    <n v="4.1050000000000004"/>
    <n v="7"/>
    <n v="0.2"/>
    <n v="5"/>
    <n v="3.2788430008637723"/>
    <n v="1"/>
    <x v="1"/>
    <n v="3.2788430008637723"/>
    <n v="0.82615699913622809"/>
    <n v="0.82615699913622809"/>
    <n v="1.9362092086152138E-2"/>
    <n v="0.11000000000000032"/>
  </r>
  <r>
    <x v="615"/>
    <n v="3.3001731665241301"/>
    <n v="4.0750000000000002"/>
    <n v="1"/>
    <n v="0.2"/>
    <n v="1"/>
    <n v="0.66003463330482603"/>
    <n v="0.2"/>
    <x v="0"/>
    <n v="0"/>
    <n v="0"/>
    <n v="0.82615699913622809"/>
    <n v="0"/>
    <n v="-3.0000000000000249E-2"/>
  </r>
  <r>
    <x v="616"/>
    <n v="3.2564979130093699"/>
    <n v="4.0750000000000002"/>
    <n v="2"/>
    <n v="0.2"/>
    <n v="2"/>
    <n v="1.3113342159067001"/>
    <n v="0.4"/>
    <x v="0"/>
    <n v="0"/>
    <n v="0"/>
    <n v="0.82615699913622809"/>
    <n v="0"/>
    <n v="-3.0000000000000249E-2"/>
  </r>
  <r>
    <x v="617"/>
    <n v="3.2397623305872298"/>
    <n v="4.0750000000000002"/>
    <n v="5"/>
    <n v="0.2"/>
    <n v="3"/>
    <n v="1.9592866820241461"/>
    <n v="0.60000000000000009"/>
    <x v="0"/>
    <n v="0"/>
    <n v="0"/>
    <n v="0.82615699913622809"/>
    <n v="0"/>
    <n v="-3.0000000000000249E-2"/>
  </r>
  <r>
    <x v="618"/>
    <n v="3.2147148443632201"/>
    <n v="4.0750000000000002"/>
    <n v="6"/>
    <n v="0.2"/>
    <n v="4"/>
    <n v="2.6022296508967901"/>
    <n v="0.8"/>
    <x v="0"/>
    <n v="0"/>
    <n v="0"/>
    <n v="0.82615699913622809"/>
    <n v="0"/>
    <n v="-3.0000000000000249E-2"/>
  </r>
  <r>
    <x v="619"/>
    <n v="3.24020380359058"/>
    <n v="4.0750000000000002"/>
    <n v="7"/>
    <n v="0.2"/>
    <n v="5"/>
    <n v="3.2502704116149062"/>
    <n v="1"/>
    <x v="1"/>
    <n v="3.2502704116149062"/>
    <n v="0.82472958838509403"/>
    <n v="0.82472958838509403"/>
    <n v="-1.4274107511340617E-3"/>
    <n v="-3.0000000000000249E-2"/>
  </r>
  <r>
    <x v="620"/>
    <n v="3.19667473354923"/>
    <n v="4.04"/>
    <n v="1"/>
    <n v="0.2"/>
    <n v="1"/>
    <n v="0.63933494670984603"/>
    <n v="0.2"/>
    <x v="0"/>
    <n v="0"/>
    <n v="0"/>
    <n v="0.82472958838509403"/>
    <n v="0"/>
    <n v="-3.5000000000000142E-2"/>
  </r>
  <r>
    <x v="621"/>
    <n v="3.21516848659176"/>
    <n v="4.04"/>
    <n v="2"/>
    <n v="0.2"/>
    <n v="2"/>
    <n v="1.2823686440281981"/>
    <n v="0.4"/>
    <x v="0"/>
    <n v="0"/>
    <n v="0"/>
    <n v="0.82472958838509403"/>
    <n v="0"/>
    <n v="-3.5000000000000142E-2"/>
  </r>
  <r>
    <x v="622"/>
    <n v="3.1926835363021802"/>
    <n v="4.04"/>
    <n v="5"/>
    <n v="0.2"/>
    <n v="3"/>
    <n v="1.920905351288634"/>
    <n v="0.60000000000000009"/>
    <x v="0"/>
    <n v="0"/>
    <n v="0"/>
    <n v="0.82472958838509403"/>
    <n v="0"/>
    <n v="-3.5000000000000142E-2"/>
  </r>
  <r>
    <x v="623"/>
    <n v="3.2078957125058598"/>
    <n v="4.04"/>
    <n v="6"/>
    <n v="0.2"/>
    <n v="4"/>
    <n v="2.5624844937898059"/>
    <n v="0.8"/>
    <x v="0"/>
    <n v="0"/>
    <n v="0"/>
    <n v="0.82472958838509403"/>
    <n v="0"/>
    <n v="-3.5000000000000142E-2"/>
  </r>
  <r>
    <x v="624"/>
    <n v="3.1187867017573798"/>
    <n v="4.04"/>
    <n v="7"/>
    <n v="0.2"/>
    <n v="5"/>
    <n v="3.1862418341412821"/>
    <n v="1"/>
    <x v="1"/>
    <n v="3.1862418341412821"/>
    <n v="0.85375816585871789"/>
    <n v="0.85375816585871789"/>
    <n v="2.9028577473623862E-2"/>
    <n v="-3.5000000000000142E-2"/>
  </r>
  <r>
    <x v="625"/>
    <n v="3.13610168579967"/>
    <n v="3.9950000000000001"/>
    <n v="1"/>
    <n v="0.2"/>
    <n v="1"/>
    <n v="0.62722033715993408"/>
    <n v="0.2"/>
    <x v="0"/>
    <n v="0"/>
    <n v="0"/>
    <n v="0.85375816585871789"/>
    <n v="0"/>
    <n v="-4.4999999999999929E-2"/>
  </r>
  <r>
    <x v="626"/>
    <n v="3.14080245533752"/>
    <n v="3.9950000000000001"/>
    <n v="2"/>
    <n v="0.2"/>
    <n v="2"/>
    <n v="1.2553808282274381"/>
    <n v="0.4"/>
    <x v="0"/>
    <n v="0"/>
    <n v="0"/>
    <n v="0.85375816585871789"/>
    <n v="0"/>
    <n v="-4.4999999999999929E-2"/>
  </r>
  <r>
    <x v="627"/>
    <n v="3.12297819640008"/>
    <n v="3.9950000000000001"/>
    <n v="5"/>
    <n v="0.2"/>
    <n v="3"/>
    <n v="1.8799764675074542"/>
    <n v="0.60000000000000009"/>
    <x v="0"/>
    <n v="0"/>
    <n v="0"/>
    <n v="0.85375816585871789"/>
    <n v="0"/>
    <n v="-4.4999999999999929E-2"/>
  </r>
  <r>
    <x v="628"/>
    <n v="3.05716566753143"/>
    <n v="3.9950000000000001"/>
    <n v="6"/>
    <n v="0.2"/>
    <n v="4"/>
    <n v="2.4914096010137401"/>
    <n v="0.8"/>
    <x v="0"/>
    <n v="0"/>
    <n v="0"/>
    <n v="0.85375816585871789"/>
    <n v="0"/>
    <n v="-4.4999999999999929E-2"/>
  </r>
  <r>
    <x v="629"/>
    <n v="3.00695688776984"/>
    <n v="3.9950000000000001"/>
    <n v="7"/>
    <n v="0.2"/>
    <n v="5"/>
    <n v="3.0928009785677082"/>
    <n v="1"/>
    <x v="1"/>
    <n v="3.0928009785677082"/>
    <n v="0.90219902143229191"/>
    <n v="0.90219902143229191"/>
    <n v="4.8440855573574026E-2"/>
    <n v="-4.4999999999999929E-2"/>
  </r>
  <r>
    <x v="630"/>
    <n v="3.0093512074845101"/>
    <n v="3.8450000000000002"/>
    <n v="1"/>
    <n v="0.2"/>
    <n v="1"/>
    <n v="0.60187024149690205"/>
    <n v="0.2"/>
    <x v="0"/>
    <n v="0"/>
    <n v="0"/>
    <n v="0.90219902143229191"/>
    <n v="0"/>
    <n v="-0.14999999999999991"/>
  </r>
  <r>
    <x v="631"/>
    <n v="3.0064713691768699"/>
    <n v="3.8450000000000002"/>
    <n v="2"/>
    <n v="0.2"/>
    <n v="2"/>
    <n v="1.2031645153322761"/>
    <n v="0.4"/>
    <x v="0"/>
    <n v="0"/>
    <n v="0"/>
    <n v="0.90219902143229191"/>
    <n v="0"/>
    <n v="-0.14999999999999991"/>
  </r>
  <r>
    <x v="632"/>
    <n v="2.9156735260487601"/>
    <n v="3.8450000000000002"/>
    <n v="6"/>
    <n v="0.2"/>
    <n v="3"/>
    <n v="1.7862992205420283"/>
    <n v="0.60000000000000009"/>
    <x v="0"/>
    <n v="0"/>
    <n v="0"/>
    <n v="0.90219902143229191"/>
    <n v="0"/>
    <n v="-0.14999999999999991"/>
  </r>
  <r>
    <x v="633"/>
    <n v="2.8012763487796"/>
    <n v="3.8450000000000002"/>
    <n v="7"/>
    <n v="0.2"/>
    <n v="4"/>
    <n v="2.3465544902979483"/>
    <n v="0.8"/>
    <x v="1"/>
    <n v="2.9331931128724351"/>
    <n v="0.91180688712756508"/>
    <n v="0.91180688712756508"/>
    <n v="9.6078656952731656E-3"/>
    <n v="-0.14999999999999991"/>
  </r>
  <r>
    <x v="634"/>
    <n v="2.88997696662019"/>
    <n v="3.7949999999999999"/>
    <n v="1"/>
    <n v="0.2"/>
    <n v="1"/>
    <n v="0.57799539332403804"/>
    <n v="0.2"/>
    <x v="0"/>
    <n v="0"/>
    <n v="0"/>
    <n v="0.91180688712756508"/>
    <n v="0"/>
    <n v="-5.0000000000000266E-2"/>
  </r>
  <r>
    <x v="635"/>
    <n v="2.9089681552965998"/>
    <n v="3.7949999999999999"/>
    <n v="2"/>
    <n v="0.2"/>
    <n v="2"/>
    <n v="1.159789024383358"/>
    <n v="0.4"/>
    <x v="0"/>
    <n v="0"/>
    <n v="0"/>
    <n v="0.91180688712756508"/>
    <n v="0"/>
    <n v="-5.0000000000000266E-2"/>
  </r>
  <r>
    <x v="636"/>
    <n v="2.88228276625992"/>
    <n v="3.7949999999999999"/>
    <n v="5"/>
    <n v="0.2"/>
    <n v="3"/>
    <n v="1.736245577635342"/>
    <n v="0.60000000000000009"/>
    <x v="0"/>
    <n v="0"/>
    <n v="0"/>
    <n v="0.91180688712756508"/>
    <n v="0"/>
    <n v="-5.0000000000000266E-2"/>
  </r>
  <r>
    <x v="637"/>
    <n v="2.90260596221672"/>
    <n v="3.7949999999999999"/>
    <n v="6"/>
    <n v="0.2"/>
    <n v="4"/>
    <n v="2.316766770078686"/>
    <n v="0.8"/>
    <x v="0"/>
    <n v="0"/>
    <n v="0"/>
    <n v="0.91180688712756508"/>
    <n v="0"/>
    <n v="-5.0000000000000266E-2"/>
  </r>
  <r>
    <x v="638"/>
    <n v="2.91560839979166"/>
    <n v="3.7949999999999999"/>
    <n v="7"/>
    <n v="0.2"/>
    <n v="5"/>
    <n v="2.8998884500370181"/>
    <n v="1"/>
    <x v="1"/>
    <n v="2.8998884500370181"/>
    <n v="0.89511154996298181"/>
    <n v="0.89511154996298181"/>
    <n v="-1.6695337164583268E-2"/>
    <n v="-5.0000000000000266E-2"/>
  </r>
  <r>
    <x v="639"/>
    <n v="2.9569729972046299"/>
    <n v="3.855"/>
    <n v="1"/>
    <n v="0.2"/>
    <n v="1"/>
    <n v="0.59139459944092598"/>
    <n v="0.2"/>
    <x v="0"/>
    <n v="0"/>
    <n v="0"/>
    <n v="0.89511154996298181"/>
    <n v="0"/>
    <n v="6.0000000000000053E-2"/>
  </r>
  <r>
    <x v="640"/>
    <n v="2.9670641789919698"/>
    <n v="3.855"/>
    <n v="2"/>
    <n v="0.2"/>
    <n v="2"/>
    <n v="1.1848074352393199"/>
    <n v="0.4"/>
    <x v="0"/>
    <n v="0"/>
    <n v="0"/>
    <n v="0.89511154996298181"/>
    <n v="0"/>
    <n v="6.0000000000000053E-2"/>
  </r>
  <r>
    <x v="641"/>
    <n v="2.95063055740501"/>
    <n v="3.855"/>
    <n v="5"/>
    <n v="0.2"/>
    <n v="3"/>
    <n v="1.7749335467203218"/>
    <n v="0.60000000000000009"/>
    <x v="0"/>
    <n v="0"/>
    <n v="0"/>
    <n v="0.89511154996298181"/>
    <n v="0"/>
    <n v="6.0000000000000053E-2"/>
  </r>
  <r>
    <x v="642"/>
    <n v="2.9732615646767"/>
    <n v="3.855"/>
    <n v="6"/>
    <n v="0.2"/>
    <n v="4"/>
    <n v="2.369585859655662"/>
    <n v="0.8"/>
    <x v="0"/>
    <n v="0"/>
    <n v="0"/>
    <n v="0.89511154996298181"/>
    <n v="0"/>
    <n v="6.0000000000000053E-2"/>
  </r>
  <r>
    <x v="643"/>
    <n v="3.0090985385111702"/>
    <n v="3.855"/>
    <n v="7"/>
    <n v="0.2"/>
    <n v="5"/>
    <n v="2.9714055673578961"/>
    <n v="1"/>
    <x v="1"/>
    <n v="2.9714055673578961"/>
    <n v="0.88359443264210391"/>
    <n v="0.88359443264210391"/>
    <n v="-1.1517117320877901E-2"/>
    <n v="6.0000000000000053E-2"/>
  </r>
  <r>
    <x v="644"/>
    <n v="2.9884141965756501"/>
    <n v="3.8949999999999996"/>
    <n v="1"/>
    <n v="0.2"/>
    <n v="1"/>
    <n v="0.59768283931513"/>
    <n v="0.2"/>
    <x v="0"/>
    <n v="0"/>
    <n v="0"/>
    <n v="0.88359443264210391"/>
    <n v="0"/>
    <n v="3.9999999999999591E-2"/>
  </r>
  <r>
    <x v="645"/>
    <n v="3.0097405474457601"/>
    <n v="3.8949999999999996"/>
    <n v="2"/>
    <n v="0.2"/>
    <n v="2"/>
    <n v="1.1996309488042822"/>
    <n v="0.4"/>
    <x v="0"/>
    <n v="0"/>
    <n v="0"/>
    <n v="0.88359443264210391"/>
    <n v="0"/>
    <n v="3.9999999999999591E-2"/>
  </r>
  <r>
    <x v="646"/>
    <n v="3.04727792085342"/>
    <n v="3.8949999999999996"/>
    <n v="5"/>
    <n v="0.2"/>
    <n v="3"/>
    <n v="1.8090865329749661"/>
    <n v="0.60000000000000009"/>
    <x v="0"/>
    <n v="0"/>
    <n v="0"/>
    <n v="0.88359443264210391"/>
    <n v="0"/>
    <n v="3.9999999999999591E-2"/>
  </r>
  <r>
    <x v="647"/>
    <n v="3.0442418004482401"/>
    <n v="3.8949999999999996"/>
    <n v="6"/>
    <n v="0.2"/>
    <n v="4"/>
    <n v="2.4179348930646141"/>
    <n v="0.8"/>
    <x v="0"/>
    <n v="0"/>
    <n v="0"/>
    <n v="0.88359443264210391"/>
    <n v="0"/>
    <n v="3.9999999999999591E-2"/>
  </r>
  <r>
    <x v="648"/>
    <n v="3.04444949772784"/>
    <n v="3.8949999999999996"/>
    <n v="7"/>
    <n v="0.2"/>
    <n v="5"/>
    <n v="3.0268247926101823"/>
    <n v="1"/>
    <x v="1"/>
    <n v="3.0268247926101823"/>
    <n v="0.86817520738981724"/>
    <n v="0.86817520738981724"/>
    <n v="-1.5419225252286672E-2"/>
    <n v="3.9999999999999591E-2"/>
  </r>
  <r>
    <x v="649"/>
    <n v="3.05201083744713"/>
    <n v="3.8849999999999998"/>
    <n v="1"/>
    <n v="0.2"/>
    <n v="1"/>
    <n v="0.610402167489426"/>
    <n v="0.2"/>
    <x v="0"/>
    <n v="0"/>
    <n v="0"/>
    <n v="0.86817520738981724"/>
    <n v="0"/>
    <n v="-9.9999999999997868E-3"/>
  </r>
  <r>
    <x v="650"/>
    <n v="3.00136099640791"/>
    <n v="3.8849999999999998"/>
    <n v="2"/>
    <n v="0.2"/>
    <n v="2"/>
    <n v="1.210674366771008"/>
    <n v="0.4"/>
    <x v="0"/>
    <n v="0"/>
    <n v="0"/>
    <n v="0.86817520738981724"/>
    <n v="0"/>
    <n v="-9.9999999999997868E-3"/>
  </r>
  <r>
    <x v="651"/>
    <n v="3.0363365323845302"/>
    <n v="3.8849999999999998"/>
    <n v="5"/>
    <n v="0.2"/>
    <n v="3"/>
    <n v="1.8179416732479141"/>
    <n v="0.60000000000000009"/>
    <x v="0"/>
    <n v="0"/>
    <n v="0"/>
    <n v="0.86817520738981724"/>
    <n v="0"/>
    <n v="-9.9999999999997868E-3"/>
  </r>
  <r>
    <x v="652"/>
    <n v="3.03648433223462"/>
    <n v="3.8849999999999998"/>
    <n v="7"/>
    <n v="0.2"/>
    <n v="4"/>
    <n v="2.4252385396948384"/>
    <n v="0.8"/>
    <x v="1"/>
    <n v="3.031548174618548"/>
    <n v="0.85345182538145181"/>
    <n v="0.85345182538145181"/>
    <n v="-1.4723382008365427E-2"/>
    <n v="-9.9999999999997868E-3"/>
  </r>
  <r>
    <x v="653"/>
    <n v="3.0240880311784402"/>
    <n v="3.8650000000000002"/>
    <n v="1"/>
    <n v="0.2"/>
    <n v="1"/>
    <n v="0.60481760623568803"/>
    <n v="0.2"/>
    <x v="0"/>
    <n v="0"/>
    <n v="0"/>
    <n v="0.85345182538145181"/>
    <n v="0"/>
    <n v="-1.9999999999999574E-2"/>
  </r>
  <r>
    <x v="654"/>
    <n v="2.9883080633805301"/>
    <n v="3.8650000000000002"/>
    <n v="2"/>
    <n v="0.2"/>
    <n v="2"/>
    <n v="1.2024792189117941"/>
    <n v="0.4"/>
    <x v="0"/>
    <n v="0"/>
    <n v="0"/>
    <n v="0.85345182538145181"/>
    <n v="0"/>
    <n v="-1.9999999999999574E-2"/>
  </r>
  <r>
    <x v="655"/>
    <n v="2.9940977333827501"/>
    <n v="3.8650000000000002"/>
    <n v="5"/>
    <n v="0.2"/>
    <n v="3"/>
    <n v="1.8012987655883441"/>
    <n v="0.60000000000000009"/>
    <x v="0"/>
    <n v="0"/>
    <n v="0"/>
    <n v="0.85345182538145181"/>
    <n v="0"/>
    <n v="-1.9999999999999574E-2"/>
  </r>
  <r>
    <x v="656"/>
    <n v="2.98225794262494"/>
    <n v="3.8650000000000002"/>
    <n v="6"/>
    <n v="0.2"/>
    <n v="4"/>
    <n v="2.3977503541133323"/>
    <n v="0.8"/>
    <x v="0"/>
    <n v="0"/>
    <n v="0"/>
    <n v="0.85345182538145181"/>
    <n v="0"/>
    <n v="-1.9999999999999574E-2"/>
  </r>
  <r>
    <x v="657"/>
    <n v="3.0039537946355401"/>
    <n v="3.8650000000000002"/>
    <n v="7"/>
    <n v="0.2"/>
    <n v="5"/>
    <n v="2.9985411130404405"/>
    <n v="1"/>
    <x v="1"/>
    <n v="2.9985411130404405"/>
    <n v="0.86645888695955975"/>
    <n v="0.86645888695955975"/>
    <n v="1.3007061578107937E-2"/>
    <n v="-1.9999999999999574E-2"/>
  </r>
  <r>
    <x v="658"/>
    <n v="2.9824542230370898"/>
    <n v="3.8450000000000002"/>
    <n v="1"/>
    <n v="0.2"/>
    <n v="1"/>
    <n v="0.59649084460741797"/>
    <n v="0.2"/>
    <x v="0"/>
    <n v="0"/>
    <n v="0"/>
    <n v="0.86645888695955975"/>
    <n v="0"/>
    <n v="-2.0000000000000018E-2"/>
  </r>
  <r>
    <x v="659"/>
    <n v="2.96503071609644"/>
    <n v="3.8450000000000002"/>
    <n v="2"/>
    <n v="0.2"/>
    <n v="2"/>
    <n v="1.1894969878267059"/>
    <n v="0.4"/>
    <x v="0"/>
    <n v="0"/>
    <n v="0"/>
    <n v="0.86645888695955975"/>
    <n v="0"/>
    <n v="-2.0000000000000018E-2"/>
  </r>
  <r>
    <x v="660"/>
    <n v="2.9533754292471799"/>
    <n v="3.8450000000000002"/>
    <n v="5"/>
    <n v="0.2"/>
    <n v="3"/>
    <n v="1.7801720736761419"/>
    <n v="0.60000000000000009"/>
    <x v="0"/>
    <n v="0"/>
    <n v="0"/>
    <n v="0.86645888695955975"/>
    <n v="0"/>
    <n v="-2.0000000000000018E-2"/>
  </r>
  <r>
    <x v="661"/>
    <n v="2.8987235748393099"/>
    <n v="3.8450000000000002"/>
    <n v="6"/>
    <n v="0.2"/>
    <n v="4"/>
    <n v="2.359916788644004"/>
    <n v="0.8"/>
    <x v="0"/>
    <n v="0"/>
    <n v="0"/>
    <n v="0.86645888695955975"/>
    <n v="0"/>
    <n v="-2.0000000000000018E-2"/>
  </r>
  <r>
    <x v="662"/>
    <n v="2.8840952878375998"/>
    <n v="3.8450000000000002"/>
    <n v="7"/>
    <n v="0.2"/>
    <n v="5"/>
    <n v="2.9367358462115241"/>
    <n v="1"/>
    <x v="1"/>
    <n v="2.9367358462115241"/>
    <n v="0.90826415378847614"/>
    <n v="0.90826415378847614"/>
    <n v="4.1805266828916388E-2"/>
    <n v="-2.0000000000000018E-2"/>
  </r>
  <r>
    <x v="663"/>
    <n v="2.84568526355815"/>
    <n v="3.7650000000000001"/>
    <n v="2"/>
    <n v="0.2"/>
    <n v="1"/>
    <n v="0.56913705271163006"/>
    <n v="0.2"/>
    <x v="0"/>
    <n v="0"/>
    <n v="0"/>
    <n v="0.90826415378847614"/>
    <n v="0"/>
    <n v="-8.0000000000000071E-2"/>
  </r>
  <r>
    <x v="664"/>
    <n v="2.8622800897906999"/>
    <n v="3.7650000000000001"/>
    <n v="5"/>
    <n v="0.2"/>
    <n v="2"/>
    <n v="1.1415930706697701"/>
    <n v="0.4"/>
    <x v="0"/>
    <n v="0"/>
    <n v="0"/>
    <n v="0.90826415378847614"/>
    <n v="0"/>
    <n v="-8.0000000000000071E-2"/>
  </r>
  <r>
    <x v="665"/>
    <n v="2.92504129119764"/>
    <n v="3.7650000000000001"/>
    <n v="6"/>
    <n v="0.2"/>
    <n v="3"/>
    <n v="1.7266013289092981"/>
    <n v="0.60000000000000009"/>
    <x v="0"/>
    <n v="0"/>
    <n v="0"/>
    <n v="0.90826415378847614"/>
    <n v="0"/>
    <n v="-8.0000000000000071E-2"/>
  </r>
  <r>
    <x v="666"/>
    <n v="2.9323159668402701"/>
    <n v="3.7650000000000001"/>
    <n v="7"/>
    <n v="0.2"/>
    <n v="4"/>
    <n v="2.3130645222773523"/>
    <n v="0.8"/>
    <x v="1"/>
    <n v="2.89133065284669"/>
    <n v="0.87366934715331013"/>
    <n v="0.87366934715331013"/>
    <n v="-3.4594806635166009E-2"/>
    <n v="-8.0000000000000071E-2"/>
  </r>
  <r>
    <x v="667"/>
    <n v="2.90250988237801"/>
    <n v="3.8050000000000002"/>
    <n v="1"/>
    <n v="0.2"/>
    <n v="1"/>
    <n v="0.58050197647560198"/>
    <n v="0.2"/>
    <x v="0"/>
    <n v="0"/>
    <n v="0"/>
    <n v="0.87366934715331013"/>
    <n v="0"/>
    <n v="4.0000000000000036E-2"/>
  </r>
  <r>
    <x v="668"/>
    <n v="2.9546349103912699"/>
    <n v="3.8050000000000002"/>
    <n v="2"/>
    <n v="0.2"/>
    <n v="2"/>
    <n v="1.171428958553856"/>
    <n v="0.4"/>
    <x v="0"/>
    <n v="0"/>
    <n v="0"/>
    <n v="0.87366934715331013"/>
    <n v="0"/>
    <n v="4.0000000000000036E-2"/>
  </r>
  <r>
    <x v="669"/>
    <n v="2.9087586637234901"/>
    <n v="3.8050000000000002"/>
    <n v="5"/>
    <n v="0.2"/>
    <n v="3"/>
    <n v="1.7531806912985539"/>
    <n v="0.60000000000000009"/>
    <x v="0"/>
    <n v="0"/>
    <n v="0"/>
    <n v="0.87366934715331013"/>
    <n v="0"/>
    <n v="4.0000000000000036E-2"/>
  </r>
  <r>
    <x v="670"/>
    <n v="2.8860238028398202"/>
    <n v="3.8050000000000002"/>
    <n v="6"/>
    <n v="0.2"/>
    <n v="4"/>
    <n v="2.3303854518665181"/>
    <n v="0.8"/>
    <x v="0"/>
    <n v="0"/>
    <n v="0"/>
    <n v="0.87366934715331013"/>
    <n v="0"/>
    <n v="4.0000000000000036E-2"/>
  </r>
  <r>
    <x v="671"/>
    <n v="2.8515070487427501"/>
    <n v="3.8050000000000002"/>
    <n v="7"/>
    <n v="0.2"/>
    <n v="5"/>
    <n v="2.9006868616150681"/>
    <n v="1"/>
    <x v="1"/>
    <n v="2.9006868616150681"/>
    <n v="0.9043131383849321"/>
    <n v="0.9043131383849321"/>
    <n v="3.0643791231621975E-2"/>
    <n v="4.0000000000000036E-2"/>
  </r>
  <r>
    <x v="672"/>
    <n v="2.8634343397483599"/>
    <n v="3.6999999999999997"/>
    <n v="1"/>
    <n v="0.2"/>
    <n v="1"/>
    <n v="0.57268686794967205"/>
    <n v="0.2"/>
    <x v="0"/>
    <n v="0"/>
    <n v="0"/>
    <n v="0.9043131383849321"/>
    <n v="0"/>
    <n v="-0.10500000000000043"/>
  </r>
  <r>
    <x v="673"/>
    <n v="2.80057780204395"/>
    <n v="3.6999999999999997"/>
    <n v="2"/>
    <n v="0.2"/>
    <n v="2"/>
    <n v="1.1328024283584621"/>
    <n v="0.4"/>
    <x v="0"/>
    <n v="0"/>
    <n v="0"/>
    <n v="0.9043131383849321"/>
    <n v="0"/>
    <n v="-0.10500000000000043"/>
  </r>
  <r>
    <x v="674"/>
    <n v="2.8291749929655099"/>
    <n v="3.6999999999999997"/>
    <n v="5"/>
    <n v="0.2"/>
    <n v="3"/>
    <n v="1.6986374269515641"/>
    <n v="0.60000000000000009"/>
    <x v="0"/>
    <n v="0"/>
    <n v="0"/>
    <n v="0.9043131383849321"/>
    <n v="0"/>
    <n v="-0.10500000000000043"/>
  </r>
  <r>
    <x v="675"/>
    <n v="2.7872489970640002"/>
    <n v="3.6999999999999997"/>
    <n v="6"/>
    <n v="0.2"/>
    <n v="4"/>
    <n v="2.2560872263643641"/>
    <n v="0.8"/>
    <x v="0"/>
    <n v="0"/>
    <n v="0"/>
    <n v="0.9043131383849321"/>
    <n v="0"/>
    <n v="-0.10500000000000043"/>
  </r>
  <r>
    <x v="676"/>
    <n v="2.8371501312702399"/>
    <n v="3.6999999999999997"/>
    <n v="7"/>
    <n v="0.2"/>
    <n v="5"/>
    <n v="2.8235172526184122"/>
    <n v="1"/>
    <x v="1"/>
    <n v="2.8235172526184122"/>
    <n v="0.87648274738158749"/>
    <n v="0.87648274738158749"/>
    <n v="-2.7830391003344612E-2"/>
    <n v="-0.10500000000000043"/>
  </r>
  <r>
    <x v="677"/>
    <n v="2.8582300067965201"/>
    <n v="3.73"/>
    <n v="1"/>
    <n v="0.2"/>
    <n v="1"/>
    <n v="0.57164600135930399"/>
    <n v="0.2"/>
    <x v="0"/>
    <n v="0"/>
    <n v="0"/>
    <n v="0.87648274738158749"/>
    <n v="0"/>
    <n v="3.0000000000000249E-2"/>
  </r>
  <r>
    <x v="678"/>
    <n v="2.8337398573021799"/>
    <n v="3.73"/>
    <n v="2"/>
    <n v="0.2"/>
    <n v="2"/>
    <n v="1.1383939728197401"/>
    <n v="0.4"/>
    <x v="0"/>
    <n v="0"/>
    <n v="0"/>
    <n v="0.87648274738158749"/>
    <n v="0"/>
    <n v="3.0000000000000249E-2"/>
  </r>
  <r>
    <x v="679"/>
    <n v="2.8256441971088901"/>
    <n v="3.73"/>
    <n v="5"/>
    <n v="0.2"/>
    <n v="3"/>
    <n v="1.703522812241518"/>
    <n v="0.60000000000000009"/>
    <x v="0"/>
    <n v="0"/>
    <n v="0"/>
    <n v="0.87648274738158749"/>
    <n v="0"/>
    <n v="3.0000000000000249E-2"/>
  </r>
  <r>
    <x v="680"/>
    <n v="2.91032440435752"/>
    <n v="3.73"/>
    <n v="6"/>
    <n v="0.2"/>
    <n v="4"/>
    <n v="2.2855876931130221"/>
    <n v="0.8"/>
    <x v="0"/>
    <n v="0"/>
    <n v="0"/>
    <n v="0.87648274738158749"/>
    <n v="0"/>
    <n v="3.0000000000000249E-2"/>
  </r>
  <r>
    <x v="681"/>
    <n v="2.90975275027838"/>
    <n v="3.73"/>
    <n v="7"/>
    <n v="0.2"/>
    <n v="5"/>
    <n v="2.8675382431686982"/>
    <n v="1"/>
    <x v="1"/>
    <n v="2.8675382431686982"/>
    <n v="0.86246175683130177"/>
    <n v="0.86246175683130177"/>
    <n v="-1.4020990550285717E-2"/>
    <n v="3.0000000000000249E-2"/>
  </r>
  <r>
    <x v="682"/>
    <n v="2.8912427168811901"/>
    <n v="3.77"/>
    <n v="2"/>
    <n v="0.2"/>
    <n v="1"/>
    <n v="0.57824854337623799"/>
    <n v="0.2"/>
    <x v="0"/>
    <n v="0"/>
    <n v="0"/>
    <n v="0.86246175683130177"/>
    <n v="0"/>
    <n v="4.0000000000000036E-2"/>
  </r>
  <r>
    <x v="683"/>
    <n v="2.8609798255384802"/>
    <n v="3.77"/>
    <n v="5"/>
    <n v="0.2"/>
    <n v="2"/>
    <n v="1.1504445084839341"/>
    <n v="0.4"/>
    <x v="0"/>
    <n v="0"/>
    <n v="0"/>
    <n v="0.86246175683130177"/>
    <n v="0"/>
    <n v="4.0000000000000036E-2"/>
  </r>
  <r>
    <x v="684"/>
    <n v="2.8519980737177399"/>
    <n v="3.77"/>
    <n v="6"/>
    <n v="0.2"/>
    <n v="3"/>
    <n v="1.720844123227482"/>
    <n v="0.60000000000000009"/>
    <x v="0"/>
    <n v="0"/>
    <n v="0"/>
    <n v="0.86246175683130177"/>
    <n v="0"/>
    <n v="4.0000000000000036E-2"/>
  </r>
  <r>
    <x v="685"/>
    <n v="2.8338661414623698"/>
    <n v="3.77"/>
    <n v="7"/>
    <n v="0.2"/>
    <n v="4"/>
    <n v="2.2876173515199563"/>
    <n v="0.8"/>
    <x v="1"/>
    <n v="2.8595216893999451"/>
    <n v="0.91047831060005491"/>
    <n v="0.91047831060005491"/>
    <n v="4.8016553768753134E-2"/>
    <n v="4.0000000000000036E-2"/>
  </r>
  <r>
    <x v="686"/>
    <n v="2.7854452423976599"/>
    <n v="3.63"/>
    <n v="2"/>
    <n v="0.2"/>
    <n v="1"/>
    <n v="0.557089048479532"/>
    <n v="0.2"/>
    <x v="0"/>
    <n v="0"/>
    <n v="0"/>
    <n v="0.91047831060005491"/>
    <n v="0"/>
    <n v="-0.14000000000000012"/>
  </r>
  <r>
    <x v="687"/>
    <n v="2.6962701266687499"/>
    <n v="3.63"/>
    <n v="5"/>
    <n v="0.2"/>
    <n v="2"/>
    <n v="1.096343073813282"/>
    <n v="0.4"/>
    <x v="0"/>
    <n v="0"/>
    <n v="0"/>
    <n v="0.91047831060005491"/>
    <n v="0"/>
    <n v="-0.14000000000000012"/>
  </r>
  <r>
    <x v="688"/>
    <n v="2.61636453709349"/>
    <n v="3.63"/>
    <n v="6"/>
    <n v="0.2"/>
    <n v="3"/>
    <n v="1.6196159812319801"/>
    <n v="0.60000000000000009"/>
    <x v="0"/>
    <n v="0"/>
    <n v="0"/>
    <n v="0.91047831060005491"/>
    <n v="0"/>
    <n v="-0.14000000000000012"/>
  </r>
  <r>
    <x v="689"/>
    <n v="2.6248431051869581"/>
    <n v="3.63"/>
    <n v="7"/>
    <n v="0.2"/>
    <n v="4"/>
    <n v="2.1445846022693718"/>
    <n v="0.8"/>
    <x v="1"/>
    <n v="2.6807307528367144"/>
    <n v="0.94926924716328553"/>
    <n v="0.94926924716328553"/>
    <n v="3.8790936563230627E-2"/>
    <n v="-0.14000000000000012"/>
  </r>
  <r>
    <x v="690"/>
    <n v="2.6774292062275329"/>
    <n v="3.56"/>
    <n v="1"/>
    <n v="0.2"/>
    <n v="1"/>
    <n v="0.53548584124550658"/>
    <n v="0.2"/>
    <x v="0"/>
    <n v="0"/>
    <n v="0"/>
    <n v="0.94926924716328553"/>
    <n v="0"/>
    <n v="-6.999999999999984E-2"/>
  </r>
  <r>
    <x v="691"/>
    <n v="2.6462920309129299"/>
    <n v="3.56"/>
    <n v="2"/>
    <n v="0.2"/>
    <n v="2"/>
    <n v="1.0647442474280926"/>
    <n v="0.4"/>
    <x v="0"/>
    <n v="0"/>
    <n v="0"/>
    <n v="0.94926924716328553"/>
    <n v="0"/>
    <n v="-6.999999999999984E-2"/>
  </r>
  <r>
    <x v="692"/>
    <n v="2.5936190223084101"/>
    <n v="3.56"/>
    <n v="5"/>
    <n v="0.2"/>
    <n v="3"/>
    <n v="1.5834680518897746"/>
    <n v="0.60000000000000009"/>
    <x v="0"/>
    <n v="0"/>
    <n v="0"/>
    <n v="0.94926924716328553"/>
    <n v="0"/>
    <n v="-6.999999999999984E-2"/>
  </r>
  <r>
    <x v="693"/>
    <n v="2.57954379421794"/>
    <n v="3.56"/>
    <n v="6"/>
    <n v="0.2"/>
    <n v="4"/>
    <n v="2.0993768107333626"/>
    <n v="0.8"/>
    <x v="0"/>
    <n v="0"/>
    <n v="0"/>
    <n v="0.94926924716328553"/>
    <n v="0"/>
    <n v="-6.999999999999984E-2"/>
  </r>
  <r>
    <x v="694"/>
    <n v="2.49106608048328"/>
    <n v="3.56"/>
    <n v="7"/>
    <n v="0.2"/>
    <n v="5"/>
    <n v="2.5975900268300185"/>
    <n v="1"/>
    <x v="1"/>
    <n v="2.5975900268300185"/>
    <n v="0.96240997316998156"/>
    <n v="0.96240997316998156"/>
    <n v="1.3140726006696024E-2"/>
    <n v="-6.999999999999984E-2"/>
  </r>
  <r>
    <x v="695"/>
    <n v="2.4553295319883701"/>
    <n v="3.5549999999999997"/>
    <n v="1"/>
    <n v="0.2"/>
    <n v="1"/>
    <n v="0.49106590639767406"/>
    <n v="0.2"/>
    <x v="0"/>
    <n v="0"/>
    <n v="0"/>
    <n v="0.96240997316998156"/>
    <n v="0"/>
    <n v="-5.0000000000003375E-3"/>
  </r>
  <r>
    <x v="696"/>
    <n v="2.5454794820645601"/>
    <n v="3.5549999999999997"/>
    <n v="2"/>
    <n v="0.2"/>
    <n v="2"/>
    <n v="1.0001618028105861"/>
    <n v="0.4"/>
    <x v="0"/>
    <n v="0"/>
    <n v="0"/>
    <n v="0.96240997316998156"/>
    <n v="0"/>
    <n v="-5.0000000000003375E-3"/>
  </r>
  <r>
    <x v="697"/>
    <n v="2.55737179181423"/>
    <n v="3.5549999999999997"/>
    <n v="6"/>
    <n v="0.2"/>
    <n v="3"/>
    <n v="1.5116361611734321"/>
    <n v="0.60000000000000009"/>
    <x v="0"/>
    <n v="0"/>
    <n v="0"/>
    <n v="0.96240997316998156"/>
    <n v="0"/>
    <n v="-5.0000000000003375E-3"/>
  </r>
  <r>
    <x v="698"/>
    <n v="2.6084944348331098"/>
    <n v="3.5549999999999997"/>
    <n v="7"/>
    <n v="0.2"/>
    <n v="4"/>
    <n v="2.0333350481400543"/>
    <n v="0.8"/>
    <x v="1"/>
    <n v="2.5416688101750675"/>
    <n v="1.0133311898249322"/>
    <n v="1.0133311898249322"/>
    <n v="5.0921216654950641E-2"/>
    <n v="-5.0000000000003375E-3"/>
  </r>
  <r>
    <x v="699"/>
    <n v="2.6170205733531602"/>
    <n v="3.56"/>
    <n v="1"/>
    <n v="0.2"/>
    <n v="1"/>
    <n v="0.52340411467063208"/>
    <n v="0.2"/>
    <x v="0"/>
    <n v="0"/>
    <n v="0"/>
    <n v="1.0133311898249322"/>
    <n v="0"/>
    <n v="5.0000000000003375E-3"/>
  </r>
  <r>
    <x v="700"/>
    <n v="2.5688065849413189"/>
    <n v="3.56"/>
    <n v="2"/>
    <n v="0.2"/>
    <n v="2"/>
    <n v="1.0371654316588959"/>
    <n v="0.4"/>
    <x v="0"/>
    <n v="0"/>
    <n v="0"/>
    <n v="1.0133311898249322"/>
    <n v="0"/>
    <n v="5.0000000000003375E-3"/>
  </r>
  <r>
    <x v="701"/>
    <n v="2.5964187919228277"/>
    <n v="3.56"/>
    <n v="5"/>
    <n v="0.2"/>
    <n v="3"/>
    <n v="1.5564491900434614"/>
    <n v="0.60000000000000009"/>
    <x v="0"/>
    <n v="0"/>
    <n v="0"/>
    <n v="1.0133311898249322"/>
    <n v="0"/>
    <n v="5.0000000000003375E-3"/>
  </r>
  <r>
    <x v="702"/>
    <n v="2.58566791572217"/>
    <n v="3.56"/>
    <n v="6"/>
    <n v="0.2"/>
    <n v="4"/>
    <n v="2.0735827731878955"/>
    <n v="0.8"/>
    <x v="0"/>
    <n v="0"/>
    <n v="0"/>
    <n v="1.0133311898249322"/>
    <n v="0"/>
    <n v="5.0000000000003375E-3"/>
  </r>
  <r>
    <x v="703"/>
    <n v="2.5075854882079498"/>
    <n v="3.56"/>
    <n v="7"/>
    <n v="0.2"/>
    <n v="5"/>
    <n v="2.5750998708294857"/>
    <n v="1"/>
    <x v="1"/>
    <n v="2.5750998708294857"/>
    <n v="0.98490012917051439"/>
    <n v="0.98490012917051439"/>
    <n v="-2.8431060654417806E-2"/>
    <n v="5.0000000000003375E-3"/>
  </r>
  <r>
    <x v="704"/>
    <n v="2.5133603709402799"/>
    <n v="3.5149999999999997"/>
    <n v="1"/>
    <n v="0.2"/>
    <n v="1"/>
    <n v="0.50267207418805604"/>
    <n v="0.2"/>
    <x v="0"/>
    <n v="0"/>
    <n v="0"/>
    <n v="0.98490012917051439"/>
    <n v="0"/>
    <n v="-4.5000000000000373E-2"/>
  </r>
  <r>
    <x v="705"/>
    <n v="2.4526687901347302"/>
    <n v="3.5149999999999997"/>
    <n v="2"/>
    <n v="0.2"/>
    <n v="2"/>
    <n v="0.99320583221500214"/>
    <n v="0.4"/>
    <x v="0"/>
    <n v="0"/>
    <n v="0"/>
    <n v="0.98490012917051439"/>
    <n v="0"/>
    <n v="-4.5000000000000373E-2"/>
  </r>
  <r>
    <x v="706"/>
    <n v="2.4482414321452199"/>
    <n v="3.5149999999999997"/>
    <n v="5"/>
    <n v="0.2"/>
    <n v="3"/>
    <n v="1.4828541186440463"/>
    <n v="0.60000000000000009"/>
    <x v="0"/>
    <n v="0"/>
    <n v="0"/>
    <n v="0.98490012917051439"/>
    <n v="0"/>
    <n v="-4.5000000000000373E-2"/>
  </r>
  <r>
    <x v="707"/>
    <n v="2.5386092043872699"/>
    <n v="3.5149999999999997"/>
    <n v="6"/>
    <n v="0.2"/>
    <n v="4"/>
    <n v="1.9905759595215002"/>
    <n v="0.8"/>
    <x v="0"/>
    <n v="0"/>
    <n v="0"/>
    <n v="0.98490012917051439"/>
    <n v="0"/>
    <n v="-4.5000000000000373E-2"/>
  </r>
  <r>
    <x v="708"/>
    <n v="2.56620444102245"/>
    <n v="3.5149999999999997"/>
    <n v="7"/>
    <n v="0.2"/>
    <n v="5"/>
    <n v="2.5038168477259903"/>
    <n v="1"/>
    <x v="1"/>
    <n v="2.5038168477259903"/>
    <n v="1.0111831522740093"/>
    <n v="1.0111831522740093"/>
    <n v="2.6283023103494951E-2"/>
    <n v="-4.5000000000000373E-2"/>
  </r>
  <r>
    <x v="709"/>
    <n v="2.5588939804772202"/>
    <n v="3.59"/>
    <n v="1"/>
    <n v="0.2"/>
    <n v="1"/>
    <n v="0.51177879609544408"/>
    <n v="0.2"/>
    <x v="0"/>
    <n v="0"/>
    <n v="0"/>
    <n v="1.0111831522740093"/>
    <n v="0"/>
    <n v="7.5000000000000178E-2"/>
  </r>
  <r>
    <x v="710"/>
    <n v="2.6748566998957601"/>
    <n v="3.59"/>
    <n v="2"/>
    <n v="0.2"/>
    <n v="2"/>
    <n v="1.0467501360745961"/>
    <n v="0.4"/>
    <x v="0"/>
    <n v="0"/>
    <n v="0"/>
    <n v="1.0111831522740093"/>
    <n v="0"/>
    <n v="7.5000000000000178E-2"/>
  </r>
  <r>
    <x v="711"/>
    <n v="2.6856648240007002"/>
    <n v="3.59"/>
    <n v="5"/>
    <n v="0.2"/>
    <n v="3"/>
    <n v="1.5838831008747363"/>
    <n v="0.60000000000000009"/>
    <x v="0"/>
    <n v="0"/>
    <n v="0"/>
    <n v="1.0111831522740093"/>
    <n v="0"/>
    <n v="7.5000000000000178E-2"/>
  </r>
  <r>
    <x v="712"/>
    <n v="2.7450619013759301"/>
    <n v="3.59"/>
    <n v="6"/>
    <n v="0.2"/>
    <n v="4"/>
    <n v="2.1328954811499221"/>
    <n v="0.8"/>
    <x v="0"/>
    <n v="0"/>
    <n v="0"/>
    <n v="1.0111831522740093"/>
    <n v="0"/>
    <n v="7.5000000000000178E-2"/>
  </r>
  <r>
    <x v="713"/>
    <n v="2.7390944645368598"/>
    <n v="3.59"/>
    <n v="7"/>
    <n v="0.2"/>
    <n v="5"/>
    <n v="2.6807143740572941"/>
    <n v="1"/>
    <x v="1"/>
    <n v="2.6807143740572941"/>
    <n v="0.90928562594270579"/>
    <n v="0.90928562594270579"/>
    <n v="-0.10189752633130356"/>
    <n v="7.5000000000000178E-2"/>
  </r>
  <r>
    <x v="714"/>
    <n v="2.7217472845669599"/>
    <n v="3.6599999999999997"/>
    <n v="1"/>
    <n v="0.2"/>
    <n v="1"/>
    <n v="0.54434945691339198"/>
    <n v="0.2"/>
    <x v="0"/>
    <n v="0"/>
    <n v="0"/>
    <n v="0.90928562594270579"/>
    <n v="0"/>
    <n v="6.999999999999984E-2"/>
  </r>
  <r>
    <x v="715"/>
    <n v="2.7439532601441399"/>
    <n v="3.6599999999999997"/>
    <n v="2"/>
    <n v="0.2"/>
    <n v="2"/>
    <n v="1.0931401089422201"/>
    <n v="0.4"/>
    <x v="0"/>
    <n v="0"/>
    <n v="0"/>
    <n v="0.90928562594270579"/>
    <n v="0"/>
    <n v="6.999999999999984E-2"/>
  </r>
  <r>
    <x v="716"/>
    <n v="2.8647464299960101"/>
    <n v="3.6599999999999997"/>
    <n v="6"/>
    <n v="0.2"/>
    <n v="3"/>
    <n v="1.6660893949414222"/>
    <n v="0.60000000000000009"/>
    <x v="0"/>
    <n v="0"/>
    <n v="0"/>
    <n v="0.90928562594270579"/>
    <n v="0"/>
    <n v="6.999999999999984E-2"/>
  </r>
  <r>
    <x v="717"/>
    <n v="2.80663775198708"/>
    <n v="3.6599999999999997"/>
    <n v="7"/>
    <n v="0.2"/>
    <n v="4"/>
    <n v="2.2274169453388382"/>
    <n v="0.8"/>
    <x v="1"/>
    <n v="2.7842711816735477"/>
    <n v="0.875728818326452"/>
    <n v="0.875728818326452"/>
    <n v="-3.3556807616253792E-2"/>
    <n v="6.999999999999984E-2"/>
  </r>
  <r>
    <x v="718"/>
    <n v="2.8310816393070799"/>
    <n v="3.6999999999999997"/>
    <n v="1"/>
    <n v="0.2"/>
    <n v="1"/>
    <n v="0.56621632786141596"/>
    <n v="0.2"/>
    <x v="0"/>
    <n v="0"/>
    <n v="0"/>
    <n v="0.875728818326452"/>
    <n v="0"/>
    <n v="4.0000000000000036E-2"/>
  </r>
  <r>
    <x v="719"/>
    <n v="2.8495343936509898"/>
    <n v="3.6999999999999997"/>
    <n v="2"/>
    <n v="0.2"/>
    <n v="2"/>
    <n v="1.136123206591614"/>
    <n v="0.4"/>
    <x v="0"/>
    <n v="0"/>
    <n v="0"/>
    <n v="0.875728818326452"/>
    <n v="0"/>
    <n v="4.0000000000000036E-2"/>
  </r>
  <r>
    <x v="720"/>
    <n v="2.8051692512697501"/>
    <n v="3.6999999999999997"/>
    <n v="5"/>
    <n v="0.2"/>
    <n v="3"/>
    <n v="1.6971570568455641"/>
    <n v="0.60000000000000009"/>
    <x v="0"/>
    <n v="0"/>
    <n v="0"/>
    <n v="0.875728818326452"/>
    <n v="0"/>
    <n v="4.0000000000000036E-2"/>
  </r>
  <r>
    <x v="721"/>
    <n v="2.7456841844873301"/>
    <n v="3.6999999999999997"/>
    <n v="6"/>
    <n v="0.2"/>
    <n v="4"/>
    <n v="2.2462938937430303"/>
    <n v="0.8"/>
    <x v="0"/>
    <n v="0"/>
    <n v="0"/>
    <n v="0.875728818326452"/>
    <n v="0"/>
    <n v="4.0000000000000036E-2"/>
  </r>
  <r>
    <x v="722"/>
    <n v="2.7262373083687401"/>
    <n v="3.6999999999999997"/>
    <n v="7"/>
    <n v="0.2"/>
    <n v="5"/>
    <n v="2.7915413554167783"/>
    <n v="1"/>
    <x v="1"/>
    <n v="2.7915413554167783"/>
    <n v="0.90845864458322145"/>
    <n v="0.90845864458322145"/>
    <n v="3.2729826256769456E-2"/>
    <n v="4.0000000000000036E-2"/>
  </r>
  <r>
    <x v="723"/>
    <n v="2.7641939622688101"/>
    <n v="3.65"/>
    <n v="1"/>
    <n v="0.2"/>
    <n v="1"/>
    <n v="0.552838792453762"/>
    <n v="0.2"/>
    <x v="0"/>
    <n v="0"/>
    <n v="0"/>
    <n v="0.90845864458322145"/>
    <n v="0"/>
    <n v="-4.9999999999999822E-2"/>
  </r>
  <r>
    <x v="724"/>
    <n v="2.7365985708724101"/>
    <n v="3.65"/>
    <n v="2"/>
    <n v="0.2"/>
    <n v="2"/>
    <n v="1.100158506628244"/>
    <n v="0.4"/>
    <x v="0"/>
    <n v="0"/>
    <n v="0"/>
    <n v="0.90845864458322145"/>
    <n v="0"/>
    <n v="-4.9999999999999822E-2"/>
  </r>
  <r>
    <x v="725"/>
    <n v="2.7916349569467398"/>
    <n v="3.65"/>
    <n v="5"/>
    <n v="0.2"/>
    <n v="3"/>
    <n v="1.6584854980175918"/>
    <n v="0.60000000000000009"/>
    <x v="0"/>
    <n v="0"/>
    <n v="0"/>
    <n v="0.90845864458322145"/>
    <n v="0"/>
    <n v="-4.9999999999999822E-2"/>
  </r>
  <r>
    <x v="726"/>
    <n v="2.8341999400292899"/>
    <n v="3.65"/>
    <n v="6"/>
    <n v="0.2"/>
    <n v="4"/>
    <n v="2.2253254860234497"/>
    <n v="0.8"/>
    <x v="0"/>
    <n v="0"/>
    <n v="0"/>
    <n v="0.90845864458322145"/>
    <n v="0"/>
    <n v="-4.9999999999999822E-2"/>
  </r>
  <r>
    <x v="727"/>
    <n v="2.8241837227534399"/>
    <n v="3.65"/>
    <n v="7"/>
    <n v="0.2"/>
    <n v="5"/>
    <n v="2.7901622305741376"/>
    <n v="1"/>
    <x v="1"/>
    <n v="2.7901622305741376"/>
    <n v="0.85983776942586232"/>
    <n v="0.85983776942586232"/>
    <n v="-4.8620875157359134E-2"/>
    <n v="-4.9999999999999822E-2"/>
  </r>
  <r>
    <x v="728"/>
    <n v="2.81556157497667"/>
    <n v="3.76"/>
    <n v="1"/>
    <n v="0.2"/>
    <n v="1"/>
    <n v="0.56311231499533398"/>
    <n v="0.2"/>
    <x v="0"/>
    <n v="0"/>
    <n v="0"/>
    <n v="0.85983776942586232"/>
    <n v="0"/>
    <n v="0.10999999999999988"/>
  </r>
  <r>
    <x v="729"/>
    <n v="2.9303170109018999"/>
    <n v="3.76"/>
    <n v="2"/>
    <n v="0.2"/>
    <n v="2"/>
    <n v="1.149175717175714"/>
    <n v="0.4"/>
    <x v="0"/>
    <n v="0"/>
    <n v="0"/>
    <n v="0.85983776942586232"/>
    <n v="0"/>
    <n v="0.10999999999999988"/>
  </r>
  <r>
    <x v="730"/>
    <n v="2.90222752352993"/>
    <n v="3.76"/>
    <n v="5"/>
    <n v="0.2"/>
    <n v="3"/>
    <n v="1.7296212218817"/>
    <n v="0.60000000000000009"/>
    <x v="0"/>
    <n v="0"/>
    <n v="0"/>
    <n v="0.85983776942586232"/>
    <n v="0"/>
    <n v="0.10999999999999988"/>
  </r>
  <r>
    <x v="731"/>
    <n v="2.84635033680676"/>
    <n v="3.76"/>
    <n v="6"/>
    <n v="0.2"/>
    <n v="4"/>
    <n v="2.298891289243052"/>
    <n v="0.8"/>
    <x v="0"/>
    <n v="0"/>
    <n v="0"/>
    <n v="0.85983776942586232"/>
    <n v="0"/>
    <n v="0.10999999999999988"/>
  </r>
  <r>
    <x v="732"/>
    <n v="2.8278353033181198"/>
    <n v="3.76"/>
    <n v="7"/>
    <n v="0.2"/>
    <n v="5"/>
    <n v="2.864458349906676"/>
    <n v="1"/>
    <x v="1"/>
    <n v="2.864458349906676"/>
    <n v="0.89554165009332376"/>
    <n v="0.89554165009332376"/>
    <n v="3.5703880667461441E-2"/>
    <n v="0.10999999999999988"/>
  </r>
  <r>
    <x v="733"/>
    <n v="2.8138191102539798"/>
    <n v="3.6799999999999997"/>
    <n v="1"/>
    <n v="0.2"/>
    <n v="1"/>
    <n v="0.562763822050796"/>
    <n v="0.2"/>
    <x v="0"/>
    <n v="0"/>
    <n v="0"/>
    <n v="0.89554165009332376"/>
    <n v="0"/>
    <n v="-8.0000000000000071E-2"/>
  </r>
  <r>
    <x v="734"/>
    <n v="2.8315057491425"/>
    <n v="3.6799999999999997"/>
    <n v="2"/>
    <n v="0.2"/>
    <n v="2"/>
    <n v="1.129064971879296"/>
    <n v="0.4"/>
    <x v="0"/>
    <n v="0"/>
    <n v="0"/>
    <n v="0.89554165009332376"/>
    <n v="0"/>
    <n v="-8.0000000000000071E-2"/>
  </r>
  <r>
    <x v="735"/>
    <n v="2.8241768518279202"/>
    <n v="3.6799999999999997"/>
    <n v="5"/>
    <n v="0.2"/>
    <n v="3"/>
    <n v="1.6939003422448802"/>
    <n v="0.60000000000000009"/>
    <x v="0"/>
    <n v="0"/>
    <n v="0"/>
    <n v="0.89554165009332376"/>
    <n v="0"/>
    <n v="-8.0000000000000071E-2"/>
  </r>
  <r>
    <x v="736"/>
    <n v="2.79584100930466"/>
    <n v="3.6799999999999997"/>
    <n v="6"/>
    <n v="0.2"/>
    <n v="4"/>
    <n v="2.2530685441058123"/>
    <n v="0.8"/>
    <x v="0"/>
    <n v="0"/>
    <n v="0"/>
    <n v="0.89554165009332376"/>
    <n v="0"/>
    <n v="-8.0000000000000071E-2"/>
  </r>
  <r>
    <x v="737"/>
    <n v="2.6928489030954199"/>
    <n v="3.6799999999999997"/>
    <n v="7"/>
    <n v="0.2"/>
    <n v="5"/>
    <n v="2.7916383247248961"/>
    <n v="1"/>
    <x v="1"/>
    <n v="2.7916383247248961"/>
    <n v="0.88836167527510357"/>
    <n v="0.88836167527510357"/>
    <n v="-7.1799748182201917E-3"/>
    <n v="-8.0000000000000071E-2"/>
  </r>
  <r>
    <x v="738"/>
    <n v="2.70955656376128"/>
    <n v="3.59"/>
    <n v="1"/>
    <n v="0.2"/>
    <n v="1"/>
    <n v="0.54191131275225601"/>
    <n v="0.2"/>
    <x v="0"/>
    <n v="0"/>
    <n v="0"/>
    <n v="0.88836167527510357"/>
    <n v="0"/>
    <n v="-8.9999999999999858E-2"/>
  </r>
  <r>
    <x v="739"/>
    <n v="2.6717729385436999"/>
    <n v="3.59"/>
    <n v="2"/>
    <n v="0.2"/>
    <n v="2"/>
    <n v="1.076265900460996"/>
    <n v="0.4"/>
    <x v="0"/>
    <n v="0"/>
    <n v="0"/>
    <n v="0.88836167527510357"/>
    <n v="0"/>
    <n v="-8.9999999999999858E-2"/>
  </r>
  <r>
    <x v="740"/>
    <n v="2.6575094779916602"/>
    <n v="3.59"/>
    <n v="5"/>
    <n v="0.2"/>
    <n v="3"/>
    <n v="1.6077677960593282"/>
    <n v="0.60000000000000009"/>
    <x v="0"/>
    <n v="0"/>
    <n v="0"/>
    <n v="0.88836167527510357"/>
    <n v="0"/>
    <n v="-8.9999999999999858E-2"/>
  </r>
  <r>
    <x v="741"/>
    <n v="2.60984671554638"/>
    <n v="3.59"/>
    <n v="6"/>
    <n v="0.2"/>
    <n v="4"/>
    <n v="2.1297371391686042"/>
    <n v="0.8"/>
    <x v="0"/>
    <n v="0"/>
    <n v="0"/>
    <n v="0.88836167527510357"/>
    <n v="0"/>
    <n v="-8.9999999999999858E-2"/>
  </r>
  <r>
    <x v="742"/>
    <n v="2.6641693960453199"/>
    <n v="3.59"/>
    <n v="7"/>
    <n v="0.2"/>
    <n v="5"/>
    <n v="2.6625710183776681"/>
    <n v="1"/>
    <x v="1"/>
    <n v="2.6625710183776681"/>
    <n v="0.92742898162233178"/>
    <n v="0.92742898162233178"/>
    <n v="3.9067306347228214E-2"/>
    <n v="-8.9999999999999858E-2"/>
  </r>
  <r>
    <x v="743"/>
    <n v="2.7519990602785001"/>
    <n v="3.6"/>
    <n v="1"/>
    <n v="0.2"/>
    <n v="1"/>
    <n v="0.55039981205569999"/>
    <n v="0.2"/>
    <x v="0"/>
    <n v="0"/>
    <n v="0"/>
    <n v="0.92742898162233178"/>
    <n v="0"/>
    <n v="1.0000000000000231E-2"/>
  </r>
  <r>
    <x v="744"/>
    <n v="2.6934832462996599"/>
    <n v="3.6"/>
    <n v="2"/>
    <n v="0.2"/>
    <n v="2"/>
    <n v="1.089096461315632"/>
    <n v="0.4"/>
    <x v="0"/>
    <n v="0"/>
    <n v="0"/>
    <n v="0.92742898162233178"/>
    <n v="0"/>
    <n v="1.0000000000000231E-2"/>
  </r>
  <r>
    <x v="745"/>
    <n v="2.6906214304432701"/>
    <n v="3.6"/>
    <n v="5"/>
    <n v="0.2"/>
    <n v="3"/>
    <n v="1.6272207474042859"/>
    <n v="0.60000000000000009"/>
    <x v="0"/>
    <n v="0"/>
    <n v="0"/>
    <n v="0.92742898162233178"/>
    <n v="0"/>
    <n v="1.0000000000000231E-2"/>
  </r>
  <r>
    <x v="746"/>
    <n v="2.66103516127894"/>
    <n v="3.6"/>
    <n v="6"/>
    <n v="0.2"/>
    <n v="4"/>
    <n v="2.1594277796600738"/>
    <n v="0.8"/>
    <x v="0"/>
    <n v="0"/>
    <n v="0"/>
    <n v="0.92742898162233178"/>
    <n v="0"/>
    <n v="1.0000000000000231E-2"/>
  </r>
  <r>
    <x v="747"/>
    <n v="2.5992657753902901"/>
    <n v="3.6"/>
    <n v="7"/>
    <n v="0.2"/>
    <n v="5"/>
    <n v="2.6792809347381317"/>
    <n v="1"/>
    <x v="1"/>
    <n v="2.6792809347381317"/>
    <n v="0.92071906526186842"/>
    <n v="0.92071906526186842"/>
    <n v="-6.7099163604633638E-3"/>
    <n v="1.0000000000000231E-2"/>
  </r>
  <r>
    <x v="748"/>
    <n v="2.6512826680006101"/>
    <n v="3.56"/>
    <n v="1"/>
    <n v="0.2"/>
    <n v="1"/>
    <n v="0.53025653360012204"/>
    <n v="0.2"/>
    <x v="0"/>
    <n v="0"/>
    <n v="0"/>
    <n v="0.92071906526186842"/>
    <n v="0"/>
    <n v="-4.0000000000000036E-2"/>
  </r>
  <r>
    <x v="749"/>
    <n v="2.5908884215358099"/>
    <n v="3.56"/>
    <n v="2"/>
    <n v="0.2"/>
    <n v="2"/>
    <n v="1.0484342179072841"/>
    <n v="0.4"/>
    <x v="0"/>
    <n v="0"/>
    <n v="0"/>
    <n v="0.92071906526186842"/>
    <n v="0"/>
    <n v="-4.0000000000000036E-2"/>
  </r>
  <r>
    <x v="750"/>
    <n v="2.63391710374052"/>
    <n v="3.56"/>
    <n v="5"/>
    <n v="0.2"/>
    <n v="3"/>
    <n v="1.575217638655388"/>
    <n v="0.60000000000000009"/>
    <x v="0"/>
    <n v="0"/>
    <n v="0"/>
    <n v="0.92071906526186842"/>
    <n v="0"/>
    <n v="-4.0000000000000036E-2"/>
  </r>
  <r>
    <x v="751"/>
    <n v="2.6287824588785198"/>
    <n v="3.56"/>
    <n v="6"/>
    <n v="0.2"/>
    <n v="4"/>
    <n v="2.100974130431092"/>
    <n v="0.8"/>
    <x v="0"/>
    <n v="0"/>
    <n v="0"/>
    <n v="0.92071906526186842"/>
    <n v="0"/>
    <n v="-4.0000000000000036E-2"/>
  </r>
  <r>
    <x v="752"/>
    <n v="2.62032151165119"/>
    <n v="3.56"/>
    <n v="7"/>
    <n v="0.2"/>
    <n v="5"/>
    <n v="2.6250384327613299"/>
    <n v="1"/>
    <x v="1"/>
    <n v="2.6250384327613299"/>
    <n v="0.93496156723867019"/>
    <n v="0.93496156723867019"/>
    <n v="1.4242501976801769E-2"/>
    <n v="-4.0000000000000036E-2"/>
  </r>
  <r>
    <x v="753"/>
    <n v="2.6476582784281"/>
    <n v="3.5949999999999998"/>
    <n v="1"/>
    <n v="0.2"/>
    <n v="1"/>
    <n v="0.52953165568562"/>
    <n v="0.2"/>
    <x v="0"/>
    <n v="0"/>
    <n v="0"/>
    <n v="0.93496156723867019"/>
    <n v="0"/>
    <n v="3.4999999999999698E-2"/>
  </r>
  <r>
    <x v="754"/>
    <n v="2.6673945625319102"/>
    <n v="3.5949999999999998"/>
    <n v="2"/>
    <n v="0.2"/>
    <n v="2"/>
    <n v="1.0630105681920021"/>
    <n v="0.4"/>
    <x v="0"/>
    <n v="0"/>
    <n v="0"/>
    <n v="0.93496156723867019"/>
    <n v="0"/>
    <n v="3.4999999999999698E-2"/>
  </r>
  <r>
    <x v="755"/>
    <n v="2.64134045041691"/>
    <n v="3.5949999999999998"/>
    <n v="5"/>
    <n v="0.2"/>
    <n v="3"/>
    <n v="1.5912786582753842"/>
    <n v="0.60000000000000009"/>
    <x v="0"/>
    <n v="0"/>
    <n v="0"/>
    <n v="0.93496156723867019"/>
    <n v="0"/>
    <n v="3.4999999999999698E-2"/>
  </r>
  <r>
    <x v="756"/>
    <n v="2.5968587672613901"/>
    <n v="3.5949999999999998"/>
    <n v="6"/>
    <n v="0.2"/>
    <n v="4"/>
    <n v="2.1106504117276623"/>
    <n v="0.8"/>
    <x v="0"/>
    <n v="0"/>
    <n v="0"/>
    <n v="0.93496156723867019"/>
    <n v="0"/>
    <n v="3.4999999999999698E-2"/>
  </r>
  <r>
    <x v="757"/>
    <n v="2.58469358456979"/>
    <n v="3.5949999999999998"/>
    <n v="7"/>
    <n v="0.2"/>
    <n v="5"/>
    <n v="2.6275891286416204"/>
    <n v="1"/>
    <x v="1"/>
    <n v="2.6275891286416204"/>
    <n v="0.96741087135837933"/>
    <n v="0.96741087135837933"/>
    <n v="3.2449304119709144E-2"/>
    <n v="3.4999999999999698E-2"/>
  </r>
  <r>
    <x v="758"/>
    <n v="2.5759029417987498"/>
    <n v="3.55"/>
    <n v="1"/>
    <n v="0.2"/>
    <n v="1"/>
    <n v="0.51518058835975"/>
    <n v="0.2"/>
    <x v="0"/>
    <n v="0"/>
    <n v="0"/>
    <n v="0.96741087135837933"/>
    <n v="0"/>
    <n v="-4.4999999999999929E-2"/>
  </r>
  <r>
    <x v="759"/>
    <n v="2.56712042045777"/>
    <n v="3.55"/>
    <n v="2"/>
    <n v="0.2"/>
    <n v="2"/>
    <n v="1.028604672451304"/>
    <n v="0.4"/>
    <x v="0"/>
    <n v="0"/>
    <n v="0"/>
    <n v="0.96741087135837933"/>
    <n v="0"/>
    <n v="-4.4999999999999929E-2"/>
  </r>
  <r>
    <x v="760"/>
    <n v="2.59858921707026"/>
    <n v="3.55"/>
    <n v="5"/>
    <n v="0.2"/>
    <n v="3"/>
    <n v="1.548322515865356"/>
    <n v="0.60000000000000009"/>
    <x v="0"/>
    <n v="0"/>
    <n v="0"/>
    <n v="0.96741087135837933"/>
    <n v="0"/>
    <n v="-4.4999999999999929E-2"/>
  </r>
  <r>
    <x v="761"/>
    <n v="2.62252108008507"/>
    <n v="3.55"/>
    <n v="6"/>
    <n v="0.2"/>
    <n v="4"/>
    <n v="2.0728267318823699"/>
    <n v="0.8"/>
    <x v="0"/>
    <n v="0"/>
    <n v="0"/>
    <n v="0.96741087135837933"/>
    <n v="0"/>
    <n v="-4.4999999999999929E-2"/>
  </r>
  <r>
    <x v="762"/>
    <n v="2.6753264137467299"/>
    <n v="3.55"/>
    <n v="7"/>
    <n v="0.2"/>
    <n v="5"/>
    <n v="2.6078920146317159"/>
    <n v="1"/>
    <x v="1"/>
    <n v="2.6078920146317159"/>
    <n v="0.94210798536828388"/>
    <n v="0.94210798536828388"/>
    <n v="-2.5302885990095447E-2"/>
    <n v="-4.4999999999999929E-2"/>
  </r>
  <r>
    <x v="763"/>
    <n v="2.6562875815293401"/>
    <n v="3.58"/>
    <n v="1"/>
    <n v="0.2"/>
    <n v="1"/>
    <n v="0.53125751630586804"/>
    <n v="0.2"/>
    <x v="0"/>
    <n v="0"/>
    <n v="0"/>
    <n v="0.94210798536828388"/>
    <n v="0"/>
    <n v="3.0000000000000249E-2"/>
  </r>
  <r>
    <x v="764"/>
    <n v="2.62955921776924"/>
    <n v="3.58"/>
    <n v="2"/>
    <n v="0.2"/>
    <n v="2"/>
    <n v="1.0571693598597161"/>
    <n v="0.4"/>
    <x v="0"/>
    <n v="0"/>
    <n v="0"/>
    <n v="0.94210798536828388"/>
    <n v="0"/>
    <n v="3.0000000000000249E-2"/>
  </r>
  <r>
    <x v="765"/>
    <n v="2.6437338504186898"/>
    <n v="3.58"/>
    <n v="5"/>
    <n v="0.2"/>
    <n v="3"/>
    <n v="1.5859161299434539"/>
    <n v="0.60000000000000009"/>
    <x v="0"/>
    <n v="0"/>
    <n v="0"/>
    <n v="0.94210798536828388"/>
    <n v="0"/>
    <n v="3.0000000000000249E-2"/>
  </r>
  <r>
    <x v="766"/>
    <n v="2.6991414546305501"/>
    <n v="3.58"/>
    <n v="6"/>
    <n v="0.2"/>
    <n v="4"/>
    <n v="2.1257444208695642"/>
    <n v="0.8"/>
    <x v="0"/>
    <n v="0"/>
    <n v="0"/>
    <n v="0.94210798536828388"/>
    <n v="0"/>
    <n v="3.0000000000000249E-2"/>
  </r>
  <r>
    <x v="767"/>
    <n v="2.7467458715573199"/>
    <n v="3.58"/>
    <n v="7"/>
    <n v="0.2"/>
    <n v="5"/>
    <n v="2.6750935951810284"/>
    <n v="1"/>
    <x v="1"/>
    <n v="2.6750935951810284"/>
    <n v="0.90490640481897167"/>
    <n v="0.90490640481897167"/>
    <n v="-3.7201580549312219E-2"/>
    <n v="3.0000000000000249E-2"/>
  </r>
  <r>
    <x v="768"/>
    <n v="2.7480147229669498"/>
    <n v="3.6999999999999997"/>
    <n v="1"/>
    <n v="0.2"/>
    <n v="1"/>
    <n v="0.54960294459338999"/>
    <n v="0.2"/>
    <x v="0"/>
    <n v="0"/>
    <n v="0"/>
    <n v="0.90490640481897167"/>
    <n v="0"/>
    <n v="0.11999999999999966"/>
  </r>
  <r>
    <x v="769"/>
    <n v="2.8064099070641602"/>
    <n v="3.6999999999999997"/>
    <n v="2"/>
    <n v="0.2"/>
    <n v="2"/>
    <n v="1.1108849260062219"/>
    <n v="0.4"/>
    <x v="0"/>
    <n v="0"/>
    <n v="0"/>
    <n v="0.90490640481897167"/>
    <n v="0"/>
    <n v="0.11999999999999966"/>
  </r>
  <r>
    <x v="770"/>
    <n v="2.8416760056146502"/>
    <n v="3.6999999999999997"/>
    <n v="5"/>
    <n v="0.2"/>
    <n v="3"/>
    <n v="1.679220127129152"/>
    <n v="0.60000000000000009"/>
    <x v="0"/>
    <n v="0"/>
    <n v="0"/>
    <n v="0.90490640481897167"/>
    <n v="0"/>
    <n v="0.11999999999999966"/>
  </r>
  <r>
    <x v="771"/>
    <n v="2.8756484754346898"/>
    <n v="3.6999999999999997"/>
    <n v="6"/>
    <n v="0.2"/>
    <n v="4"/>
    <n v="2.2543498222160903"/>
    <n v="0.8"/>
    <x v="0"/>
    <n v="0"/>
    <n v="0"/>
    <n v="0.90490640481897167"/>
    <n v="0"/>
    <n v="0.11999999999999966"/>
  </r>
  <r>
    <x v="772"/>
    <n v="2.91930519695658"/>
    <n v="3.6999999999999997"/>
    <n v="7"/>
    <n v="0.2"/>
    <n v="5"/>
    <n v="2.8382108616074064"/>
    <n v="1"/>
    <x v="1"/>
    <n v="2.8382108616074064"/>
    <n v="0.8617891383925933"/>
    <n v="0.8617891383925933"/>
    <n v="-4.3117266426378364E-2"/>
    <n v="0.11999999999999966"/>
  </r>
  <r>
    <x v="773"/>
    <n v="2.86177796804412"/>
    <n v="3.75"/>
    <n v="1"/>
    <n v="0.2"/>
    <n v="1"/>
    <n v="0.57235559360882404"/>
    <n v="0.2"/>
    <x v="0"/>
    <n v="0"/>
    <n v="0"/>
    <n v="0.8617891383925933"/>
    <n v="0"/>
    <n v="5.0000000000000266E-2"/>
  </r>
  <r>
    <x v="774"/>
    <n v="2.8101076932532698"/>
    <n v="3.75"/>
    <n v="2"/>
    <n v="0.2"/>
    <n v="2"/>
    <n v="1.134377132259478"/>
    <n v="0.4"/>
    <x v="0"/>
    <n v="0"/>
    <n v="0"/>
    <n v="0.8617891383925933"/>
    <n v="0"/>
    <n v="5.0000000000000266E-2"/>
  </r>
  <r>
    <x v="775"/>
    <n v="2.9199815904284798"/>
    <n v="3.75"/>
    <n v="5"/>
    <n v="0.2"/>
    <n v="3"/>
    <n v="1.718373450345174"/>
    <n v="0.60000000000000009"/>
    <x v="0"/>
    <n v="0"/>
    <n v="0"/>
    <n v="0.8617891383925933"/>
    <n v="0"/>
    <n v="5.0000000000000266E-2"/>
  </r>
  <r>
    <x v="776"/>
    <n v="2.9362897451124002"/>
    <n v="3.75"/>
    <n v="6"/>
    <n v="0.2"/>
    <n v="4"/>
    <n v="2.305631399367654"/>
    <n v="0.8"/>
    <x v="0"/>
    <n v="0"/>
    <n v="0"/>
    <n v="0.8617891383925933"/>
    <n v="0"/>
    <n v="5.0000000000000266E-2"/>
  </r>
  <r>
    <x v="777"/>
    <n v="2.9586092652733198"/>
    <n v="3.75"/>
    <n v="7"/>
    <n v="0.2"/>
    <n v="5"/>
    <n v="2.897353252422318"/>
    <n v="1"/>
    <x v="1"/>
    <n v="2.897353252422318"/>
    <n v="0.852646747577682"/>
    <n v="0.852646747577682"/>
    <n v="-9.1423908149113053E-3"/>
    <n v="5.0000000000000266E-2"/>
  </r>
  <r>
    <x v="778"/>
    <n v="2.9068905487933598"/>
    <n v="3.7649999999999997"/>
    <n v="1"/>
    <n v="0.2"/>
    <n v="1"/>
    <n v="0.58137810975867199"/>
    <n v="0.2"/>
    <x v="0"/>
    <n v="0"/>
    <n v="0"/>
    <n v="0.852646747577682"/>
    <n v="0"/>
    <n v="1.499999999999968E-2"/>
  </r>
  <r>
    <x v="779"/>
    <n v="2.82631669904023"/>
    <n v="3.7649999999999997"/>
    <n v="2"/>
    <n v="0.2"/>
    <n v="2"/>
    <n v="1.1466414495667179"/>
    <n v="0.4"/>
    <x v="0"/>
    <n v="0"/>
    <n v="0"/>
    <n v="0.852646747577682"/>
    <n v="0"/>
    <n v="1.499999999999968E-2"/>
  </r>
  <r>
    <x v="780"/>
    <n v="2.8896799307946499"/>
    <n v="3.7649999999999997"/>
    <n v="5"/>
    <n v="0.2"/>
    <n v="3"/>
    <n v="1.724577435725648"/>
    <n v="0.60000000000000009"/>
    <x v="0"/>
    <n v="0"/>
    <n v="0"/>
    <n v="0.852646747577682"/>
    <n v="0"/>
    <n v="1.499999999999968E-2"/>
  </r>
  <r>
    <x v="781"/>
    <n v="2.9214483553786899"/>
    <n v="3.7649999999999997"/>
    <n v="6"/>
    <n v="0.2"/>
    <n v="4"/>
    <n v="2.3088671068013862"/>
    <n v="0.8"/>
    <x v="0"/>
    <n v="0"/>
    <n v="0"/>
    <n v="0.852646747577682"/>
    <n v="0"/>
    <n v="1.499999999999968E-2"/>
  </r>
  <r>
    <x v="782"/>
    <n v="2.9102623265110599"/>
    <n v="3.7649999999999997"/>
    <n v="7"/>
    <n v="0.2"/>
    <n v="5"/>
    <n v="2.8909195721035981"/>
    <n v="1"/>
    <x v="1"/>
    <n v="2.8909195721035981"/>
    <n v="0.87408042789640161"/>
    <n v="0.87408042789640161"/>
    <n v="2.1433680318719617E-2"/>
    <n v="1.499999999999968E-2"/>
  </r>
  <r>
    <x v="783"/>
    <n v="2.8599760435846102"/>
    <n v="3.77"/>
    <n v="1"/>
    <n v="0.2"/>
    <n v="1"/>
    <n v="0.57199520871692211"/>
    <n v="0.2"/>
    <x v="0"/>
    <n v="0"/>
    <n v="0"/>
    <n v="0.87408042789640161"/>
    <n v="0"/>
    <n v="5.0000000000003375E-3"/>
  </r>
  <r>
    <x v="784"/>
    <n v="2.8915210158303699"/>
    <n v="3.77"/>
    <n v="2"/>
    <n v="0.2"/>
    <n v="2"/>
    <n v="1.1502994118829961"/>
    <n v="0.4"/>
    <x v="0"/>
    <n v="0"/>
    <n v="0"/>
    <n v="0.87408042789640161"/>
    <n v="0"/>
    <n v="5.0000000000003375E-3"/>
  </r>
  <r>
    <x v="785"/>
    <n v="2.8500704386135798"/>
    <n v="3.77"/>
    <n v="6"/>
    <n v="0.2"/>
    <n v="3"/>
    <n v="1.7203134996057121"/>
    <n v="0.60000000000000009"/>
    <x v="0"/>
    <n v="0"/>
    <n v="0"/>
    <n v="0.87408042789640161"/>
    <n v="0"/>
    <n v="5.0000000000003375E-3"/>
  </r>
  <r>
    <x v="786"/>
    <n v="2.8460665334928898"/>
    <n v="3.77"/>
    <n v="7"/>
    <n v="0.2"/>
    <n v="4"/>
    <n v="2.28952680630429"/>
    <n v="0.8"/>
    <x v="1"/>
    <n v="2.8619085078803623"/>
    <n v="0.90809149211963769"/>
    <n v="0.90809149211963769"/>
    <n v="3.4011064223236076E-2"/>
    <n v="5.0000000000003375E-3"/>
  </r>
  <r>
    <x v="787"/>
    <n v="2.8413672152174398"/>
    <n v="3.77"/>
    <n v="1"/>
    <n v="0.2"/>
    <n v="1"/>
    <n v="0.56827344304348804"/>
    <n v="0.2"/>
    <x v="0"/>
    <n v="0"/>
    <n v="0"/>
    <n v="0.90809149211963769"/>
    <n v="0"/>
    <n v="0"/>
  </r>
  <r>
    <x v="788"/>
    <n v="2.8125589424365498"/>
    <n v="3.77"/>
    <n v="2"/>
    <n v="0.2"/>
    <n v="2"/>
    <n v="1.130785231530798"/>
    <n v="0.4"/>
    <x v="0"/>
    <n v="0"/>
    <n v="0"/>
    <n v="0.90809149211963769"/>
    <n v="0"/>
    <n v="0"/>
  </r>
  <r>
    <x v="789"/>
    <n v="2.8873082715202201"/>
    <n v="3.77"/>
    <n v="5"/>
    <n v="0.2"/>
    <n v="3"/>
    <n v="1.7082468858348421"/>
    <n v="0.60000000000000009"/>
    <x v="0"/>
    <n v="0"/>
    <n v="0"/>
    <n v="0.90809149211963769"/>
    <n v="0"/>
    <n v="0"/>
  </r>
  <r>
    <x v="790"/>
    <n v="2.96123512742628"/>
    <n v="3.77"/>
    <n v="6"/>
    <n v="0.2"/>
    <n v="4"/>
    <n v="2.300493911320098"/>
    <n v="0.8"/>
    <x v="0"/>
    <n v="0"/>
    <n v="0"/>
    <n v="0.90809149211963769"/>
    <n v="0"/>
    <n v="0"/>
  </r>
  <r>
    <x v="791"/>
    <n v="3.0744144315737501"/>
    <n v="3.77"/>
    <n v="7"/>
    <n v="0.2"/>
    <n v="5"/>
    <n v="2.9153767976348481"/>
    <n v="1"/>
    <x v="1"/>
    <n v="2.9153767976348481"/>
    <n v="0.85462320236515188"/>
    <n v="0.85462320236515188"/>
    <n v="-5.3468289754485809E-2"/>
    <n v="0"/>
  </r>
  <r>
    <x v="792"/>
    <n v="3.0256748636149999"/>
    <n v="3.94"/>
    <n v="1"/>
    <n v="0.2"/>
    <n v="1"/>
    <n v="0.60513497272299999"/>
    <n v="0.2"/>
    <x v="0"/>
    <n v="0"/>
    <n v="0"/>
    <n v="0.85462320236515188"/>
    <n v="0"/>
    <n v="0.16999999999999993"/>
  </r>
  <r>
    <x v="793"/>
    <n v="3.1185389251118698"/>
    <n v="3.94"/>
    <n v="2"/>
    <n v="0.2"/>
    <n v="2"/>
    <n v="1.228842757745374"/>
    <n v="0.4"/>
    <x v="0"/>
    <n v="0"/>
    <n v="0"/>
    <n v="0.85462320236515188"/>
    <n v="0"/>
    <n v="0.16999999999999993"/>
  </r>
  <r>
    <x v="794"/>
    <n v="3.0852280715370801"/>
    <n v="3.94"/>
    <n v="5"/>
    <n v="0.2"/>
    <n v="3"/>
    <n v="1.8458883720527901"/>
    <n v="0.60000000000000009"/>
    <x v="0"/>
    <n v="0"/>
    <n v="0"/>
    <n v="0.85462320236515188"/>
    <n v="0"/>
    <n v="0.16999999999999993"/>
  </r>
  <r>
    <x v="795"/>
    <n v="3.1292995796246399"/>
    <n v="3.94"/>
    <n v="6"/>
    <n v="0.2"/>
    <n v="4"/>
    <n v="2.471748287977718"/>
    <n v="0.8"/>
    <x v="0"/>
    <n v="0"/>
    <n v="0"/>
    <n v="0.85462320236515188"/>
    <n v="0"/>
    <n v="0.16999999999999993"/>
  </r>
  <r>
    <x v="796"/>
    <n v="3.1773446759928401"/>
    <n v="3.94"/>
    <n v="7"/>
    <n v="0.2"/>
    <n v="5"/>
    <n v="3.1072172231762858"/>
    <n v="1"/>
    <x v="1"/>
    <n v="3.1072172231762858"/>
    <n v="0.83278277682371415"/>
    <n v="0.83278277682371415"/>
    <n v="-2.1840425541437725E-2"/>
    <n v="0.16999999999999993"/>
  </r>
  <r>
    <x v="797"/>
    <n v="3.0761153132050598"/>
    <n v="3.9249999999999998"/>
    <n v="1"/>
    <n v="0.2"/>
    <n v="1"/>
    <n v="0.61522306264101201"/>
    <n v="0.2"/>
    <x v="0"/>
    <n v="0"/>
    <n v="0"/>
    <n v="0.83278277682371415"/>
    <n v="0"/>
    <n v="-1.5000000000000124E-2"/>
  </r>
  <r>
    <x v="798"/>
    <n v="3.0919401279735599"/>
    <n v="3.9249999999999998"/>
    <n v="2"/>
    <n v="0.2"/>
    <n v="2"/>
    <n v="1.2336110882357241"/>
    <n v="0.4"/>
    <x v="0"/>
    <n v="0"/>
    <n v="0"/>
    <n v="0.83278277682371415"/>
    <n v="0"/>
    <n v="-1.5000000000000124E-2"/>
  </r>
  <r>
    <x v="799"/>
    <n v="3.0848485059502999"/>
    <n v="3.9249999999999998"/>
    <n v="5"/>
    <n v="0.2"/>
    <n v="3"/>
    <n v="1.8505807894257842"/>
    <n v="0.60000000000000009"/>
    <x v="0"/>
    <n v="0"/>
    <n v="0"/>
    <n v="0.83278277682371415"/>
    <n v="0"/>
    <n v="-1.5000000000000124E-2"/>
  </r>
  <r>
    <x v="800"/>
    <n v="3.0537402902567599"/>
    <n v="3.9249999999999998"/>
    <n v="6"/>
    <n v="0.2"/>
    <n v="4"/>
    <n v="2.4613288474771364"/>
    <n v="0.8"/>
    <x v="0"/>
    <n v="0"/>
    <n v="0"/>
    <n v="0.83278277682371415"/>
    <n v="0"/>
    <n v="-1.5000000000000124E-2"/>
  </r>
  <r>
    <x v="801"/>
    <n v="3.03216152423493"/>
    <n v="3.9249999999999998"/>
    <n v="7"/>
    <n v="0.2"/>
    <n v="5"/>
    <n v="3.0677611523241226"/>
    <n v="1"/>
    <x v="1"/>
    <n v="3.0677611523241226"/>
    <n v="0.85723884767587721"/>
    <n v="0.85723884767587721"/>
    <n v="2.4456070852163059E-2"/>
    <n v="-1.5000000000000124E-2"/>
  </r>
  <r>
    <x v="802"/>
    <n v="3.0468019127231698"/>
    <n v="3.9449999999999994"/>
    <n v="1"/>
    <n v="0.2"/>
    <n v="1"/>
    <n v="0.60936038254463398"/>
    <n v="0.2"/>
    <x v="0"/>
    <n v="0"/>
    <n v="0"/>
    <n v="0.85723884767587721"/>
    <n v="0"/>
    <n v="1.9999999999999574E-2"/>
  </r>
  <r>
    <x v="803"/>
    <n v="2.9822174038917302"/>
    <n v="3.9449999999999994"/>
    <n v="2"/>
    <n v="0.2"/>
    <n v="2"/>
    <n v="1.2058038633229802"/>
    <n v="0.4"/>
    <x v="0"/>
    <n v="0"/>
    <n v="0"/>
    <n v="0.85723884767587721"/>
    <n v="0"/>
    <n v="1.9999999999999574E-2"/>
  </r>
  <r>
    <x v="804"/>
    <n v="3.0761568887156101"/>
    <n v="3.9449999999999994"/>
    <n v="5"/>
    <n v="0.2"/>
    <n v="3"/>
    <n v="1.8210352410661024"/>
    <n v="0.60000000000000009"/>
    <x v="0"/>
    <n v="0"/>
    <n v="0"/>
    <n v="0.85723884767587721"/>
    <n v="0"/>
    <n v="1.9999999999999574E-2"/>
  </r>
  <r>
    <x v="805"/>
    <n v="3.1219045210798799"/>
    <n v="3.9449999999999994"/>
    <n v="6"/>
    <n v="0.2"/>
    <n v="4"/>
    <n v="2.4454161452820786"/>
    <n v="0.8"/>
    <x v="0"/>
    <n v="0"/>
    <n v="0"/>
    <n v="0.85723884767587721"/>
    <n v="0"/>
    <n v="1.9999999999999574E-2"/>
  </r>
  <r>
    <x v="806"/>
    <n v="3.0912606104251101"/>
    <n v="3.9449999999999994"/>
    <n v="7"/>
    <n v="0.2"/>
    <n v="5"/>
    <n v="3.0636682673671007"/>
    <n v="1"/>
    <x v="1"/>
    <n v="3.0636682673671007"/>
    <n v="0.88133173263289866"/>
    <n v="0.88133173263289866"/>
    <n v="2.4092884957021443E-2"/>
    <n v="1.9999999999999574E-2"/>
  </r>
  <r>
    <x v="807"/>
    <n v="3.1158923075545402"/>
    <n v="3.98"/>
    <n v="1"/>
    <n v="0.2"/>
    <n v="1"/>
    <n v="0.62317846151090805"/>
    <n v="0.2"/>
    <x v="0"/>
    <n v="0"/>
    <n v="0"/>
    <n v="0.88133173263289866"/>
    <n v="0"/>
    <n v="3.5000000000000586E-2"/>
  </r>
  <r>
    <x v="808"/>
    <n v="3.2022687944333499"/>
    <n v="3.98"/>
    <n v="2"/>
    <n v="0.2"/>
    <n v="2"/>
    <n v="1.2636322203975781"/>
    <n v="0.4"/>
    <x v="0"/>
    <n v="0"/>
    <n v="0"/>
    <n v="0.88133173263289866"/>
    <n v="0"/>
    <n v="3.5000000000000586E-2"/>
  </r>
  <r>
    <x v="809"/>
    <n v="3.0851869199683102"/>
    <n v="3.98"/>
    <n v="5"/>
    <n v="0.2"/>
    <n v="3"/>
    <n v="1.8806696043912401"/>
    <n v="0.60000000000000009"/>
    <x v="0"/>
    <n v="0"/>
    <n v="0"/>
    <n v="0.88133173263289866"/>
    <n v="0"/>
    <n v="3.5000000000000586E-2"/>
  </r>
  <r>
    <x v="810"/>
    <n v="3.0732804432921599"/>
    <n v="3.98"/>
    <n v="6"/>
    <n v="0.2"/>
    <n v="4"/>
    <n v="2.4953256930496721"/>
    <n v="0.8"/>
    <x v="0"/>
    <n v="0"/>
    <n v="0"/>
    <n v="0.88133173263289866"/>
    <n v="0"/>
    <n v="3.5000000000000586E-2"/>
  </r>
  <r>
    <x v="811"/>
    <n v="3.16276525236256"/>
    <n v="3.98"/>
    <n v="7"/>
    <n v="0.2"/>
    <n v="5"/>
    <n v="3.1278787435221842"/>
    <n v="1"/>
    <x v="1"/>
    <n v="3.1278787435221842"/>
    <n v="0.85212125647781578"/>
    <n v="0.85212125647781578"/>
    <n v="-2.9210476155082876E-2"/>
    <n v="3.5000000000000586E-2"/>
  </r>
  <r>
    <x v="812"/>
    <n v="3.1329453977786899"/>
    <n v="3.94"/>
    <n v="1"/>
    <n v="0.2"/>
    <n v="1"/>
    <n v="0.62658907955573806"/>
    <n v="0.2"/>
    <x v="0"/>
    <n v="0"/>
    <n v="0"/>
    <n v="0.85212125647781578"/>
    <n v="0"/>
    <n v="-4.0000000000000036E-2"/>
  </r>
  <r>
    <x v="813"/>
    <n v="3.0409627195865201"/>
    <n v="3.94"/>
    <n v="5"/>
    <n v="0.2"/>
    <n v="2"/>
    <n v="1.234781623473042"/>
    <n v="0.4"/>
    <x v="0"/>
    <n v="0"/>
    <n v="0"/>
    <n v="0.85212125647781578"/>
    <n v="0"/>
    <n v="-4.0000000000000036E-2"/>
  </r>
  <r>
    <x v="814"/>
    <n v="3.00985191194196"/>
    <n v="3.94"/>
    <n v="6"/>
    <n v="0.2"/>
    <n v="3"/>
    <n v="1.8367520058614342"/>
    <n v="0.60000000000000009"/>
    <x v="0"/>
    <n v="0"/>
    <n v="0"/>
    <n v="0.85212125647781578"/>
    <n v="0"/>
    <n v="-4.0000000000000036E-2"/>
  </r>
  <r>
    <x v="815"/>
    <n v="2.9791453962399599"/>
    <n v="3.94"/>
    <n v="7"/>
    <n v="0.2"/>
    <n v="4"/>
    <n v="2.4325810851094261"/>
    <n v="0.8"/>
    <x v="1"/>
    <n v="3.0407263563867826"/>
    <n v="0.89927364361321738"/>
    <n v="0.89927364361321738"/>
    <n v="4.7152387135401597E-2"/>
    <n v="-4.0000000000000036E-2"/>
  </r>
  <r>
    <x v="816"/>
    <n v="3.0519928057207899"/>
    <n v="3.9899999999999998"/>
    <n v="1"/>
    <n v="0.2"/>
    <n v="1"/>
    <n v="0.61039856114415803"/>
    <n v="0.2"/>
    <x v="0"/>
    <n v="0"/>
    <n v="0"/>
    <n v="0.89927364361321738"/>
    <n v="0"/>
    <n v="4.9999999999999822E-2"/>
  </r>
  <r>
    <x v="817"/>
    <n v="3.1469144966257199"/>
    <n v="3.9899999999999998"/>
    <n v="2"/>
    <n v="0.2"/>
    <n v="2"/>
    <n v="1.239781460469302"/>
    <n v="0.4"/>
    <x v="0"/>
    <n v="0"/>
    <n v="0"/>
    <n v="0.89927364361321738"/>
    <n v="0"/>
    <n v="4.9999999999999822E-2"/>
  </r>
  <r>
    <x v="818"/>
    <n v="3.1440801611331"/>
    <n v="3.9899999999999998"/>
    <n v="5"/>
    <n v="0.2"/>
    <n v="3"/>
    <n v="1.8685974926959221"/>
    <n v="0.60000000000000009"/>
    <x v="0"/>
    <n v="0"/>
    <n v="0"/>
    <n v="0.89927364361321738"/>
    <n v="0"/>
    <n v="4.9999999999999822E-2"/>
  </r>
  <r>
    <x v="819"/>
    <n v="3.1081065530197201"/>
    <n v="3.9899999999999998"/>
    <n v="6"/>
    <n v="0.2"/>
    <n v="4"/>
    <n v="2.4902188032998662"/>
    <n v="0.8"/>
    <x v="0"/>
    <n v="0"/>
    <n v="0"/>
    <n v="0.89927364361321738"/>
    <n v="0"/>
    <n v="4.9999999999999822E-2"/>
  </r>
  <r>
    <x v="820"/>
    <n v="3.0651881254767099"/>
    <n v="3.9899999999999998"/>
    <n v="7"/>
    <n v="0.2"/>
    <n v="5"/>
    <n v="3.1032564283952082"/>
    <n v="1"/>
    <x v="1"/>
    <n v="3.1032564283952082"/>
    <n v="0.88674357160479156"/>
    <n v="0.88674357160479156"/>
    <n v="-1.2530072008425819E-2"/>
    <n v="4.9999999999999822E-2"/>
  </r>
  <r>
    <x v="821"/>
    <n v="3.0642370952529001"/>
    <n v="3.94"/>
    <n v="1"/>
    <n v="0.2"/>
    <n v="1"/>
    <n v="0.61284741905058004"/>
    <n v="0.2"/>
    <x v="0"/>
    <n v="0"/>
    <n v="0"/>
    <n v="0.88674357160479156"/>
    <n v="0"/>
    <n v="-4.9999999999999822E-2"/>
  </r>
  <r>
    <x v="822"/>
    <n v="3.0508649511892498"/>
    <n v="3.94"/>
    <n v="2"/>
    <n v="0.2"/>
    <n v="2"/>
    <n v="1.22302040928843"/>
    <n v="0.4"/>
    <x v="0"/>
    <n v="0"/>
    <n v="0"/>
    <n v="0.88674357160479156"/>
    <n v="0"/>
    <n v="-4.9999999999999822E-2"/>
  </r>
  <r>
    <x v="823"/>
    <n v="3.07026860246684"/>
    <n v="3.94"/>
    <n v="5"/>
    <n v="0.2"/>
    <n v="3"/>
    <n v="1.8370741297817981"/>
    <n v="0.60000000000000009"/>
    <x v="0"/>
    <n v="0"/>
    <n v="0"/>
    <n v="0.88674357160479156"/>
    <n v="0"/>
    <n v="-4.9999999999999822E-2"/>
  </r>
  <r>
    <x v="824"/>
    <n v="3.04099858929172"/>
    <n v="3.94"/>
    <n v="6"/>
    <n v="0.2"/>
    <n v="4"/>
    <n v="2.4452738476401423"/>
    <n v="0.8"/>
    <x v="0"/>
    <n v="0"/>
    <n v="0"/>
    <n v="0.88674357160479156"/>
    <n v="0"/>
    <n v="-4.9999999999999822E-2"/>
  </r>
  <r>
    <x v="825"/>
    <n v="3.0272722743659699"/>
    <n v="3.94"/>
    <n v="7"/>
    <n v="0.2"/>
    <n v="5"/>
    <n v="3.0507283025133365"/>
    <n v="1"/>
    <x v="1"/>
    <n v="3.0507283025133365"/>
    <n v="0.88927169748666346"/>
    <n v="0.88927169748666346"/>
    <n v="2.528125881871901E-3"/>
    <n v="-4.9999999999999822E-2"/>
  </r>
  <r>
    <x v="826"/>
    <n v="3.00152435884748"/>
    <n v="3.88"/>
    <n v="1"/>
    <n v="0.2"/>
    <n v="1"/>
    <n v="0.6003048717694961"/>
    <n v="0.2"/>
    <x v="0"/>
    <n v="0"/>
    <n v="0"/>
    <n v="0.88927169748666346"/>
    <n v="0"/>
    <n v="-6.0000000000000053E-2"/>
  </r>
  <r>
    <x v="827"/>
    <n v="3.00880742941581"/>
    <n v="3.88"/>
    <n v="2"/>
    <n v="0.2"/>
    <n v="2"/>
    <n v="1.202066357652658"/>
    <n v="0.4"/>
    <x v="0"/>
    <n v="0"/>
    <n v="0"/>
    <n v="0.88927169748666346"/>
    <n v="0"/>
    <n v="-6.0000000000000053E-2"/>
  </r>
  <r>
    <x v="828"/>
    <n v="2.9768819813504899"/>
    <n v="3.88"/>
    <n v="5"/>
    <n v="0.2"/>
    <n v="3"/>
    <n v="1.797442753922756"/>
    <n v="0.60000000000000009"/>
    <x v="0"/>
    <n v="0"/>
    <n v="0"/>
    <n v="0.88927169748666346"/>
    <n v="0"/>
    <n v="-6.0000000000000053E-2"/>
  </r>
  <r>
    <x v="829"/>
    <n v="2.9700273705701301"/>
    <n v="3.88"/>
    <n v="6"/>
    <n v="0.2"/>
    <n v="4"/>
    <n v="2.3914482280367819"/>
    <n v="0.8"/>
    <x v="0"/>
    <n v="0"/>
    <n v="0"/>
    <n v="0.88927169748666346"/>
    <n v="0"/>
    <n v="-6.0000000000000053E-2"/>
  </r>
  <r>
    <x v="830"/>
    <n v="2.9952166878972601"/>
    <n v="3.88"/>
    <n v="7"/>
    <n v="0.2"/>
    <n v="5"/>
    <n v="2.9904915656162339"/>
    <n v="1"/>
    <x v="1"/>
    <n v="2.9904915656162339"/>
    <n v="0.88950843438376603"/>
    <n v="0.88950843438376603"/>
    <n v="2.3673689710257406E-4"/>
    <n v="-6.0000000000000053E-2"/>
  </r>
  <r>
    <x v="831"/>
    <n v="2.9944455468035298"/>
    <n v="3.81"/>
    <n v="1"/>
    <n v="0.2"/>
    <n v="1"/>
    <n v="0.59888910936070594"/>
    <n v="0.2"/>
    <x v="0"/>
    <n v="0"/>
    <n v="0"/>
    <n v="0.88950843438376603"/>
    <n v="0"/>
    <n v="-6.999999999999984E-2"/>
  </r>
  <r>
    <x v="832"/>
    <n v="2.9155081259623699"/>
    <n v="3.81"/>
    <n v="2"/>
    <n v="0.2"/>
    <n v="2"/>
    <n v="1.1819907345531799"/>
    <n v="0.4"/>
    <x v="0"/>
    <n v="0"/>
    <n v="0"/>
    <n v="0.88950843438376603"/>
    <n v="0"/>
    <n v="-6.999999999999984E-2"/>
  </r>
  <r>
    <x v="833"/>
    <n v="2.8859588833612699"/>
    <n v="3.81"/>
    <n v="5"/>
    <n v="0.2"/>
    <n v="3"/>
    <n v="1.759182511225434"/>
    <n v="0.60000000000000009"/>
    <x v="0"/>
    <n v="0"/>
    <n v="0"/>
    <n v="0.88950843438376603"/>
    <n v="0"/>
    <n v="-6.999999999999984E-2"/>
  </r>
  <r>
    <x v="834"/>
    <n v="2.9592567116727899"/>
    <n v="3.81"/>
    <n v="6"/>
    <n v="0.2"/>
    <n v="4"/>
    <n v="2.3510338535599922"/>
    <n v="0.8"/>
    <x v="0"/>
    <n v="0"/>
    <n v="0"/>
    <n v="0.88950843438376603"/>
    <n v="0"/>
    <n v="-6.999999999999984E-2"/>
  </r>
  <r>
    <x v="835"/>
    <n v="3.0089114844805001"/>
    <n v="3.81"/>
    <n v="7"/>
    <n v="0.2"/>
    <n v="5"/>
    <n v="2.9528161504560924"/>
    <n v="1"/>
    <x v="1"/>
    <n v="2.9528161504560924"/>
    <n v="0.85718384954390769"/>
    <n v="0.85718384954390769"/>
    <n v="-3.2324584839858339E-2"/>
    <n v="-6.999999999999984E-2"/>
  </r>
  <r>
    <x v="836"/>
    <n v="2.9719648499802398"/>
    <n v="3.84"/>
    <n v="1"/>
    <n v="0.2"/>
    <n v="1"/>
    <n v="0.59439296999604796"/>
    <n v="0.2"/>
    <x v="0"/>
    <n v="0"/>
    <n v="0"/>
    <n v="0.85718384954390769"/>
    <n v="0"/>
    <n v="2.9999999999999805E-2"/>
  </r>
  <r>
    <x v="837"/>
    <n v="2.92350190324946"/>
    <n v="3.84"/>
    <n v="2"/>
    <n v="0.2"/>
    <n v="2"/>
    <n v="1.17909335064594"/>
    <n v="0.4"/>
    <x v="0"/>
    <n v="0"/>
    <n v="0"/>
    <n v="0.85718384954390769"/>
    <n v="0"/>
    <n v="2.9999999999999805E-2"/>
  </r>
  <r>
    <x v="838"/>
    <n v="2.9753003706109098"/>
    <n v="3.84"/>
    <n v="5"/>
    <n v="0.2"/>
    <n v="3"/>
    <n v="1.7741534247681221"/>
    <n v="0.60000000000000009"/>
    <x v="0"/>
    <n v="0"/>
    <n v="0"/>
    <n v="0.85718384954390769"/>
    <n v="0"/>
    <n v="2.9999999999999805E-2"/>
  </r>
  <r>
    <x v="839"/>
    <n v="2.8894517792115599"/>
    <n v="3.84"/>
    <n v="6"/>
    <n v="0.2"/>
    <n v="4"/>
    <n v="2.3520437806104342"/>
    <n v="0.8"/>
    <x v="0"/>
    <n v="0"/>
    <n v="0"/>
    <n v="0.85718384954390769"/>
    <n v="0"/>
    <n v="2.9999999999999805E-2"/>
  </r>
  <r>
    <x v="840"/>
    <n v="2.8863432484098199"/>
    <n v="3.84"/>
    <n v="7"/>
    <n v="0.2"/>
    <n v="5"/>
    <n v="2.9293124302923981"/>
    <n v="1"/>
    <x v="1"/>
    <n v="2.9293124302923981"/>
    <n v="0.91068756970760179"/>
    <n v="0.91068756970760179"/>
    <n v="5.3503720163694091E-2"/>
    <n v="2.9999999999999805E-2"/>
  </r>
  <r>
    <x v="841"/>
    <n v="2.94154866689746"/>
    <n v="3.83"/>
    <n v="1"/>
    <n v="0.2"/>
    <n v="1"/>
    <n v="0.58830973337949199"/>
    <n v="0.2"/>
    <x v="0"/>
    <n v="0"/>
    <n v="0"/>
    <n v="0.91068756970760179"/>
    <n v="0"/>
    <n v="-9.9999999999997868E-3"/>
  </r>
  <r>
    <x v="842"/>
    <n v="2.9622833477952701"/>
    <n v="3.83"/>
    <n v="2"/>
    <n v="0.2"/>
    <n v="2"/>
    <n v="1.1807664029385461"/>
    <n v="0.4"/>
    <x v="0"/>
    <n v="0"/>
    <n v="0"/>
    <n v="0.91068756970760179"/>
    <n v="0"/>
    <n v="-9.9999999999997868E-3"/>
  </r>
  <r>
    <x v="843"/>
    <n v="2.9357435322539001"/>
    <n v="3.83"/>
    <n v="5"/>
    <n v="0.2"/>
    <n v="3"/>
    <n v="1.7679151093893259"/>
    <n v="0.60000000000000009"/>
    <x v="0"/>
    <n v="0"/>
    <n v="0"/>
    <n v="0.91068756970760179"/>
    <n v="0"/>
    <n v="-9.9999999999997868E-3"/>
  </r>
  <r>
    <x v="844"/>
    <n v="2.9596582925735899"/>
    <n v="3.83"/>
    <n v="6"/>
    <n v="0.2"/>
    <n v="4"/>
    <n v="2.359846767904044"/>
    <n v="0.8"/>
    <x v="0"/>
    <n v="0"/>
    <n v="0"/>
    <n v="0.91068756970760179"/>
    <n v="0"/>
    <n v="-9.9999999999997868E-3"/>
  </r>
  <r>
    <x v="845"/>
    <n v="2.8898853758214198"/>
    <n v="3.83"/>
    <n v="7"/>
    <n v="0.2"/>
    <n v="5"/>
    <n v="2.9378238430683279"/>
    <n v="1"/>
    <x v="1"/>
    <n v="2.9378238430683279"/>
    <n v="0.89217615693167218"/>
    <n v="0.89217615693167218"/>
    <n v="-1.8511412775929603E-2"/>
    <n v="-9.9999999999997868E-3"/>
  </r>
  <r>
    <x v="846"/>
    <n v="2.85986737962509"/>
    <n v="3.7399999999999998"/>
    <n v="1"/>
    <n v="0.2"/>
    <n v="1"/>
    <n v="0.57197347592501802"/>
    <n v="0.2"/>
    <x v="0"/>
    <n v="0"/>
    <n v="0"/>
    <n v="0.89217615693167218"/>
    <n v="0"/>
    <n v="-9.0000000000000302E-2"/>
  </r>
  <r>
    <x v="847"/>
    <n v="2.8344803887664098"/>
    <n v="3.7399999999999998"/>
    <n v="2"/>
    <n v="0.2"/>
    <n v="2"/>
    <n v="1.1388695536783"/>
    <n v="0.4"/>
    <x v="0"/>
    <n v="0"/>
    <n v="0"/>
    <n v="0.89217615693167218"/>
    <n v="0"/>
    <n v="-9.0000000000000302E-2"/>
  </r>
  <r>
    <x v="848"/>
    <n v="2.79004351105465"/>
    <n v="3.7399999999999998"/>
    <n v="5"/>
    <n v="0.2"/>
    <n v="3"/>
    <n v="1.6968782558892301"/>
    <n v="0.60000000000000009"/>
    <x v="0"/>
    <n v="0"/>
    <n v="0"/>
    <n v="0.89217615693167218"/>
    <n v="0"/>
    <n v="-9.0000000000000302E-2"/>
  </r>
  <r>
    <x v="849"/>
    <n v="2.9080768711615201"/>
    <n v="3.7399999999999998"/>
    <n v="6"/>
    <n v="0.2"/>
    <n v="4"/>
    <n v="2.2784936301215342"/>
    <n v="0.8"/>
    <x v="0"/>
    <n v="0"/>
    <n v="0"/>
    <n v="0.89217615693167218"/>
    <n v="0"/>
    <n v="-9.0000000000000302E-2"/>
  </r>
  <r>
    <x v="850"/>
    <n v="2.9117942461472701"/>
    <n v="3.7399999999999998"/>
    <n v="7"/>
    <n v="0.2"/>
    <n v="5"/>
    <n v="2.8608524793509882"/>
    <n v="1"/>
    <x v="1"/>
    <n v="2.8608524793509882"/>
    <n v="0.87914752064901158"/>
    <n v="0.87914752064901158"/>
    <n v="-1.3028636282660599E-2"/>
    <n v="-9.0000000000000302E-2"/>
  </r>
  <r>
    <x v="851"/>
    <n v="2.9085457311755398"/>
    <n v="3.79"/>
    <n v="1"/>
    <n v="0.2"/>
    <n v="1"/>
    <n v="0.58170914623510794"/>
    <n v="0.2"/>
    <x v="0"/>
    <n v="0"/>
    <n v="0"/>
    <n v="0.87914752064901158"/>
    <n v="0"/>
    <n v="5.0000000000000266E-2"/>
  </r>
  <r>
    <x v="852"/>
    <n v="2.9130814289562301"/>
    <n v="3.79"/>
    <n v="2"/>
    <n v="0.2"/>
    <n v="2"/>
    <n v="1.1643254320263541"/>
    <n v="0.4"/>
    <x v="0"/>
    <n v="0"/>
    <n v="0"/>
    <n v="0.87914752064901158"/>
    <n v="0"/>
    <n v="5.0000000000000266E-2"/>
  </r>
  <r>
    <x v="853"/>
    <n v="2.9344470402340699"/>
    <n v="3.79"/>
    <n v="5"/>
    <n v="0.2"/>
    <n v="3"/>
    <n v="1.751214840073168"/>
    <n v="0.60000000000000009"/>
    <x v="0"/>
    <n v="0"/>
    <n v="0"/>
    <n v="0.87914752064901158"/>
    <n v="0"/>
    <n v="5.0000000000000266E-2"/>
  </r>
  <r>
    <x v="854"/>
    <n v="2.9096799662845698"/>
    <n v="3.79"/>
    <n v="6"/>
    <n v="0.2"/>
    <n v="4"/>
    <n v="2.3331508333300821"/>
    <n v="0.8"/>
    <x v="0"/>
    <n v="0"/>
    <n v="0"/>
    <n v="0.87914752064901158"/>
    <n v="0"/>
    <n v="5.0000000000000266E-2"/>
  </r>
  <r>
    <x v="855"/>
    <n v="2.9358931445910401"/>
    <n v="3.79"/>
    <n v="7"/>
    <n v="0.2"/>
    <n v="5"/>
    <n v="2.92032946224829"/>
    <n v="1"/>
    <x v="1"/>
    <n v="2.92032946224829"/>
    <n v="0.86967053775170999"/>
    <n v="0.86967053775170999"/>
    <n v="-9.476982897301589E-3"/>
    <n v="5.0000000000000266E-2"/>
  </r>
  <r>
    <x v="856"/>
    <n v="2.90498942377981"/>
    <n v="3.8"/>
    <n v="1"/>
    <n v="0.2"/>
    <n v="1"/>
    <n v="0.58099788475596204"/>
    <n v="0.2"/>
    <x v="0"/>
    <n v="0"/>
    <n v="0"/>
    <n v="0.86967053775170999"/>
    <n v="0"/>
    <n v="9.9999999999997868E-3"/>
  </r>
  <r>
    <x v="857"/>
    <n v="2.8787744272910301"/>
    <n v="3.8"/>
    <n v="2"/>
    <n v="0.2"/>
    <n v="2"/>
    <n v="1.156752770214168"/>
    <n v="0.4"/>
    <x v="0"/>
    <n v="0"/>
    <n v="0"/>
    <n v="0.86967053775170999"/>
    <n v="0"/>
    <n v="9.9999999999997868E-3"/>
  </r>
  <r>
    <x v="858"/>
    <n v="2.9185627226684798"/>
    <n v="3.8"/>
    <n v="6"/>
    <n v="0.2"/>
    <n v="3"/>
    <n v="1.7404653147478641"/>
    <n v="0.60000000000000009"/>
    <x v="0"/>
    <n v="0"/>
    <n v="0"/>
    <n v="0.86967053775170999"/>
    <n v="0"/>
    <n v="9.9999999999997868E-3"/>
  </r>
  <r>
    <x v="859"/>
    <n v="2.9027513521030701"/>
    <n v="3.8"/>
    <n v="7"/>
    <n v="0.2"/>
    <n v="4"/>
    <n v="2.3210155851684782"/>
    <n v="0.8"/>
    <x v="1"/>
    <n v="2.9012694814605977"/>
    <n v="0.89873051853940211"/>
    <n v="0.89873051853940211"/>
    <n v="2.9059980787692119E-2"/>
    <n v="9.9999999999997868E-3"/>
  </r>
  <r>
    <x v="860"/>
    <n v="2.9327229891480799"/>
    <n v="3.81"/>
    <n v="1"/>
    <n v="0.2"/>
    <n v="1"/>
    <n v="0.58654459782961599"/>
    <n v="0.2"/>
    <x v="0"/>
    <n v="0"/>
    <n v="0"/>
    <n v="0.89873051853940211"/>
    <n v="0"/>
    <n v="1.0000000000000231E-2"/>
  </r>
  <r>
    <x v="861"/>
    <n v="2.9154645829543302"/>
    <n v="3.81"/>
    <n v="2"/>
    <n v="0.2"/>
    <n v="2"/>
    <n v="1.169637514420482"/>
    <n v="0.4"/>
    <x v="0"/>
    <n v="0"/>
    <n v="0"/>
    <n v="0.89873051853940211"/>
    <n v="0"/>
    <n v="1.0000000000000231E-2"/>
  </r>
  <r>
    <x v="862"/>
    <n v="2.90800506731745"/>
    <n v="3.81"/>
    <n v="5"/>
    <n v="0.2"/>
    <n v="3"/>
    <n v="1.7512385278839719"/>
    <n v="0.60000000000000009"/>
    <x v="0"/>
    <n v="0"/>
    <n v="0"/>
    <n v="0.89873051853940211"/>
    <n v="0"/>
    <n v="1.0000000000000231E-2"/>
  </r>
  <r>
    <x v="863"/>
    <n v="2.9912109118513701"/>
    <n v="3.81"/>
    <n v="6"/>
    <n v="0.2"/>
    <n v="4"/>
    <n v="2.3494807102542459"/>
    <n v="0.8"/>
    <x v="0"/>
    <n v="0"/>
    <n v="0"/>
    <n v="0.89873051853940211"/>
    <n v="0"/>
    <n v="1.0000000000000231E-2"/>
  </r>
  <r>
    <x v="864"/>
    <n v="2.9926621611582802"/>
    <n v="3.81"/>
    <n v="7"/>
    <n v="0.2"/>
    <n v="5"/>
    <n v="2.9480131424859017"/>
    <n v="1"/>
    <x v="1"/>
    <n v="2.9480131424859017"/>
    <n v="0.86198685751409831"/>
    <n v="0.86198685751409831"/>
    <n v="-3.6743661025303798E-2"/>
    <n v="1.0000000000000231E-2"/>
  </r>
  <r>
    <x v="865"/>
    <n v="2.8946199392202701"/>
    <n v="3.7849999999999997"/>
    <n v="1"/>
    <n v="0.2"/>
    <n v="1"/>
    <n v="0.57892398784405408"/>
    <n v="0.2"/>
    <x v="0"/>
    <n v="0"/>
    <n v="0"/>
    <n v="0.86198685751409831"/>
    <n v="0"/>
    <n v="-2.5000000000000355E-2"/>
  </r>
  <r>
    <x v="866"/>
    <n v="2.8362882018725202"/>
    <n v="3.7849999999999997"/>
    <n v="2"/>
    <n v="0.2"/>
    <n v="2"/>
    <n v="1.1461816282185582"/>
    <n v="0.4"/>
    <x v="0"/>
    <n v="0"/>
    <n v="0"/>
    <n v="0.86198685751409831"/>
    <n v="0"/>
    <n v="-2.5000000000000355E-2"/>
  </r>
  <r>
    <x v="867"/>
    <n v="2.91486476009828"/>
    <n v="3.7849999999999997"/>
    <n v="5"/>
    <n v="0.2"/>
    <n v="3"/>
    <n v="1.7291545802382142"/>
    <n v="0.60000000000000009"/>
    <x v="0"/>
    <n v="0"/>
    <n v="0"/>
    <n v="0.86198685751409831"/>
    <n v="0"/>
    <n v="-2.5000000000000355E-2"/>
  </r>
  <r>
    <x v="868"/>
    <n v="2.8594352216235301"/>
    <n v="3.7849999999999997"/>
    <n v="6"/>
    <n v="0.2"/>
    <n v="4"/>
    <n v="2.3010416245629202"/>
    <n v="0.8"/>
    <x v="0"/>
    <n v="0"/>
    <n v="0"/>
    <n v="0.86198685751409831"/>
    <n v="0"/>
    <n v="-2.5000000000000355E-2"/>
  </r>
  <r>
    <x v="869"/>
    <n v="2.8734950564364601"/>
    <n v="3.7849999999999997"/>
    <n v="7"/>
    <n v="0.2"/>
    <n v="5"/>
    <n v="2.875740635850212"/>
    <n v="1"/>
    <x v="1"/>
    <n v="2.875740635850212"/>
    <n v="0.9092593641497877"/>
    <n v="0.9092593641497877"/>
    <n v="4.7272506635689382E-2"/>
    <n v="-2.5000000000000355E-2"/>
  </r>
  <r>
    <x v="870"/>
    <n v="2.8712695086990299"/>
    <n v="3.75"/>
    <n v="1"/>
    <n v="0.2"/>
    <n v="1"/>
    <n v="0.57425390173980595"/>
    <n v="0.2"/>
    <x v="0"/>
    <n v="0"/>
    <n v="0"/>
    <n v="0.9092593641497877"/>
    <n v="0"/>
    <n v="-3.4999999999999698E-2"/>
  </r>
  <r>
    <x v="871"/>
    <n v="2.8987506443333801"/>
    <n v="3.75"/>
    <n v="2"/>
    <n v="0.2"/>
    <n v="2"/>
    <n v="1.154004030606482"/>
    <n v="0.4"/>
    <x v="0"/>
    <n v="0"/>
    <n v="0"/>
    <n v="0.9092593641497877"/>
    <n v="0"/>
    <n v="-3.4999999999999698E-2"/>
  </r>
  <r>
    <x v="872"/>
    <n v="2.8546348135519901"/>
    <n v="3.75"/>
    <n v="5"/>
    <n v="0.2"/>
    <n v="3"/>
    <n v="1.7249309933168799"/>
    <n v="0.60000000000000009"/>
    <x v="0"/>
    <n v="0"/>
    <n v="0"/>
    <n v="0.9092593641497877"/>
    <n v="0"/>
    <n v="-3.4999999999999698E-2"/>
  </r>
  <r>
    <x v="873"/>
    <n v="2.8124515814242899"/>
    <n v="3.75"/>
    <n v="6"/>
    <n v="0.2"/>
    <n v="4"/>
    <n v="2.2874213096017382"/>
    <n v="0.8"/>
    <x v="0"/>
    <n v="0"/>
    <n v="0"/>
    <n v="0.9092593641497877"/>
    <n v="0"/>
    <n v="-3.4999999999999698E-2"/>
  </r>
  <r>
    <x v="874"/>
    <n v="2.8018988061488499"/>
    <n v="3.75"/>
    <n v="7"/>
    <n v="0.2"/>
    <n v="5"/>
    <n v="2.8478010708315082"/>
    <n v="1"/>
    <x v="1"/>
    <n v="2.8478010708315082"/>
    <n v="0.90219892916849176"/>
    <n v="0.90219892916849176"/>
    <n v="-7.0604349812959377E-3"/>
    <n v="-3.4999999999999698E-2"/>
  </r>
  <r>
    <x v="875"/>
    <n v="2.7784102270308701"/>
    <n v="3.6599999999999997"/>
    <n v="1"/>
    <n v="0.2"/>
    <n v="1"/>
    <n v="0.55568204540617405"/>
    <n v="0.2"/>
    <x v="0"/>
    <n v="0"/>
    <n v="0"/>
    <n v="0.90219892916849176"/>
    <n v="0"/>
    <n v="-9.0000000000000302E-2"/>
  </r>
  <r>
    <x v="876"/>
    <n v="2.7296334551710499"/>
    <n v="3.6599999999999997"/>
    <n v="2"/>
    <n v="0.2"/>
    <n v="2"/>
    <n v="1.1016087364403839"/>
    <n v="0.4"/>
    <x v="0"/>
    <n v="0"/>
    <n v="0"/>
    <n v="0.90219892916849176"/>
    <n v="0"/>
    <n v="-9.0000000000000302E-2"/>
  </r>
  <r>
    <x v="877"/>
    <n v="2.7734212235563001"/>
    <n v="3.6599999999999997"/>
    <n v="5"/>
    <n v="0.2"/>
    <n v="3"/>
    <n v="1.656292981151644"/>
    <n v="0.60000000000000009"/>
    <x v="0"/>
    <n v="0"/>
    <n v="0"/>
    <n v="0.90219892916849176"/>
    <n v="0"/>
    <n v="-9.0000000000000302E-2"/>
  </r>
  <r>
    <x v="878"/>
    <n v="2.7570320859498798"/>
    <n v="3.6599999999999997"/>
    <n v="6"/>
    <n v="0.2"/>
    <n v="4"/>
    <n v="2.20769939834162"/>
    <n v="0.8"/>
    <x v="0"/>
    <n v="0"/>
    <n v="0"/>
    <n v="0.90219892916849176"/>
    <n v="0"/>
    <n v="-9.0000000000000302E-2"/>
  </r>
  <r>
    <x v="879"/>
    <n v="2.77010275743095"/>
    <n v="3.6599999999999997"/>
    <n v="7"/>
    <n v="0.2"/>
    <n v="5"/>
    <n v="2.76171994982781"/>
    <n v="1"/>
    <x v="1"/>
    <n v="2.76171994982781"/>
    <n v="0.8982800501721897"/>
    <n v="0.8982800501721897"/>
    <n v="-3.9188789963020554E-3"/>
    <n v="-9.0000000000000302E-2"/>
  </r>
  <r>
    <x v="880"/>
    <n v="2.81486937200697"/>
    <n v="3.7199999999999998"/>
    <n v="1"/>
    <n v="0.2"/>
    <n v="1"/>
    <n v="0.56297387440139401"/>
    <n v="0.2"/>
    <x v="0"/>
    <n v="0"/>
    <n v="0"/>
    <n v="0.8982800501721897"/>
    <n v="0"/>
    <n v="6.0000000000000053E-2"/>
  </r>
  <r>
    <x v="881"/>
    <n v="2.8165675160693602"/>
    <n v="3.7199999999999998"/>
    <n v="2"/>
    <n v="0.2"/>
    <n v="2"/>
    <n v="1.1262873776152662"/>
    <n v="0.4"/>
    <x v="0"/>
    <n v="0"/>
    <n v="0"/>
    <n v="0.8982800501721897"/>
    <n v="0"/>
    <n v="6.0000000000000053E-2"/>
  </r>
  <r>
    <x v="882"/>
    <n v="2.7891999400544001"/>
    <n v="3.7199999999999998"/>
    <n v="6"/>
    <n v="0.2"/>
    <n v="3"/>
    <n v="1.6841273656261464"/>
    <n v="0.60000000000000009"/>
    <x v="0"/>
    <n v="0"/>
    <n v="0"/>
    <n v="0.8982800501721897"/>
    <n v="0"/>
    <n v="6.0000000000000053E-2"/>
  </r>
  <r>
    <x v="883"/>
    <n v="2.7081035827114999"/>
    <n v="3.7199999999999998"/>
    <n v="7"/>
    <n v="0.2"/>
    <n v="4"/>
    <n v="2.2257480821684466"/>
    <n v="0.8"/>
    <x v="1"/>
    <n v="2.782185102710558"/>
    <n v="0.93781489728944178"/>
    <n v="0.93781489728944178"/>
    <n v="3.9534847117252081E-2"/>
    <n v="6.0000000000000053E-2"/>
  </r>
  <r>
    <x v="884"/>
    <n v="2.73044392273518"/>
    <n v="3.69"/>
    <n v="1"/>
    <n v="0.2"/>
    <n v="1"/>
    <n v="0.54608878454703602"/>
    <n v="0.2"/>
    <x v="0"/>
    <n v="0"/>
    <n v="0"/>
    <n v="0.93781489728944178"/>
    <n v="0"/>
    <n v="-2.9999999999999805E-2"/>
  </r>
  <r>
    <x v="885"/>
    <n v="2.7334728347211201"/>
    <n v="3.69"/>
    <n v="2"/>
    <n v="0.2"/>
    <n v="2"/>
    <n v="1.0927833514912599"/>
    <n v="0.4"/>
    <x v="0"/>
    <n v="0"/>
    <n v="0"/>
    <n v="0.93781489728944178"/>
    <n v="0"/>
    <n v="-2.9999999999999805E-2"/>
  </r>
  <r>
    <x v="886"/>
    <n v="2.7352021596982001"/>
    <n v="3.69"/>
    <n v="5"/>
    <n v="0.2"/>
    <n v="3"/>
    <n v="1.6398237834309"/>
    <n v="0.60000000000000009"/>
    <x v="0"/>
    <n v="0"/>
    <n v="0"/>
    <n v="0.93781489728944178"/>
    <n v="0"/>
    <n v="-2.9999999999999805E-2"/>
  </r>
  <r>
    <x v="887"/>
    <n v="2.7729349961757701"/>
    <n v="3.69"/>
    <n v="6"/>
    <n v="0.2"/>
    <n v="4"/>
    <n v="2.1944107826660542"/>
    <n v="0.8"/>
    <x v="0"/>
    <n v="0"/>
    <n v="0"/>
    <n v="0.93781489728944178"/>
    <n v="0"/>
    <n v="-2.9999999999999805E-2"/>
  </r>
  <r>
    <x v="888"/>
    <n v="2.7446763066937101"/>
    <n v="3.69"/>
    <n v="7"/>
    <n v="0.2"/>
    <n v="5"/>
    <n v="2.7433460440047961"/>
    <n v="1"/>
    <x v="1"/>
    <n v="2.7433460440047961"/>
    <n v="0.94665395599520386"/>
    <n v="0.94665395599520386"/>
    <n v="8.8390587057620706E-3"/>
    <n v="-2.9999999999999805E-2"/>
  </r>
  <r>
    <x v="889"/>
    <n v="2.7173642653119501"/>
    <n v="3.6599999999999997"/>
    <n v="1"/>
    <n v="0.2"/>
    <n v="1"/>
    <n v="0.54347285306239002"/>
    <n v="0.2"/>
    <x v="0"/>
    <n v="0"/>
    <n v="0"/>
    <n v="0.94665395599520386"/>
    <n v="0"/>
    <n v="-3.0000000000000249E-2"/>
  </r>
  <r>
    <x v="890"/>
    <n v="2.77127537293183"/>
    <n v="3.6599999999999997"/>
    <n v="2"/>
    <n v="0.2"/>
    <n v="2"/>
    <n v="1.0977279276487559"/>
    <n v="0.4"/>
    <x v="0"/>
    <n v="0"/>
    <n v="0"/>
    <n v="0.94665395599520386"/>
    <n v="0"/>
    <n v="-3.0000000000000249E-2"/>
  </r>
  <r>
    <x v="891"/>
    <n v="2.7558575864349502"/>
    <n v="3.6599999999999997"/>
    <n v="5"/>
    <n v="0.2"/>
    <n v="3"/>
    <n v="1.6488994449357461"/>
    <n v="0.60000000000000009"/>
    <x v="0"/>
    <n v="0"/>
    <n v="0"/>
    <n v="0.94665395599520386"/>
    <n v="0"/>
    <n v="-3.0000000000000249E-2"/>
  </r>
  <r>
    <x v="892"/>
    <n v="2.7239833090670502"/>
    <n v="3.6599999999999997"/>
    <n v="6"/>
    <n v="0.2"/>
    <n v="4"/>
    <n v="2.1936961067491563"/>
    <n v="0.8"/>
    <x v="0"/>
    <n v="0"/>
    <n v="0"/>
    <n v="0.94665395599520386"/>
    <n v="0"/>
    <n v="-3.0000000000000249E-2"/>
  </r>
  <r>
    <x v="893"/>
    <n v="2.7958120452124602"/>
    <n v="3.6599999999999997"/>
    <n v="7"/>
    <n v="0.2"/>
    <n v="5"/>
    <n v="2.7528585157916483"/>
    <n v="1"/>
    <x v="1"/>
    <n v="2.7528585157916483"/>
    <n v="0.90714148420835139"/>
    <n v="0.90714148420835139"/>
    <n v="-3.9512471786852466E-2"/>
    <n v="-3.0000000000000249E-2"/>
  </r>
  <r>
    <x v="894"/>
    <n v="2.8760429870518398"/>
    <n v="3.77"/>
    <n v="1"/>
    <n v="0.2"/>
    <n v="1"/>
    <n v="0.57520859741036801"/>
    <n v="0.2"/>
    <x v="0"/>
    <n v="0"/>
    <n v="0"/>
    <n v="0.90714148420835139"/>
    <n v="0"/>
    <n v="0.11000000000000032"/>
  </r>
  <r>
    <x v="895"/>
    <n v="2.8444181025455899"/>
    <n v="3.77"/>
    <n v="2"/>
    <n v="0.2"/>
    <n v="2"/>
    <n v="1.1440922179194861"/>
    <n v="0.4"/>
    <x v="0"/>
    <n v="0"/>
    <n v="0"/>
    <n v="0.90714148420835139"/>
    <n v="0"/>
    <n v="0.11000000000000032"/>
  </r>
  <r>
    <x v="896"/>
    <n v="2.8650468207927799"/>
    <n v="3.77"/>
    <n v="5"/>
    <n v="0.2"/>
    <n v="3"/>
    <n v="1.7171015820780422"/>
    <n v="0.60000000000000009"/>
    <x v="0"/>
    <n v="0"/>
    <n v="0"/>
    <n v="0.90714148420835139"/>
    <n v="0"/>
    <n v="0.11000000000000032"/>
  </r>
  <r>
    <x v="897"/>
    <n v="2.8982983852453801"/>
    <n v="3.77"/>
    <n v="6"/>
    <n v="0.2"/>
    <n v="4"/>
    <n v="2.296761259127118"/>
    <n v="0.8"/>
    <x v="0"/>
    <n v="0"/>
    <n v="0"/>
    <n v="0.90714148420835139"/>
    <n v="0"/>
    <n v="0.11000000000000032"/>
  </r>
  <r>
    <x v="898"/>
    <n v="2.9340630334667899"/>
    <n v="3.77"/>
    <n v="7"/>
    <n v="0.2"/>
    <n v="5"/>
    <n v="2.8835738658204759"/>
    <n v="1"/>
    <x v="1"/>
    <n v="2.8835738658204759"/>
    <n v="0.88642613417952409"/>
    <n v="0.88642613417952409"/>
    <n v="-2.0715350028827295E-2"/>
    <n v="0.11000000000000032"/>
  </r>
  <r>
    <x v="899"/>
    <n v="2.9388026853832501"/>
    <n v="3.88"/>
    <n v="1"/>
    <n v="0.2"/>
    <n v="1"/>
    <n v="0.58776053707664999"/>
    <n v="0.2"/>
    <x v="0"/>
    <n v="0"/>
    <n v="0"/>
    <n v="0.88642613417952409"/>
    <n v="0"/>
    <n v="0.10999999999999988"/>
  </r>
  <r>
    <x v="900"/>
    <n v="3.0126979954339599"/>
    <n v="3.88"/>
    <n v="2"/>
    <n v="0.2"/>
    <n v="2"/>
    <n v="1.190300136163442"/>
    <n v="0.4"/>
    <x v="0"/>
    <n v="0"/>
    <n v="0"/>
    <n v="0.88642613417952409"/>
    <n v="0"/>
    <n v="0.10999999999999988"/>
  </r>
  <r>
    <x v="901"/>
    <n v="3.0394713990433302"/>
    <n v="3.88"/>
    <n v="5"/>
    <n v="0.2"/>
    <n v="3"/>
    <n v="1.7981944159721079"/>
    <n v="0.60000000000000009"/>
    <x v="0"/>
    <n v="0"/>
    <n v="0"/>
    <n v="0.88642613417952409"/>
    <n v="0"/>
    <n v="0.10999999999999988"/>
  </r>
  <r>
    <x v="902"/>
    <n v="3.0240881034818901"/>
    <n v="3.88"/>
    <n v="6"/>
    <n v="0.2"/>
    <n v="4"/>
    <n v="2.403012036668486"/>
    <n v="0.8"/>
    <x v="1"/>
    <n v="3.0037650458356073"/>
    <n v="0.87623495416439257"/>
    <n v="0.87623495416439257"/>
    <n v="-1.0191180015131529E-2"/>
    <n v="0.10999999999999988"/>
  </r>
  <r>
    <x v="903"/>
    <n v="3.0415503408748101"/>
    <n v="3.87"/>
    <n v="1"/>
    <n v="0.2"/>
    <n v="1"/>
    <n v="0.60831006817496203"/>
    <n v="0.2"/>
    <x v="0"/>
    <n v="0"/>
    <n v="0"/>
    <n v="0.87623495416439257"/>
    <n v="0"/>
    <n v="-9.9999999999997868E-3"/>
  </r>
  <r>
    <x v="904"/>
    <n v="3.0032203766891601"/>
    <n v="3.87"/>
    <n v="2"/>
    <n v="0.2"/>
    <n v="2"/>
    <n v="1.208954143512794"/>
    <n v="0.4"/>
    <x v="0"/>
    <n v="0"/>
    <n v="0"/>
    <n v="0.87623495416439257"/>
    <n v="0"/>
    <n v="-9.9999999999997868E-3"/>
  </r>
  <r>
    <x v="905"/>
    <n v="2.9962349476624799"/>
    <n v="3.87"/>
    <n v="5"/>
    <n v="0.2"/>
    <n v="3"/>
    <n v="1.8082011330452898"/>
    <n v="0.60000000000000009"/>
    <x v="0"/>
    <n v="0"/>
    <n v="0"/>
    <n v="0.87623495416439257"/>
    <n v="0"/>
    <n v="-9.9999999999997868E-3"/>
  </r>
  <r>
    <x v="906"/>
    <n v="2.9829487992520902"/>
    <n v="3.87"/>
    <n v="6"/>
    <n v="0.2"/>
    <n v="4"/>
    <n v="2.4047908928957078"/>
    <n v="0.8"/>
    <x v="0"/>
    <n v="0"/>
    <n v="0"/>
    <n v="0.87623495416439257"/>
    <n v="0"/>
    <n v="-9.9999999999997868E-3"/>
  </r>
  <r>
    <x v="907"/>
    <n v="2.97922271147955"/>
    <n v="3.87"/>
    <n v="7"/>
    <n v="0.2"/>
    <n v="5"/>
    <n v="3.0006354351916178"/>
    <n v="1"/>
    <x v="1"/>
    <n v="3.0006354351916178"/>
    <n v="0.86936456480838231"/>
    <n v="0.86936456480838231"/>
    <n v="-6.8703893560102536E-3"/>
    <n v="-9.9999999999997868E-3"/>
  </r>
  <r>
    <x v="908"/>
    <n v="2.9567440380932299"/>
    <n v="3.875"/>
    <n v="1"/>
    <n v="0.2"/>
    <n v="1"/>
    <n v="0.59134880761864606"/>
    <n v="0.2"/>
    <x v="0"/>
    <n v="0"/>
    <n v="0"/>
    <n v="0.86936456480838231"/>
    <n v="0"/>
    <n v="4.9999999999998934E-3"/>
  </r>
  <r>
    <x v="909"/>
    <n v="2.9778815410804498"/>
    <n v="3.875"/>
    <n v="2"/>
    <n v="0.2"/>
    <n v="2"/>
    <n v="1.186925115834736"/>
    <n v="0.4"/>
    <x v="0"/>
    <n v="0"/>
    <n v="0"/>
    <n v="0.86936456480838231"/>
    <n v="0"/>
    <n v="4.9999999999998934E-3"/>
  </r>
  <r>
    <x v="910"/>
    <n v="2.9783756626827098"/>
    <n v="3.875"/>
    <n v="5"/>
    <n v="0.2"/>
    <n v="3"/>
    <n v="1.7826002483712782"/>
    <n v="0.60000000000000009"/>
    <x v="0"/>
    <n v="0"/>
    <n v="0"/>
    <n v="0.86936456480838231"/>
    <n v="0"/>
    <n v="4.9999999999998934E-3"/>
  </r>
  <r>
    <x v="911"/>
    <n v="2.9726150604600501"/>
    <n v="3.875"/>
    <n v="6"/>
    <n v="0.2"/>
    <n v="4"/>
    <n v="2.3771232604632884"/>
    <n v="0.8"/>
    <x v="0"/>
    <n v="0"/>
    <n v="0"/>
    <n v="0.86936456480838231"/>
    <n v="0"/>
    <n v="4.9999999999998934E-3"/>
  </r>
  <r>
    <x v="912"/>
    <n v="2.9699990408330801"/>
    <n v="3.875"/>
    <n v="7"/>
    <n v="0.2"/>
    <n v="5"/>
    <n v="2.9711230686299044"/>
    <n v="1"/>
    <x v="1"/>
    <n v="2.9711230686299044"/>
    <n v="0.90387693137009562"/>
    <n v="0.90387693137009562"/>
    <n v="3.4512366561713304E-2"/>
    <n v="4.9999999999998934E-3"/>
  </r>
  <r>
    <x v="913"/>
    <n v="2.9627998266716902"/>
    <n v="3.83"/>
    <n v="2"/>
    <n v="0.2"/>
    <n v="1"/>
    <n v="0.59255996533433808"/>
    <n v="0.2"/>
    <x v="0"/>
    <n v="0"/>
    <n v="0"/>
    <n v="0.90387693137009562"/>
    <n v="0"/>
    <n v="-4.4999999999999929E-2"/>
  </r>
  <r>
    <x v="914"/>
    <n v="2.9474672658602201"/>
    <n v="3.83"/>
    <n v="5"/>
    <n v="0.2"/>
    <n v="2"/>
    <n v="1.1820534185063822"/>
    <n v="0.4"/>
    <x v="0"/>
    <n v="0"/>
    <n v="0"/>
    <n v="0.90387693137009562"/>
    <n v="0"/>
    <n v="-4.4999999999999929E-2"/>
  </r>
  <r>
    <x v="915"/>
    <n v="2.8947298491443201"/>
    <n v="3.83"/>
    <n v="6"/>
    <n v="0.2"/>
    <n v="3"/>
    <n v="1.7609993883352462"/>
    <n v="0.60000000000000009"/>
    <x v="0"/>
    <n v="0"/>
    <n v="0"/>
    <n v="0.90387693137009562"/>
    <n v="0"/>
    <n v="-4.4999999999999929E-2"/>
  </r>
  <r>
    <x v="916"/>
    <n v="2.9165593470462001"/>
    <n v="3.83"/>
    <n v="7"/>
    <n v="0.2"/>
    <n v="4"/>
    <n v="2.3443112577444865"/>
    <n v="0.8"/>
    <x v="1"/>
    <n v="2.9303890721806081"/>
    <n v="0.899610927819392"/>
    <n v="0.899610927819392"/>
    <n v="-4.266003550703612E-3"/>
    <n v="-4.4999999999999929E-2"/>
  </r>
  <r>
    <x v="917"/>
    <n v="3.0544306669029599"/>
    <n v="3.85"/>
    <n v="1"/>
    <n v="0.2"/>
    <n v="1"/>
    <n v="0.61088613338059206"/>
    <n v="0.2"/>
    <x v="0"/>
    <n v="0"/>
    <n v="0"/>
    <n v="0.899610927819392"/>
    <n v="0"/>
    <n v="2.0000000000000018E-2"/>
  </r>
  <r>
    <x v="918"/>
    <n v="2.9966381834712199"/>
    <n v="3.85"/>
    <n v="2"/>
    <n v="0.2"/>
    <n v="2"/>
    <n v="1.2102137700748361"/>
    <n v="0.4"/>
    <x v="0"/>
    <n v="0"/>
    <n v="0"/>
    <n v="0.899610927819392"/>
    <n v="0"/>
    <n v="2.0000000000000018E-2"/>
  </r>
  <r>
    <x v="919"/>
    <n v="2.9498986890501602"/>
    <n v="3.85"/>
    <n v="5"/>
    <n v="0.2"/>
    <n v="3"/>
    <n v="1.8001935078848681"/>
    <n v="0.60000000000000009"/>
    <x v="0"/>
    <n v="0"/>
    <n v="0"/>
    <n v="0.899610927819392"/>
    <n v="0"/>
    <n v="2.0000000000000018E-2"/>
  </r>
  <r>
    <x v="920"/>
    <n v="2.97492729888162"/>
    <n v="3.85"/>
    <n v="6"/>
    <n v="0.2"/>
    <n v="4"/>
    <n v="2.3951789676611921"/>
    <n v="0.8"/>
    <x v="0"/>
    <n v="0"/>
    <n v="0"/>
    <n v="0.899610927819392"/>
    <n v="0"/>
    <n v="2.0000000000000018E-2"/>
  </r>
  <r>
    <x v="921"/>
    <n v="2.9584562580557998"/>
    <n v="3.85"/>
    <n v="7"/>
    <n v="0.2"/>
    <n v="5"/>
    <n v="2.986870219272352"/>
    <n v="1"/>
    <x v="1"/>
    <n v="2.986870219272352"/>
    <n v="0.86312978072764812"/>
    <n v="0.86312978072764812"/>
    <n v="-3.6481147091743882E-2"/>
    <n v="2.0000000000000018E-2"/>
  </r>
  <r>
    <x v="922"/>
    <n v="2.9975278287112799"/>
    <n v="3.87"/>
    <n v="1"/>
    <n v="0.2"/>
    <n v="1"/>
    <n v="0.599505565742256"/>
    <n v="0.2"/>
    <x v="0"/>
    <n v="0"/>
    <n v="0"/>
    <n v="0.86312978072764812"/>
    <n v="0"/>
    <n v="2.0000000000000018E-2"/>
  </r>
  <r>
    <x v="923"/>
    <n v="2.93038775773327"/>
    <n v="3.87"/>
    <n v="2"/>
    <n v="0.2"/>
    <n v="2"/>
    <n v="1.18558311728891"/>
    <n v="0.4"/>
    <x v="0"/>
    <n v="0"/>
    <n v="0"/>
    <n v="0.86312978072764812"/>
    <n v="0"/>
    <n v="2.0000000000000018E-2"/>
  </r>
  <r>
    <x v="924"/>
    <n v="2.9956917661864102"/>
    <n v="3.87"/>
    <n v="5"/>
    <n v="0.2"/>
    <n v="3"/>
    <n v="1.784721470526192"/>
    <n v="0.60000000000000009"/>
    <x v="0"/>
    <n v="0"/>
    <n v="0"/>
    <n v="0.86312978072764812"/>
    <n v="0"/>
    <n v="2.0000000000000018E-2"/>
  </r>
  <r>
    <x v="925"/>
    <n v="3.0277544715368299"/>
    <n v="3.87"/>
    <n v="6"/>
    <n v="0.2"/>
    <n v="4"/>
    <n v="2.390272364833558"/>
    <n v="0.8"/>
    <x v="0"/>
    <n v="0"/>
    <n v="0"/>
    <n v="0.86312978072764812"/>
    <n v="0"/>
    <n v="2.0000000000000018E-2"/>
  </r>
  <r>
    <x v="926"/>
    <n v="3.0337070171743399"/>
    <n v="3.87"/>
    <n v="7"/>
    <n v="0.2"/>
    <n v="5"/>
    <n v="2.9970137682684261"/>
    <n v="1"/>
    <x v="1"/>
    <n v="2.9970137682684261"/>
    <n v="0.87298623173157397"/>
    <n v="0.87298623173157397"/>
    <n v="9.8564510039258479E-3"/>
    <n v="2.0000000000000018E-2"/>
  </r>
  <r>
    <x v="927"/>
    <n v="2.9938542795846499"/>
    <n v="3.86"/>
    <n v="1"/>
    <n v="0.2"/>
    <n v="1"/>
    <n v="0.59877085591693002"/>
    <n v="0.2"/>
    <x v="0"/>
    <n v="0"/>
    <n v="0"/>
    <n v="0.87298623173157397"/>
    <n v="0"/>
    <n v="-1.0000000000000231E-2"/>
  </r>
  <r>
    <x v="928"/>
    <n v="2.9654454819851401"/>
    <n v="3.86"/>
    <n v="2"/>
    <n v="0.2"/>
    <n v="2"/>
    <n v="1.1918599523139579"/>
    <n v="0.4"/>
    <x v="0"/>
    <n v="0"/>
    <n v="0"/>
    <n v="0.87298623173157397"/>
    <n v="0"/>
    <n v="-1.0000000000000231E-2"/>
  </r>
  <r>
    <x v="929"/>
    <n v="2.9731174036640602"/>
    <n v="3.86"/>
    <n v="5"/>
    <n v="0.2"/>
    <n v="3"/>
    <n v="1.78648343304677"/>
    <n v="0.60000000000000009"/>
    <x v="0"/>
    <n v="0"/>
    <n v="0"/>
    <n v="0.87298623173157397"/>
    <n v="0"/>
    <n v="-1.0000000000000231E-2"/>
  </r>
  <r>
    <x v="930"/>
    <n v="3.0177597197552002"/>
    <n v="3.86"/>
    <n v="6"/>
    <n v="0.2"/>
    <n v="4"/>
    <n v="2.39003537699781"/>
    <n v="0.8"/>
    <x v="0"/>
    <n v="0"/>
    <n v="0"/>
    <n v="0.87298623173157397"/>
    <n v="0"/>
    <n v="-1.0000000000000231E-2"/>
  </r>
  <r>
    <x v="931"/>
    <n v="3.0426080275796101"/>
    <n v="3.86"/>
    <n v="7"/>
    <n v="0.2"/>
    <n v="5"/>
    <n v="2.9985569825137319"/>
    <n v="1"/>
    <x v="1"/>
    <n v="2.9985569825137319"/>
    <n v="0.86144301748626795"/>
    <n v="0.86144301748626795"/>
    <n v="-1.1543214245306022E-2"/>
    <n v="-1.0000000000000231E-2"/>
  </r>
  <r>
    <x v="932"/>
    <n v="3.0275766664066102"/>
    <n v="3.9099999999999997"/>
    <n v="1"/>
    <n v="0.2"/>
    <n v="1"/>
    <n v="0.60551533328132212"/>
    <n v="0.2"/>
    <x v="0"/>
    <n v="0"/>
    <n v="0"/>
    <n v="0.86144301748626795"/>
    <n v="0"/>
    <n v="4.9999999999999822E-2"/>
  </r>
  <r>
    <x v="933"/>
    <n v="3.0029644484734299"/>
    <n v="3.9099999999999997"/>
    <n v="5"/>
    <n v="0.2"/>
    <n v="2"/>
    <n v="1.2061082229760083"/>
    <n v="0.4"/>
    <x v="0"/>
    <n v="0"/>
    <n v="0"/>
    <n v="0.86144301748626795"/>
    <n v="0"/>
    <n v="4.9999999999999822E-2"/>
  </r>
  <r>
    <x v="934"/>
    <n v="3.05738829293283"/>
    <n v="3.9099999999999997"/>
    <n v="6"/>
    <n v="0.2"/>
    <n v="3"/>
    <n v="1.8175858815625743"/>
    <n v="0.60000000000000009"/>
    <x v="0"/>
    <n v="0"/>
    <n v="0"/>
    <n v="0.86144301748626795"/>
    <n v="0"/>
    <n v="4.9999999999999822E-2"/>
  </r>
  <r>
    <x v="935"/>
    <n v="3.0484600868524701"/>
    <n v="3.9099999999999997"/>
    <n v="7"/>
    <n v="0.2"/>
    <n v="4"/>
    <n v="2.4272778989330686"/>
    <n v="0.8"/>
    <x v="1"/>
    <n v="3.0340973736663357"/>
    <n v="0.875902626333664"/>
    <n v="0.875902626333664"/>
    <n v="1.4459608847396055E-2"/>
    <n v="4.9999999999999822E-2"/>
  </r>
  <r>
    <x v="936"/>
    <n v="3.0053894082817201"/>
    <n v="3.87"/>
    <n v="1"/>
    <n v="0.2"/>
    <n v="1"/>
    <n v="0.60107788165634402"/>
    <n v="0.2"/>
    <x v="0"/>
    <n v="0"/>
    <n v="0"/>
    <n v="0.875902626333664"/>
    <n v="0"/>
    <n v="-3.9999999999999591E-2"/>
  </r>
  <r>
    <x v="937"/>
    <n v="2.993452685197"/>
    <n v="3.87"/>
    <n v="5"/>
    <n v="0.2"/>
    <n v="2"/>
    <n v="1.199768418695744"/>
    <n v="0.4"/>
    <x v="0"/>
    <n v="0"/>
    <n v="0"/>
    <n v="0.875902626333664"/>
    <n v="0"/>
    <n v="-3.9999999999999591E-2"/>
  </r>
  <r>
    <x v="938"/>
    <n v="2.99513727920968"/>
    <n v="3.87"/>
    <n v="6"/>
    <n v="0.2"/>
    <n v="3"/>
    <n v="1.7987958745376802"/>
    <n v="0.60000000000000009"/>
    <x v="0"/>
    <n v="0"/>
    <n v="0"/>
    <n v="0.875902626333664"/>
    <n v="0"/>
    <n v="-3.9999999999999591E-2"/>
  </r>
  <r>
    <x v="939"/>
    <n v="2.9334005201837599"/>
    <n v="3.87"/>
    <n v="7"/>
    <n v="0.2"/>
    <n v="4"/>
    <n v="2.3854759785744322"/>
    <n v="0.8"/>
    <x v="1"/>
    <n v="2.9818449732180401"/>
    <n v="0.88815502678196001"/>
    <n v="0.88815502678196001"/>
    <n v="1.2252400448296008E-2"/>
    <n v="-3.9999999999999591E-2"/>
  </r>
  <r>
    <x v="940"/>
    <n v="2.9119506998989602"/>
    <n v="3.82"/>
    <n v="1"/>
    <n v="0.2"/>
    <n v="1"/>
    <n v="0.58239013997979205"/>
    <n v="0.2"/>
    <x v="0"/>
    <n v="0"/>
    <n v="0"/>
    <n v="0.88815502678196001"/>
    <n v="0"/>
    <n v="-5.0000000000000266E-2"/>
  </r>
  <r>
    <x v="941"/>
    <n v="2.88545680781831"/>
    <n v="3.82"/>
    <n v="2"/>
    <n v="0.2"/>
    <n v="2"/>
    <n v="1.1594815015434541"/>
    <n v="0.4"/>
    <x v="0"/>
    <n v="0"/>
    <n v="0"/>
    <n v="0.88815502678196001"/>
    <n v="0"/>
    <n v="-5.0000000000000266E-2"/>
  </r>
  <r>
    <x v="942"/>
    <n v="2.8978342309890999"/>
    <n v="3.82"/>
    <n v="5"/>
    <n v="0.2"/>
    <n v="3"/>
    <n v="1.7390483477412739"/>
    <n v="0.60000000000000009"/>
    <x v="0"/>
    <n v="0"/>
    <n v="0"/>
    <n v="0.88815502678196001"/>
    <n v="0"/>
    <n v="-5.0000000000000266E-2"/>
  </r>
  <r>
    <x v="943"/>
    <n v="2.8424738889513801"/>
    <n v="3.82"/>
    <n v="6"/>
    <n v="0.2"/>
    <n v="4"/>
    <n v="2.3075431255315499"/>
    <n v="0.8"/>
    <x v="0"/>
    <n v="0"/>
    <n v="0"/>
    <n v="0.88815502678196001"/>
    <n v="0"/>
    <n v="-5.0000000000000266E-2"/>
  </r>
  <r>
    <x v="944"/>
    <n v="2.8127941632470699"/>
    <n v="3.82"/>
    <n v="7"/>
    <n v="0.2"/>
    <n v="5"/>
    <n v="2.8701019581809639"/>
    <n v="1"/>
    <x v="1"/>
    <n v="2.8701019581809639"/>
    <n v="0.94989804181903592"/>
    <n v="0.94989804181903592"/>
    <n v="6.174301503707591E-2"/>
    <n v="-5.0000000000000266E-2"/>
  </r>
  <r>
    <x v="945"/>
    <n v="2.82567876803239"/>
    <n v="3.71"/>
    <n v="1"/>
    <n v="0.2"/>
    <n v="1"/>
    <n v="0.56513575360647805"/>
    <n v="0.2"/>
    <x v="0"/>
    <n v="0"/>
    <n v="0"/>
    <n v="0.94989804181903592"/>
    <n v="0"/>
    <n v="-0.10999999999999988"/>
  </r>
  <r>
    <x v="946"/>
    <n v="2.78255799649583"/>
    <n v="3.71"/>
    <n v="2"/>
    <n v="0.2"/>
    <n v="2"/>
    <n v="1.1216473529056441"/>
    <n v="0.4"/>
    <x v="0"/>
    <n v="0"/>
    <n v="0"/>
    <n v="0.94989804181903592"/>
    <n v="0"/>
    <n v="-0.10999999999999988"/>
  </r>
  <r>
    <x v="947"/>
    <n v="2.78837847860318"/>
    <n v="3.71"/>
    <n v="6"/>
    <n v="0.2"/>
    <n v="3"/>
    <n v="1.67932304862628"/>
    <n v="0.60000000000000009"/>
    <x v="0"/>
    <n v="0"/>
    <n v="0"/>
    <n v="0.94989804181903592"/>
    <n v="0"/>
    <n v="-0.10999999999999988"/>
  </r>
  <r>
    <x v="948"/>
    <n v="2.7399955828051801"/>
    <n v="3.71"/>
    <n v="7"/>
    <n v="0.2"/>
    <n v="4"/>
    <n v="2.2273221651873163"/>
    <n v="0.8"/>
    <x v="1"/>
    <n v="2.7841527064841451"/>
    <n v="0.92584729351585482"/>
    <n v="0.92584729351585482"/>
    <n v="-2.4050748303181102E-2"/>
    <n v="-0.10999999999999988"/>
  </r>
  <r>
    <x v="949"/>
    <n v="2.7634717888750999"/>
    <n v="3.69"/>
    <n v="1"/>
    <n v="0.2"/>
    <n v="1"/>
    <n v="0.55269435777501996"/>
    <n v="0.2"/>
    <x v="0"/>
    <n v="0"/>
    <n v="0"/>
    <n v="0.92584729351585482"/>
    <n v="0"/>
    <n v="-2.0000000000000018E-2"/>
  </r>
  <r>
    <x v="950"/>
    <n v="2.7884908118762199"/>
    <n v="3.69"/>
    <n v="2"/>
    <n v="0.2"/>
    <n v="2"/>
    <n v="1.110392520150264"/>
    <n v="0.4"/>
    <x v="0"/>
    <n v="0"/>
    <n v="0"/>
    <n v="0.92584729351585482"/>
    <n v="0"/>
    <n v="-2.0000000000000018E-2"/>
  </r>
  <r>
    <x v="951"/>
    <n v="2.7702129413051901"/>
    <n v="3.69"/>
    <n v="5"/>
    <n v="0.2"/>
    <n v="3"/>
    <n v="1.664435108411302"/>
    <n v="0.60000000000000009"/>
    <x v="0"/>
    <n v="0"/>
    <n v="0"/>
    <n v="0.92584729351585482"/>
    <n v="0"/>
    <n v="-2.0000000000000018E-2"/>
  </r>
  <r>
    <x v="952"/>
    <n v="2.7316832790579499"/>
    <n v="3.69"/>
    <n v="6"/>
    <n v="0.2"/>
    <n v="4"/>
    <n v="2.2107717642228919"/>
    <n v="0.8"/>
    <x v="0"/>
    <n v="0"/>
    <n v="0"/>
    <n v="0.92584729351585482"/>
    <n v="0"/>
    <n v="-2.0000000000000018E-2"/>
  </r>
  <r>
    <x v="953"/>
    <n v="2.73574020589367"/>
    <n v="3.69"/>
    <n v="7"/>
    <n v="0.2"/>
    <n v="5"/>
    <n v="2.7579198054016261"/>
    <n v="1"/>
    <x v="1"/>
    <n v="2.7579198054016261"/>
    <n v="0.93208019459837388"/>
    <n v="0.93208019459837388"/>
    <n v="6.2329010825190601E-3"/>
    <n v="-2.0000000000000018E-2"/>
  </r>
  <r>
    <x v="954"/>
    <n v="2.70685241961761"/>
    <n v="3.62"/>
    <n v="1"/>
    <n v="0.2"/>
    <n v="1"/>
    <n v="0.54137048392352205"/>
    <n v="0.2"/>
    <x v="0"/>
    <n v="0"/>
    <n v="0"/>
    <n v="0.93208019459837388"/>
    <n v="0"/>
    <n v="-6.999999999999984E-2"/>
  </r>
  <r>
    <x v="955"/>
    <n v="2.6475345232254401"/>
    <n v="3.62"/>
    <n v="2"/>
    <n v="0.2"/>
    <n v="2"/>
    <n v="1.07087738856861"/>
    <n v="0.4"/>
    <x v="0"/>
    <n v="0"/>
    <n v="0"/>
    <n v="0.93208019459837388"/>
    <n v="0"/>
    <n v="-6.999999999999984E-2"/>
  </r>
  <r>
    <x v="956"/>
    <n v="2.7082747576934199"/>
    <n v="3.62"/>
    <n v="5"/>
    <n v="0.2"/>
    <n v="3"/>
    <n v="1.6125323401072942"/>
    <n v="0.60000000000000009"/>
    <x v="0"/>
    <n v="0"/>
    <n v="0"/>
    <n v="0.93208019459837388"/>
    <n v="0"/>
    <n v="-6.999999999999984E-2"/>
  </r>
  <r>
    <x v="957"/>
    <n v="2.6172888132357301"/>
    <n v="3.62"/>
    <n v="6"/>
    <n v="0.2"/>
    <n v="4"/>
    <n v="2.1359901027544401"/>
    <n v="0.8"/>
    <x v="0"/>
    <n v="0"/>
    <n v="0"/>
    <n v="0.93208019459837388"/>
    <n v="0"/>
    <n v="-6.999999999999984E-2"/>
  </r>
  <r>
    <x v="958"/>
    <n v="2.6150928157028002"/>
    <n v="3.62"/>
    <n v="7"/>
    <n v="0.2"/>
    <n v="5"/>
    <n v="2.6590086658950001"/>
    <n v="1"/>
    <x v="1"/>
    <n v="2.6590086658950001"/>
    <n v="0.96099133410500004"/>
    <n v="0.96099133410500004"/>
    <n v="2.891113950662616E-2"/>
    <n v="-6.999999999999984E-2"/>
  </r>
  <r>
    <x v="959"/>
    <n v="2.6195226711190198"/>
    <n v="3.5249999999999999"/>
    <n v="1"/>
    <n v="0.2"/>
    <n v="1"/>
    <n v="0.52390453422380401"/>
    <n v="0.2"/>
    <x v="0"/>
    <n v="0"/>
    <n v="0"/>
    <n v="0.96099133410500004"/>
    <n v="0"/>
    <n v="-9.5000000000000195E-2"/>
  </r>
  <r>
    <x v="960"/>
    <n v="2.6103236546711099"/>
    <n v="3.5249999999999999"/>
    <n v="2"/>
    <n v="0.2"/>
    <n v="2"/>
    <n v="1.0459692651580261"/>
    <n v="0.4"/>
    <x v="0"/>
    <n v="0"/>
    <n v="0"/>
    <n v="0.96099133410500004"/>
    <n v="0"/>
    <n v="-9.5000000000000195E-2"/>
  </r>
  <r>
    <x v="961"/>
    <n v="2.5303433230650998"/>
    <n v="3.5249999999999999"/>
    <n v="5"/>
    <n v="0.2"/>
    <n v="3"/>
    <n v="1.5520379297710463"/>
    <n v="0.60000000000000009"/>
    <x v="0"/>
    <n v="0"/>
    <n v="0"/>
    <n v="0.96099133410500004"/>
    <n v="0"/>
    <n v="-9.5000000000000195E-2"/>
  </r>
  <r>
    <x v="962"/>
    <n v="2.5047286028973201"/>
    <n v="3.5249999999999999"/>
    <n v="6"/>
    <n v="0.2"/>
    <n v="4"/>
    <n v="2.0529836503505106"/>
    <n v="0.8"/>
    <x v="0"/>
    <n v="0"/>
    <n v="0"/>
    <n v="0.96099133410500004"/>
    <n v="0"/>
    <n v="-9.5000000000000195E-2"/>
  </r>
  <r>
    <x v="963"/>
    <n v="2.4821302759437298"/>
    <n v="3.5249999999999999"/>
    <n v="7"/>
    <n v="0.2"/>
    <n v="5"/>
    <n v="2.5494097055392566"/>
    <n v="1"/>
    <x v="1"/>
    <n v="2.5494097055392566"/>
    <n v="0.9755902944607433"/>
    <n v="0.9755902944607433"/>
    <n v="1.4598960355743262E-2"/>
    <n v="-9.5000000000000195E-2"/>
  </r>
  <r>
    <x v="964"/>
    <n v="2.42881647726065"/>
    <n v="3.5249999999999999"/>
    <n v="1"/>
    <n v="0.2"/>
    <n v="1"/>
    <n v="0.48576329545213004"/>
    <n v="0.2"/>
    <x v="0"/>
    <n v="0"/>
    <n v="0"/>
    <n v="0.9755902944607433"/>
    <n v="0"/>
    <n v="0"/>
  </r>
  <r>
    <x v="965"/>
    <n v="2.5557387123841"/>
    <n v="3.5249999999999999"/>
    <n v="2"/>
    <n v="0.2"/>
    <n v="2"/>
    <n v="0.99691103792895008"/>
    <n v="0.4"/>
    <x v="0"/>
    <n v="0"/>
    <n v="0"/>
    <n v="0.9755902944607433"/>
    <n v="0"/>
    <n v="0"/>
  </r>
  <r>
    <x v="966"/>
    <n v="2.5621450125099101"/>
    <n v="3.5249999999999999"/>
    <n v="6"/>
    <n v="0.2"/>
    <n v="3"/>
    <n v="1.5093400404309323"/>
    <n v="0.60000000000000009"/>
    <x v="0"/>
    <n v="0"/>
    <n v="0"/>
    <n v="0.9755902944607433"/>
    <n v="0"/>
    <n v="0"/>
  </r>
  <r>
    <x v="967"/>
    <n v="2.60333938625172"/>
    <n v="3.5249999999999999"/>
    <n v="7"/>
    <n v="0.2"/>
    <n v="4"/>
    <n v="2.0300079176812762"/>
    <n v="0.8"/>
    <x v="1"/>
    <n v="2.5375098971015952"/>
    <n v="0.98749010289840466"/>
    <n v="0.98749010289840466"/>
    <n v="1.1899808437661363E-2"/>
    <n v="0"/>
  </r>
  <r>
    <x v="968"/>
    <n v="2.5443053522825401"/>
    <n v="3.52"/>
    <n v="1"/>
    <n v="0.2"/>
    <n v="1"/>
    <n v="0.50886107045650808"/>
    <n v="0.2"/>
    <x v="0"/>
    <n v="0"/>
    <n v="0"/>
    <n v="0.98749010289840466"/>
    <n v="0"/>
    <n v="-4.9999999999998934E-3"/>
  </r>
  <r>
    <x v="969"/>
    <n v="2.5449659922268899"/>
    <n v="3.52"/>
    <n v="2"/>
    <n v="0.2"/>
    <n v="2"/>
    <n v="1.0178542689018861"/>
    <n v="0.4"/>
    <x v="0"/>
    <n v="0"/>
    <n v="0"/>
    <n v="0.98749010289840466"/>
    <n v="0"/>
    <n v="-4.9999999999998934E-3"/>
  </r>
  <r>
    <x v="970"/>
    <n v="2.5540295471269099"/>
    <n v="3.52"/>
    <n v="5"/>
    <n v="0.2"/>
    <n v="3"/>
    <n v="1.528660178327268"/>
    <n v="0.60000000000000009"/>
    <x v="0"/>
    <n v="0"/>
    <n v="0"/>
    <n v="0.98749010289840466"/>
    <n v="0"/>
    <n v="-4.9999999999998934E-3"/>
  </r>
  <r>
    <x v="971"/>
    <n v="2.5356667445590699"/>
    <n v="3.52"/>
    <n v="6"/>
    <n v="0.2"/>
    <n v="4"/>
    <n v="2.0357935272390821"/>
    <n v="0.8"/>
    <x v="0"/>
    <n v="0"/>
    <n v="0"/>
    <n v="0.98749010289840466"/>
    <n v="0"/>
    <n v="-4.9999999999998934E-3"/>
  </r>
  <r>
    <x v="972"/>
    <n v="2.5165312715175401"/>
    <n v="3.52"/>
    <n v="7"/>
    <n v="0.2"/>
    <n v="5"/>
    <n v="2.53909978154259"/>
    <n v="1"/>
    <x v="1"/>
    <n v="2.53909978154259"/>
    <n v="0.98090021845741004"/>
    <n v="0.98090021845741004"/>
    <n v="-6.58988444099462E-3"/>
    <n v="-4.9999999999998934E-3"/>
  </r>
  <r>
    <x v="973"/>
    <n v="2.4936082120119001"/>
    <n v="3.5150000000000001"/>
    <n v="1"/>
    <n v="0.2"/>
    <n v="1"/>
    <n v="0.49872164240238004"/>
    <n v="0.2"/>
    <x v="0"/>
    <n v="0"/>
    <n v="0"/>
    <n v="0.98090021845741004"/>
    <n v="0"/>
    <n v="-4.9999999999998934E-3"/>
  </r>
  <r>
    <x v="974"/>
    <n v="2.5559111404476602"/>
    <n v="3.5150000000000001"/>
    <n v="2"/>
    <n v="0.2"/>
    <n v="2"/>
    <n v="1.0099038704919121"/>
    <n v="0.4"/>
    <x v="0"/>
    <n v="0"/>
    <n v="0"/>
    <n v="0.98090021845741004"/>
    <n v="0"/>
    <n v="-4.9999999999998934E-3"/>
  </r>
  <r>
    <x v="975"/>
    <n v="2.52735457322752"/>
    <n v="3.5150000000000001"/>
    <n v="5"/>
    <n v="0.2"/>
    <n v="3"/>
    <n v="1.515374785137416"/>
    <n v="0.60000000000000009"/>
    <x v="0"/>
    <n v="0"/>
    <n v="0"/>
    <n v="0.98090021845741004"/>
    <n v="0"/>
    <n v="-4.9999999999998934E-3"/>
  </r>
  <r>
    <x v="976"/>
    <n v="2.6160113869012802"/>
    <n v="3.5150000000000001"/>
    <n v="6"/>
    <n v="0.2"/>
    <n v="4"/>
    <n v="2.038577062517672"/>
    <n v="0.8"/>
    <x v="0"/>
    <n v="0"/>
    <n v="0"/>
    <n v="0.98090021845741004"/>
    <n v="0"/>
    <n v="-4.9999999999998934E-3"/>
  </r>
  <r>
    <x v="977"/>
    <n v="2.6371866759210301"/>
    <n v="3.5150000000000001"/>
    <n v="7"/>
    <n v="0.2"/>
    <n v="5"/>
    <n v="2.5660143977018781"/>
    <n v="1"/>
    <x v="1"/>
    <n v="2.5660143977018781"/>
    <n v="0.94898560229812201"/>
    <n v="0.94898560229812201"/>
    <n v="-3.1914616159288034E-2"/>
    <n v="-4.9999999999998934E-3"/>
  </r>
  <r>
    <x v="978"/>
    <n v="2.6040316185117298"/>
    <n v="3.5550000000000002"/>
    <n v="1"/>
    <n v="0.2"/>
    <n v="1"/>
    <n v="0.52080632370234603"/>
    <n v="0.2"/>
    <x v="0"/>
    <n v="0"/>
    <n v="0"/>
    <n v="0.94898560229812201"/>
    <n v="0"/>
    <n v="4.0000000000000036E-2"/>
  </r>
  <r>
    <x v="979"/>
    <n v="2.6456437130167698"/>
    <n v="3.5550000000000002"/>
    <n v="2"/>
    <n v="0.2"/>
    <n v="2"/>
    <n v="1.0499350663057001"/>
    <n v="0.4"/>
    <x v="0"/>
    <n v="0"/>
    <n v="0"/>
    <n v="0.94898560229812201"/>
    <n v="0"/>
    <n v="4.0000000000000036E-2"/>
  </r>
  <r>
    <x v="980"/>
    <n v="2.6797159507930601"/>
    <n v="3.5550000000000002"/>
    <n v="5"/>
    <n v="0.2"/>
    <n v="3"/>
    <n v="1.5858782564643121"/>
    <n v="0.60000000000000009"/>
    <x v="0"/>
    <n v="0"/>
    <n v="0"/>
    <n v="0.94898560229812201"/>
    <n v="0"/>
    <n v="4.0000000000000036E-2"/>
  </r>
  <r>
    <x v="981"/>
    <n v="2.6318246797468499"/>
    <n v="3.5550000000000002"/>
    <n v="6"/>
    <n v="0.2"/>
    <n v="4"/>
    <n v="2.1122431924136822"/>
    <n v="0.8"/>
    <x v="0"/>
    <n v="0"/>
    <n v="0"/>
    <n v="0.94898560229812201"/>
    <n v="0"/>
    <n v="4.0000000000000036E-2"/>
  </r>
  <r>
    <x v="982"/>
    <n v="2.6993160821671598"/>
    <n v="3.5550000000000002"/>
    <n v="7"/>
    <n v="0.2"/>
    <n v="5"/>
    <n v="2.6521064088471142"/>
    <n v="1"/>
    <x v="1"/>
    <n v="2.6521064088471142"/>
    <n v="0.90289359115288592"/>
    <n v="0.90289359115288592"/>
    <n v="-4.6092011145236089E-2"/>
    <n v="4.0000000000000036E-2"/>
  </r>
  <r>
    <x v="983"/>
    <n v="2.7087001450916599"/>
    <n v="3.605"/>
    <n v="1"/>
    <n v="0.2"/>
    <n v="1"/>
    <n v="0.54174002901833196"/>
    <n v="0.2"/>
    <x v="0"/>
    <n v="0"/>
    <n v="0"/>
    <n v="0.90289359115288592"/>
    <n v="0"/>
    <n v="4.9999999999999822E-2"/>
  </r>
  <r>
    <x v="984"/>
    <n v="2.7411857736504301"/>
    <n v="3.605"/>
    <n v="2"/>
    <n v="0.2"/>
    <n v="2"/>
    <n v="1.089977183748418"/>
    <n v="0.4"/>
    <x v="0"/>
    <n v="0"/>
    <n v="0"/>
    <n v="0.90289359115288592"/>
    <n v="0"/>
    <n v="4.9999999999999822E-2"/>
  </r>
  <r>
    <x v="985"/>
    <n v="2.7302113432602999"/>
    <n v="3.605"/>
    <n v="5"/>
    <n v="0.2"/>
    <n v="3"/>
    <n v="1.6360194524004781"/>
    <n v="0.60000000000000009"/>
    <x v="0"/>
    <n v="0"/>
    <n v="0"/>
    <n v="0.90289359115288592"/>
    <n v="0"/>
    <n v="4.9999999999999822E-2"/>
  </r>
  <r>
    <x v="986"/>
    <n v="2.7488667702223699"/>
    <n v="3.605"/>
    <n v="6"/>
    <n v="0.2"/>
    <n v="4"/>
    <n v="2.1857928064449519"/>
    <n v="0.8"/>
    <x v="0"/>
    <n v="0"/>
    <n v="0"/>
    <n v="0.90289359115288592"/>
    <n v="0"/>
    <n v="4.9999999999999822E-2"/>
  </r>
  <r>
    <x v="987"/>
    <n v="2.6989079918651599"/>
    <n v="3.605"/>
    <n v="7"/>
    <n v="0.2"/>
    <n v="5"/>
    <n v="2.725574404817984"/>
    <n v="1"/>
    <x v="1"/>
    <n v="2.725574404817984"/>
    <n v="0.87942559518201602"/>
    <n v="0.87942559518201602"/>
    <n v="-2.3467995970869904E-2"/>
    <n v="4.9999999999999822E-2"/>
  </r>
  <r>
    <x v="988"/>
    <n v="2.6507645211895499"/>
    <n v="3.585"/>
    <n v="1"/>
    <n v="0.2"/>
    <n v="1"/>
    <n v="0.53015290423790995"/>
    <n v="0.2"/>
    <x v="0"/>
    <n v="0"/>
    <n v="0"/>
    <n v="0.87942559518201602"/>
    <n v="0"/>
    <n v="-2.0000000000000018E-2"/>
  </r>
  <r>
    <x v="989"/>
    <n v="2.6443435040904602"/>
    <n v="3.585"/>
    <n v="2"/>
    <n v="0.2"/>
    <n v="2"/>
    <n v="1.059021605056002"/>
    <n v="0.4"/>
    <x v="0"/>
    <n v="0"/>
    <n v="0"/>
    <n v="0.87942559518201602"/>
    <n v="0"/>
    <n v="-2.0000000000000018E-2"/>
  </r>
  <r>
    <x v="990"/>
    <n v="2.6999804416345499"/>
    <n v="3.585"/>
    <n v="5"/>
    <n v="0.2"/>
    <n v="3"/>
    <n v="1.5990176933829119"/>
    <n v="0.60000000000000009"/>
    <x v="0"/>
    <n v="0"/>
    <n v="0"/>
    <n v="0.87942559518201602"/>
    <n v="0"/>
    <n v="-2.0000000000000018E-2"/>
  </r>
  <r>
    <x v="991"/>
    <n v="2.7181679952198698"/>
    <n v="3.585"/>
    <n v="6"/>
    <n v="0.2"/>
    <n v="4"/>
    <n v="2.1426512924268861"/>
    <n v="0.8"/>
    <x v="0"/>
    <n v="0"/>
    <n v="0"/>
    <n v="0.87942559518201602"/>
    <n v="0"/>
    <n v="-2.0000000000000018E-2"/>
  </r>
  <r>
    <x v="992"/>
    <n v="2.66584672213606"/>
    <n v="3.585"/>
    <n v="7"/>
    <n v="0.2"/>
    <n v="5"/>
    <n v="2.6758206368540982"/>
    <n v="1"/>
    <x v="1"/>
    <n v="2.6758206368540982"/>
    <n v="0.90917936314590175"/>
    <n v="0.90917936314590175"/>
    <n v="2.9753767963885736E-2"/>
    <n v="-2.0000000000000018E-2"/>
  </r>
  <r>
    <x v="993"/>
    <n v="2.6924441854195602"/>
    <n v="3.585"/>
    <n v="1"/>
    <n v="0.2"/>
    <n v="1"/>
    <n v="0.53848883708391204"/>
    <n v="0.2"/>
    <x v="0"/>
    <n v="0"/>
    <n v="0"/>
    <n v="0.90917936314590175"/>
    <n v="0"/>
    <n v="0"/>
  </r>
  <r>
    <x v="994"/>
    <n v="2.6784573232198698"/>
    <n v="3.585"/>
    <n v="5"/>
    <n v="0.2"/>
    <n v="2"/>
    <n v="1.0741803017278859"/>
    <n v="0.4"/>
    <x v="0"/>
    <n v="0"/>
    <n v="0"/>
    <n v="0.90917936314590175"/>
    <n v="0"/>
    <n v="0"/>
  </r>
  <r>
    <x v="995"/>
    <n v="2.5818538340504298"/>
    <n v="3.585"/>
    <n v="6"/>
    <n v="0.2"/>
    <n v="3"/>
    <n v="1.5905510685379718"/>
    <n v="0.60000000000000009"/>
    <x v="0"/>
    <n v="0"/>
    <n v="0"/>
    <n v="0.90917936314590175"/>
    <n v="0"/>
    <n v="0"/>
  </r>
  <r>
    <x v="996"/>
    <n v="2.5932132712975302"/>
    <n v="3.585"/>
    <n v="7"/>
    <n v="0.2"/>
    <n v="4"/>
    <n v="2.1091937227974777"/>
    <n v="0.8"/>
    <x v="1"/>
    <n v="2.6364921534968468"/>
    <n v="0.94850784650315312"/>
    <n v="0.94850784650315312"/>
    <n v="3.9328483357251365E-2"/>
    <n v="0"/>
  </r>
  <r>
    <x v="997"/>
    <n v="2.5397621553493499"/>
    <n v="3.4649999999999999"/>
    <n v="1"/>
    <n v="0.2"/>
    <n v="1"/>
    <n v="0.50795243106986998"/>
    <n v="0.2"/>
    <x v="0"/>
    <n v="0"/>
    <n v="0"/>
    <n v="0.94850784650315312"/>
    <n v="0"/>
    <n v="-0.12000000000000011"/>
  </r>
  <r>
    <x v="998"/>
    <n v="2.5354129105946002"/>
    <n v="3.4649999999999999"/>
    <n v="2"/>
    <n v="0.2"/>
    <n v="2"/>
    <n v="1.0150350131887902"/>
    <n v="0.4"/>
    <x v="0"/>
    <n v="0"/>
    <n v="0"/>
    <n v="0.94850784650315312"/>
    <n v="0"/>
    <n v="-0.12000000000000011"/>
  </r>
  <r>
    <x v="999"/>
    <n v="2.5272030973588802"/>
    <n v="3.4649999999999999"/>
    <n v="5"/>
    <n v="0.2"/>
    <n v="3"/>
    <n v="1.5204756326605664"/>
    <n v="0.60000000000000009"/>
    <x v="0"/>
    <n v="0"/>
    <n v="0"/>
    <n v="0.94850784650315312"/>
    <n v="0"/>
    <n v="-0.12000000000000011"/>
  </r>
  <r>
    <x v="1000"/>
    <n v="2.49044583951994"/>
    <n v="3.4649999999999999"/>
    <n v="6"/>
    <n v="0.2"/>
    <n v="4"/>
    <n v="2.0185648005645547"/>
    <n v="0.8"/>
    <x v="0"/>
    <n v="0"/>
    <n v="0"/>
    <n v="0.94850784650315312"/>
    <n v="0"/>
    <n v="-0.12000000000000011"/>
  </r>
  <r>
    <x v="1001"/>
    <n v="2.5206676223705302"/>
    <n v="3.4649999999999999"/>
    <n v="7"/>
    <n v="0.2"/>
    <n v="5"/>
    <n v="2.522698325038661"/>
    <n v="1"/>
    <x v="1"/>
    <n v="2.522698325038661"/>
    <n v="0.94230167496133888"/>
    <n v="0.94230167496133888"/>
    <n v="-6.2061715418142427E-3"/>
    <n v="-0.12000000000000011"/>
  </r>
  <r>
    <x v="1002"/>
    <n v="2.47278907327191"/>
    <n v="3.4550000000000001"/>
    <n v="1"/>
    <n v="0.2"/>
    <n v="1"/>
    <n v="0.49455781465438203"/>
    <n v="0.2"/>
    <x v="0"/>
    <n v="0"/>
    <n v="0"/>
    <n v="0.94230167496133888"/>
    <n v="0"/>
    <n v="-9.9999999999997868E-3"/>
  </r>
  <r>
    <x v="1003"/>
    <n v="2.47640548535824"/>
    <n v="3.4550000000000001"/>
    <n v="2"/>
    <n v="0.2"/>
    <n v="2"/>
    <n v="0.98983891172603"/>
    <n v="0.4"/>
    <x v="0"/>
    <n v="0"/>
    <n v="0"/>
    <n v="0.94230167496133888"/>
    <n v="0"/>
    <n v="-9.9999999999997868E-3"/>
  </r>
  <r>
    <x v="1004"/>
    <n v="2.4761946977279501"/>
    <n v="3.4550000000000001"/>
    <n v="5"/>
    <n v="0.2"/>
    <n v="3"/>
    <n v="1.4850778512716201"/>
    <n v="0.60000000000000009"/>
    <x v="0"/>
    <n v="0"/>
    <n v="0"/>
    <n v="0.94230167496133888"/>
    <n v="0"/>
    <n v="-9.9999999999997868E-3"/>
  </r>
  <r>
    <x v="1005"/>
    <n v="2.52514420347971"/>
    <n v="3.4550000000000001"/>
    <n v="6"/>
    <n v="0.2"/>
    <n v="4"/>
    <n v="1.9901066919675621"/>
    <n v="0.8"/>
    <x v="0"/>
    <n v="0"/>
    <n v="0"/>
    <n v="0.94230167496133888"/>
    <n v="0"/>
    <n v="-9.9999999999997868E-3"/>
  </r>
  <r>
    <x v="1006"/>
    <n v="2.5121043496510298"/>
    <n v="3.4550000000000001"/>
    <n v="7"/>
    <n v="0.2"/>
    <n v="5"/>
    <n v="2.4925275618977683"/>
    <n v="1"/>
    <x v="1"/>
    <n v="2.4925275618977683"/>
    <n v="0.96247243810223182"/>
    <n v="0.96247243810223182"/>
    <n v="2.0170763140892944E-2"/>
    <n v="-9.9999999999997868E-3"/>
  </r>
  <r>
    <x v="1007"/>
    <n v="2.5130719329869802"/>
    <n v="3.4899999999999998"/>
    <n v="1"/>
    <n v="0.2"/>
    <n v="1"/>
    <n v="0.5026143865973961"/>
    <n v="0.2"/>
    <x v="0"/>
    <n v="0"/>
    <n v="0"/>
    <n v="0.96247243810223182"/>
    <n v="0"/>
    <n v="3.4999999999999698E-2"/>
  </r>
  <r>
    <x v="1008"/>
    <n v="2.50830487739315"/>
    <n v="3.4899999999999998"/>
    <n v="2"/>
    <n v="0.2"/>
    <n v="2"/>
    <n v="1.0042753620760261"/>
    <n v="0.4"/>
    <x v="0"/>
    <n v="0"/>
    <n v="0"/>
    <n v="0.96247243810223182"/>
    <n v="0"/>
    <n v="3.4999999999999698E-2"/>
  </r>
  <r>
    <x v="1009"/>
    <n v="2.5181131981013598"/>
    <n v="3.4899999999999998"/>
    <n v="5"/>
    <n v="0.2"/>
    <n v="3"/>
    <n v="1.5078980016962982"/>
    <n v="0.60000000000000009"/>
    <x v="0"/>
    <n v="0"/>
    <n v="0"/>
    <n v="0.96247243810223182"/>
    <n v="0"/>
    <n v="3.4999999999999698E-2"/>
  </r>
  <r>
    <x v="1010"/>
    <n v="2.5437168006359601"/>
    <n v="3.4899999999999998"/>
    <n v="6"/>
    <n v="0.2"/>
    <n v="4"/>
    <n v="2.0166413618234902"/>
    <n v="0.8"/>
    <x v="0"/>
    <n v="0"/>
    <n v="0"/>
    <n v="0.96247243810223182"/>
    <n v="0"/>
    <n v="3.4999999999999698E-2"/>
  </r>
  <r>
    <x v="1011"/>
    <n v="2.6250547369401902"/>
    <n v="3.4899999999999998"/>
    <n v="7"/>
    <n v="0.2"/>
    <n v="5"/>
    <n v="2.5416523092115284"/>
    <n v="1"/>
    <x v="1"/>
    <n v="2.5416523092115284"/>
    <n v="0.94834769078847136"/>
    <n v="0.94834769078847136"/>
    <n v="-1.4124747313760455E-2"/>
    <n v="3.4999999999999698E-2"/>
  </r>
  <r>
    <x v="1012"/>
    <n v="2.6404764057609502"/>
    <n v="3.56"/>
    <n v="1"/>
    <n v="0.2"/>
    <n v="1"/>
    <n v="0.52809528115219007"/>
    <n v="0.2"/>
    <x v="0"/>
    <n v="0"/>
    <n v="0"/>
    <n v="0.94834769078847136"/>
    <n v="0"/>
    <n v="7.0000000000000284E-2"/>
  </r>
  <r>
    <x v="1013"/>
    <n v="2.6550245016792"/>
    <n v="3.56"/>
    <n v="2"/>
    <n v="0.2"/>
    <n v="2"/>
    <n v="1.0591001814880301"/>
    <n v="0.4"/>
    <x v="0"/>
    <n v="0"/>
    <n v="0"/>
    <n v="0.94834769078847136"/>
    <n v="0"/>
    <n v="7.0000000000000284E-2"/>
  </r>
  <r>
    <x v="1014"/>
    <n v="2.6615233310635298"/>
    <n v="3.56"/>
    <n v="5"/>
    <n v="0.2"/>
    <n v="3"/>
    <n v="1.5914048477007361"/>
    <n v="0.60000000000000009"/>
    <x v="0"/>
    <n v="0"/>
    <n v="0"/>
    <n v="0.94834769078847136"/>
    <n v="0"/>
    <n v="7.0000000000000284E-2"/>
  </r>
  <r>
    <x v="1015"/>
    <n v="2.6761661289504999"/>
    <n v="3.56"/>
    <n v="6"/>
    <n v="0.2"/>
    <n v="4"/>
    <n v="2.1266380734908363"/>
    <n v="0.8"/>
    <x v="0"/>
    <n v="0"/>
    <n v="0"/>
    <n v="0.94834769078847136"/>
    <n v="0"/>
    <n v="7.0000000000000284E-2"/>
  </r>
  <r>
    <x v="1016"/>
    <n v="2.6300132369593099"/>
    <n v="3.56"/>
    <n v="7"/>
    <n v="0.2"/>
    <n v="5"/>
    <n v="2.6526407208826983"/>
    <n v="1"/>
    <x v="1"/>
    <n v="2.6526407208826983"/>
    <n v="0.90735927911730174"/>
    <n v="0.90735927911730174"/>
    <n v="-4.0988411671169622E-2"/>
    <n v="7.0000000000000284E-2"/>
  </r>
  <r>
    <x v="1017"/>
    <n v="2.5822903724603399"/>
    <n v="3.51"/>
    <n v="1"/>
    <n v="0.2"/>
    <n v="1"/>
    <n v="0.51645807449206804"/>
    <n v="0.2"/>
    <x v="0"/>
    <n v="0"/>
    <n v="0"/>
    <n v="0.90735927911730174"/>
    <n v="0"/>
    <n v="-5.0000000000000266E-2"/>
  </r>
  <r>
    <x v="1018"/>
    <n v="2.5646426996598599"/>
    <n v="3.51"/>
    <n v="2"/>
    <n v="0.2"/>
    <n v="2"/>
    <n v="1.02938661442404"/>
    <n v="0.4"/>
    <x v="0"/>
    <n v="0"/>
    <n v="0"/>
    <n v="0.90735927911730174"/>
    <n v="0"/>
    <n v="-5.0000000000000266E-2"/>
  </r>
  <r>
    <x v="1019"/>
    <n v="2.6083213948699102"/>
    <n v="3.51"/>
    <n v="5"/>
    <n v="0.2"/>
    <n v="3"/>
    <n v="1.551050893398022"/>
    <n v="0.60000000000000009"/>
    <x v="0"/>
    <n v="0"/>
    <n v="0"/>
    <n v="0.90735927911730174"/>
    <n v="0"/>
    <n v="-5.0000000000000266E-2"/>
  </r>
  <r>
    <x v="1020"/>
    <n v="2.5475265739167301"/>
    <n v="3.51"/>
    <n v="6"/>
    <n v="0.2"/>
    <n v="4"/>
    <n v="2.0605562081813682"/>
    <n v="0.8"/>
    <x v="0"/>
    <n v="0"/>
    <n v="0"/>
    <n v="0.90735927911730174"/>
    <n v="0"/>
    <n v="-5.0000000000000266E-2"/>
  </r>
  <r>
    <x v="1021"/>
    <n v="2.55214527077672"/>
    <n v="3.51"/>
    <n v="7"/>
    <n v="0.2"/>
    <n v="5"/>
    <n v="2.5709852623367122"/>
    <n v="1"/>
    <x v="1"/>
    <n v="2.5709852623367122"/>
    <n v="0.93901473766328758"/>
    <n v="0.93901473766328758"/>
    <n v="3.1655458545985837E-2"/>
    <n v="-5.0000000000000266E-2"/>
  </r>
  <r>
    <x v="1022"/>
    <n v="2.5164663859594998"/>
    <n v="3.4449999999999998"/>
    <n v="1"/>
    <n v="0.2"/>
    <n v="1"/>
    <n v="0.50329327719189998"/>
    <n v="0.2"/>
    <x v="0"/>
    <n v="0"/>
    <n v="0"/>
    <n v="0.93901473766328758"/>
    <n v="0"/>
    <n v="-6.4999999999999947E-2"/>
  </r>
  <r>
    <x v="1023"/>
    <n v="2.5169224725100698"/>
    <n v="3.4449999999999998"/>
    <n v="2"/>
    <n v="0.2"/>
    <n v="2"/>
    <n v="1.0066777716939139"/>
    <n v="0.4"/>
    <x v="0"/>
    <n v="0"/>
    <n v="0"/>
    <n v="0.93901473766328758"/>
    <n v="0"/>
    <n v="-6.4999999999999947E-2"/>
  </r>
  <r>
    <x v="1024"/>
    <n v="2.5026837288081998"/>
    <n v="3.4449999999999998"/>
    <n v="5"/>
    <n v="0.2"/>
    <n v="3"/>
    <n v="1.5072145174555538"/>
    <n v="0.60000000000000009"/>
    <x v="0"/>
    <n v="0"/>
    <n v="0"/>
    <n v="0.93901473766328758"/>
    <n v="0"/>
    <n v="-6.4999999999999947E-2"/>
  </r>
  <r>
    <x v="1025"/>
    <n v="2.5182072919323999"/>
    <n v="3.4449999999999998"/>
    <n v="6"/>
    <n v="0.2"/>
    <n v="4"/>
    <n v="2.0108559758420337"/>
    <n v="0.8"/>
    <x v="0"/>
    <n v="0"/>
    <n v="0"/>
    <n v="0.93901473766328758"/>
    <n v="0"/>
    <n v="-6.4999999999999947E-2"/>
  </r>
  <r>
    <x v="1026"/>
    <n v="2.5137546946134099"/>
    <n v="3.4449999999999998"/>
    <n v="7"/>
    <n v="0.2"/>
    <n v="5"/>
    <n v="2.5136069147647158"/>
    <n v="1"/>
    <x v="1"/>
    <n v="2.5136069147647158"/>
    <n v="0.93139308523528408"/>
    <n v="0.93139308523528408"/>
    <n v="-7.6216524280035003E-3"/>
    <n v="-6.4999999999999947E-2"/>
  </r>
  <r>
    <x v="1027"/>
    <n v="2.5257961096675898"/>
    <n v="3.48"/>
    <n v="1"/>
    <n v="0.2"/>
    <n v="1"/>
    <n v="0.50515922193351803"/>
    <n v="0.2"/>
    <x v="0"/>
    <n v="0"/>
    <n v="0"/>
    <n v="0.93139308523528408"/>
    <n v="0"/>
    <n v="3.5000000000000142E-2"/>
  </r>
  <r>
    <x v="1028"/>
    <n v="2.4834878565514402"/>
    <n v="3.48"/>
    <n v="2"/>
    <n v="0.2"/>
    <n v="2"/>
    <n v="1.0018567932438061"/>
    <n v="0.4"/>
    <x v="0"/>
    <n v="0"/>
    <n v="0"/>
    <n v="0.93139308523528408"/>
    <n v="0"/>
    <n v="3.5000000000000142E-2"/>
  </r>
  <r>
    <x v="1029"/>
    <n v="2.5243153261906799"/>
    <n v="3.48"/>
    <n v="5"/>
    <n v="0.2"/>
    <n v="3"/>
    <n v="1.5067198584819419"/>
    <n v="0.60000000000000009"/>
    <x v="0"/>
    <n v="0"/>
    <n v="0"/>
    <n v="0.93139308523528408"/>
    <n v="0"/>
    <n v="3.5000000000000142E-2"/>
  </r>
  <r>
    <x v="1030"/>
    <n v="2.5507411556917998"/>
    <n v="3.48"/>
    <n v="6"/>
    <n v="0.2"/>
    <n v="4"/>
    <n v="2.016868089620302"/>
    <n v="0.8"/>
    <x v="0"/>
    <n v="0"/>
    <n v="0"/>
    <n v="0.93139308523528408"/>
    <n v="0"/>
    <n v="3.5000000000000142E-2"/>
  </r>
  <r>
    <x v="1031"/>
    <n v="2.6588027556734102"/>
    <n v="3.48"/>
    <n v="7"/>
    <n v="0.2"/>
    <n v="5"/>
    <n v="2.5486286407549841"/>
    <n v="1"/>
    <x v="1"/>
    <n v="2.5486286407549841"/>
    <n v="0.93137135924501591"/>
    <n v="0.93137135924501591"/>
    <n v="-2.1725990268173234E-5"/>
    <n v="3.5000000000000142E-2"/>
  </r>
  <r>
    <x v="1032"/>
    <n v="2.61087975726997"/>
    <n v="3.5150000000000001"/>
    <n v="1"/>
    <n v="0.2"/>
    <n v="1"/>
    <n v="0.52217595145399398"/>
    <n v="0.2"/>
    <x v="0"/>
    <n v="0"/>
    <n v="0"/>
    <n v="0.93137135924501591"/>
    <n v="0"/>
    <n v="3.5000000000000142E-2"/>
  </r>
  <r>
    <x v="1033"/>
    <n v="2.6144990771795702"/>
    <n v="3.5150000000000001"/>
    <n v="2"/>
    <n v="0.2"/>
    <n v="2"/>
    <n v="1.045075766889908"/>
    <n v="0.4"/>
    <x v="0"/>
    <n v="0"/>
    <n v="0"/>
    <n v="0.93137135924501591"/>
    <n v="0"/>
    <n v="3.5000000000000142E-2"/>
  </r>
  <r>
    <x v="1034"/>
    <n v="2.6073788484172402"/>
    <n v="3.5150000000000001"/>
    <n v="5"/>
    <n v="0.2"/>
    <n v="3"/>
    <n v="1.566551536573356"/>
    <n v="0.60000000000000009"/>
    <x v="0"/>
    <n v="0"/>
    <n v="0"/>
    <n v="0.93137135924501591"/>
    <n v="0"/>
    <n v="3.5000000000000142E-2"/>
  </r>
  <r>
    <x v="1035"/>
    <n v="2.6240146186215201"/>
    <n v="3.5150000000000001"/>
    <n v="6"/>
    <n v="0.2"/>
    <n v="4"/>
    <n v="2.0913544602976599"/>
    <n v="0.8"/>
    <x v="0"/>
    <n v="0"/>
    <n v="0"/>
    <n v="0.93137135924501591"/>
    <n v="0"/>
    <n v="3.5000000000000142E-2"/>
  </r>
  <r>
    <x v="1036"/>
    <n v="2.6451164330337602"/>
    <n v="3.5150000000000001"/>
    <n v="7"/>
    <n v="0.2"/>
    <n v="5"/>
    <n v="2.6203777469044121"/>
    <n v="1"/>
    <x v="1"/>
    <n v="2.6203777469044121"/>
    <n v="0.89462225309558807"/>
    <n v="0.89462225309558807"/>
    <n v="-3.6749106149427835E-2"/>
    <n v="3.5000000000000142E-2"/>
  </r>
  <r>
    <x v="1037"/>
    <n v="2.59920787607486"/>
    <n v="3.5350000000000001"/>
    <n v="1"/>
    <n v="0.2"/>
    <n v="1"/>
    <n v="0.51984157521497198"/>
    <n v="0.2"/>
    <x v="0"/>
    <n v="0"/>
    <n v="0"/>
    <n v="0.89462225309558807"/>
    <n v="0"/>
    <n v="2.0000000000000018E-2"/>
  </r>
  <r>
    <x v="1038"/>
    <n v="2.6025934291599802"/>
    <n v="3.5350000000000001"/>
    <n v="2"/>
    <n v="0.2"/>
    <n v="2"/>
    <n v="1.040360261046968"/>
    <n v="0.4"/>
    <x v="0"/>
    <n v="0"/>
    <n v="0"/>
    <n v="0.89462225309558807"/>
    <n v="0"/>
    <n v="2.0000000000000018E-2"/>
  </r>
  <r>
    <x v="1039"/>
    <n v="2.5912536258674699"/>
    <n v="3.5350000000000001"/>
    <n v="6"/>
    <n v="0.2"/>
    <n v="3"/>
    <n v="1.558610986220462"/>
    <n v="0.60000000000000009"/>
    <x v="0"/>
    <n v="0"/>
    <n v="0"/>
    <n v="0.89462225309558807"/>
    <n v="0"/>
    <n v="2.0000000000000018E-2"/>
  </r>
  <r>
    <x v="1040"/>
    <n v="2.6061508171936398"/>
    <n v="3.5350000000000001"/>
    <n v="7"/>
    <n v="0.2"/>
    <n v="4"/>
    <n v="2.07984114965919"/>
    <n v="0.8"/>
    <x v="1"/>
    <n v="2.5998014370739875"/>
    <n v="0.93519856292601267"/>
    <n v="0.93519856292601267"/>
    <n v="4.0576309830424595E-2"/>
    <n v="2.0000000000000018E-2"/>
  </r>
  <r>
    <x v="1041"/>
    <n v="2.5951614206570599"/>
    <n v="3.4750000000000001"/>
    <n v="1"/>
    <n v="0.2"/>
    <n v="1"/>
    <n v="0.519032284131412"/>
    <n v="0.2"/>
    <x v="0"/>
    <n v="0"/>
    <n v="0"/>
    <n v="0.93519856292601267"/>
    <n v="0"/>
    <n v="-6.0000000000000053E-2"/>
  </r>
  <r>
    <x v="1042"/>
    <n v="2.50110738001568"/>
    <n v="3.4750000000000001"/>
    <n v="2"/>
    <n v="0.2"/>
    <n v="2"/>
    <n v="1.0192537601345482"/>
    <n v="0.4"/>
    <x v="0"/>
    <n v="0"/>
    <n v="0"/>
    <n v="0.93519856292601267"/>
    <n v="0"/>
    <n v="-6.0000000000000053E-2"/>
  </r>
  <r>
    <x v="1043"/>
    <n v="2.50890733570674"/>
    <n v="3.4750000000000001"/>
    <n v="5"/>
    <n v="0.2"/>
    <n v="3"/>
    <n v="1.5210352272758962"/>
    <n v="0.60000000000000009"/>
    <x v="0"/>
    <n v="0"/>
    <n v="0"/>
    <n v="0.93519856292601267"/>
    <n v="0"/>
    <n v="-6.0000000000000053E-2"/>
  </r>
  <r>
    <x v="1044"/>
    <n v="2.5084011199927301"/>
    <n v="3.4750000000000001"/>
    <n v="6"/>
    <n v="0.2"/>
    <n v="4"/>
    <n v="2.0227154512744425"/>
    <n v="0.8"/>
    <x v="0"/>
    <n v="0"/>
    <n v="0"/>
    <n v="0.93519856292601267"/>
    <n v="0"/>
    <n v="-6.0000000000000053E-2"/>
  </r>
  <r>
    <x v="1045"/>
    <n v="2.5005077726390401"/>
    <n v="3.4750000000000001"/>
    <n v="7"/>
    <n v="0.2"/>
    <n v="5"/>
    <n v="2.5228170058022505"/>
    <n v="1"/>
    <x v="1"/>
    <n v="2.5228170058022505"/>
    <n v="0.95218299419774954"/>
    <n v="0.95218299419774954"/>
    <n v="1.6984431271736877E-2"/>
    <n v="-6.0000000000000053E-2"/>
  </r>
  <r>
    <x v="1046"/>
    <n v="2.4857330932558601"/>
    <n v="3.415"/>
    <n v="1"/>
    <n v="0.2"/>
    <n v="1"/>
    <n v="0.49714661865117205"/>
    <n v="0.2"/>
    <x v="0"/>
    <n v="0"/>
    <n v="0"/>
    <n v="0.95218299419774954"/>
    <n v="0"/>
    <n v="-6.0000000000000053E-2"/>
  </r>
  <r>
    <x v="1047"/>
    <n v="2.4694934611032302"/>
    <n v="3.415"/>
    <n v="2"/>
    <n v="0.2"/>
    <n v="2"/>
    <n v="0.99104531087181813"/>
    <n v="0.4"/>
    <x v="0"/>
    <n v="0"/>
    <n v="0"/>
    <n v="0.95218299419774954"/>
    <n v="0"/>
    <n v="-6.0000000000000053E-2"/>
  </r>
  <r>
    <x v="1048"/>
    <n v="2.45908468763596"/>
    <n v="3.415"/>
    <n v="5"/>
    <n v="0.2"/>
    <n v="3"/>
    <n v="1.4828622483990102"/>
    <n v="0.60000000000000009"/>
    <x v="0"/>
    <n v="0"/>
    <n v="0"/>
    <n v="0.95218299419774954"/>
    <n v="0"/>
    <n v="-6.0000000000000053E-2"/>
  </r>
  <r>
    <x v="1049"/>
    <n v="2.46769011076751"/>
    <n v="3.415"/>
    <n v="6"/>
    <n v="0.2"/>
    <n v="4"/>
    <n v="1.9764002705525121"/>
    <n v="0.8"/>
    <x v="0"/>
    <n v="0"/>
    <n v="0"/>
    <n v="0.95218299419774954"/>
    <n v="0"/>
    <n v="-6.0000000000000053E-2"/>
  </r>
  <r>
    <x v="1050"/>
    <n v="2.45037012960805"/>
    <n v="3.415"/>
    <n v="7"/>
    <n v="0.2"/>
    <n v="5"/>
    <n v="2.466474296474122"/>
    <n v="1"/>
    <x v="1"/>
    <n v="2.466474296474122"/>
    <n v="0.94852570352587806"/>
    <n v="0.94852570352587806"/>
    <n v="-3.6572906718714826E-3"/>
    <n v="-6.0000000000000053E-2"/>
  </r>
  <r>
    <x v="1051"/>
    <n v="2.4315261347107602"/>
    <n v="3.46"/>
    <n v="1"/>
    <n v="0.2"/>
    <n v="1"/>
    <n v="0.48630522694215206"/>
    <n v="0.2"/>
    <x v="0"/>
    <n v="0"/>
    <n v="0"/>
    <n v="0.94852570352587806"/>
    <n v="0"/>
    <n v="4.4999999999999929E-2"/>
  </r>
  <r>
    <x v="1052"/>
    <n v="2.47900822312821"/>
    <n v="3.46"/>
    <n v="2"/>
    <n v="0.2"/>
    <n v="2"/>
    <n v="0.98210687156779408"/>
    <n v="0.4"/>
    <x v="0"/>
    <n v="0"/>
    <n v="0"/>
    <n v="0.94852570352587806"/>
    <n v="0"/>
    <n v="4.4999999999999929E-2"/>
  </r>
  <r>
    <x v="1053"/>
    <n v="2.50328408923819"/>
    <n v="3.46"/>
    <n v="5"/>
    <n v="0.2"/>
    <n v="3"/>
    <n v="1.4827636894154321"/>
    <n v="0.60000000000000009"/>
    <x v="0"/>
    <n v="0"/>
    <n v="0"/>
    <n v="0.94852570352587806"/>
    <n v="0"/>
    <n v="4.4999999999999929E-2"/>
  </r>
  <r>
    <x v="1054"/>
    <n v="2.5153297074650598"/>
    <n v="3.46"/>
    <n v="6"/>
    <n v="0.2"/>
    <n v="4"/>
    <n v="1.985829630908444"/>
    <n v="0.8"/>
    <x v="0"/>
    <n v="0"/>
    <n v="0"/>
    <n v="0.94852570352587806"/>
    <n v="0"/>
    <n v="4.4999999999999929E-2"/>
  </r>
  <r>
    <x v="1055"/>
    <n v="2.51044994669209"/>
    <n v="3.46"/>
    <n v="7"/>
    <n v="0.2"/>
    <n v="5"/>
    <n v="2.4879196202468621"/>
    <n v="1"/>
    <x v="1"/>
    <n v="2.4879196202468621"/>
    <n v="0.97208037975313788"/>
    <n v="0.97208037975313788"/>
    <n v="2.3554676227259819E-2"/>
    <n v="4.4999999999999929E-2"/>
  </r>
  <r>
    <x v="1056"/>
    <n v="2.5328661525509899"/>
    <n v="3.355"/>
    <n v="1"/>
    <n v="0.2"/>
    <n v="1"/>
    <n v="0.50657323051019798"/>
    <n v="0.2"/>
    <x v="0"/>
    <n v="0"/>
    <n v="0"/>
    <n v="0.97208037975313788"/>
    <n v="0"/>
    <n v="-0.10499999999999998"/>
  </r>
  <r>
    <x v="1057"/>
    <n v="2.42238784637689"/>
    <n v="3.355"/>
    <n v="2"/>
    <n v="0.2"/>
    <n v="2"/>
    <n v="0.99105079978557598"/>
    <n v="0.4"/>
    <x v="0"/>
    <n v="0"/>
    <n v="0"/>
    <n v="0.97208037975313788"/>
    <n v="0"/>
    <n v="-0.10499999999999998"/>
  </r>
  <r>
    <x v="1058"/>
    <n v="2.28975271762293"/>
    <n v="3.355"/>
    <n v="5"/>
    <n v="0.2"/>
    <n v="3"/>
    <n v="1.4490013433101621"/>
    <n v="0.60000000000000009"/>
    <x v="0"/>
    <n v="0"/>
    <n v="0"/>
    <n v="0.97208037975313788"/>
    <n v="0"/>
    <n v="-0.10499999999999998"/>
  </r>
  <r>
    <x v="1059"/>
    <n v="2.2924928729045799"/>
    <n v="3.355"/>
    <n v="6"/>
    <n v="0.2"/>
    <n v="4"/>
    <n v="1.9074999178910781"/>
    <n v="0.8"/>
    <x v="0"/>
    <n v="0"/>
    <n v="0"/>
    <n v="0.97208037975313788"/>
    <n v="0"/>
    <n v="-0.10499999999999998"/>
  </r>
  <r>
    <x v="1060"/>
    <n v="2.2865529695176998"/>
    <n v="3.355"/>
    <n v="7"/>
    <n v="0.2"/>
    <n v="5"/>
    <n v="2.3648105117946181"/>
    <n v="1"/>
    <x v="1"/>
    <n v="2.3648105117946181"/>
    <n v="0.99018948820538188"/>
    <n v="0.99018948820538188"/>
    <n v="1.8109108452244005E-2"/>
    <n v="-0.10499999999999998"/>
  </r>
  <r>
    <x v="1061"/>
    <n v="2.2474863691242"/>
    <n v="3.2850000000000001"/>
    <n v="1"/>
    <n v="0.2"/>
    <n v="1"/>
    <n v="0.44949727382484"/>
    <n v="0.2"/>
    <x v="0"/>
    <n v="0"/>
    <n v="0"/>
    <n v="0.99018948820538188"/>
    <n v="0"/>
    <n v="-6.999999999999984E-2"/>
  </r>
  <r>
    <x v="1062"/>
    <n v="2.2397995226071998"/>
    <n v="3.2850000000000001"/>
    <n v="2"/>
    <n v="0.2"/>
    <n v="2"/>
    <n v="0.89745717834627992"/>
    <n v="0.4"/>
    <x v="0"/>
    <n v="0"/>
    <n v="0"/>
    <n v="0.99018948820538188"/>
    <n v="0"/>
    <n v="-6.999999999999984E-2"/>
  </r>
  <r>
    <x v="1063"/>
    <n v="2.1596234413025202"/>
    <n v="3.2850000000000001"/>
    <n v="6"/>
    <n v="0.2"/>
    <n v="3"/>
    <n v="1.329381866606784"/>
    <n v="0.60000000000000009"/>
    <x v="0"/>
    <n v="0"/>
    <n v="0"/>
    <n v="0.99018948820538188"/>
    <n v="0"/>
    <n v="-6.999999999999984E-2"/>
  </r>
  <r>
    <x v="1064"/>
    <n v="2.19882717699562"/>
    <n v="3.2850000000000001"/>
    <n v="7"/>
    <n v="0.2"/>
    <n v="4"/>
    <n v="1.7691473020059081"/>
    <n v="0.8"/>
    <x v="1"/>
    <n v="2.2114341275073848"/>
    <n v="1.0735658724926154"/>
    <n v="1.0735658724926154"/>
    <n v="8.3376384287233485E-2"/>
    <n v="-6.999999999999984E-2"/>
  </r>
  <r>
    <x v="1065"/>
    <n v="2.2327355208775002"/>
    <n v="3.2949999999999999"/>
    <n v="1"/>
    <n v="0.2"/>
    <n v="1"/>
    <n v="0.44654710417550003"/>
    <n v="0.2"/>
    <x v="0"/>
    <n v="0"/>
    <n v="0"/>
    <n v="1.0735658724926154"/>
    <n v="0"/>
    <n v="9.9999999999997868E-3"/>
  </r>
  <r>
    <x v="1066"/>
    <n v="2.22171317291324"/>
    <n v="3.2949999999999999"/>
    <n v="2"/>
    <n v="0.2"/>
    <n v="2"/>
    <n v="0.89088973875814803"/>
    <n v="0.4"/>
    <x v="0"/>
    <n v="0"/>
    <n v="0"/>
    <n v="1.0735658724926154"/>
    <n v="0"/>
    <n v="9.9999999999997868E-3"/>
  </r>
  <r>
    <x v="1067"/>
    <n v="2.2498836736013899"/>
    <n v="3.2949999999999999"/>
    <n v="5"/>
    <n v="0.2"/>
    <n v="3"/>
    <n v="1.3408664734784259"/>
    <n v="0.60000000000000009"/>
    <x v="0"/>
    <n v="0"/>
    <n v="0"/>
    <n v="1.0735658724926154"/>
    <n v="0"/>
    <n v="9.9999999999997868E-3"/>
  </r>
  <r>
    <x v="1068"/>
    <n v="2.3035973514028201"/>
    <n v="3.2949999999999999"/>
    <n v="6"/>
    <n v="0.2"/>
    <n v="4"/>
    <n v="1.8015859437589898"/>
    <n v="0.8"/>
    <x v="0"/>
    <n v="0"/>
    <n v="0"/>
    <n v="1.0735658724926154"/>
    <n v="0"/>
    <n v="9.9999999999997868E-3"/>
  </r>
  <r>
    <x v="1069"/>
    <n v="2.2780835111266402"/>
    <n v="3.2949999999999999"/>
    <n v="7"/>
    <n v="0.2"/>
    <n v="5"/>
    <n v="2.257202645984318"/>
    <n v="1"/>
    <x v="1"/>
    <n v="2.257202645984318"/>
    <n v="1.037797354015682"/>
    <n v="1.037797354015682"/>
    <n v="-3.5768518476933409E-2"/>
    <n v="9.9999999999997868E-3"/>
  </r>
  <r>
    <x v="1070"/>
    <n v="2.3132728669173401"/>
    <n v="3.3250000000000002"/>
    <n v="1"/>
    <n v="0.2"/>
    <n v="1"/>
    <n v="0.46265457338346805"/>
    <n v="0.2"/>
    <x v="0"/>
    <n v="0"/>
    <n v="0"/>
    <n v="1.037797354015682"/>
    <n v="0"/>
    <n v="3.0000000000000249E-2"/>
  </r>
  <r>
    <x v="1071"/>
    <n v="2.3587572487332702"/>
    <n v="3.3250000000000002"/>
    <n v="2"/>
    <n v="0.2"/>
    <n v="2"/>
    <n v="0.93440602313012211"/>
    <n v="0.4"/>
    <x v="0"/>
    <n v="0"/>
    <n v="0"/>
    <n v="1.037797354015682"/>
    <n v="0"/>
    <n v="3.0000000000000249E-2"/>
  </r>
  <r>
    <x v="1072"/>
    <n v="2.3547084525242998"/>
    <n v="3.3250000000000002"/>
    <n v="5"/>
    <n v="0.2"/>
    <n v="3"/>
    <n v="1.4053477136349821"/>
    <n v="0.60000000000000009"/>
    <x v="0"/>
    <n v="0"/>
    <n v="0"/>
    <n v="1.037797354015682"/>
    <n v="0"/>
    <n v="3.0000000000000249E-2"/>
  </r>
  <r>
    <x v="1073"/>
    <n v="2.3280330351195899"/>
    <n v="3.3250000000000002"/>
    <n v="6"/>
    <n v="0.2"/>
    <n v="4"/>
    <n v="1.8709543206589001"/>
    <n v="0.8"/>
    <x v="0"/>
    <n v="0"/>
    <n v="0"/>
    <n v="1.037797354015682"/>
    <n v="0"/>
    <n v="3.0000000000000249E-2"/>
  </r>
  <r>
    <x v="1074"/>
    <n v="2.34677807026147"/>
    <n v="3.3250000000000002"/>
    <n v="7"/>
    <n v="0.2"/>
    <n v="5"/>
    <n v="2.3403099347111942"/>
    <n v="1"/>
    <x v="1"/>
    <n v="2.3403099347111942"/>
    <n v="0.98469006528880598"/>
    <n v="0.98469006528880598"/>
    <n v="-5.3107288726875979E-2"/>
    <n v="3.0000000000000249E-2"/>
  </r>
  <r>
    <x v="1075"/>
    <n v="2.3508657378420699"/>
    <n v="3.355"/>
    <n v="1"/>
    <n v="0.2"/>
    <n v="1"/>
    <n v="0.470173147568414"/>
    <n v="0.2"/>
    <x v="0"/>
    <n v="0"/>
    <n v="0"/>
    <n v="0.98469006528880598"/>
    <n v="0"/>
    <n v="2.9999999999999805E-2"/>
  </r>
  <r>
    <x v="1076"/>
    <n v="2.3723679310859498"/>
    <n v="3.355"/>
    <n v="2"/>
    <n v="0.2"/>
    <n v="2"/>
    <n v="0.94464673378560393"/>
    <n v="0.4"/>
    <x v="0"/>
    <n v="0"/>
    <n v="0"/>
    <n v="0.98469006528880598"/>
    <n v="0"/>
    <n v="2.9999999999999805E-2"/>
  </r>
  <r>
    <x v="1077"/>
    <n v="2.3827340297619202"/>
    <n v="3.355"/>
    <n v="5"/>
    <n v="0.2"/>
    <n v="3"/>
    <n v="1.421193539737988"/>
    <n v="0.60000000000000009"/>
    <x v="0"/>
    <n v="0"/>
    <n v="0"/>
    <n v="0.98469006528880598"/>
    <n v="0"/>
    <n v="2.9999999999999805E-2"/>
  </r>
  <r>
    <x v="1078"/>
    <n v="2.3913145424010498"/>
    <n v="3.355"/>
    <n v="6"/>
    <n v="0.2"/>
    <n v="4"/>
    <n v="1.8994564482181979"/>
    <n v="0.8"/>
    <x v="0"/>
    <n v="0"/>
    <n v="0"/>
    <n v="0.98469006528880598"/>
    <n v="0"/>
    <n v="2.9999999999999805E-2"/>
  </r>
  <r>
    <x v="1079"/>
    <n v="2.3415396621578699"/>
    <n v="3.355"/>
    <n v="7"/>
    <n v="0.2"/>
    <n v="5"/>
    <n v="2.3677643806497719"/>
    <n v="1"/>
    <x v="1"/>
    <n v="2.3677643806497719"/>
    <n v="0.98723561935022808"/>
    <n v="0.98723561935022808"/>
    <n v="2.5455540614220951E-3"/>
    <n v="2.9999999999999805E-2"/>
  </r>
  <r>
    <x v="1080"/>
    <n v="2.3214949111864098"/>
    <n v="3.3050000000000002"/>
    <n v="1"/>
    <n v="0.2"/>
    <n v="1"/>
    <n v="0.464298982237282"/>
    <n v="0.2"/>
    <x v="0"/>
    <n v="0"/>
    <n v="0"/>
    <n v="0.98723561935022808"/>
    <n v="0"/>
    <n v="-4.9999999999999822E-2"/>
  </r>
  <r>
    <x v="1081"/>
    <n v="2.2658760705109899"/>
    <n v="3.3050000000000002"/>
    <n v="2"/>
    <n v="0.2"/>
    <n v="2"/>
    <n v="0.91747419633948002"/>
    <n v="0.4"/>
    <x v="0"/>
    <n v="0"/>
    <n v="0"/>
    <n v="0.98723561935022808"/>
    <n v="0"/>
    <n v="-4.9999999999999822E-2"/>
  </r>
  <r>
    <x v="1082"/>
    <n v="2.2903256966230399"/>
    <n v="3.3050000000000002"/>
    <n v="5"/>
    <n v="0.2"/>
    <n v="3"/>
    <n v="1.3755393356640879"/>
    <n v="0.60000000000000009"/>
    <x v="0"/>
    <n v="0"/>
    <n v="0"/>
    <n v="0.98723561935022808"/>
    <n v="0"/>
    <n v="-4.9999999999999822E-2"/>
  </r>
  <r>
    <x v="1083"/>
    <n v="2.3285237865503698"/>
    <n v="3.3050000000000002"/>
    <n v="6"/>
    <n v="0.2"/>
    <n v="4"/>
    <n v="1.8412440929741618"/>
    <n v="0.8"/>
    <x v="0"/>
    <n v="0"/>
    <n v="0"/>
    <n v="0.98723561935022808"/>
    <n v="0"/>
    <n v="-4.9999999999999822E-2"/>
  </r>
  <r>
    <x v="1084"/>
    <n v="2.3355292606834301"/>
    <n v="3.3050000000000002"/>
    <n v="7"/>
    <n v="0.2"/>
    <n v="5"/>
    <n v="2.308349945110848"/>
    <n v="1"/>
    <x v="1"/>
    <n v="2.308349945110848"/>
    <n v="0.99665005488915215"/>
    <n v="0.99665005488915215"/>
    <n v="9.4144355389240708E-3"/>
    <n v="-4.9999999999999822E-2"/>
  </r>
  <r>
    <x v="1085"/>
    <n v="2.2962196436559199"/>
    <n v="3.3250000000000002"/>
    <n v="1"/>
    <n v="0.2"/>
    <n v="1"/>
    <n v="0.45924392873118403"/>
    <n v="0.2"/>
    <x v="0"/>
    <n v="0"/>
    <n v="0"/>
    <n v="0.99665005488915215"/>
    <n v="0"/>
    <n v="2.0000000000000018E-2"/>
  </r>
  <r>
    <x v="1086"/>
    <n v="2.36176289703742"/>
    <n v="3.3250000000000002"/>
    <n v="2"/>
    <n v="0.2"/>
    <n v="2"/>
    <n v="0.93159650813866812"/>
    <n v="0.4"/>
    <x v="0"/>
    <n v="0"/>
    <n v="0"/>
    <n v="0.99665005488915215"/>
    <n v="0"/>
    <n v="2.0000000000000018E-2"/>
  </r>
  <r>
    <x v="1087"/>
    <n v="2.3691281963665198"/>
    <n v="3.3250000000000002"/>
    <n v="5"/>
    <n v="0.2"/>
    <n v="3"/>
    <n v="1.4054221474119721"/>
    <n v="0.60000000000000009"/>
    <x v="0"/>
    <n v="0"/>
    <n v="0"/>
    <n v="0.99665005488915215"/>
    <n v="0"/>
    <n v="2.0000000000000018E-2"/>
  </r>
  <r>
    <x v="1088"/>
    <n v="2.33119047788963"/>
    <n v="3.3250000000000002"/>
    <n v="6"/>
    <n v="0.2"/>
    <n v="4"/>
    <n v="1.8716602429898981"/>
    <n v="0.8"/>
    <x v="0"/>
    <n v="0"/>
    <n v="0"/>
    <n v="0.99665005488915215"/>
    <n v="0"/>
    <n v="2.0000000000000018E-2"/>
  </r>
  <r>
    <x v="1089"/>
    <n v="2.2940770499801002"/>
    <n v="3.3250000000000002"/>
    <n v="7"/>
    <n v="0.2"/>
    <n v="5"/>
    <n v="2.3304756529859181"/>
    <n v="1"/>
    <x v="1"/>
    <n v="2.3304756529859181"/>
    <n v="0.9945243470140821"/>
    <n v="0.9945243470140821"/>
    <n v="-2.1257078750700487E-3"/>
    <n v="2.0000000000000018E-2"/>
  </r>
  <r>
    <x v="1090"/>
    <n v="2.3497760407358701"/>
    <n v="3.3050000000000002"/>
    <n v="1"/>
    <n v="0.2"/>
    <n v="1"/>
    <n v="0.46995520814717406"/>
    <n v="0.2"/>
    <x v="0"/>
    <n v="0"/>
    <n v="0"/>
    <n v="0.9945243470140821"/>
    <n v="0"/>
    <n v="-2.0000000000000018E-2"/>
  </r>
  <r>
    <x v="1091"/>
    <n v="2.31461753479971"/>
    <n v="3.3050000000000002"/>
    <n v="2"/>
    <n v="0.2"/>
    <n v="2"/>
    <n v="0.93287871510711606"/>
    <n v="0.4"/>
    <x v="0"/>
    <n v="0"/>
    <n v="0"/>
    <n v="0.9945243470140821"/>
    <n v="0"/>
    <n v="-2.0000000000000018E-2"/>
  </r>
  <r>
    <x v="1092"/>
    <n v="2.34200914311478"/>
    <n v="3.3050000000000002"/>
    <n v="5"/>
    <n v="0.2"/>
    <n v="3"/>
    <n v="1.4012805437300722"/>
    <n v="0.60000000000000009"/>
    <x v="0"/>
    <n v="0"/>
    <n v="0"/>
    <n v="0.9945243470140821"/>
    <n v="0"/>
    <n v="-2.0000000000000018E-2"/>
  </r>
  <r>
    <x v="1093"/>
    <n v="2.35874720795284"/>
    <n v="3.3050000000000002"/>
    <n v="6"/>
    <n v="0.2"/>
    <n v="4"/>
    <n v="1.8730299853206402"/>
    <n v="0.8"/>
    <x v="0"/>
    <n v="0"/>
    <n v="0"/>
    <n v="0.9945243470140821"/>
    <n v="0"/>
    <n v="-2.0000000000000018E-2"/>
  </r>
  <r>
    <x v="1094"/>
    <n v="2.34960598186067"/>
    <n v="3.3050000000000002"/>
    <n v="7"/>
    <n v="0.2"/>
    <n v="5"/>
    <n v="2.3429511816927744"/>
    <n v="1"/>
    <x v="1"/>
    <n v="2.3429511816927744"/>
    <n v="0.96204881830722577"/>
    <n v="0.96204881830722577"/>
    <n v="-3.2475528706856327E-2"/>
    <n v="-2.0000000000000018E-2"/>
  </r>
  <r>
    <x v="1095"/>
    <n v="2.32201570653978"/>
    <n v="3.33"/>
    <n v="1"/>
    <n v="0.2"/>
    <n v="1"/>
    <n v="0.46440314130795601"/>
    <n v="0.2"/>
    <x v="0"/>
    <n v="0"/>
    <n v="0"/>
    <n v="0.96204881830722577"/>
    <n v="0"/>
    <n v="2.4999999999999911E-2"/>
  </r>
  <r>
    <x v="1096"/>
    <n v="2.3744079472292099"/>
    <n v="3.33"/>
    <n v="2"/>
    <n v="0.2"/>
    <n v="2"/>
    <n v="0.93928473075379804"/>
    <n v="0.4"/>
    <x v="0"/>
    <n v="0"/>
    <n v="0"/>
    <n v="0.96204881830722577"/>
    <n v="0"/>
    <n v="2.4999999999999911E-2"/>
  </r>
  <r>
    <x v="1097"/>
    <n v="2.35076611353908"/>
    <n v="3.33"/>
    <n v="5"/>
    <n v="0.2"/>
    <n v="3"/>
    <n v="1.4094379534616142"/>
    <n v="0.60000000000000009"/>
    <x v="0"/>
    <n v="0"/>
    <n v="0"/>
    <n v="0.96204881830722577"/>
    <n v="0"/>
    <n v="2.4999999999999911E-2"/>
  </r>
  <r>
    <x v="1098"/>
    <n v="2.34539470834196"/>
    <n v="3.33"/>
    <n v="6"/>
    <n v="0.2"/>
    <n v="4"/>
    <n v="1.8785168951300062"/>
    <n v="0.8"/>
    <x v="0"/>
    <n v="0"/>
    <n v="0"/>
    <n v="0.96204881830722577"/>
    <n v="0"/>
    <n v="2.4999999999999911E-2"/>
  </r>
  <r>
    <x v="1099"/>
    <n v="2.3488178258811199"/>
    <n v="3.33"/>
    <n v="7"/>
    <n v="0.2"/>
    <n v="5"/>
    <n v="2.3482804603062304"/>
    <n v="1"/>
    <x v="1"/>
    <n v="2.3482804603062304"/>
    <n v="0.98171953969376968"/>
    <n v="0.98171953969376968"/>
    <n v="1.967072138654391E-2"/>
    <n v="2.4999999999999911E-2"/>
  </r>
  <r>
    <x v="1100"/>
    <n v="2.35475537195207"/>
    <n v="3.335"/>
    <n v="1"/>
    <n v="0.2"/>
    <n v="1"/>
    <n v="0.470951074390414"/>
    <n v="0.2"/>
    <x v="0"/>
    <n v="0"/>
    <n v="0"/>
    <n v="0.98171953969376968"/>
    <n v="0"/>
    <n v="4.9999999999998934E-3"/>
  </r>
  <r>
    <x v="1101"/>
    <n v="2.3971487906373001"/>
    <n v="3.335"/>
    <n v="2"/>
    <n v="0.2"/>
    <n v="2"/>
    <n v="0.95038083251787397"/>
    <n v="0.4"/>
    <x v="0"/>
    <n v="0"/>
    <n v="0"/>
    <n v="0.98171953969376968"/>
    <n v="0"/>
    <n v="4.9999999999998934E-3"/>
  </r>
  <r>
    <x v="1102"/>
    <n v="2.3636791601900198"/>
    <n v="3.335"/>
    <n v="5"/>
    <n v="0.2"/>
    <n v="3"/>
    <n v="1.4231166645558779"/>
    <n v="0.60000000000000009"/>
    <x v="0"/>
    <n v="0"/>
    <n v="0"/>
    <n v="0.98171953969376968"/>
    <n v="0"/>
    <n v="4.9999999999998934E-3"/>
  </r>
  <r>
    <x v="1103"/>
    <n v="2.3673893775366199"/>
    <n v="3.335"/>
    <n v="6"/>
    <n v="0.2"/>
    <n v="4"/>
    <n v="1.8965945400632021"/>
    <n v="0.8"/>
    <x v="0"/>
    <n v="0"/>
    <n v="0"/>
    <n v="0.98171953969376968"/>
    <n v="0"/>
    <n v="4.9999999999998934E-3"/>
  </r>
  <r>
    <x v="1104"/>
    <n v="2.3666135397931098"/>
    <n v="3.335"/>
    <n v="7"/>
    <n v="0.2"/>
    <n v="5"/>
    <n v="2.369917248021824"/>
    <n v="1"/>
    <x v="1"/>
    <n v="2.369917248021824"/>
    <n v="0.96508275197817595"/>
    <n v="0.96508275197817595"/>
    <n v="-1.6636787715593737E-2"/>
    <n v="4.9999999999998934E-3"/>
  </r>
  <r>
    <x v="1105"/>
    <n v="2.3803157009582701"/>
    <n v="3.34"/>
    <n v="1"/>
    <n v="0.2"/>
    <n v="1"/>
    <n v="0.47606314019165402"/>
    <n v="0.2"/>
    <x v="0"/>
    <n v="0"/>
    <n v="0"/>
    <n v="0.96508275197817595"/>
    <n v="0"/>
    <n v="4.9999999999998934E-3"/>
  </r>
  <r>
    <x v="1106"/>
    <n v="2.3963402358760302"/>
    <n v="3.34"/>
    <n v="2"/>
    <n v="0.2"/>
    <n v="2"/>
    <n v="0.95533118736686007"/>
    <n v="0.4"/>
    <x v="0"/>
    <n v="0"/>
    <n v="0"/>
    <n v="0.96508275197817595"/>
    <n v="0"/>
    <n v="4.9999999999998934E-3"/>
  </r>
  <r>
    <x v="1107"/>
    <n v="2.3497707860559398"/>
    <n v="3.34"/>
    <n v="6"/>
    <n v="0.2"/>
    <n v="3"/>
    <n v="1.425285344578048"/>
    <n v="0.60000000000000009"/>
    <x v="0"/>
    <n v="0"/>
    <n v="0"/>
    <n v="0.96508275197817595"/>
    <n v="0"/>
    <n v="4.9999999999998934E-3"/>
  </r>
  <r>
    <x v="1108"/>
    <n v="2.3452158200023101"/>
    <n v="3.34"/>
    <n v="7"/>
    <n v="0.2"/>
    <n v="4"/>
    <n v="1.89432850857851"/>
    <n v="0.8"/>
    <x v="1"/>
    <n v="2.3679106357231374"/>
    <n v="0.97208936427686243"/>
    <n v="0.97208936427686243"/>
    <n v="7.0066122986864876E-3"/>
    <n v="4.9999999999998934E-3"/>
  </r>
  <r>
    <x v="1109"/>
    <n v="2.3842872829241002"/>
    <n v="3.375"/>
    <n v="1"/>
    <n v="0.2"/>
    <n v="1"/>
    <n v="0.47685745658482004"/>
    <n v="0.2"/>
    <x v="0"/>
    <n v="0"/>
    <n v="0"/>
    <n v="0.97208936427686243"/>
    <n v="0"/>
    <n v="3.5000000000000142E-2"/>
  </r>
  <r>
    <x v="1110"/>
    <n v="2.4473125668689599"/>
    <n v="3.375"/>
    <n v="2"/>
    <n v="0.2"/>
    <n v="2"/>
    <n v="0.96631996995861202"/>
    <n v="0.4"/>
    <x v="0"/>
    <n v="0"/>
    <n v="0"/>
    <n v="0.97208936427686243"/>
    <n v="0"/>
    <n v="3.5000000000000142E-2"/>
  </r>
  <r>
    <x v="1111"/>
    <n v="2.44286053650336"/>
    <n v="3.375"/>
    <n v="5"/>
    <n v="0.2"/>
    <n v="3"/>
    <n v="1.4548920772592839"/>
    <n v="0.60000000000000009"/>
    <x v="0"/>
    <n v="0"/>
    <n v="0"/>
    <n v="0.97208936427686243"/>
    <n v="0"/>
    <n v="3.5000000000000142E-2"/>
  </r>
  <r>
    <x v="1112"/>
    <n v="2.4759496030778601"/>
    <n v="3.375"/>
    <n v="6"/>
    <n v="0.2"/>
    <n v="4"/>
    <n v="1.950081997874856"/>
    <n v="0.8"/>
    <x v="0"/>
    <n v="0"/>
    <n v="0"/>
    <n v="0.97208936427686243"/>
    <n v="0"/>
    <n v="3.5000000000000142E-2"/>
  </r>
  <r>
    <x v="1113"/>
    <n v="2.44524956278855"/>
    <n v="3.375"/>
    <n v="7"/>
    <n v="0.2"/>
    <n v="5"/>
    <n v="2.4391319104325659"/>
    <n v="1"/>
    <x v="1"/>
    <n v="2.4391319104325659"/>
    <n v="0.93586808956743406"/>
    <n v="0.93586808956743406"/>
    <n v="-3.6221274709428375E-2"/>
    <n v="3.5000000000000142E-2"/>
  </r>
  <r>
    <x v="1114"/>
    <n v="2.45404364191142"/>
    <n v="3.38"/>
    <n v="1"/>
    <n v="0.2"/>
    <n v="1"/>
    <n v="0.49080872838228401"/>
    <n v="0.2"/>
    <x v="0"/>
    <n v="0"/>
    <n v="0"/>
    <n v="0.93586808956743406"/>
    <n v="0"/>
    <n v="4.9999999999998934E-3"/>
  </r>
  <r>
    <x v="1115"/>
    <n v="2.45470500500842"/>
    <n v="3.38"/>
    <n v="2"/>
    <n v="0.2"/>
    <n v="2"/>
    <n v="0.98174972938396809"/>
    <n v="0.4"/>
    <x v="0"/>
    <n v="0"/>
    <n v="0"/>
    <n v="0.93586808956743406"/>
    <n v="0"/>
    <n v="4.9999999999998934E-3"/>
  </r>
  <r>
    <x v="1116"/>
    <n v="2.4705200282403998"/>
    <n v="3.38"/>
    <n v="5"/>
    <n v="0.2"/>
    <n v="3"/>
    <n v="1.475853735032048"/>
    <n v="0.60000000000000009"/>
    <x v="0"/>
    <n v="0"/>
    <n v="0"/>
    <n v="0.93586808956743406"/>
    <n v="0"/>
    <n v="4.9999999999998934E-3"/>
  </r>
  <r>
    <x v="1117"/>
    <n v="2.4677434570547199"/>
    <n v="3.38"/>
    <n v="6"/>
    <n v="0.2"/>
    <n v="4"/>
    <n v="1.9694024264429919"/>
    <n v="0.8"/>
    <x v="0"/>
    <n v="0"/>
    <n v="0"/>
    <n v="0.93586808956743406"/>
    <n v="0"/>
    <n v="4.9999999999998934E-3"/>
  </r>
  <r>
    <x v="1118"/>
    <n v="2.4472298243210799"/>
    <n v="3.38"/>
    <n v="7"/>
    <n v="0.2"/>
    <n v="5"/>
    <n v="2.4588483913072077"/>
    <n v="1"/>
    <x v="1"/>
    <n v="2.4588483913072077"/>
    <n v="0.92115160869279222"/>
    <n v="0.92115160869279222"/>
    <n v="-1.4716480874641835E-2"/>
    <n v="4.9999999999998934E-3"/>
  </r>
  <r>
    <x v="1119"/>
    <n v="2.4229898766104698"/>
    <n v="3.2949999999999999"/>
    <n v="1"/>
    <n v="0.2"/>
    <n v="1"/>
    <n v="0.48459797532209398"/>
    <n v="0.2"/>
    <x v="0"/>
    <n v="0"/>
    <n v="0"/>
    <n v="0.92115160869279222"/>
    <n v="0"/>
    <n v="-8.4999999999999964E-2"/>
  </r>
  <r>
    <x v="1120"/>
    <n v="2.35417709036851"/>
    <n v="3.2949999999999999"/>
    <n v="2"/>
    <n v="0.2"/>
    <n v="2"/>
    <n v="0.95543339339579592"/>
    <n v="0.4"/>
    <x v="0"/>
    <n v="0"/>
    <n v="0"/>
    <n v="0.92115160869279222"/>
    <n v="0"/>
    <n v="-8.4999999999999964E-2"/>
  </r>
  <r>
    <x v="1121"/>
    <n v="2.3204598577200901"/>
    <n v="3.2949999999999999"/>
    <n v="5"/>
    <n v="0.2"/>
    <n v="3"/>
    <n v="1.4195253649398141"/>
    <n v="0.60000000000000009"/>
    <x v="0"/>
    <n v="0"/>
    <n v="0"/>
    <n v="0.92115160869279222"/>
    <n v="0"/>
    <n v="-8.4999999999999964E-2"/>
  </r>
  <r>
    <x v="1122"/>
    <n v="2.3036095465699198"/>
    <n v="3.2949999999999999"/>
    <n v="6"/>
    <n v="0.2"/>
    <n v="4"/>
    <n v="1.8802472742537981"/>
    <n v="0.8"/>
    <x v="0"/>
    <n v="0"/>
    <n v="0"/>
    <n v="0.92115160869279222"/>
    <n v="0"/>
    <n v="-8.4999999999999964E-2"/>
  </r>
  <r>
    <x v="1123"/>
    <n v="2.3175565245512799"/>
    <n v="3.2949999999999999"/>
    <n v="7"/>
    <n v="0.2"/>
    <n v="5"/>
    <n v="2.3437585791640543"/>
    <n v="1"/>
    <x v="1"/>
    <n v="2.3437585791640543"/>
    <n v="0.95124142083594565"/>
    <n v="0.95124142083594565"/>
    <n v="3.0089812143153427E-2"/>
    <n v="-8.4999999999999964E-2"/>
  </r>
  <r>
    <x v="1124"/>
    <n v="2.3157936267169901"/>
    <n v="3.2949999999999999"/>
    <n v="1"/>
    <n v="0.2"/>
    <n v="1"/>
    <n v="0.46315872534339803"/>
    <n v="0.2"/>
    <x v="0"/>
    <n v="0"/>
    <n v="0"/>
    <n v="0.95124142083594565"/>
    <n v="0"/>
    <n v="0"/>
  </r>
  <r>
    <x v="1125"/>
    <n v="2.3450247275103502"/>
    <n v="3.2949999999999999"/>
    <n v="2"/>
    <n v="0.2"/>
    <n v="2"/>
    <n v="0.93216367084546814"/>
    <n v="0.4"/>
    <x v="0"/>
    <n v="0"/>
    <n v="0"/>
    <n v="0.95124142083594565"/>
    <n v="0"/>
    <n v="0"/>
  </r>
  <r>
    <x v="1126"/>
    <n v="2.3593230360377899"/>
    <n v="3.2949999999999999"/>
    <n v="5"/>
    <n v="0.2"/>
    <n v="3"/>
    <n v="1.4040282780530262"/>
    <n v="0.60000000000000009"/>
    <x v="0"/>
    <n v="0"/>
    <n v="0"/>
    <n v="0.95124142083594565"/>
    <n v="0"/>
    <n v="0"/>
  </r>
  <r>
    <x v="1127"/>
    <n v="2.4007367882510802"/>
    <n v="3.2949999999999999"/>
    <n v="6"/>
    <n v="0.2"/>
    <n v="4"/>
    <n v="1.8841756357032422"/>
    <n v="0.8"/>
    <x v="0"/>
    <n v="0"/>
    <n v="0"/>
    <n v="0.95124142083594565"/>
    <n v="0"/>
    <n v="0"/>
  </r>
  <r>
    <x v="1128"/>
    <n v="2.4230964984502701"/>
    <n v="3.2949999999999999"/>
    <n v="7"/>
    <n v="0.2"/>
    <n v="5"/>
    <n v="2.3687949353932964"/>
    <n v="1"/>
    <x v="1"/>
    <n v="2.3687949353932964"/>
    <n v="0.92620506460670349"/>
    <n v="0.92620506460670349"/>
    <n v="-2.5036356229242163E-2"/>
    <n v="0"/>
  </r>
  <r>
    <x v="1129"/>
    <n v="2.4425561319038702"/>
    <n v="3.37"/>
    <n v="1"/>
    <n v="0.2"/>
    <n v="1"/>
    <n v="0.48851122638077404"/>
    <n v="0.2"/>
    <x v="0"/>
    <n v="0"/>
    <n v="0"/>
    <n v="0.92620506460670349"/>
    <n v="0"/>
    <n v="7.5000000000000178E-2"/>
  </r>
  <r>
    <x v="1130"/>
    <n v="2.4494735846374298"/>
    <n v="3.37"/>
    <n v="2"/>
    <n v="0.2"/>
    <n v="2"/>
    <n v="0.97840594330826003"/>
    <n v="0.4"/>
    <x v="0"/>
    <n v="0"/>
    <n v="0"/>
    <n v="0.92620506460670349"/>
    <n v="0"/>
    <n v="7.5000000000000178E-2"/>
  </r>
  <r>
    <x v="1131"/>
    <n v="2.4735241202306701"/>
    <n v="3.37"/>
    <n v="6"/>
    <n v="0.2"/>
    <n v="3"/>
    <n v="1.4731107673543939"/>
    <n v="0.60000000000000009"/>
    <x v="0"/>
    <n v="0"/>
    <n v="0"/>
    <n v="0.92620506460670349"/>
    <n v="0"/>
    <n v="7.5000000000000178E-2"/>
  </r>
  <r>
    <x v="1132"/>
    <n v="2.49089475229058"/>
    <n v="3.37"/>
    <n v="7"/>
    <n v="0.2"/>
    <n v="4"/>
    <n v="1.9712897178125099"/>
    <n v="0.8"/>
    <x v="1"/>
    <n v="2.4641121472656371"/>
    <n v="0.90588785273436301"/>
    <n v="0.90588785273436301"/>
    <n v="-2.0317211872340479E-2"/>
    <n v="7.5000000000000178E-2"/>
  </r>
  <r>
    <x v="1133"/>
    <n v="2.4566708605099099"/>
    <n v="3.395"/>
    <n v="1"/>
    <n v="0.2"/>
    <n v="1"/>
    <n v="0.49133417210198199"/>
    <n v="0.2"/>
    <x v="0"/>
    <n v="0"/>
    <n v="0"/>
    <n v="0.90588785273436301"/>
    <n v="0"/>
    <n v="2.4999999999999911E-2"/>
  </r>
  <r>
    <x v="1134"/>
    <n v="2.5031538447013899"/>
    <n v="3.395"/>
    <n v="2"/>
    <n v="0.2"/>
    <n v="2"/>
    <n v="0.99196494104225996"/>
    <n v="0.4"/>
    <x v="0"/>
    <n v="0"/>
    <n v="0"/>
    <n v="0.90588785273436301"/>
    <n v="0"/>
    <n v="2.4999999999999911E-2"/>
  </r>
  <r>
    <x v="1135"/>
    <n v="2.48665049817154"/>
    <n v="3.395"/>
    <n v="5"/>
    <n v="0.2"/>
    <n v="3"/>
    <n v="1.4892950406765679"/>
    <n v="0.60000000000000009"/>
    <x v="0"/>
    <n v="0"/>
    <n v="0"/>
    <n v="0.90588785273436301"/>
    <n v="0"/>
    <n v="2.4999999999999911E-2"/>
  </r>
  <r>
    <x v="1136"/>
    <n v="2.46551867128733"/>
    <n v="3.395"/>
    <n v="6"/>
    <n v="0.2"/>
    <n v="4"/>
    <n v="1.9823987749340339"/>
    <n v="0.8"/>
    <x v="0"/>
    <n v="0"/>
    <n v="0"/>
    <n v="0.90588785273436301"/>
    <n v="0"/>
    <n v="2.4999999999999911E-2"/>
  </r>
  <r>
    <x v="1137"/>
    <n v="2.4639577006004401"/>
    <n v="3.395"/>
    <n v="7"/>
    <n v="0.2"/>
    <n v="5"/>
    <n v="2.4751903150541219"/>
    <n v="1"/>
    <x v="1"/>
    <n v="2.4751903150541219"/>
    <n v="0.91980968494587811"/>
    <n v="0.91980968494587811"/>
    <n v="1.3921832211515106E-2"/>
    <n v="2.4999999999999911E-2"/>
  </r>
  <r>
    <x v="1138"/>
    <n v="2.45827138639036"/>
    <n v="3.37"/>
    <n v="1"/>
    <n v="0.2"/>
    <n v="1"/>
    <n v="0.49165427727807204"/>
    <n v="0.2"/>
    <x v="0"/>
    <n v="0"/>
    <n v="0"/>
    <n v="0.91980968494587811"/>
    <n v="0"/>
    <n v="-2.4999999999999911E-2"/>
  </r>
  <r>
    <x v="1139"/>
    <n v="2.4486777045586599"/>
    <n v="3.37"/>
    <n v="2"/>
    <n v="0.2"/>
    <n v="2"/>
    <n v="0.98138981818980398"/>
    <n v="0.4"/>
    <x v="0"/>
    <n v="0"/>
    <n v="0"/>
    <n v="0.91980968494587811"/>
    <n v="0"/>
    <n v="-2.4999999999999911E-2"/>
  </r>
  <r>
    <x v="1140"/>
    <n v="2.46526496945889"/>
    <n v="3.37"/>
    <n v="5"/>
    <n v="0.2"/>
    <n v="3"/>
    <n v="1.474442812081582"/>
    <n v="0.60000000000000009"/>
    <x v="0"/>
    <n v="0"/>
    <n v="0"/>
    <n v="0.91980968494587811"/>
    <n v="0"/>
    <n v="-2.4999999999999911E-2"/>
  </r>
  <r>
    <x v="1141"/>
    <n v="2.4661306434007502"/>
    <n v="3.37"/>
    <n v="6"/>
    <n v="0.2"/>
    <n v="4"/>
    <n v="1.967668940761732"/>
    <n v="0.8"/>
    <x v="0"/>
    <n v="0"/>
    <n v="0"/>
    <n v="0.91980968494587811"/>
    <n v="0"/>
    <n v="-2.4999999999999911E-2"/>
  </r>
  <r>
    <x v="1142"/>
    <n v="2.4860574973773799"/>
    <n v="3.37"/>
    <n v="7"/>
    <n v="0.2"/>
    <n v="5"/>
    <n v="2.464880440237208"/>
    <n v="1"/>
    <x v="1"/>
    <n v="2.464880440237208"/>
    <n v="0.90511955976279213"/>
    <n v="0.90511955976279213"/>
    <n v="-1.4690125183085989E-2"/>
    <n v="-2.4999999999999911E-2"/>
  </r>
  <r>
    <x v="1143"/>
    <n v="2.5299104688545802"/>
    <n v="3.415"/>
    <n v="1"/>
    <n v="0.2"/>
    <n v="1"/>
    <n v="0.50598209377091607"/>
    <n v="0.2"/>
    <x v="0"/>
    <n v="0"/>
    <n v="0"/>
    <n v="0.90511955976279213"/>
    <n v="0"/>
    <n v="4.4999999999999929E-2"/>
  </r>
  <r>
    <x v="1144"/>
    <n v="2.53316437266355"/>
    <n v="3.415"/>
    <n v="2"/>
    <n v="0.2"/>
    <n v="2"/>
    <n v="1.0126149683036261"/>
    <n v="0.4"/>
    <x v="0"/>
    <n v="0"/>
    <n v="0"/>
    <n v="0.90511955976279213"/>
    <n v="0"/>
    <n v="4.4999999999999929E-2"/>
  </r>
  <r>
    <x v="1145"/>
    <n v="2.5336094696522"/>
    <n v="3.415"/>
    <n v="5"/>
    <n v="0.2"/>
    <n v="3"/>
    <n v="1.5193368622340659"/>
    <n v="0.60000000000000009"/>
    <x v="0"/>
    <n v="0"/>
    <n v="0"/>
    <n v="0.90511955976279213"/>
    <n v="0"/>
    <n v="4.4999999999999929E-2"/>
  </r>
  <r>
    <x v="1146"/>
    <n v="2.5296440225789101"/>
    <n v="3.415"/>
    <n v="6"/>
    <n v="0.2"/>
    <n v="4"/>
    <n v="2.0252656667498479"/>
    <n v="0.8"/>
    <x v="0"/>
    <n v="0"/>
    <n v="0"/>
    <n v="0.90511955976279213"/>
    <n v="0"/>
    <n v="4.4999999999999929E-2"/>
  </r>
  <r>
    <x v="1147"/>
    <n v="2.52426864553397"/>
    <n v="3.415"/>
    <n v="7"/>
    <n v="0.2"/>
    <n v="5"/>
    <n v="2.5301193958566417"/>
    <n v="1"/>
    <x v="1"/>
    <n v="2.5301193958566417"/>
    <n v="0.88488060414335834"/>
    <n v="0.88488060414335834"/>
    <n v="-2.0238955619433785E-2"/>
    <n v="4.4999999999999929E-2"/>
  </r>
  <r>
    <x v="1148"/>
    <n v="2.53251832650023"/>
    <n v="3.4449999999999998"/>
    <n v="1"/>
    <n v="0.2"/>
    <n v="1"/>
    <n v="0.50650366530004598"/>
    <n v="0.2"/>
    <x v="0"/>
    <n v="0"/>
    <n v="0"/>
    <n v="0.88488060414335834"/>
    <n v="0"/>
    <n v="2.9999999999999805E-2"/>
  </r>
  <r>
    <x v="1149"/>
    <n v="2.5169810735830902"/>
    <n v="3.4449999999999998"/>
    <n v="2"/>
    <n v="0.2"/>
    <n v="2"/>
    <n v="1.0098998800166641"/>
    <n v="0.4"/>
    <x v="0"/>
    <n v="0"/>
    <n v="0"/>
    <n v="0.88488060414335834"/>
    <n v="0"/>
    <n v="2.9999999999999805E-2"/>
  </r>
  <r>
    <x v="1150"/>
    <n v="2.5437510721177499"/>
    <n v="3.4449999999999998"/>
    <n v="5"/>
    <n v="0.2"/>
    <n v="3"/>
    <n v="1.5186500944402139"/>
    <n v="0.60000000000000009"/>
    <x v="0"/>
    <n v="0"/>
    <n v="0"/>
    <n v="0.88488060414335834"/>
    <n v="0"/>
    <n v="2.9999999999999805E-2"/>
  </r>
  <r>
    <x v="1151"/>
    <n v="2.5815492501069399"/>
    <n v="3.4449999999999998"/>
    <n v="6"/>
    <n v="0.2"/>
    <n v="4"/>
    <n v="2.034959944461602"/>
    <n v="0.8"/>
    <x v="0"/>
    <n v="0"/>
    <n v="0"/>
    <n v="0.88488060414335834"/>
    <n v="0"/>
    <n v="2.9999999999999805E-2"/>
  </r>
  <r>
    <x v="1152"/>
    <n v="2.7578334689679198"/>
    <n v="3.4449999999999998"/>
    <n v="7"/>
    <n v="0.2"/>
    <n v="5"/>
    <n v="2.5865266382551861"/>
    <n v="1"/>
    <x v="1"/>
    <n v="2.5865266382551861"/>
    <n v="0.8584733617448137"/>
    <n v="0.8584733617448137"/>
    <n v="-2.6407242398544639E-2"/>
    <n v="2.9999999999999805E-2"/>
  </r>
  <r>
    <x v="1153"/>
    <n v="2.8203429128505602"/>
    <n v="3.8149999999999999"/>
    <n v="1"/>
    <n v="0.2"/>
    <n v="1"/>
    <n v="0.56406858257011205"/>
    <n v="0.2"/>
    <x v="0"/>
    <n v="0"/>
    <n v="0"/>
    <n v="0.8584733617448137"/>
    <n v="0"/>
    <n v="0.37000000000000011"/>
  </r>
  <r>
    <x v="1154"/>
    <n v="2.9518507510638798"/>
    <n v="3.8149999999999999"/>
    <n v="5"/>
    <n v="0.2"/>
    <n v="2"/>
    <n v="1.154438732782888"/>
    <n v="0.4"/>
    <x v="0"/>
    <n v="0"/>
    <n v="0"/>
    <n v="0.8584733617448137"/>
    <n v="0"/>
    <n v="0.37000000000000011"/>
  </r>
  <r>
    <x v="1155"/>
    <n v="2.938815281358"/>
    <n v="3.8149999999999999"/>
    <n v="6"/>
    <n v="0.2"/>
    <n v="3"/>
    <n v="1.7422017890544881"/>
    <n v="0.60000000000000009"/>
    <x v="0"/>
    <n v="0"/>
    <n v="0"/>
    <n v="0.8584733617448137"/>
    <n v="0"/>
    <n v="0.37000000000000011"/>
  </r>
  <r>
    <x v="1156"/>
    <n v="2.9180541697648699"/>
    <n v="3.8149999999999999"/>
    <n v="7"/>
    <n v="0.2"/>
    <n v="4"/>
    <n v="2.3258126230074621"/>
    <n v="0.8"/>
    <x v="1"/>
    <n v="2.9072657787593275"/>
    <n v="0.90773422124067249"/>
    <n v="0.90773422124067249"/>
    <n v="4.9260859495858789E-2"/>
    <n v="0.37000000000000011"/>
  </r>
  <r>
    <x v="1157"/>
    <n v="2.9579353811966902"/>
    <n v="3.9050000000000002"/>
    <n v="1"/>
    <n v="0.2"/>
    <n v="1"/>
    <n v="0.59158707623933804"/>
    <n v="0.2"/>
    <x v="0"/>
    <n v="0"/>
    <n v="0"/>
    <n v="0.90773422124067249"/>
    <n v="0"/>
    <n v="9.0000000000000302E-2"/>
  </r>
  <r>
    <x v="1158"/>
    <n v="3.03169131774919"/>
    <n v="3.9050000000000002"/>
    <n v="2"/>
    <n v="0.2"/>
    <n v="2"/>
    <n v="1.197925339789176"/>
    <n v="0.4"/>
    <x v="0"/>
    <n v="0"/>
    <n v="0"/>
    <n v="0.90773422124067249"/>
    <n v="0"/>
    <n v="9.0000000000000302E-2"/>
  </r>
  <r>
    <x v="1159"/>
    <n v="3.0422928996340901"/>
    <n v="3.9050000000000002"/>
    <n v="5"/>
    <n v="0.2"/>
    <n v="3"/>
    <n v="1.8063839197159941"/>
    <n v="0.60000000000000009"/>
    <x v="0"/>
    <n v="0"/>
    <n v="0"/>
    <n v="0.90773422124067249"/>
    <n v="0"/>
    <n v="9.0000000000000302E-2"/>
  </r>
  <r>
    <x v="1160"/>
    <n v="3.0253759468796799"/>
    <n v="3.9050000000000002"/>
    <n v="6"/>
    <n v="0.2"/>
    <n v="4"/>
    <n v="2.41145910909193"/>
    <n v="0.8"/>
    <x v="0"/>
    <n v="0"/>
    <n v="0"/>
    <n v="0.90773422124067249"/>
    <n v="0"/>
    <n v="9.0000000000000302E-2"/>
  </r>
  <r>
    <x v="1161"/>
    <n v="3.0811413392722198"/>
    <n v="3.9050000000000002"/>
    <n v="7"/>
    <n v="0.2"/>
    <n v="5"/>
    <n v="3.0276873769463739"/>
    <n v="1"/>
    <x v="1"/>
    <n v="3.0276873769463739"/>
    <n v="0.87731262305362634"/>
    <n v="0.87731262305362634"/>
    <n v="-3.042159818704615E-2"/>
    <n v="9.0000000000000302E-2"/>
  </r>
  <r>
    <x v="1162"/>
    <n v="3.1125235634348298"/>
    <n v="3.9550000000000001"/>
    <n v="2"/>
    <n v="0.2"/>
    <n v="1"/>
    <n v="0.62250471268696606"/>
    <n v="0.2"/>
    <x v="0"/>
    <n v="0"/>
    <n v="0"/>
    <n v="0.87731262305362634"/>
    <n v="0"/>
    <n v="4.9999999999999822E-2"/>
  </r>
  <r>
    <x v="1163"/>
    <n v="3.0232721749517699"/>
    <n v="3.9550000000000001"/>
    <n v="5"/>
    <n v="0.2"/>
    <n v="2"/>
    <n v="1.22715914767732"/>
    <n v="0.4"/>
    <x v="0"/>
    <n v="0"/>
    <n v="0"/>
    <n v="0.87731262305362634"/>
    <n v="0"/>
    <n v="4.9999999999999822E-2"/>
  </r>
  <r>
    <x v="1164"/>
    <n v="3.0032104294376101"/>
    <n v="3.9550000000000001"/>
    <n v="6"/>
    <n v="0.2"/>
    <n v="3"/>
    <n v="1.8278012335648421"/>
    <n v="0.60000000000000009"/>
    <x v="0"/>
    <n v="0"/>
    <n v="0"/>
    <n v="0.87731262305362634"/>
    <n v="0"/>
    <n v="4.9999999999999822E-2"/>
  </r>
  <r>
    <x v="1165"/>
    <n v="3.0600031389564002"/>
    <n v="3.9550000000000001"/>
    <n v="7"/>
    <n v="0.2"/>
    <n v="4"/>
    <n v="2.4398018613561221"/>
    <n v="0.8"/>
    <x v="1"/>
    <n v="3.0497523266951525"/>
    <n v="0.90524767330484757"/>
    <n v="0.90524767330484757"/>
    <n v="2.7935050251221227E-2"/>
    <n v="4.9999999999999822E-2"/>
  </r>
  <r>
    <x v="1166"/>
    <n v="3.13599610528588"/>
    <n v="4.0049999999999999"/>
    <n v="1"/>
    <n v="0.2"/>
    <n v="1"/>
    <n v="0.62719922105717607"/>
    <n v="0.2"/>
    <x v="0"/>
    <n v="0"/>
    <n v="0"/>
    <n v="0.90524767330484757"/>
    <n v="0"/>
    <n v="4.9999999999999822E-2"/>
  </r>
  <r>
    <x v="1167"/>
    <n v="3.0833533421517099"/>
    <n v="4.0049999999999999"/>
    <n v="2"/>
    <n v="0.2"/>
    <n v="2"/>
    <n v="1.243869889487518"/>
    <n v="0.4"/>
    <x v="0"/>
    <n v="0"/>
    <n v="0"/>
    <n v="0.90524767330484757"/>
    <n v="0"/>
    <n v="4.9999999999999822E-2"/>
  </r>
  <r>
    <x v="1168"/>
    <n v="3.0836284241838401"/>
    <n v="4.0049999999999999"/>
    <n v="5"/>
    <n v="0.2"/>
    <n v="3"/>
    <n v="1.8605955743242859"/>
    <n v="0.60000000000000009"/>
    <x v="0"/>
    <n v="0"/>
    <n v="0"/>
    <n v="0.90524767330484757"/>
    <n v="0"/>
    <n v="4.9999999999999822E-2"/>
  </r>
  <r>
    <x v="1169"/>
    <n v="3.0839441300707402"/>
    <n v="4.0049999999999999"/>
    <n v="6"/>
    <n v="0.2"/>
    <n v="4"/>
    <n v="2.4773844003384342"/>
    <n v="0.8"/>
    <x v="0"/>
    <n v="0"/>
    <n v="0"/>
    <n v="0.90524767330484757"/>
    <n v="0"/>
    <n v="4.9999999999999822E-2"/>
  </r>
  <r>
    <x v="1170"/>
    <n v="3.0288108885972802"/>
    <n v="4.0049999999999999"/>
    <n v="7"/>
    <n v="0.2"/>
    <n v="5"/>
    <n v="3.0831465780578902"/>
    <n v="1"/>
    <x v="1"/>
    <n v="3.0831465780578902"/>
    <n v="0.92185342194210973"/>
    <n v="0.92185342194210973"/>
    <n v="1.6605748637262163E-2"/>
    <n v="4.9999999999999822E-2"/>
  </r>
  <r>
    <x v="1171"/>
    <n v="3.05722705621156"/>
    <n v="4.0350000000000001"/>
    <n v="1"/>
    <n v="0.2"/>
    <n v="1"/>
    <n v="0.611445411242312"/>
    <n v="0.2"/>
    <x v="0"/>
    <n v="0"/>
    <n v="0"/>
    <n v="0.92185342194210973"/>
    <n v="0"/>
    <n v="3.0000000000000249E-2"/>
  </r>
  <r>
    <x v="1172"/>
    <n v="3.1428652362036398"/>
    <n v="4.0350000000000001"/>
    <n v="2"/>
    <n v="0.2"/>
    <n v="2"/>
    <n v="1.24001845848304"/>
    <n v="0.4"/>
    <x v="0"/>
    <n v="0"/>
    <n v="0"/>
    <n v="0.92185342194210973"/>
    <n v="0"/>
    <n v="3.0000000000000249E-2"/>
  </r>
  <r>
    <x v="1173"/>
    <n v="3.1502344995912401"/>
    <n v="4.0350000000000001"/>
    <n v="5"/>
    <n v="0.2"/>
    <n v="3"/>
    <n v="1.8700653584012881"/>
    <n v="0.60000000000000009"/>
    <x v="0"/>
    <n v="0"/>
    <n v="0"/>
    <n v="0.92185342194210973"/>
    <n v="0"/>
    <n v="3.0000000000000249E-2"/>
  </r>
  <r>
    <x v="1174"/>
    <n v="3.1621575354435998"/>
    <n v="4.0350000000000001"/>
    <n v="6"/>
    <n v="0.2"/>
    <n v="4"/>
    <n v="2.5024968654900079"/>
    <n v="0.8"/>
    <x v="0"/>
    <n v="0"/>
    <n v="0"/>
    <n v="0.92185342194210973"/>
    <n v="0"/>
    <n v="3.0000000000000249E-2"/>
  </r>
  <r>
    <x v="1175"/>
    <n v="3.2178280594971298"/>
    <n v="4.0350000000000001"/>
    <n v="7"/>
    <n v="0.2"/>
    <n v="5"/>
    <n v="3.1460624773894339"/>
    <n v="1"/>
    <x v="1"/>
    <n v="3.1460624773894339"/>
    <n v="0.88893752261056624"/>
    <n v="0.88893752261056624"/>
    <n v="-3.2915899331543486E-2"/>
    <n v="3.0000000000000249E-2"/>
  </r>
  <r>
    <x v="1176"/>
    <n v="3.3050524395001402"/>
    <n v="4.1749999999999998"/>
    <n v="1"/>
    <n v="0.2"/>
    <n v="1"/>
    <n v="0.66101048790002803"/>
    <n v="0.2"/>
    <x v="0"/>
    <n v="0"/>
    <n v="0"/>
    <n v="0.88893752261056624"/>
    <n v="0"/>
    <n v="0.13999999999999968"/>
  </r>
  <r>
    <x v="1177"/>
    <n v="3.3305211408689099"/>
    <n v="4.1749999999999998"/>
    <n v="2"/>
    <n v="0.2"/>
    <n v="2"/>
    <n v="1.3271147160738099"/>
    <n v="0.4"/>
    <x v="0"/>
    <n v="0"/>
    <n v="0"/>
    <n v="0.88893752261056624"/>
    <n v="0"/>
    <n v="0.13999999999999968"/>
  </r>
  <r>
    <x v="1178"/>
    <n v="3.2735630913423499"/>
    <n v="4.1749999999999998"/>
    <n v="5"/>
    <n v="0.2"/>
    <n v="3"/>
    <n v="1.9818273343422801"/>
    <n v="0.60000000000000009"/>
    <x v="0"/>
    <n v="0"/>
    <n v="0"/>
    <n v="0.88893752261056624"/>
    <n v="0"/>
    <n v="0.13999999999999968"/>
  </r>
  <r>
    <x v="1179"/>
    <n v="3.2884025896165299"/>
    <n v="4.1749999999999998"/>
    <n v="6"/>
    <n v="0.2"/>
    <n v="4"/>
    <n v="2.6395078522655862"/>
    <n v="0.8"/>
    <x v="0"/>
    <n v="0"/>
    <n v="0"/>
    <n v="0.88893752261056624"/>
    <n v="0"/>
    <n v="0.13999999999999968"/>
  </r>
  <r>
    <x v="1180"/>
    <n v="3.25892031354691"/>
    <n v="4.1749999999999998"/>
    <n v="7"/>
    <n v="0.2"/>
    <n v="5"/>
    <n v="3.291291914974968"/>
    <n v="1"/>
    <x v="1"/>
    <n v="3.291291914974968"/>
    <n v="0.88370808502503184"/>
    <n v="0.88370808502503184"/>
    <n v="-5.2294375855344022E-3"/>
    <n v="0.13999999999999968"/>
  </r>
  <r>
    <x v="1181"/>
    <n v="3.2544954518988001"/>
    <n v="4.1950000000000003"/>
    <n v="1"/>
    <n v="0.2"/>
    <n v="1"/>
    <n v="0.65089909037976001"/>
    <n v="0.2"/>
    <x v="0"/>
    <n v="0"/>
    <n v="0"/>
    <n v="0.88370808502503184"/>
    <n v="0"/>
    <n v="2.0000000000000462E-2"/>
  </r>
  <r>
    <x v="1182"/>
    <n v="3.25541429686829"/>
    <n v="4.1950000000000003"/>
    <n v="2"/>
    <n v="0.2"/>
    <n v="2"/>
    <n v="1.3019819497534182"/>
    <n v="0.4"/>
    <x v="0"/>
    <n v="0"/>
    <n v="0"/>
    <n v="0.88370808502503184"/>
    <n v="0"/>
    <n v="2.0000000000000462E-2"/>
  </r>
  <r>
    <x v="1183"/>
    <n v="3.2725828232051102"/>
    <n v="4.1950000000000003"/>
    <n v="6"/>
    <n v="0.2"/>
    <n v="3"/>
    <n v="1.9564985143944402"/>
    <n v="0.60000000000000009"/>
    <x v="0"/>
    <n v="0"/>
    <n v="0"/>
    <n v="0.88370808502503184"/>
    <n v="0"/>
    <n v="2.0000000000000462E-2"/>
  </r>
  <r>
    <x v="1184"/>
    <n v="3.2082776514321698"/>
    <n v="4.1950000000000003"/>
    <n v="7"/>
    <n v="0.2"/>
    <n v="4"/>
    <n v="2.5981540446808742"/>
    <n v="0.8"/>
    <x v="1"/>
    <n v="3.2476925558510925"/>
    <n v="0.94730744414890777"/>
    <n v="0.94730744414890777"/>
    <n v="6.3599359123875931E-2"/>
    <n v="2.0000000000000462E-2"/>
  </r>
  <r>
    <x v="1185"/>
    <n v="3.1554338932112498"/>
    <n v="4.0750000000000002"/>
    <n v="1"/>
    <n v="0.2"/>
    <n v="1"/>
    <n v="0.63108677864225005"/>
    <n v="0.2"/>
    <x v="0"/>
    <n v="0"/>
    <n v="0"/>
    <n v="0.94730744414890777"/>
    <n v="0"/>
    <n v="-0.12000000000000011"/>
  </r>
  <r>
    <x v="1186"/>
    <n v="3.0949306211781802"/>
    <n v="4.0750000000000002"/>
    <n v="2"/>
    <n v="0.2"/>
    <n v="2"/>
    <n v="1.2500729028778861"/>
    <n v="0.4"/>
    <x v="0"/>
    <n v="0"/>
    <n v="0"/>
    <n v="0.94730744414890777"/>
    <n v="0"/>
    <n v="-0.12000000000000011"/>
  </r>
  <r>
    <x v="1187"/>
    <n v="3.1214715085485301"/>
    <n v="4.0750000000000002"/>
    <n v="6"/>
    <n v="0.2"/>
    <n v="3"/>
    <n v="1.8743672045875921"/>
    <n v="0.60000000000000009"/>
    <x v="0"/>
    <n v="0"/>
    <n v="0"/>
    <n v="0.94730744414890777"/>
    <n v="0"/>
    <n v="-0.12000000000000011"/>
  </r>
  <r>
    <x v="1188"/>
    <n v="3.1384996351244299"/>
    <n v="4.0750000000000002"/>
    <n v="7"/>
    <n v="0.2"/>
    <n v="4"/>
    <n v="2.5020671316124781"/>
    <n v="0.8"/>
    <x v="1"/>
    <n v="3.1275839145155975"/>
    <n v="0.9474160854844027"/>
    <n v="0.9474160854844027"/>
    <n v="1.0864133549493005E-4"/>
    <n v="-0.12000000000000011"/>
  </r>
  <r>
    <x v="1189"/>
    <n v="3.0451114987111199"/>
    <n v="3.9950000000000001"/>
    <n v="1"/>
    <n v="0.2"/>
    <n v="1"/>
    <n v="0.60902229974222399"/>
    <n v="0.2"/>
    <x v="0"/>
    <n v="0"/>
    <n v="0"/>
    <n v="0.9474160854844027"/>
    <n v="0"/>
    <n v="-8.0000000000000071E-2"/>
  </r>
  <r>
    <x v="1190"/>
    <n v="3.1031472109984501"/>
    <n v="3.9950000000000001"/>
    <n v="2"/>
    <n v="0.2"/>
    <n v="2"/>
    <n v="1.2296517419419142"/>
    <n v="0.4"/>
    <x v="0"/>
    <n v="0"/>
    <n v="0"/>
    <n v="0.9474160854844027"/>
    <n v="0"/>
    <n v="-8.0000000000000071E-2"/>
  </r>
  <r>
    <x v="1191"/>
    <n v="3.0761940067362201"/>
    <n v="3.9950000000000001"/>
    <n v="5"/>
    <n v="0.2"/>
    <n v="3"/>
    <n v="1.8448905432891582"/>
    <n v="0.60000000000000009"/>
    <x v="0"/>
    <n v="0"/>
    <n v="0"/>
    <n v="0.9474160854844027"/>
    <n v="0"/>
    <n v="-8.0000000000000071E-2"/>
  </r>
  <r>
    <x v="1192"/>
    <n v="3.0731891921219798"/>
    <n v="3.9950000000000001"/>
    <n v="6"/>
    <n v="0.2"/>
    <n v="4"/>
    <n v="2.4595283817135543"/>
    <n v="0.8"/>
    <x v="0"/>
    <n v="0"/>
    <n v="0"/>
    <n v="0.9474160854844027"/>
    <n v="0"/>
    <n v="-8.0000000000000071E-2"/>
  </r>
  <r>
    <x v="1193"/>
    <n v="3.05308577181211"/>
    <n v="3.9950000000000001"/>
    <n v="7"/>
    <n v="0.2"/>
    <n v="5"/>
    <n v="3.0701455360759762"/>
    <n v="1"/>
    <x v="1"/>
    <n v="3.0701455360759762"/>
    <n v="0.92485446392402393"/>
    <n v="0.92485446392402393"/>
    <n v="-2.2561621560378775E-2"/>
    <n v="-8.0000000000000071E-2"/>
  </r>
  <r>
    <x v="1194"/>
    <n v="3.0490468852483001"/>
    <n v="3.9649999999999999"/>
    <n v="1"/>
    <n v="0.2"/>
    <n v="1"/>
    <n v="0.6098093770496601"/>
    <n v="0.2"/>
    <x v="0"/>
    <n v="0"/>
    <n v="0"/>
    <n v="0.92485446392402393"/>
    <n v="0"/>
    <n v="-3.0000000000000249E-2"/>
  </r>
  <r>
    <x v="1195"/>
    <n v="3.0821770129948698"/>
    <n v="3.9649999999999999"/>
    <n v="2"/>
    <n v="0.2"/>
    <n v="2"/>
    <n v="1.226244779648634"/>
    <n v="0.4"/>
    <x v="0"/>
    <n v="0"/>
    <n v="0"/>
    <n v="0.92485446392402393"/>
    <n v="0"/>
    <n v="-3.0000000000000249E-2"/>
  </r>
  <r>
    <x v="1196"/>
    <n v="3.03783768226076"/>
    <n v="3.9649999999999999"/>
    <n v="6"/>
    <n v="0.2"/>
    <n v="3"/>
    <n v="1.833812316100786"/>
    <n v="0.60000000000000009"/>
    <x v="0"/>
    <n v="0"/>
    <n v="0"/>
    <n v="0.92485446392402393"/>
    <n v="0"/>
    <n v="-3.0000000000000249E-2"/>
  </r>
  <r>
    <x v="1197"/>
    <n v="3.1230464878989399"/>
    <n v="3.9649999999999999"/>
    <n v="7"/>
    <n v="0.2"/>
    <n v="4"/>
    <n v="2.4584216136805739"/>
    <n v="0.8"/>
    <x v="1"/>
    <n v="3.073027017100717"/>
    <n v="0.89197298289928284"/>
    <n v="0.89197298289928284"/>
    <n v="-3.2881481024741088E-2"/>
    <n v="-3.0000000000000249E-2"/>
  </r>
  <r>
    <x v="1198"/>
    <n v="3.1861069346241799"/>
    <n v="4.04"/>
    <n v="1"/>
    <n v="0.2"/>
    <n v="1"/>
    <n v="0.63722138692483599"/>
    <n v="0.2"/>
    <x v="0"/>
    <n v="0"/>
    <n v="0"/>
    <n v="0.89197298289928284"/>
    <n v="0"/>
    <n v="7.5000000000000178E-2"/>
  </r>
  <r>
    <x v="1199"/>
    <n v="3.1835668268230601"/>
    <n v="4.04"/>
    <n v="2"/>
    <n v="0.2"/>
    <n v="2"/>
    <n v="1.2739347522894482"/>
    <n v="0.4"/>
    <x v="0"/>
    <n v="0"/>
    <n v="0"/>
    <n v="0.89197298289928284"/>
    <n v="0"/>
    <n v="7.5000000000000178E-2"/>
  </r>
  <r>
    <x v="1200"/>
    <n v="3.11336724887106"/>
    <n v="4.04"/>
    <n v="5"/>
    <n v="0.2"/>
    <n v="3"/>
    <n v="1.8966082020636601"/>
    <n v="0.60000000000000009"/>
    <x v="0"/>
    <n v="0"/>
    <n v="0"/>
    <n v="0.89197298289928284"/>
    <n v="0"/>
    <n v="7.5000000000000178E-2"/>
  </r>
  <r>
    <x v="1201"/>
    <n v="3.1829132943818701"/>
    <n v="4.04"/>
    <n v="6"/>
    <n v="0.2"/>
    <n v="4"/>
    <n v="2.5331908609400342"/>
    <n v="0.8"/>
    <x v="0"/>
    <n v="0"/>
    <n v="0"/>
    <n v="0.89197298289928284"/>
    <n v="0"/>
    <n v="7.5000000000000178E-2"/>
  </r>
  <r>
    <x v="1202"/>
    <n v="3.2322949335607598"/>
    <n v="4.04"/>
    <n v="7"/>
    <n v="0.2"/>
    <n v="5"/>
    <n v="3.1796498476521862"/>
    <n v="1"/>
    <x v="1"/>
    <n v="3.1796498476521862"/>
    <n v="0.86035015234781387"/>
    <n v="0.86035015234781387"/>
    <n v="-3.1622830551468972E-2"/>
    <n v="7.5000000000000178E-2"/>
  </r>
  <r>
    <x v="1203"/>
    <n v="3.2180488774769902"/>
    <n v="4.0650000000000004"/>
    <n v="1"/>
    <n v="0.2"/>
    <n v="1"/>
    <n v="0.64360977549539811"/>
    <n v="0.2"/>
    <x v="0"/>
    <n v="0"/>
    <n v="0"/>
    <n v="0.86035015234781387"/>
    <n v="0"/>
    <n v="2.5000000000000355E-2"/>
  </r>
  <r>
    <x v="1204"/>
    <n v="3.19076268089509"/>
    <n v="4.0650000000000004"/>
    <n v="2"/>
    <n v="0.2"/>
    <n v="2"/>
    <n v="1.2817623116744161"/>
    <n v="0.4"/>
    <x v="0"/>
    <n v="0"/>
    <n v="0"/>
    <n v="0.86035015234781387"/>
    <n v="0"/>
    <n v="2.5000000000000355E-2"/>
  </r>
  <r>
    <x v="1205"/>
    <n v="3.1841018118348199"/>
    <n v="4.0650000000000004"/>
    <n v="5"/>
    <n v="0.2"/>
    <n v="3"/>
    <n v="1.9185826740413803"/>
    <n v="0.60000000000000009"/>
    <x v="0"/>
    <n v="0"/>
    <n v="0"/>
    <n v="0.86035015234781387"/>
    <n v="0"/>
    <n v="2.5000000000000355E-2"/>
  </r>
  <r>
    <x v="1206"/>
    <n v="3.1648459578607699"/>
    <n v="4.0650000000000004"/>
    <n v="6"/>
    <n v="0.2"/>
    <n v="4"/>
    <n v="2.5515518656135345"/>
    <n v="0.8"/>
    <x v="0"/>
    <n v="0"/>
    <n v="0"/>
    <n v="0.86035015234781387"/>
    <n v="0"/>
    <n v="2.5000000000000355E-2"/>
  </r>
  <r>
    <x v="1207"/>
    <n v="3.18917499104727"/>
    <n v="4.0650000000000004"/>
    <n v="7"/>
    <n v="0.2"/>
    <n v="5"/>
    <n v="3.1893868638229885"/>
    <n v="1"/>
    <x v="1"/>
    <n v="3.1893868638229885"/>
    <n v="0.87561313617701186"/>
    <n v="0.87561313617701186"/>
    <n v="1.5262983829197996E-2"/>
    <n v="2.5000000000000355E-2"/>
  </r>
  <r>
    <x v="1208"/>
    <n v="3.1752248472544302"/>
    <n v="4.0199999999999996"/>
    <n v="1"/>
    <n v="0.2"/>
    <n v="1"/>
    <n v="0.63504496945088607"/>
    <n v="0.2"/>
    <x v="0"/>
    <n v="0"/>
    <n v="0"/>
    <n v="0.87561313617701186"/>
    <n v="0"/>
    <n v="-4.5000000000000817E-2"/>
  </r>
  <r>
    <x v="1209"/>
    <n v="3.1937009048335998"/>
    <n v="4.0199999999999996"/>
    <n v="2"/>
    <n v="0.2"/>
    <n v="2"/>
    <n v="1.2737851504176061"/>
    <n v="0.4"/>
    <x v="0"/>
    <n v="0"/>
    <n v="0"/>
    <n v="0.87561313617701186"/>
    <n v="0"/>
    <n v="-4.5000000000000817E-2"/>
  </r>
  <r>
    <x v="1210"/>
    <n v="3.12563821963785"/>
    <n v="4.0199999999999996"/>
    <n v="5"/>
    <n v="0.2"/>
    <n v="3"/>
    <n v="1.898912794345176"/>
    <n v="0.60000000000000009"/>
    <x v="0"/>
    <n v="0"/>
    <n v="0"/>
    <n v="0.87561313617701186"/>
    <n v="0"/>
    <n v="-4.5000000000000817E-2"/>
  </r>
  <r>
    <x v="1211"/>
    <n v="3.11144834473152"/>
    <n v="4.0199999999999996"/>
    <n v="6"/>
    <n v="0.2"/>
    <n v="4"/>
    <n v="2.52120246329148"/>
    <n v="0.8"/>
    <x v="0"/>
    <n v="0"/>
    <n v="0"/>
    <n v="0.87561313617701186"/>
    <n v="0"/>
    <n v="-4.5000000000000817E-2"/>
  </r>
  <r>
    <x v="1212"/>
    <n v="3.06145355695508"/>
    <n v="4.0199999999999996"/>
    <n v="7"/>
    <n v="0.2"/>
    <n v="5"/>
    <n v="3.1334931746824961"/>
    <n v="1"/>
    <x v="1"/>
    <n v="3.1334931746824961"/>
    <n v="0.88650682531750347"/>
    <n v="0.88650682531750347"/>
    <n v="1.0893689140491603E-2"/>
    <n v="-4.5000000000000817E-2"/>
  </r>
  <r>
    <x v="1213"/>
    <n v="3.1159737913786199"/>
    <n v="4.0250000000000004"/>
    <n v="1"/>
    <n v="0.2"/>
    <n v="1"/>
    <n v="0.62319475827572401"/>
    <n v="0.2"/>
    <x v="0"/>
    <n v="0"/>
    <n v="0"/>
    <n v="0.88650682531750347"/>
    <n v="0"/>
    <n v="5.0000000000007816E-3"/>
  </r>
  <r>
    <x v="1214"/>
    <n v="3.1266954027246601"/>
    <n v="4.0250000000000004"/>
    <n v="2"/>
    <n v="0.2"/>
    <n v="2"/>
    <n v="1.2485338388206562"/>
    <n v="0.4"/>
    <x v="0"/>
    <n v="0"/>
    <n v="0"/>
    <n v="0.88650682531750347"/>
    <n v="0"/>
    <n v="5.0000000000007816E-3"/>
  </r>
  <r>
    <x v="1215"/>
    <n v="3.14587454818964"/>
    <n v="4.0250000000000004"/>
    <n v="5"/>
    <n v="0.2"/>
    <n v="3"/>
    <n v="1.8777087484585842"/>
    <n v="0.60000000000000009"/>
    <x v="0"/>
    <n v="0"/>
    <n v="0"/>
    <n v="0.88650682531750347"/>
    <n v="0"/>
    <n v="5.0000000000007816E-3"/>
  </r>
  <r>
    <x v="1216"/>
    <n v="3.1762657063573001"/>
    <n v="4.0250000000000004"/>
    <n v="6"/>
    <n v="0.2"/>
    <n v="4"/>
    <n v="2.5129618897300441"/>
    <n v="0.8"/>
    <x v="0"/>
    <n v="0"/>
    <n v="0"/>
    <n v="0.88650682531750347"/>
    <n v="0"/>
    <n v="5.0000000000007816E-3"/>
  </r>
  <r>
    <x v="1217"/>
    <n v="3.2164698384240098"/>
    <n v="4.0250000000000004"/>
    <n v="7"/>
    <n v="0.2"/>
    <n v="5"/>
    <n v="3.156255857414846"/>
    <n v="1"/>
    <x v="1"/>
    <n v="3.156255857414846"/>
    <n v="0.86874414258515431"/>
    <n v="0.86874414258515431"/>
    <n v="-1.7762682732349155E-2"/>
    <n v="5.0000000000007816E-3"/>
  </r>
  <r>
    <x v="1218"/>
    <n v="3.1651345268873601"/>
    <n v="4.0350000000000001"/>
    <n v="1"/>
    <n v="0.2"/>
    <n v="1"/>
    <n v="0.63302690537747208"/>
    <n v="0.2"/>
    <x v="0"/>
    <n v="0"/>
    <n v="0"/>
    <n v="0.86874414258515431"/>
    <n v="0"/>
    <n v="9.9999999999997868E-3"/>
  </r>
  <r>
    <x v="1219"/>
    <n v="3.1413763100515402"/>
    <n v="4.0350000000000001"/>
    <n v="2"/>
    <n v="0.2"/>
    <n v="2"/>
    <n v="1.2613021673877802"/>
    <n v="0.4"/>
    <x v="0"/>
    <n v="0"/>
    <n v="0"/>
    <n v="0.86874414258515431"/>
    <n v="0"/>
    <n v="9.9999999999997868E-3"/>
  </r>
  <r>
    <x v="1220"/>
    <n v="3.15611019744426"/>
    <n v="4.0350000000000001"/>
    <n v="6"/>
    <n v="0.2"/>
    <n v="3"/>
    <n v="1.8925242068766321"/>
    <n v="0.60000000000000009"/>
    <x v="0"/>
    <n v="0"/>
    <n v="0"/>
    <n v="0.86874414258515431"/>
    <n v="0"/>
    <n v="9.9999999999997868E-3"/>
  </r>
  <r>
    <x v="1221"/>
    <n v="3.1530775330962602"/>
    <n v="4.0350000000000001"/>
    <n v="7"/>
    <n v="0.2"/>
    <n v="4"/>
    <n v="2.5231397134958842"/>
    <n v="0.8"/>
    <x v="1"/>
    <n v="3.153924641869855"/>
    <n v="0.88107535813014515"/>
    <n v="0.88107535813014515"/>
    <n v="1.2331215544990837E-2"/>
    <n v="9.9999999999997868E-3"/>
  </r>
  <r>
    <x v="1222"/>
    <n v="3.1200244614852002"/>
    <n v="3.9749999999999996"/>
    <n v="1"/>
    <n v="0.2"/>
    <n v="1"/>
    <n v="0.62400489229704004"/>
    <n v="0.2"/>
    <x v="0"/>
    <n v="0"/>
    <n v="0"/>
    <n v="0.88107535813014515"/>
    <n v="0"/>
    <n v="-6.0000000000000497E-2"/>
  </r>
  <r>
    <x v="1223"/>
    <n v="3.0479406911303002"/>
    <n v="3.9749999999999996"/>
    <n v="2"/>
    <n v="0.2"/>
    <n v="2"/>
    <n v="1.2335930305231"/>
    <n v="0.4"/>
    <x v="0"/>
    <n v="0"/>
    <n v="0"/>
    <n v="0.88107535813014515"/>
    <n v="0"/>
    <n v="-6.0000000000000497E-2"/>
  </r>
  <r>
    <x v="1224"/>
    <n v="3.1104332506902499"/>
    <n v="3.9749999999999996"/>
    <n v="5"/>
    <n v="0.2"/>
    <n v="3"/>
    <n v="1.85567968066115"/>
    <n v="0.60000000000000009"/>
    <x v="0"/>
    <n v="0"/>
    <n v="0"/>
    <n v="0.88107535813014515"/>
    <n v="0"/>
    <n v="-6.0000000000000497E-2"/>
  </r>
  <r>
    <x v="1225"/>
    <n v="3.10342915438406"/>
    <n v="3.9749999999999996"/>
    <n v="6"/>
    <n v="0.2"/>
    <n v="4"/>
    <n v="2.4763655115379621"/>
    <n v="0.8"/>
    <x v="0"/>
    <n v="0"/>
    <n v="0"/>
    <n v="0.88107535813014515"/>
    <n v="0"/>
    <n v="-6.0000000000000497E-2"/>
  </r>
  <r>
    <x v="1226"/>
    <n v="3.20642025134075"/>
    <n v="3.9749999999999996"/>
    <n v="7"/>
    <n v="0.2"/>
    <n v="5"/>
    <n v="3.117649561806112"/>
    <n v="1"/>
    <x v="1"/>
    <n v="3.117649561806112"/>
    <n v="0.85735043819388768"/>
    <n v="0.85735043819388768"/>
    <n v="-2.3724919936257471E-2"/>
    <n v="-6.0000000000000497E-2"/>
  </r>
  <r>
    <x v="1227"/>
    <n v="3.2342757341067498"/>
    <n v="4.085"/>
    <n v="1"/>
    <n v="0.2"/>
    <n v="1"/>
    <n v="0.64685514682135004"/>
    <n v="0.2"/>
    <x v="0"/>
    <n v="0"/>
    <n v="0"/>
    <n v="0.85735043819388768"/>
    <n v="0"/>
    <n v="0.11000000000000032"/>
  </r>
  <r>
    <x v="1228"/>
    <n v="3.2320225363083699"/>
    <n v="4.085"/>
    <n v="2"/>
    <n v="0.2"/>
    <n v="2"/>
    <n v="1.2932596540830241"/>
    <n v="0.4"/>
    <x v="0"/>
    <n v="0"/>
    <n v="0"/>
    <n v="0.85735043819388768"/>
    <n v="0"/>
    <n v="0.11000000000000032"/>
  </r>
  <r>
    <x v="1229"/>
    <n v="3.22523463201723"/>
    <n v="4.085"/>
    <n v="5"/>
    <n v="0.2"/>
    <n v="3"/>
    <n v="1.9383065804864703"/>
    <n v="0.60000000000000009"/>
    <x v="0"/>
    <n v="0"/>
    <n v="0"/>
    <n v="0.85735043819388768"/>
    <n v="0"/>
    <n v="0.11000000000000032"/>
  </r>
  <r>
    <x v="1230"/>
    <n v="3.2431556019799901"/>
    <n v="4.085"/>
    <n v="6"/>
    <n v="0.2"/>
    <n v="4"/>
    <n v="2.5869377008824683"/>
    <n v="0.8"/>
    <x v="0"/>
    <n v="0"/>
    <n v="0"/>
    <n v="0.85735043819388768"/>
    <n v="0"/>
    <n v="0.11000000000000032"/>
  </r>
  <r>
    <x v="1231"/>
    <n v="3.2819752362601502"/>
    <n v="4.085"/>
    <n v="7"/>
    <n v="0.2"/>
    <n v="5"/>
    <n v="3.2433327481344985"/>
    <n v="1"/>
    <x v="1"/>
    <n v="3.2433327481344985"/>
    <n v="0.84166725186550151"/>
    <n v="0.84166725186550151"/>
    <n v="-1.5683186328386167E-2"/>
    <n v="0.11000000000000032"/>
  </r>
  <r>
    <x v="1232"/>
    <n v="3.3406216672638802"/>
    <n v="4.1749999999999998"/>
    <n v="1"/>
    <n v="0.2"/>
    <n v="1"/>
    <n v="0.66812433345277611"/>
    <n v="0.2"/>
    <x v="0"/>
    <n v="0"/>
    <n v="0"/>
    <n v="0.84166725186550151"/>
    <n v="0"/>
    <n v="8.9999999999999858E-2"/>
  </r>
  <r>
    <x v="1233"/>
    <n v="3.3206925533128699"/>
    <n v="4.1749999999999998"/>
    <n v="2"/>
    <n v="0.2"/>
    <n v="2"/>
    <n v="1.3322628441153501"/>
    <n v="0.4"/>
    <x v="0"/>
    <n v="0"/>
    <n v="0"/>
    <n v="0.84166725186550151"/>
    <n v="0"/>
    <n v="8.9999999999999858E-2"/>
  </r>
  <r>
    <x v="1234"/>
    <n v="3.35448233982074"/>
    <n v="4.1749999999999998"/>
    <n v="5"/>
    <n v="0.2"/>
    <n v="3"/>
    <n v="2.0031593120794984"/>
    <n v="0.60000000000000009"/>
    <x v="0"/>
    <n v="0"/>
    <n v="0"/>
    <n v="0.84166725186550151"/>
    <n v="0"/>
    <n v="8.9999999999999858E-2"/>
  </r>
  <r>
    <x v="1235"/>
    <n v="3.3507469979464899"/>
    <n v="4.1749999999999998"/>
    <n v="6"/>
    <n v="0.2"/>
    <n v="4"/>
    <n v="2.6733087116687964"/>
    <n v="0.8"/>
    <x v="0"/>
    <n v="0"/>
    <n v="0"/>
    <n v="0.84166725186550151"/>
    <n v="0"/>
    <n v="8.9999999999999858E-2"/>
  </r>
  <r>
    <x v="1236"/>
    <n v="3.2454530703247602"/>
    <n v="4.1749999999999998"/>
    <n v="7"/>
    <n v="0.2"/>
    <n v="5"/>
    <n v="3.3223993257337483"/>
    <n v="1"/>
    <x v="1"/>
    <n v="3.3223993257337483"/>
    <n v="0.85260067426625152"/>
    <n v="0.85260067426625152"/>
    <n v="1.0933422400750015E-2"/>
    <n v="8.9999999999999858E-2"/>
  </r>
  <r>
    <x v="1237"/>
    <n v="3.2604043069453401"/>
    <n v="4.1050000000000004"/>
    <n v="1"/>
    <n v="0.2"/>
    <n v="1"/>
    <n v="0.65208086138906807"/>
    <n v="0.2"/>
    <x v="0"/>
    <n v="0"/>
    <n v="0"/>
    <n v="0.85260067426625152"/>
    <n v="0"/>
    <n v="-6.9999999999999396E-2"/>
  </r>
  <r>
    <x v="1238"/>
    <n v="3.2371023816739601"/>
    <n v="4.1050000000000004"/>
    <n v="2"/>
    <n v="0.2"/>
    <n v="2"/>
    <n v="1.2995013377238602"/>
    <n v="0.4"/>
    <x v="0"/>
    <n v="0"/>
    <n v="0"/>
    <n v="0.85260067426625152"/>
    <n v="0"/>
    <n v="-6.9999999999999396E-2"/>
  </r>
  <r>
    <x v="1239"/>
    <n v="3.2160937594911698"/>
    <n v="4.1050000000000004"/>
    <n v="5"/>
    <n v="0.2"/>
    <n v="3"/>
    <n v="1.9427200896220942"/>
    <n v="0.60000000000000009"/>
    <x v="0"/>
    <n v="0"/>
    <n v="0"/>
    <n v="0.85260067426625152"/>
    <n v="0"/>
    <n v="-6.9999999999999396E-2"/>
  </r>
  <r>
    <x v="1240"/>
    <n v="3.1691629122543801"/>
    <n v="4.1050000000000004"/>
    <n v="6"/>
    <n v="0.2"/>
    <n v="4"/>
    <n v="2.5765526720729701"/>
    <n v="0.8"/>
    <x v="0"/>
    <n v="0"/>
    <n v="0"/>
    <n v="0.85260067426625152"/>
    <n v="0"/>
    <n v="-6.9999999999999396E-2"/>
  </r>
  <r>
    <x v="1241"/>
    <n v="3.13601308669194"/>
    <n v="4.1050000000000004"/>
    <n v="7"/>
    <n v="0.2"/>
    <n v="5"/>
    <n v="3.2037552894113581"/>
    <n v="1"/>
    <x v="1"/>
    <n v="3.2037552894113581"/>
    <n v="0.90124471058864231"/>
    <n v="0.90124471058864231"/>
    <n v="4.8644036322390782E-2"/>
    <n v="-6.9999999999999396E-2"/>
  </r>
  <r>
    <x v="1242"/>
    <n v="3.16228142903738"/>
    <n v="4.0149999999999997"/>
    <n v="1"/>
    <n v="0.2"/>
    <n v="1"/>
    <n v="0.63245628580747604"/>
    <n v="0.2"/>
    <x v="0"/>
    <n v="0"/>
    <n v="0"/>
    <n v="0.90124471058864231"/>
    <n v="0"/>
    <n v="-9.0000000000000746E-2"/>
  </r>
  <r>
    <x v="1243"/>
    <n v="3.1557690807885401"/>
    <n v="4.0149999999999997"/>
    <n v="2"/>
    <n v="0.2"/>
    <n v="2"/>
    <n v="1.2636101019651842"/>
    <n v="0.4"/>
    <x v="0"/>
    <n v="0"/>
    <n v="0"/>
    <n v="0.90124471058864231"/>
    <n v="0"/>
    <n v="-9.0000000000000746E-2"/>
  </r>
  <r>
    <x v="1244"/>
    <n v="3.12573819371962"/>
    <n v="4.0149999999999997"/>
    <n v="5"/>
    <n v="0.2"/>
    <n v="3"/>
    <n v="1.8887577407091083"/>
    <n v="0.60000000000000009"/>
    <x v="0"/>
    <n v="0"/>
    <n v="0"/>
    <n v="0.90124471058864231"/>
    <n v="0"/>
    <n v="-9.0000000000000746E-2"/>
  </r>
  <r>
    <x v="1245"/>
    <n v="3.17921056091257"/>
    <n v="4.0149999999999997"/>
    <n v="6"/>
    <n v="0.2"/>
    <n v="4"/>
    <n v="2.5245998528916225"/>
    <n v="0.8"/>
    <x v="0"/>
    <n v="0"/>
    <n v="0"/>
    <n v="0.90124471058864231"/>
    <n v="0"/>
    <n v="-9.0000000000000746E-2"/>
  </r>
  <r>
    <x v="1246"/>
    <n v="3.14154244535563"/>
    <n v="4.0149999999999997"/>
    <n v="7"/>
    <n v="0.2"/>
    <n v="5"/>
    <n v="3.1529083419627484"/>
    <n v="1"/>
    <x v="1"/>
    <n v="3.1529083419627484"/>
    <n v="0.8620916580372513"/>
    <n v="0.8620916580372513"/>
    <n v="-3.915305255139101E-2"/>
    <n v="-9.0000000000000746E-2"/>
  </r>
  <r>
    <x v="1247"/>
    <n v="3.1654132061037701"/>
    <n v="3.9749999999999996"/>
    <n v="1"/>
    <n v="0.2"/>
    <n v="1"/>
    <n v="0.63308264122075408"/>
    <n v="0.2"/>
    <x v="0"/>
    <n v="0"/>
    <n v="0"/>
    <n v="0.8620916580372513"/>
    <n v="0"/>
    <n v="-4.0000000000000036E-2"/>
  </r>
  <r>
    <x v="1248"/>
    <n v="3.1464660335213801"/>
    <n v="3.9749999999999996"/>
    <n v="2"/>
    <n v="0.2"/>
    <n v="2"/>
    <n v="1.2623758479250302"/>
    <n v="0.4"/>
    <x v="0"/>
    <n v="0"/>
    <n v="0"/>
    <n v="0.8620916580372513"/>
    <n v="0"/>
    <n v="-4.0000000000000036E-2"/>
  </r>
  <r>
    <x v="1249"/>
    <n v="3.0927700686783002"/>
    <n v="3.9749999999999996"/>
    <n v="5"/>
    <n v="0.2"/>
    <n v="3"/>
    <n v="1.8809298616606904"/>
    <n v="0.60000000000000009"/>
    <x v="0"/>
    <n v="0"/>
    <n v="0"/>
    <n v="0.8620916580372513"/>
    <n v="0"/>
    <n v="-4.0000000000000036E-2"/>
  </r>
  <r>
    <x v="1250"/>
    <n v="3.0853787320257"/>
    <n v="3.9749999999999996"/>
    <n v="6"/>
    <n v="0.2"/>
    <n v="4"/>
    <n v="2.4980056080658306"/>
    <n v="0.8"/>
    <x v="0"/>
    <n v="0"/>
    <n v="0"/>
    <n v="0.8620916580372513"/>
    <n v="0"/>
    <n v="-4.0000000000000036E-2"/>
  </r>
  <r>
    <x v="1251"/>
    <n v="3.0998224631634499"/>
    <n v="3.9749999999999996"/>
    <n v="7"/>
    <n v="0.2"/>
    <n v="5"/>
    <n v="3.1179701006985208"/>
    <n v="1"/>
    <x v="1"/>
    <n v="3.1179701006985208"/>
    <n v="0.85702989930147888"/>
    <n v="0.85702989930147888"/>
    <n v="-5.0617587357724148E-3"/>
    <n v="-4.0000000000000036E-2"/>
  </r>
  <r>
    <x v="1252"/>
    <n v="3.0807227057386499"/>
    <n v="3.9550000000000001"/>
    <n v="1"/>
    <n v="0.2"/>
    <n v="1"/>
    <n v="0.61614454114772998"/>
    <n v="0.2"/>
    <x v="0"/>
    <n v="0"/>
    <n v="0"/>
    <n v="0.85702989930147888"/>
    <n v="0"/>
    <n v="-1.9999999999999574E-2"/>
  </r>
  <r>
    <x v="1253"/>
    <n v="3.1209189236978601"/>
    <n v="3.9550000000000001"/>
    <n v="2"/>
    <n v="0.2"/>
    <n v="2"/>
    <n v="1.2403283258873019"/>
    <n v="0.4"/>
    <x v="0"/>
    <n v="0"/>
    <n v="0"/>
    <n v="0.85702989930147888"/>
    <n v="0"/>
    <n v="-1.9999999999999574E-2"/>
  </r>
  <r>
    <x v="1254"/>
    <n v="3.1141964081853302"/>
    <n v="3.9550000000000001"/>
    <n v="5"/>
    <n v="0.2"/>
    <n v="3"/>
    <n v="1.8631676075243679"/>
    <n v="0.60000000000000009"/>
    <x v="0"/>
    <n v="0"/>
    <n v="0"/>
    <n v="0.85702989930147888"/>
    <n v="0"/>
    <n v="-1.9999999999999574E-2"/>
  </r>
  <r>
    <x v="1255"/>
    <n v="3.0374940248305098"/>
    <n v="3.9550000000000001"/>
    <n v="6"/>
    <n v="0.2"/>
    <n v="4"/>
    <n v="2.4706664124904698"/>
    <n v="0.8"/>
    <x v="0"/>
    <n v="0"/>
    <n v="0"/>
    <n v="0.85702989930147888"/>
    <n v="0"/>
    <n v="-1.9999999999999574E-2"/>
  </r>
  <r>
    <x v="1256"/>
    <n v="3.0385942417440401"/>
    <n v="3.9550000000000001"/>
    <n v="7"/>
    <n v="0.2"/>
    <n v="5"/>
    <n v="3.0783852608392781"/>
    <n v="1"/>
    <x v="1"/>
    <n v="3.0783852608392781"/>
    <n v="0.87661473916072197"/>
    <n v="0.87661473916072197"/>
    <n v="1.9584839859243086E-2"/>
    <n v="-1.9999999999999574E-2"/>
  </r>
  <r>
    <x v="1257"/>
    <n v="2.9754212603526402"/>
    <n v="3.8450000000000002"/>
    <n v="1"/>
    <n v="0.2"/>
    <n v="1"/>
    <n v="0.59508425207052806"/>
    <n v="0.2"/>
    <x v="0"/>
    <n v="0"/>
    <n v="0"/>
    <n v="0.87661473916072197"/>
    <n v="0"/>
    <n v="-0.10999999999999988"/>
  </r>
  <r>
    <x v="1258"/>
    <n v="2.98409934955184"/>
    <n v="3.8450000000000002"/>
    <n v="5"/>
    <n v="0.2"/>
    <n v="2"/>
    <n v="1.1919041219808961"/>
    <n v="0.4"/>
    <x v="0"/>
    <n v="0"/>
    <n v="0"/>
    <n v="0.87661473916072197"/>
    <n v="0"/>
    <n v="-0.10999999999999988"/>
  </r>
  <r>
    <x v="1259"/>
    <n v="2.9250473100689098"/>
    <n v="3.8450000000000002"/>
    <n v="6"/>
    <n v="0.2"/>
    <n v="3"/>
    <n v="1.7769135839946781"/>
    <n v="0.60000000000000009"/>
    <x v="0"/>
    <n v="0"/>
    <n v="0"/>
    <n v="0.87661473916072197"/>
    <n v="0"/>
    <n v="-0.10999999999999988"/>
  </r>
  <r>
    <x v="1260"/>
    <n v="2.9490872231359599"/>
    <n v="3.8450000000000002"/>
    <n v="7"/>
    <n v="0.2"/>
    <n v="4"/>
    <n v="2.3667310286218699"/>
    <n v="0.8"/>
    <x v="1"/>
    <n v="2.9584137857773372"/>
    <n v="0.88658621422266304"/>
    <n v="0.88658621422266304"/>
    <n v="9.9714750619410708E-3"/>
    <n v="-0.10999999999999988"/>
  </r>
  <r>
    <x v="1261"/>
    <n v="2.98817605273842"/>
    <n v="3.9050000000000002"/>
    <n v="1"/>
    <n v="0.2"/>
    <n v="1"/>
    <n v="0.59763521054768398"/>
    <n v="0.2"/>
    <x v="0"/>
    <n v="0"/>
    <n v="0"/>
    <n v="0.88658621422266304"/>
    <n v="0"/>
    <n v="6.0000000000000053E-2"/>
  </r>
  <r>
    <x v="1262"/>
    <n v="2.9809859854313698"/>
    <n v="3.9050000000000002"/>
    <n v="2"/>
    <n v="0.2"/>
    <n v="2"/>
    <n v="1.1938324076339579"/>
    <n v="0.4"/>
    <x v="0"/>
    <n v="0"/>
    <n v="0"/>
    <n v="0.88658621422266304"/>
    <n v="0"/>
    <n v="6.0000000000000053E-2"/>
  </r>
  <r>
    <x v="1263"/>
    <n v="3.0169909715329202"/>
    <n v="3.9050000000000002"/>
    <n v="5"/>
    <n v="0.2"/>
    <n v="3"/>
    <n v="1.797230601940542"/>
    <n v="0.60000000000000009"/>
    <x v="0"/>
    <n v="0"/>
    <n v="0"/>
    <n v="0.88658621422266304"/>
    <n v="0"/>
    <n v="6.0000000000000053E-2"/>
  </r>
  <r>
    <x v="1264"/>
    <n v="3.0874346795919401"/>
    <n v="3.9050000000000002"/>
    <n v="6"/>
    <n v="0.2"/>
    <n v="4"/>
    <n v="2.4147175378589303"/>
    <n v="0.8"/>
    <x v="0"/>
    <n v="0"/>
    <n v="0"/>
    <n v="0.88658621422266304"/>
    <n v="0"/>
    <n v="6.0000000000000053E-2"/>
  </r>
  <r>
    <x v="1265"/>
    <n v="3.0602135791338601"/>
    <n v="3.9050000000000002"/>
    <n v="7"/>
    <n v="0.2"/>
    <n v="5"/>
    <n v="3.0267602536857021"/>
    <n v="1"/>
    <x v="1"/>
    <n v="3.0267602536857021"/>
    <n v="0.87823974631429813"/>
    <n v="0.87823974631429813"/>
    <n v="-8.3464679083649074E-3"/>
    <n v="6.0000000000000053E-2"/>
  </r>
  <r>
    <x v="1266"/>
    <n v="3.0345757133158"/>
    <n v="3.8949999999999996"/>
    <n v="1"/>
    <n v="0.2"/>
    <n v="1"/>
    <n v="0.60691514266316005"/>
    <n v="0.2"/>
    <x v="0"/>
    <n v="0"/>
    <n v="0"/>
    <n v="0.87823974631429813"/>
    <n v="0"/>
    <n v="-1.0000000000000675E-2"/>
  </r>
  <r>
    <x v="1267"/>
    <n v="3.0168102354422901"/>
    <n v="3.8949999999999996"/>
    <n v="2"/>
    <n v="0.2"/>
    <n v="2"/>
    <n v="1.210277189751618"/>
    <n v="0.4"/>
    <x v="0"/>
    <n v="0"/>
    <n v="0"/>
    <n v="0.87823974631429813"/>
    <n v="0"/>
    <n v="-1.0000000000000675E-2"/>
  </r>
  <r>
    <x v="1268"/>
    <n v="3.0580560556291201"/>
    <n v="3.8949999999999996"/>
    <n v="5"/>
    <n v="0.2"/>
    <n v="3"/>
    <n v="1.8218884008774421"/>
    <n v="0.60000000000000009"/>
    <x v="0"/>
    <n v="0"/>
    <n v="0"/>
    <n v="0.87823974631429813"/>
    <n v="0"/>
    <n v="-1.0000000000000675E-2"/>
  </r>
  <r>
    <x v="1269"/>
    <n v="3.02195489821497"/>
    <n v="3.8949999999999996"/>
    <n v="6"/>
    <n v="0.2"/>
    <n v="4"/>
    <n v="2.4262793805204361"/>
    <n v="0.8"/>
    <x v="0"/>
    <n v="0"/>
    <n v="0"/>
    <n v="0.87823974631429813"/>
    <n v="0"/>
    <n v="-1.0000000000000675E-2"/>
  </r>
  <r>
    <x v="1270"/>
    <n v="3.04669100104817"/>
    <n v="3.8949999999999996"/>
    <n v="7"/>
    <n v="0.2"/>
    <n v="5"/>
    <n v="3.03561758073007"/>
    <n v="1"/>
    <x v="1"/>
    <n v="3.03561758073007"/>
    <n v="0.85938241926992953"/>
    <n v="0.85938241926992953"/>
    <n v="-1.8857327044368599E-2"/>
    <n v="-1.0000000000000675E-2"/>
  </r>
  <r>
    <x v="1271"/>
    <n v="3.0837456473004301"/>
    <n v="3.9249999999999998"/>
    <n v="1"/>
    <n v="0.2"/>
    <n v="1"/>
    <n v="0.61674912946008609"/>
    <n v="0.2"/>
    <x v="0"/>
    <n v="0"/>
    <n v="0"/>
    <n v="0.85938241926992953"/>
    <n v="0"/>
    <n v="3.0000000000000249E-2"/>
  </r>
  <r>
    <x v="1272"/>
    <n v="3.07550277889916"/>
    <n v="3.9249999999999998"/>
    <n v="2"/>
    <n v="0.2"/>
    <n v="2"/>
    <n v="1.2318496852399181"/>
    <n v="0.4"/>
    <x v="0"/>
    <n v="0"/>
    <n v="0"/>
    <n v="0.85938241926992953"/>
    <n v="0"/>
    <n v="3.0000000000000249E-2"/>
  </r>
  <r>
    <x v="1273"/>
    <n v="3.0924935285971999"/>
    <n v="3.9249999999999998"/>
    <n v="5"/>
    <n v="0.2"/>
    <n v="3"/>
    <n v="1.8503483909593581"/>
    <n v="0.60000000000000009"/>
    <x v="0"/>
    <n v="0"/>
    <n v="0"/>
    <n v="0.85938241926992953"/>
    <n v="0"/>
    <n v="3.0000000000000249E-2"/>
  </r>
  <r>
    <x v="1274"/>
    <n v="3.1238691664051901"/>
    <n v="3.9249999999999998"/>
    <n v="6"/>
    <n v="0.2"/>
    <n v="4"/>
    <n v="2.4751222242403963"/>
    <n v="0.8"/>
    <x v="0"/>
    <n v="0"/>
    <n v="0"/>
    <n v="0.85938241926992953"/>
    <n v="0"/>
    <n v="3.0000000000000249E-2"/>
  </r>
  <r>
    <x v="1275"/>
    <n v="3.1370226273665902"/>
    <n v="3.9249999999999998"/>
    <n v="7"/>
    <n v="0.2"/>
    <n v="5"/>
    <n v="3.1025267497137143"/>
    <n v="1"/>
    <x v="1"/>
    <n v="3.1025267497137143"/>
    <n v="0.82247325028628548"/>
    <n v="0.82247325028628548"/>
    <n v="-3.6909168983644047E-2"/>
    <n v="3.0000000000000249E-2"/>
  </r>
  <r>
    <x v="1276"/>
    <n v="3.13354455783506"/>
    <n v="3.8949999999999996"/>
    <n v="1"/>
    <n v="0.2"/>
    <n v="1"/>
    <n v="0.62670891156701203"/>
    <n v="0.2"/>
    <x v="0"/>
    <n v="0"/>
    <n v="0"/>
    <n v="0.82247325028628548"/>
    <n v="0"/>
    <n v="-3.0000000000000249E-2"/>
  </r>
  <r>
    <x v="1277"/>
    <n v="3.0503961031254101"/>
    <n v="3.8949999999999996"/>
    <n v="2"/>
    <n v="0.2"/>
    <n v="2"/>
    <n v="1.2367881321920939"/>
    <n v="0.4"/>
    <x v="0"/>
    <n v="0"/>
    <n v="0"/>
    <n v="0.82247325028628548"/>
    <n v="0"/>
    <n v="-3.0000000000000249E-2"/>
  </r>
  <r>
    <x v="1278"/>
    <n v="3.0540256886172599"/>
    <n v="3.8949999999999996"/>
    <n v="5"/>
    <n v="0.2"/>
    <n v="3"/>
    <n v="1.847593269915546"/>
    <n v="0.60000000000000009"/>
    <x v="0"/>
    <n v="0"/>
    <n v="0"/>
    <n v="0.82247325028628548"/>
    <n v="0"/>
    <n v="-3.0000000000000249E-2"/>
  </r>
  <r>
    <x v="1279"/>
    <n v="3.0367748690923499"/>
    <n v="3.8949999999999996"/>
    <n v="6"/>
    <n v="0.2"/>
    <n v="4"/>
    <n v="2.454948243734016"/>
    <n v="0.8"/>
    <x v="0"/>
    <n v="0"/>
    <n v="0"/>
    <n v="0.82247325028628548"/>
    <n v="0"/>
    <n v="-3.0000000000000249E-2"/>
  </r>
  <r>
    <x v="1280"/>
    <n v="2.9255759416218798"/>
    <n v="3.8949999999999996"/>
    <n v="7"/>
    <n v="0.2"/>
    <n v="5"/>
    <n v="3.0400634320583921"/>
    <n v="1"/>
    <x v="1"/>
    <n v="3.0400634320583921"/>
    <n v="0.85493656794160744"/>
    <n v="0.85493656794160744"/>
    <n v="3.2463317655321955E-2"/>
    <n v="-3.0000000000000249E-2"/>
  </r>
  <r>
    <x v="1281"/>
    <n v="2.96077919351512"/>
    <n v="3.8250000000000002"/>
    <n v="1"/>
    <n v="0.2"/>
    <n v="1"/>
    <n v="0.59215583870302402"/>
    <n v="0.2"/>
    <x v="0"/>
    <n v="0"/>
    <n v="0"/>
    <n v="0.85493656794160744"/>
    <n v="0"/>
    <n v="-6.9999999999999396E-2"/>
  </r>
  <r>
    <x v="1282"/>
    <n v="2.9772059927121801"/>
    <n v="3.8250000000000002"/>
    <n v="2"/>
    <n v="0.2"/>
    <n v="2"/>
    <n v="1.1875970372454601"/>
    <n v="0.4"/>
    <x v="0"/>
    <n v="0"/>
    <n v="0"/>
    <n v="0.85493656794160744"/>
    <n v="0"/>
    <n v="-6.9999999999999396E-2"/>
  </r>
  <r>
    <x v="1283"/>
    <n v="2.98253297919802"/>
    <n v="3.8250000000000002"/>
    <n v="5"/>
    <n v="0.2"/>
    <n v="3"/>
    <n v="1.7841036330850639"/>
    <n v="0.60000000000000009"/>
    <x v="0"/>
    <n v="0"/>
    <n v="0"/>
    <n v="0.85493656794160744"/>
    <n v="0"/>
    <n v="-6.9999999999999396E-2"/>
  </r>
  <r>
    <x v="1284"/>
    <n v="3.0058699919752301"/>
    <n v="3.8250000000000002"/>
    <n v="6"/>
    <n v="0.2"/>
    <n v="4"/>
    <n v="2.3852776314801099"/>
    <n v="0.8"/>
    <x v="0"/>
    <n v="0"/>
    <n v="0"/>
    <n v="0.85493656794160744"/>
    <n v="0"/>
    <n v="-6.9999999999999396E-2"/>
  </r>
  <r>
    <x v="1285"/>
    <n v="2.9850094443117499"/>
    <n v="3.8250000000000002"/>
    <n v="7"/>
    <n v="0.2"/>
    <n v="5"/>
    <n v="2.9822795203424599"/>
    <n v="1"/>
    <x v="1"/>
    <n v="2.9822795203424599"/>
    <n v="0.84272047965754027"/>
    <n v="0.84272047965754027"/>
    <n v="-1.2216088284067173E-2"/>
    <n v="-6.9999999999999396E-2"/>
  </r>
  <r>
    <x v="1286"/>
    <n v="2.9655991684288501"/>
    <n v="3.8149999999999999"/>
    <n v="1"/>
    <n v="0.2"/>
    <n v="1"/>
    <n v="0.59311983368577004"/>
    <n v="0.2"/>
    <x v="0"/>
    <n v="0"/>
    <n v="0"/>
    <n v="0.84272047965754027"/>
    <n v="0"/>
    <n v="-1.0000000000000231E-2"/>
  </r>
  <r>
    <x v="1287"/>
    <n v="2.9675370068735298"/>
    <n v="3.8149999999999999"/>
    <n v="2"/>
    <n v="0.2"/>
    <n v="2"/>
    <n v="1.1866272350604761"/>
    <n v="0.4"/>
    <x v="0"/>
    <n v="0"/>
    <n v="0"/>
    <n v="0.84272047965754027"/>
    <n v="0"/>
    <n v="-1.0000000000000231E-2"/>
  </r>
  <r>
    <x v="1288"/>
    <n v="2.9372545764826601"/>
    <n v="3.8149999999999999"/>
    <n v="6"/>
    <n v="0.2"/>
    <n v="3"/>
    <n v="1.774078150357008"/>
    <n v="0.60000000000000009"/>
    <x v="0"/>
    <n v="0"/>
    <n v="0"/>
    <n v="0.84272047965754027"/>
    <n v="0"/>
    <n v="-1.0000000000000231E-2"/>
  </r>
  <r>
    <x v="1289"/>
    <n v="2.9230211048442398"/>
    <n v="3.8149999999999999"/>
    <n v="7"/>
    <n v="0.2"/>
    <n v="4"/>
    <n v="2.3586823713258562"/>
    <n v="0.8"/>
    <x v="1"/>
    <n v="2.9483529641573201"/>
    <n v="0.86664703584267988"/>
    <n v="0.86664703584267988"/>
    <n v="2.3926556185139614E-2"/>
    <n v="-1.0000000000000231E-2"/>
  </r>
  <r>
    <x v="1290"/>
    <n v="2.9488855063004098"/>
    <n v="3.7650000000000001"/>
    <n v="1"/>
    <n v="0.2"/>
    <n v="1"/>
    <n v="0.58977710126008198"/>
    <n v="0.2"/>
    <x v="0"/>
    <n v="0"/>
    <n v="0"/>
    <n v="0.86664703584267988"/>
    <n v="0"/>
    <n v="-4.9999999999999822E-2"/>
  </r>
  <r>
    <x v="1291"/>
    <n v="2.90078451779174"/>
    <n v="3.7650000000000001"/>
    <n v="2"/>
    <n v="0.2"/>
    <n v="2"/>
    <n v="1.1699340048184301"/>
    <n v="0.4"/>
    <x v="0"/>
    <n v="0"/>
    <n v="0"/>
    <n v="0.86664703584267988"/>
    <n v="0"/>
    <n v="-4.9999999999999822E-2"/>
  </r>
  <r>
    <x v="1292"/>
    <n v="2.9134061518930401"/>
    <n v="3.7650000000000001"/>
    <n v="5"/>
    <n v="0.2"/>
    <n v="3"/>
    <n v="1.7526152351970383"/>
    <n v="0.60000000000000009"/>
    <x v="0"/>
    <n v="0"/>
    <n v="0"/>
    <n v="0.86664703584267988"/>
    <n v="0"/>
    <n v="-4.9999999999999822E-2"/>
  </r>
  <r>
    <x v="1293"/>
    <n v="2.87725867553146"/>
    <n v="3.7650000000000001"/>
    <n v="6"/>
    <n v="0.2"/>
    <n v="4"/>
    <n v="2.3280669703033303"/>
    <n v="0.8"/>
    <x v="0"/>
    <n v="0"/>
    <n v="0"/>
    <n v="0.86664703584267988"/>
    <n v="0"/>
    <n v="-4.9999999999999822E-2"/>
  </r>
  <r>
    <x v="1294"/>
    <n v="2.9007963657703"/>
    <n v="3.7650000000000001"/>
    <n v="7"/>
    <n v="0.2"/>
    <n v="5"/>
    <n v="2.9082262434573902"/>
    <n v="1"/>
    <x v="1"/>
    <n v="2.9082262434573902"/>
    <n v="0.8567737565426099"/>
    <n v="0.8567737565426099"/>
    <n v="-9.8732793000699814E-3"/>
    <n v="-4.9999999999999822E-2"/>
  </r>
  <r>
    <x v="1295"/>
    <n v="2.90843617288568"/>
    <n v="3.7850000000000001"/>
    <n v="1"/>
    <n v="0.2"/>
    <n v="1"/>
    <n v="0.581687234577136"/>
    <n v="0.2"/>
    <x v="0"/>
    <n v="0"/>
    <n v="0"/>
    <n v="0.8567737565426099"/>
    <n v="0"/>
    <n v="2.0000000000000018E-2"/>
  </r>
  <r>
    <x v="1296"/>
    <n v="2.9249537323478201"/>
    <n v="3.7850000000000001"/>
    <n v="2"/>
    <n v="0.2"/>
    <n v="2"/>
    <n v="1.1666779810467001"/>
    <n v="0.4"/>
    <x v="0"/>
    <n v="0"/>
    <n v="0"/>
    <n v="0.8567737565426099"/>
    <n v="0"/>
    <n v="2.0000000000000018E-2"/>
  </r>
  <r>
    <x v="1297"/>
    <n v="2.94258560480931"/>
    <n v="3.7850000000000001"/>
    <n v="5"/>
    <n v="0.2"/>
    <n v="3"/>
    <n v="1.7551951020085621"/>
    <n v="0.60000000000000009"/>
    <x v="0"/>
    <n v="0"/>
    <n v="0"/>
    <n v="0.8567737565426099"/>
    <n v="0"/>
    <n v="2.0000000000000018E-2"/>
  </r>
  <r>
    <x v="1298"/>
    <n v="2.9398654916265299"/>
    <n v="3.7850000000000001"/>
    <n v="6"/>
    <n v="0.2"/>
    <n v="4"/>
    <n v="2.3431682003338681"/>
    <n v="0.8"/>
    <x v="0"/>
    <n v="0"/>
    <n v="0"/>
    <n v="0.8567737565426099"/>
    <n v="0"/>
    <n v="2.0000000000000018E-2"/>
  </r>
  <r>
    <x v="1299"/>
    <n v="2.8752948215848"/>
    <n v="3.7850000000000001"/>
    <n v="7"/>
    <n v="0.2"/>
    <n v="5"/>
    <n v="2.918227164650828"/>
    <n v="1"/>
    <x v="1"/>
    <n v="2.918227164650828"/>
    <n v="0.86677283534917215"/>
    <n v="0.86677283534917215"/>
    <n v="9.999078806562256E-3"/>
    <n v="2.0000000000000018E-2"/>
  </r>
  <r>
    <x v="1300"/>
    <n v="2.9075667658346598"/>
    <n v="3.7749999999999999"/>
    <n v="1"/>
    <n v="0.2"/>
    <n v="1"/>
    <n v="0.58151335316693198"/>
    <n v="0.2"/>
    <x v="0"/>
    <n v="0"/>
    <n v="0"/>
    <n v="0.86677283534917215"/>
    <n v="0"/>
    <n v="-1.0000000000000231E-2"/>
  </r>
  <r>
    <x v="1301"/>
    <n v="2.8970830344627001"/>
    <n v="3.7749999999999999"/>
    <n v="2"/>
    <n v="0.2"/>
    <n v="2"/>
    <n v="1.160929960059472"/>
    <n v="0.4"/>
    <x v="0"/>
    <n v="0"/>
    <n v="0"/>
    <n v="0.86677283534917215"/>
    <n v="0"/>
    <n v="-1.0000000000000231E-2"/>
  </r>
  <r>
    <x v="1302"/>
    <n v="2.9229309635649501"/>
    <n v="3.7749999999999999"/>
    <n v="5"/>
    <n v="0.2"/>
    <n v="3"/>
    <n v="1.7455161527724621"/>
    <n v="0.60000000000000009"/>
    <x v="0"/>
    <n v="0"/>
    <n v="0"/>
    <n v="0.86677283534917215"/>
    <n v="0"/>
    <n v="-1.0000000000000231E-2"/>
  </r>
  <r>
    <x v="1303"/>
    <n v="2.8829829108867799"/>
    <n v="3.7749999999999999"/>
    <n v="6"/>
    <n v="0.2"/>
    <n v="4"/>
    <n v="2.3221127349498181"/>
    <n v="0.8"/>
    <x v="0"/>
    <n v="0"/>
    <n v="0"/>
    <n v="0.86677283534917215"/>
    <n v="0"/>
    <n v="-1.0000000000000231E-2"/>
  </r>
  <r>
    <x v="1304"/>
    <n v="2.8967693275214801"/>
    <n v="3.7749999999999999"/>
    <n v="7"/>
    <n v="0.2"/>
    <n v="5"/>
    <n v="2.9014666004541141"/>
    <n v="1"/>
    <x v="1"/>
    <n v="2.9014666004541141"/>
    <n v="0.87353339954588582"/>
    <n v="0.87353339954588582"/>
    <n v="6.7605641967136698E-3"/>
    <n v="-1.0000000000000231E-2"/>
  </r>
  <r>
    <x v="1305"/>
    <n v="2.89502511307504"/>
    <n v="3.7549999999999999"/>
    <n v="1"/>
    <n v="0.2"/>
    <n v="1"/>
    <n v="0.57900502261500797"/>
    <n v="0.2"/>
    <x v="0"/>
    <n v="0"/>
    <n v="0"/>
    <n v="0.87353339954588582"/>
    <n v="0"/>
    <n v="-2.0000000000000018E-2"/>
  </r>
  <r>
    <x v="1306"/>
    <n v="2.8885893355353098"/>
    <n v="3.7549999999999999"/>
    <n v="2"/>
    <n v="0.2"/>
    <n v="2"/>
    <n v="1.15672288972207"/>
    <n v="0.4"/>
    <x v="0"/>
    <n v="0"/>
    <n v="0"/>
    <n v="0.87353339954588582"/>
    <n v="0"/>
    <n v="-2.0000000000000018E-2"/>
  </r>
  <r>
    <x v="1307"/>
    <n v="2.8786176823455198"/>
    <n v="3.7549999999999999"/>
    <n v="5"/>
    <n v="0.2"/>
    <n v="3"/>
    <n v="1.7324464261911741"/>
    <n v="0.60000000000000009"/>
    <x v="0"/>
    <n v="0"/>
    <n v="0"/>
    <n v="0.87353339954588582"/>
    <n v="0"/>
    <n v="-2.0000000000000018E-2"/>
  </r>
  <r>
    <x v="1308"/>
    <n v="2.9305936844385498"/>
    <n v="3.7549999999999999"/>
    <n v="6"/>
    <n v="0.2"/>
    <n v="4"/>
    <n v="2.3185651630788842"/>
    <n v="0.8"/>
    <x v="0"/>
    <n v="0"/>
    <n v="0"/>
    <n v="0.87353339954588582"/>
    <n v="0"/>
    <n v="-2.0000000000000018E-2"/>
  </r>
  <r>
    <x v="1309"/>
    <n v="2.9404244020871499"/>
    <n v="3.7549999999999999"/>
    <n v="7"/>
    <n v="0.2"/>
    <n v="5"/>
    <n v="2.9066500434963141"/>
    <n v="1"/>
    <x v="1"/>
    <n v="2.9066500434963141"/>
    <n v="0.84834995650368583"/>
    <n v="0.84834995650368583"/>
    <n v="-2.5183443042199993E-2"/>
    <n v="-2.0000000000000018E-2"/>
  </r>
  <r>
    <x v="1310"/>
    <n v="2.9800880794915101"/>
    <n v="3.86"/>
    <n v="1"/>
    <n v="0.2"/>
    <n v="1"/>
    <n v="0.59601761589830204"/>
    <n v="0.2"/>
    <x v="0"/>
    <n v="0"/>
    <n v="0"/>
    <n v="0.84834995650368583"/>
    <n v="0"/>
    <n v="0.10499999999999998"/>
  </r>
  <r>
    <x v="1311"/>
    <n v="3.0226143981411502"/>
    <n v="3.86"/>
    <n v="2"/>
    <n v="0.2"/>
    <n v="2"/>
    <n v="1.200540495526532"/>
    <n v="0.4"/>
    <x v="0"/>
    <n v="0"/>
    <n v="0"/>
    <n v="0.84834995650368583"/>
    <n v="0"/>
    <n v="0.10499999999999998"/>
  </r>
  <r>
    <x v="1312"/>
    <n v="3.0738606111301499"/>
    <n v="3.86"/>
    <n v="5"/>
    <n v="0.2"/>
    <n v="3"/>
    <n v="1.815312617752562"/>
    <n v="0.60000000000000009"/>
    <x v="0"/>
    <n v="0"/>
    <n v="0"/>
    <n v="0.84834995650368583"/>
    <n v="0"/>
    <n v="0.10499999999999998"/>
  </r>
  <r>
    <x v="1313"/>
    <n v="3.0541997432279802"/>
    <n v="3.86"/>
    <n v="7"/>
    <n v="0.2"/>
    <n v="4"/>
    <n v="2.4261525663981582"/>
    <n v="0.8"/>
    <x v="1"/>
    <n v="3.0326907079976975"/>
    <n v="0.82730929200230241"/>
    <n v="0.82730929200230241"/>
    <n v="-2.1040664501383421E-2"/>
    <n v="0.10499999999999998"/>
  </r>
  <r>
    <x v="1314"/>
    <n v="3.0857459402469098"/>
    <n v="3.9050000000000002"/>
    <n v="1"/>
    <n v="0.2"/>
    <n v="1"/>
    <n v="0.61714918804938201"/>
    <n v="0.2"/>
    <x v="0"/>
    <n v="0"/>
    <n v="0"/>
    <n v="0.82730929200230241"/>
    <n v="0"/>
    <n v="4.5000000000000373E-2"/>
  </r>
  <r>
    <x v="1315"/>
    <n v="3.1061017529399901"/>
    <n v="3.9050000000000002"/>
    <n v="2"/>
    <n v="0.2"/>
    <n v="2"/>
    <n v="1.2383695386373801"/>
    <n v="0.4"/>
    <x v="0"/>
    <n v="0"/>
    <n v="0"/>
    <n v="0.82730929200230241"/>
    <n v="0"/>
    <n v="4.5000000000000373E-2"/>
  </r>
  <r>
    <x v="1316"/>
    <n v="3.0818663952260299"/>
    <n v="3.9050000000000002"/>
    <n v="5"/>
    <n v="0.2"/>
    <n v="3"/>
    <n v="1.854742817682586"/>
    <n v="0.60000000000000009"/>
    <x v="0"/>
    <n v="0"/>
    <n v="0"/>
    <n v="0.82730929200230241"/>
    <n v="0"/>
    <n v="4.5000000000000373E-2"/>
  </r>
  <r>
    <x v="1317"/>
    <n v="3.0692268892382302"/>
    <n v="3.9050000000000002"/>
    <n v="6"/>
    <n v="0.2"/>
    <n v="4"/>
    <n v="2.468588195530232"/>
    <n v="0.8"/>
    <x v="0"/>
    <n v="0"/>
    <n v="0"/>
    <n v="0.82730929200230241"/>
    <n v="0"/>
    <n v="4.5000000000000373E-2"/>
  </r>
  <r>
    <x v="1318"/>
    <n v="3.01403656016261"/>
    <n v="3.9050000000000002"/>
    <n v="7"/>
    <n v="0.2"/>
    <n v="5"/>
    <n v="3.0713955075627539"/>
    <n v="1"/>
    <x v="1"/>
    <n v="3.0713955075627539"/>
    <n v="0.83360449243724632"/>
    <n v="0.83360449243724632"/>
    <n v="6.295200434943915E-3"/>
    <n v="4.5000000000000373E-2"/>
  </r>
  <r>
    <x v="1319"/>
    <n v="3.0326199882874301"/>
    <n v="3.86"/>
    <n v="1"/>
    <n v="0.2"/>
    <n v="1"/>
    <n v="0.6065239976574861"/>
    <n v="0.2"/>
    <x v="0"/>
    <n v="0"/>
    <n v="0"/>
    <n v="0.83360449243724632"/>
    <n v="0"/>
    <n v="-4.5000000000000373E-2"/>
  </r>
  <r>
    <x v="1320"/>
    <n v="3.0158212312193302"/>
    <n v="3.86"/>
    <n v="2"/>
    <n v="0.2"/>
    <n v="2"/>
    <n v="1.2096882439013523"/>
    <n v="0.4"/>
    <x v="0"/>
    <n v="0"/>
    <n v="0"/>
    <n v="0.83360449243724632"/>
    <n v="0"/>
    <n v="-4.5000000000000373E-2"/>
  </r>
  <r>
    <x v="1321"/>
    <n v="3.0046032284055402"/>
    <n v="3.86"/>
    <n v="5"/>
    <n v="0.2"/>
    <n v="3"/>
    <n v="1.8106088895824604"/>
    <n v="0.60000000000000009"/>
    <x v="0"/>
    <n v="0"/>
    <n v="0"/>
    <n v="0.83360449243724632"/>
    <n v="0"/>
    <n v="-4.5000000000000373E-2"/>
  </r>
  <r>
    <x v="1322"/>
    <n v="2.97056428337457"/>
    <n v="3.86"/>
    <n v="6"/>
    <n v="0.2"/>
    <n v="4"/>
    <n v="2.4047217462573744"/>
    <n v="0.8"/>
    <x v="0"/>
    <n v="0"/>
    <n v="0"/>
    <n v="0.83360449243724632"/>
    <n v="0"/>
    <n v="-4.5000000000000373E-2"/>
  </r>
  <r>
    <x v="1323"/>
    <n v="2.97246415847412"/>
    <n v="3.86"/>
    <n v="7"/>
    <n v="0.2"/>
    <n v="5"/>
    <n v="2.9992145779521984"/>
    <n v="1"/>
    <x v="1"/>
    <n v="2.9992145779521984"/>
    <n v="0.86078542204780151"/>
    <n v="0.86078542204780151"/>
    <n v="2.7180929610555182E-2"/>
    <n v="-4.5000000000000373E-2"/>
  </r>
  <r>
    <x v="1324"/>
    <n v="2.9731323059338801"/>
    <n v="3.7949999999999999"/>
    <n v="1"/>
    <n v="0.2"/>
    <n v="1"/>
    <n v="0.59462646118677609"/>
    <n v="0.2"/>
    <x v="0"/>
    <n v="0"/>
    <n v="0"/>
    <n v="0.86078542204780151"/>
    <n v="0"/>
    <n v="-6.4999999999999947E-2"/>
  </r>
  <r>
    <x v="1325"/>
    <n v="2.94257511254186"/>
    <n v="3.7949999999999999"/>
    <n v="2"/>
    <n v="0.2"/>
    <n v="2"/>
    <n v="1.1831414836951482"/>
    <n v="0.4"/>
    <x v="0"/>
    <n v="0"/>
    <n v="0"/>
    <n v="0.86078542204780151"/>
    <n v="0"/>
    <n v="-6.4999999999999947E-2"/>
  </r>
  <r>
    <x v="1326"/>
    <n v="2.9539216653401201"/>
    <n v="3.7949999999999999"/>
    <n v="5"/>
    <n v="0.2"/>
    <n v="3"/>
    <n v="1.7739258167631722"/>
    <n v="0.60000000000000009"/>
    <x v="0"/>
    <n v="0"/>
    <n v="0"/>
    <n v="0.86078542204780151"/>
    <n v="0"/>
    <n v="-6.4999999999999947E-2"/>
  </r>
  <r>
    <x v="1327"/>
    <n v="3.02215443116989"/>
    <n v="3.7949999999999999"/>
    <n v="6"/>
    <n v="0.2"/>
    <n v="4"/>
    <n v="2.3783567029971504"/>
    <n v="0.8"/>
    <x v="0"/>
    <n v="0"/>
    <n v="0"/>
    <n v="0.86078542204780151"/>
    <n v="0"/>
    <n v="-6.4999999999999947E-2"/>
  </r>
  <r>
    <x v="1328"/>
    <n v="2.9701129901318302"/>
    <n v="3.7949999999999999"/>
    <n v="7"/>
    <n v="0.2"/>
    <n v="5"/>
    <n v="2.9723793010235164"/>
    <n v="1"/>
    <x v="1"/>
    <n v="2.9723793010235164"/>
    <n v="0.82262069897648349"/>
    <n v="0.82262069897648349"/>
    <n v="-3.8164723071318019E-2"/>
    <n v="-6.4999999999999947E-2"/>
  </r>
  <r>
    <x v="1329"/>
    <n v="2.9938270438996102"/>
    <n v="3.8050000000000002"/>
    <n v="1"/>
    <n v="0.2"/>
    <n v="1"/>
    <n v="0.59876540877992201"/>
    <n v="0.2"/>
    <x v="0"/>
    <n v="0"/>
    <n v="0"/>
    <n v="0.82262069897648349"/>
    <n v="0"/>
    <n v="1.0000000000000231E-2"/>
  </r>
  <r>
    <x v="1330"/>
    <n v="2.9740140733448301"/>
    <n v="3.8050000000000002"/>
    <n v="2"/>
    <n v="0.2"/>
    <n v="2"/>
    <n v="1.193568223448888"/>
    <n v="0.4"/>
    <x v="0"/>
    <n v="0"/>
    <n v="0"/>
    <n v="0.82262069897648349"/>
    <n v="0"/>
    <n v="1.0000000000000231E-2"/>
  </r>
  <r>
    <x v="1331"/>
    <n v="2.97637624245715"/>
    <n v="3.8050000000000002"/>
    <n v="5"/>
    <n v="0.2"/>
    <n v="3"/>
    <n v="1.7888434719403179"/>
    <n v="0.60000000000000009"/>
    <x v="0"/>
    <n v="0"/>
    <n v="0"/>
    <n v="0.82262069897648349"/>
    <n v="0"/>
    <n v="1.0000000000000231E-2"/>
  </r>
  <r>
    <x v="1332"/>
    <n v="2.9403667589797098"/>
    <n v="3.8050000000000002"/>
    <n v="6"/>
    <n v="0.2"/>
    <n v="4"/>
    <n v="2.3769168237362601"/>
    <n v="0.8"/>
    <x v="0"/>
    <n v="0"/>
    <n v="0"/>
    <n v="0.82262069897648349"/>
    <n v="0"/>
    <n v="1.0000000000000231E-2"/>
  </r>
  <r>
    <x v="1333"/>
    <n v="2.9478542196080602"/>
    <n v="3.8050000000000002"/>
    <n v="7"/>
    <n v="0.2"/>
    <n v="5"/>
    <n v="2.966487667657872"/>
    <n v="1"/>
    <x v="1"/>
    <n v="2.966487667657872"/>
    <n v="0.83851233234212819"/>
    <n v="0.83851233234212819"/>
    <n v="1.5891633365644697E-2"/>
    <n v="1.0000000000000231E-2"/>
  </r>
  <r>
    <x v="1334"/>
    <n v="2.9190280511429001"/>
    <n v="3.7749999999999999"/>
    <n v="1"/>
    <n v="0.2"/>
    <n v="1"/>
    <n v="0.58380561022858002"/>
    <n v="0.2"/>
    <x v="0"/>
    <n v="0"/>
    <n v="0"/>
    <n v="0.83851233234212819"/>
    <n v="0"/>
    <n v="-3.0000000000000249E-2"/>
  </r>
  <r>
    <x v="1335"/>
    <n v="2.9469409436626601"/>
    <n v="3.7749999999999999"/>
    <n v="2"/>
    <n v="0.2"/>
    <n v="2"/>
    <n v="1.1731937989611121"/>
    <n v="0.4"/>
    <x v="0"/>
    <n v="0"/>
    <n v="0"/>
    <n v="0.83851233234212819"/>
    <n v="0"/>
    <n v="-3.0000000000000249E-2"/>
  </r>
  <r>
    <x v="1336"/>
    <n v="2.9337005392138198"/>
    <n v="3.7749999999999999"/>
    <n v="5"/>
    <n v="0.2"/>
    <n v="3"/>
    <n v="1.7599339068038762"/>
    <n v="0.60000000000000009"/>
    <x v="0"/>
    <n v="0"/>
    <n v="0"/>
    <n v="0.83851233234212819"/>
    <n v="0"/>
    <n v="-3.0000000000000249E-2"/>
  </r>
  <r>
    <x v="1337"/>
    <n v="2.9532777755808302"/>
    <n v="3.7749999999999999"/>
    <n v="6"/>
    <n v="0.2"/>
    <n v="4"/>
    <n v="2.350589461920042"/>
    <n v="0.8"/>
    <x v="0"/>
    <n v="0"/>
    <n v="0"/>
    <n v="0.83851233234212819"/>
    <n v="0"/>
    <n v="-3.0000000000000249E-2"/>
  </r>
  <r>
    <x v="1338"/>
    <n v="2.9149127266331099"/>
    <n v="3.7749999999999999"/>
    <n v="7"/>
    <n v="0.2"/>
    <n v="5"/>
    <n v="2.933572007246664"/>
    <n v="1"/>
    <x v="1"/>
    <n v="2.933572007246664"/>
    <n v="0.84142799275333591"/>
    <n v="0.84142799275333591"/>
    <n v="2.9156604112077211E-3"/>
    <n v="-3.0000000000000249E-2"/>
  </r>
  <r>
    <x v="1339"/>
    <n v="2.9057812704780299"/>
    <n v="3.74"/>
    <n v="1"/>
    <n v="0.2"/>
    <n v="1"/>
    <n v="0.58115625409560601"/>
    <n v="0.2"/>
    <x v="0"/>
    <n v="0"/>
    <n v="0"/>
    <n v="0.84142799275333591"/>
    <n v="0"/>
    <n v="-3.4999999999999698E-2"/>
  </r>
  <r>
    <x v="1340"/>
    <n v="2.88684387791647"/>
    <n v="3.74"/>
    <n v="2"/>
    <n v="0.2"/>
    <n v="2"/>
    <n v="1.1585250296789"/>
    <n v="0.4"/>
    <x v="0"/>
    <n v="0"/>
    <n v="0"/>
    <n v="0.84142799275333591"/>
    <n v="0"/>
    <n v="-3.4999999999999698E-2"/>
  </r>
  <r>
    <x v="1341"/>
    <n v="2.8989518850804301"/>
    <n v="3.74"/>
    <n v="5"/>
    <n v="0.2"/>
    <n v="3"/>
    <n v="1.7383154066949862"/>
    <n v="0.60000000000000009"/>
    <x v="0"/>
    <n v="0"/>
    <n v="0"/>
    <n v="0.84142799275333591"/>
    <n v="0"/>
    <n v="-3.4999999999999698E-2"/>
  </r>
  <r>
    <x v="1342"/>
    <n v="2.9395075858603499"/>
    <n v="3.74"/>
    <n v="6"/>
    <n v="0.2"/>
    <n v="4"/>
    <n v="2.3262169238670563"/>
    <n v="0.8"/>
    <x v="0"/>
    <n v="0"/>
    <n v="0"/>
    <n v="0.84142799275333591"/>
    <n v="0"/>
    <n v="-3.4999999999999698E-2"/>
  </r>
  <r>
    <x v="1343"/>
    <n v="2.9032960694511001"/>
    <n v="3.74"/>
    <n v="7"/>
    <n v="0.2"/>
    <n v="5"/>
    <n v="2.9068761377572763"/>
    <n v="1"/>
    <x v="1"/>
    <n v="2.9068761377572763"/>
    <n v="0.83312386224272394"/>
    <n v="0.83312386224272394"/>
    <n v="-8.3041305106119623E-3"/>
    <n v="-3.4999999999999698E-2"/>
  </r>
  <r>
    <x v="1344"/>
    <n v="2.8788328946045998"/>
    <n v="3.7349999999999999"/>
    <n v="1"/>
    <n v="0.2"/>
    <n v="1"/>
    <n v="0.57576657892091998"/>
    <n v="0.2"/>
    <x v="0"/>
    <n v="0"/>
    <n v="0"/>
    <n v="0.83312386224272394"/>
    <n v="0"/>
    <n v="-5.0000000000003375E-3"/>
  </r>
  <r>
    <x v="1345"/>
    <n v="2.8849159649276999"/>
    <n v="3.7349999999999999"/>
    <n v="2"/>
    <n v="0.2"/>
    <n v="2"/>
    <n v="1.1527497719064601"/>
    <n v="0.4"/>
    <x v="0"/>
    <n v="0"/>
    <n v="0"/>
    <n v="0.83312386224272394"/>
    <n v="0"/>
    <n v="-5.0000000000003375E-3"/>
  </r>
  <r>
    <x v="1346"/>
    <n v="2.8809330766595802"/>
    <n v="3.7349999999999999"/>
    <n v="5"/>
    <n v="0.2"/>
    <n v="3"/>
    <n v="1.7289363872383761"/>
    <n v="0.60000000000000009"/>
    <x v="0"/>
    <n v="0"/>
    <n v="0"/>
    <n v="0.83312386224272394"/>
    <n v="0"/>
    <n v="-5.0000000000003375E-3"/>
  </r>
  <r>
    <x v="1347"/>
    <n v="2.9039512630900401"/>
    <n v="3.7349999999999999"/>
    <n v="6"/>
    <n v="0.2"/>
    <n v="4"/>
    <n v="2.3097266398563843"/>
    <n v="0.8"/>
    <x v="0"/>
    <n v="0"/>
    <n v="0"/>
    <n v="0.83312386224272394"/>
    <n v="0"/>
    <n v="-5.0000000000003375E-3"/>
  </r>
  <r>
    <x v="1348"/>
    <n v="2.86756430791635"/>
    <n v="3.7349999999999999"/>
    <n v="7"/>
    <n v="0.2"/>
    <n v="5"/>
    <n v="2.8832395014396544"/>
    <n v="1"/>
    <x v="1"/>
    <n v="2.8832395014396544"/>
    <n v="0.85176049856034552"/>
    <n v="0.85176049856034552"/>
    <n v="1.863663631762158E-2"/>
    <n v="-5.0000000000003375E-3"/>
  </r>
  <r>
    <x v="1349"/>
    <n v="2.8814309818514099"/>
    <n v="3.6949999999999998"/>
    <n v="1"/>
    <n v="0.2"/>
    <n v="1"/>
    <n v="0.576286196370282"/>
    <n v="0.2"/>
    <x v="0"/>
    <n v="0"/>
    <n v="0"/>
    <n v="0.85176049856034552"/>
    <n v="0"/>
    <n v="-4.0000000000000036E-2"/>
  </r>
  <r>
    <x v="1350"/>
    <n v="2.85470701352213"/>
    <n v="3.6949999999999998"/>
    <n v="2"/>
    <n v="0.2"/>
    <n v="2"/>
    <n v="1.1472275990747081"/>
    <n v="0.4"/>
    <x v="0"/>
    <n v="0"/>
    <n v="0"/>
    <n v="0.85176049856034552"/>
    <n v="0"/>
    <n v="-4.0000000000000036E-2"/>
  </r>
  <r>
    <x v="1351"/>
    <n v="2.8455759093588999"/>
    <n v="3.6949999999999998"/>
    <n v="5"/>
    <n v="0.2"/>
    <n v="3"/>
    <n v="1.716342780946488"/>
    <n v="0.60000000000000009"/>
    <x v="0"/>
    <n v="0"/>
    <n v="0"/>
    <n v="0.85176049856034552"/>
    <n v="0"/>
    <n v="-4.0000000000000036E-2"/>
  </r>
  <r>
    <x v="1352"/>
    <n v="2.8303497254794401"/>
    <n v="3.6949999999999998"/>
    <n v="6"/>
    <n v="0.2"/>
    <n v="4"/>
    <n v="2.2824127260423759"/>
    <n v="0.8"/>
    <x v="0"/>
    <n v="0"/>
    <n v="0"/>
    <n v="0.85176049856034552"/>
    <n v="0"/>
    <n v="-4.0000000000000036E-2"/>
  </r>
  <r>
    <x v="1353"/>
    <n v="2.8426315316664401"/>
    <n v="3.6949999999999998"/>
    <n v="7"/>
    <n v="0.2"/>
    <n v="5"/>
    <n v="2.8509390323756638"/>
    <n v="1"/>
    <x v="1"/>
    <n v="2.8509390323756638"/>
    <n v="0.84406096762433602"/>
    <n v="0.84406096762433602"/>
    <n v="-7.6995309360095021E-3"/>
    <n v="-4.0000000000000036E-2"/>
  </r>
  <r>
    <x v="1354"/>
    <n v="2.8177381018146699"/>
    <n v="3.6549999999999998"/>
    <n v="1"/>
    <n v="0.2"/>
    <n v="1"/>
    <n v="0.56354762036293404"/>
    <n v="0.2"/>
    <x v="0"/>
    <n v="0"/>
    <n v="0"/>
    <n v="0.84406096762433602"/>
    <n v="0"/>
    <n v="-4.0000000000000036E-2"/>
  </r>
  <r>
    <x v="1355"/>
    <n v="2.8505659614824999"/>
    <n v="3.6549999999999998"/>
    <n v="2"/>
    <n v="0.2"/>
    <n v="2"/>
    <n v="1.1336608126594341"/>
    <n v="0.4"/>
    <x v="0"/>
    <n v="0"/>
    <n v="0"/>
    <n v="0.84406096762433602"/>
    <n v="0"/>
    <n v="-4.0000000000000036E-2"/>
  </r>
  <r>
    <x v="1356"/>
    <n v="2.7686387386153899"/>
    <n v="3.6549999999999998"/>
    <n v="6"/>
    <n v="0.2"/>
    <n v="3"/>
    <n v="1.6873885603825121"/>
    <n v="0.60000000000000009"/>
    <x v="0"/>
    <n v="0"/>
    <n v="0"/>
    <n v="0.84406096762433602"/>
    <n v="0"/>
    <n v="-4.0000000000000036E-2"/>
  </r>
  <r>
    <x v="1357"/>
    <n v="2.8132496631977602"/>
    <n v="3.6549999999999998"/>
    <n v="7"/>
    <n v="0.2"/>
    <n v="4"/>
    <n v="2.250038493022064"/>
    <n v="0.8"/>
    <x v="1"/>
    <n v="2.8125481162775801"/>
    <n v="0.84245188372241975"/>
    <n v="0.84245188372241975"/>
    <n v="-1.609083901916275E-3"/>
    <n v="-4.0000000000000036E-2"/>
  </r>
  <r>
    <x v="1358"/>
    <n v="2.7688521651914"/>
    <n v="3.6549999999999998"/>
    <n v="1"/>
    <n v="0.2"/>
    <n v="1"/>
    <n v="0.55377043303828"/>
    <n v="0.2"/>
    <x v="0"/>
    <n v="0"/>
    <n v="0"/>
    <n v="0.84245188372241975"/>
    <n v="0"/>
    <n v="0"/>
  </r>
  <r>
    <x v="1359"/>
    <n v="2.76958844979265"/>
    <n v="3.6549999999999998"/>
    <n v="2"/>
    <n v="0.2"/>
    <n v="2"/>
    <n v="1.1076881229968101"/>
    <n v="0.4"/>
    <x v="0"/>
    <n v="0"/>
    <n v="0"/>
    <n v="0.84245188372241975"/>
    <n v="0"/>
    <n v="0"/>
  </r>
  <r>
    <x v="1360"/>
    <n v="2.8333960473494502"/>
    <n v="3.6549999999999998"/>
    <n v="5"/>
    <n v="0.2"/>
    <n v="3"/>
    <n v="1.6743673324667001"/>
    <n v="0.60000000000000009"/>
    <x v="0"/>
    <n v="0"/>
    <n v="0"/>
    <n v="0.84245188372241975"/>
    <n v="0"/>
    <n v="0"/>
  </r>
  <r>
    <x v="1361"/>
    <n v="2.85764653167635"/>
    <n v="3.6549999999999998"/>
    <n v="6"/>
    <n v="0.2"/>
    <n v="4"/>
    <n v="2.2458966388019701"/>
    <n v="0.8"/>
    <x v="0"/>
    <n v="0"/>
    <n v="0"/>
    <n v="0.84245188372241975"/>
    <n v="0"/>
    <n v="0"/>
  </r>
  <r>
    <x v="1362"/>
    <n v="2.8730648948017001"/>
    <n v="3.6549999999999998"/>
    <n v="7"/>
    <n v="0.2"/>
    <n v="5"/>
    <n v="2.8205096177623101"/>
    <n v="1"/>
    <x v="1"/>
    <n v="2.8205096177623101"/>
    <n v="0.83449038223768968"/>
    <n v="0.83449038223768968"/>
    <n v="-7.9615014847300714E-3"/>
    <n v="0"/>
  </r>
  <r>
    <x v="1363"/>
    <n v="2.8751288472692602"/>
    <n v="3.7050000000000001"/>
    <n v="1"/>
    <n v="0.2"/>
    <n v="1"/>
    <n v="0.57502576945385209"/>
    <n v="0.2"/>
    <x v="0"/>
    <n v="0"/>
    <n v="0"/>
    <n v="0.83449038223768968"/>
    <n v="0"/>
    <n v="5.0000000000000266E-2"/>
  </r>
  <r>
    <x v="1364"/>
    <n v="2.8805932706555302"/>
    <n v="3.7050000000000001"/>
    <n v="2"/>
    <n v="0.2"/>
    <n v="2"/>
    <n v="1.1511444235849582"/>
    <n v="0.4"/>
    <x v="0"/>
    <n v="0"/>
    <n v="0"/>
    <n v="0.83449038223768968"/>
    <n v="0"/>
    <n v="5.0000000000000266E-2"/>
  </r>
  <r>
    <x v="1365"/>
    <n v="2.9057723964536701"/>
    <n v="3.7050000000000001"/>
    <n v="5"/>
    <n v="0.2"/>
    <n v="3"/>
    <n v="1.7322989028756921"/>
    <n v="0.60000000000000009"/>
    <x v="0"/>
    <n v="0"/>
    <n v="0"/>
    <n v="0.83449038223768968"/>
    <n v="0"/>
    <n v="5.0000000000000266E-2"/>
  </r>
  <r>
    <x v="1366"/>
    <n v="2.9043715676588402"/>
    <n v="3.7050000000000001"/>
    <n v="6"/>
    <n v="0.2"/>
    <n v="4"/>
    <n v="2.3131732164074603"/>
    <n v="0.8"/>
    <x v="0"/>
    <n v="0"/>
    <n v="0"/>
    <n v="0.83449038223768968"/>
    <n v="0"/>
    <n v="5.0000000000000266E-2"/>
  </r>
  <r>
    <x v="1367"/>
    <n v="2.9399523487894101"/>
    <n v="3.7050000000000001"/>
    <n v="7"/>
    <n v="0.2"/>
    <n v="5"/>
    <n v="2.9011636861653423"/>
    <n v="1"/>
    <x v="1"/>
    <n v="2.9011636861653423"/>
    <n v="0.80383631383465781"/>
    <n v="0.80383631383465781"/>
    <n v="-3.0654068403031864E-2"/>
    <n v="5.0000000000000266E-2"/>
  </r>
  <r>
    <x v="1368"/>
    <n v="2.93833125966247"/>
    <n v="3.73"/>
    <n v="1"/>
    <n v="0.2"/>
    <n v="1"/>
    <n v="0.587666251932494"/>
    <n v="0.2"/>
    <x v="0"/>
    <n v="0"/>
    <n v="0"/>
    <n v="0.80383631383465781"/>
    <n v="0"/>
    <n v="2.4999999999999911E-2"/>
  </r>
  <r>
    <x v="1369"/>
    <n v="2.9240861727141798"/>
    <n v="3.73"/>
    <n v="2"/>
    <n v="0.2"/>
    <n v="2"/>
    <n v="1.17248348647533"/>
    <n v="0.4"/>
    <x v="0"/>
    <n v="0"/>
    <n v="0"/>
    <n v="0.80383631383465781"/>
    <n v="0"/>
    <n v="2.4999999999999911E-2"/>
  </r>
  <r>
    <x v="1370"/>
    <n v="2.8840645930864102"/>
    <n v="3.73"/>
    <n v="5"/>
    <n v="0.2"/>
    <n v="3"/>
    <n v="1.7492964050926121"/>
    <n v="0.60000000000000009"/>
    <x v="0"/>
    <n v="0"/>
    <n v="0"/>
    <n v="0.80383631383465781"/>
    <n v="0"/>
    <n v="2.4999999999999911E-2"/>
  </r>
  <r>
    <x v="1371"/>
    <n v="2.8877476464560701"/>
    <n v="3.73"/>
    <n v="6"/>
    <n v="0.2"/>
    <n v="4"/>
    <n v="2.3268459343838259"/>
    <n v="0.8"/>
    <x v="0"/>
    <n v="0"/>
    <n v="0"/>
    <n v="0.80383631383465781"/>
    <n v="0"/>
    <n v="2.4999999999999911E-2"/>
  </r>
  <r>
    <x v="1372"/>
    <n v="2.9533030207859099"/>
    <n v="3.73"/>
    <n v="7"/>
    <n v="0.2"/>
    <n v="5"/>
    <n v="2.9175065385410077"/>
    <n v="1"/>
    <x v="1"/>
    <n v="2.9175065385410077"/>
    <n v="0.81249346145899226"/>
    <n v="0.81249346145899226"/>
    <n v="8.6571476243344492E-3"/>
    <n v="2.4999999999999911E-2"/>
  </r>
  <r>
    <x v="1373"/>
    <n v="2.93891033578682"/>
    <n v="3.7250000000000001"/>
    <n v="1"/>
    <n v="0.2"/>
    <n v="1"/>
    <n v="0.58778206715736403"/>
    <n v="0.2"/>
    <x v="0"/>
    <n v="0"/>
    <n v="0"/>
    <n v="0.81249346145899226"/>
    <n v="0"/>
    <n v="-4.9999999999998934E-3"/>
  </r>
  <r>
    <x v="1374"/>
    <n v="2.9532102294675502"/>
    <n v="3.7250000000000001"/>
    <n v="2"/>
    <n v="0.2"/>
    <n v="2"/>
    <n v="1.1784241130508741"/>
    <n v="0.4"/>
    <x v="0"/>
    <n v="0"/>
    <n v="0"/>
    <n v="0.81249346145899226"/>
    <n v="0"/>
    <n v="-4.9999999999998934E-3"/>
  </r>
  <r>
    <x v="1375"/>
    <n v="2.9577488830812499"/>
    <n v="3.7250000000000001"/>
    <n v="5"/>
    <n v="0.2"/>
    <n v="3"/>
    <n v="1.7699738896671242"/>
    <n v="0.60000000000000009"/>
    <x v="0"/>
    <n v="0"/>
    <n v="0"/>
    <n v="0.81249346145899226"/>
    <n v="0"/>
    <n v="-4.9999999999998934E-3"/>
  </r>
  <r>
    <x v="1376"/>
    <n v="2.952806250509"/>
    <n v="3.7250000000000001"/>
    <n v="6"/>
    <n v="0.2"/>
    <n v="4"/>
    <n v="2.360535139768924"/>
    <n v="0.8"/>
    <x v="0"/>
    <n v="0"/>
    <n v="0"/>
    <n v="0.81249346145899226"/>
    <n v="0"/>
    <n v="-4.9999999999998934E-3"/>
  </r>
  <r>
    <x v="1377"/>
    <n v="2.9545969286593401"/>
    <n v="3.7250000000000001"/>
    <n v="7"/>
    <n v="0.2"/>
    <n v="5"/>
    <n v="2.9514545255007922"/>
    <n v="1"/>
    <x v="1"/>
    <n v="2.9514545255007922"/>
    <n v="0.77354547449920785"/>
    <n v="0.77354547449920785"/>
    <n v="-3.8947986959784409E-2"/>
    <n v="-4.9999999999998934E-3"/>
  </r>
  <r>
    <x v="1378"/>
    <n v="2.9793172807072401"/>
    <n v="3.7850000000000001"/>
    <n v="1"/>
    <n v="0.2"/>
    <n v="1"/>
    <n v="0.59586345614144809"/>
    <n v="0.2"/>
    <x v="0"/>
    <n v="0"/>
    <n v="0"/>
    <n v="0.77354547449920785"/>
    <n v="0"/>
    <n v="6.0000000000000053E-2"/>
  </r>
  <r>
    <x v="1379"/>
    <n v="3.0009273106510901"/>
    <n v="3.7850000000000001"/>
    <n v="2"/>
    <n v="0.2"/>
    <n v="2"/>
    <n v="1.196048918271666"/>
    <n v="0.4"/>
    <x v="0"/>
    <n v="0"/>
    <n v="0"/>
    <n v="0.77354547449920785"/>
    <n v="0"/>
    <n v="6.0000000000000053E-2"/>
  </r>
  <r>
    <x v="1380"/>
    <n v="2.9830790424309099"/>
    <n v="3.7850000000000001"/>
    <n v="6"/>
    <n v="0.2"/>
    <n v="3"/>
    <n v="1.7926647267578479"/>
    <n v="0.60000000000000009"/>
    <x v="0"/>
    <n v="0"/>
    <n v="0"/>
    <n v="0.77354547449920785"/>
    <n v="0"/>
    <n v="6.0000000000000053E-2"/>
  </r>
  <r>
    <x v="1381"/>
    <n v="2.9723769302526701"/>
    <n v="3.7850000000000001"/>
    <n v="7"/>
    <n v="0.2"/>
    <n v="4"/>
    <n v="2.3871401128083818"/>
    <n v="0.8"/>
    <x v="1"/>
    <n v="2.9839251410104772"/>
    <n v="0.80107485898952291"/>
    <n v="0.80107485898952291"/>
    <n v="2.7529384490315056E-2"/>
    <n v="6.0000000000000053E-2"/>
  </r>
  <r>
    <x v="1382"/>
    <n v="2.9511837020622398"/>
    <n v="3.7549999999999999"/>
    <n v="1"/>
    <n v="0.2"/>
    <n v="1"/>
    <n v="0.590236740412448"/>
    <n v="0.2"/>
    <x v="0"/>
    <n v="0"/>
    <n v="0"/>
    <n v="0.80107485898952291"/>
    <n v="0"/>
    <n v="-3.0000000000000249E-2"/>
  </r>
  <r>
    <x v="1383"/>
    <n v="2.9141532212182901"/>
    <n v="3.7549999999999999"/>
    <n v="2"/>
    <n v="0.2"/>
    <n v="2"/>
    <n v="1.1730673846561062"/>
    <n v="0.4"/>
    <x v="0"/>
    <n v="0"/>
    <n v="0"/>
    <n v="0.80107485898952291"/>
    <n v="0"/>
    <n v="-3.0000000000000249E-2"/>
  </r>
  <r>
    <x v="1384"/>
    <n v="2.9370100055573301"/>
    <n v="3.7549999999999999"/>
    <n v="5"/>
    <n v="0.2"/>
    <n v="3"/>
    <n v="1.7604693857675722"/>
    <n v="0.60000000000000009"/>
    <x v="0"/>
    <n v="0"/>
    <n v="0"/>
    <n v="0.80107485898952291"/>
    <n v="0"/>
    <n v="-3.0000000000000249E-2"/>
  </r>
  <r>
    <x v="1385"/>
    <n v="2.93181344995519"/>
    <n v="3.7549999999999999"/>
    <n v="6"/>
    <n v="0.2"/>
    <n v="4"/>
    <n v="2.3468320757586101"/>
    <n v="0.8"/>
    <x v="0"/>
    <n v="0"/>
    <n v="0"/>
    <n v="0.80107485898952291"/>
    <n v="0"/>
    <n v="-3.0000000000000249E-2"/>
  </r>
  <r>
    <x v="1386"/>
    <n v="2.97706492093908"/>
    <n v="3.7549999999999999"/>
    <n v="7"/>
    <n v="0.2"/>
    <n v="5"/>
    <n v="2.9422450599464263"/>
    <n v="1"/>
    <x v="1"/>
    <n v="2.9422450599464263"/>
    <n v="0.81275494005357363"/>
    <n v="0.81275494005357363"/>
    <n v="1.1680081064050718E-2"/>
    <n v="-3.0000000000000249E-2"/>
  </r>
  <r>
    <x v="1387"/>
    <n v="2.9757195014507198"/>
    <n v="3.8149999999999999"/>
    <n v="1"/>
    <n v="0.2"/>
    <n v="1"/>
    <n v="0.59514390029014397"/>
    <n v="0.2"/>
    <x v="0"/>
    <n v="0"/>
    <n v="0"/>
    <n v="0.81275494005357363"/>
    <n v="0"/>
    <n v="6.0000000000000053E-2"/>
  </r>
  <r>
    <x v="1388"/>
    <n v="3.01518414447508"/>
    <n v="3.8149999999999999"/>
    <n v="2"/>
    <n v="0.2"/>
    <n v="2"/>
    <n v="1.1981807291851601"/>
    <n v="0.4"/>
    <x v="0"/>
    <n v="0"/>
    <n v="0"/>
    <n v="0.81275494005357363"/>
    <n v="0"/>
    <n v="6.0000000000000053E-2"/>
  </r>
  <r>
    <x v="1389"/>
    <n v="2.99577895958971"/>
    <n v="3.8149999999999999"/>
    <n v="5"/>
    <n v="0.2"/>
    <n v="3"/>
    <n v="1.797336521103102"/>
    <n v="0.60000000000000009"/>
    <x v="0"/>
    <n v="0"/>
    <n v="0"/>
    <n v="0.81275494005357363"/>
    <n v="0"/>
    <n v="6.0000000000000053E-2"/>
  </r>
  <r>
    <x v="1390"/>
    <n v="3.0341872345121401"/>
    <n v="3.8149999999999999"/>
    <n v="6"/>
    <n v="0.2"/>
    <n v="4"/>
    <n v="2.4041739680055301"/>
    <n v="0.8"/>
    <x v="0"/>
    <n v="0"/>
    <n v="0"/>
    <n v="0.81275494005357363"/>
    <n v="0"/>
    <n v="6.0000000000000053E-2"/>
  </r>
  <r>
    <x v="1391"/>
    <n v="3.0653082915099299"/>
    <n v="3.8149999999999999"/>
    <n v="7"/>
    <n v="0.2"/>
    <n v="5"/>
    <n v="3.017235626307516"/>
    <n v="1"/>
    <x v="1"/>
    <n v="3.017235626307516"/>
    <n v="0.79776437369248399"/>
    <n v="0.79776437369248399"/>
    <n v="-1.4990566361089641E-2"/>
    <n v="6.0000000000000053E-2"/>
  </r>
  <r>
    <x v="1392"/>
    <n v="3.0902788542109598"/>
    <n v="3.8149999999999999"/>
    <n v="1"/>
    <n v="0.2"/>
    <n v="1"/>
    <n v="0.61805577084219199"/>
    <n v="0.2"/>
    <x v="0"/>
    <n v="0"/>
    <n v="0"/>
    <n v="0.79776437369248399"/>
    <n v="0"/>
    <n v="0"/>
  </r>
  <r>
    <x v="1393"/>
    <n v="3.0467872784597301"/>
    <n v="3.8149999999999999"/>
    <n v="2"/>
    <n v="0.2"/>
    <n v="2"/>
    <n v="1.227413226534138"/>
    <n v="0.4"/>
    <x v="0"/>
    <n v="0"/>
    <n v="0"/>
    <n v="0.79776437369248399"/>
    <n v="0"/>
    <n v="0"/>
  </r>
  <r>
    <x v="1394"/>
    <n v="2.9862193219320199"/>
    <n v="3.8149999999999999"/>
    <n v="5"/>
    <n v="0.2"/>
    <n v="3"/>
    <n v="1.824657090920542"/>
    <n v="0.60000000000000009"/>
    <x v="0"/>
    <n v="0"/>
    <n v="0"/>
    <n v="0.79776437369248399"/>
    <n v="0"/>
    <n v="0"/>
  </r>
  <r>
    <x v="1395"/>
    <n v="2.9950080257939802"/>
    <n v="3.8149999999999999"/>
    <n v="6"/>
    <n v="0.2"/>
    <n v="4"/>
    <n v="2.4236586960793378"/>
    <n v="0.8"/>
    <x v="0"/>
    <n v="0"/>
    <n v="0"/>
    <n v="0.79776437369248399"/>
    <n v="0"/>
    <n v="0"/>
  </r>
  <r>
    <x v="1396"/>
    <n v="3.0013346619924599"/>
    <n v="3.8149999999999999"/>
    <n v="7"/>
    <n v="0.2"/>
    <n v="5"/>
    <n v="3.02392562847783"/>
    <n v="1"/>
    <x v="1"/>
    <n v="3.02392562847783"/>
    <n v="0.79107437152216997"/>
    <n v="0.79107437152216997"/>
    <n v="-6.6900021703140133E-3"/>
    <n v="0"/>
  </r>
  <r>
    <x v="1397"/>
    <n v="2.9792260148028"/>
    <n v="3.75"/>
    <n v="1"/>
    <n v="0.2"/>
    <n v="1"/>
    <n v="0.59584520296055998"/>
    <n v="0.2"/>
    <x v="0"/>
    <n v="0"/>
    <n v="0"/>
    <n v="0.79107437152216997"/>
    <n v="0"/>
    <n v="-6.4999999999999947E-2"/>
  </r>
  <r>
    <x v="1398"/>
    <n v="2.9673100306240898"/>
    <n v="3.75"/>
    <n v="2"/>
    <n v="0.2"/>
    <n v="2"/>
    <n v="1.189307209085378"/>
    <n v="0.4"/>
    <x v="0"/>
    <n v="0"/>
    <n v="0"/>
    <n v="0.79107437152216997"/>
    <n v="0"/>
    <n v="-6.4999999999999947E-2"/>
  </r>
  <r>
    <x v="1399"/>
    <n v="2.9424366684946102"/>
    <n v="3.75"/>
    <n v="5"/>
    <n v="0.2"/>
    <n v="3"/>
    <n v="1.7777945427843"/>
    <n v="0.60000000000000009"/>
    <x v="0"/>
    <n v="0"/>
    <n v="0"/>
    <n v="0.79107437152216997"/>
    <n v="0"/>
    <n v="-6.4999999999999947E-2"/>
  </r>
  <r>
    <x v="1400"/>
    <n v="2.9389348891258198"/>
    <n v="3.75"/>
    <n v="6"/>
    <n v="0.2"/>
    <n v="4"/>
    <n v="2.3655815206094641"/>
    <n v="0.8"/>
    <x v="0"/>
    <n v="0"/>
    <n v="0"/>
    <n v="0.79107437152216997"/>
    <n v="0"/>
    <n v="-6.4999999999999947E-2"/>
  </r>
  <r>
    <x v="1401"/>
    <n v="2.9600254528723302"/>
    <n v="3.75"/>
    <n v="7"/>
    <n v="0.2"/>
    <n v="5"/>
    <n v="2.9575866111839302"/>
    <n v="1"/>
    <x v="1"/>
    <n v="2.9575866111839302"/>
    <n v="0.79241338881606982"/>
    <n v="0.79241338881606982"/>
    <n v="1.3390172938998468E-3"/>
    <n v="-6.4999999999999947E-2"/>
  </r>
  <r>
    <x v="1402"/>
    <n v="2.9800098209744199"/>
    <n v="3.8250000000000002"/>
    <n v="1"/>
    <n v="0.2"/>
    <n v="1"/>
    <n v="0.59600196419488405"/>
    <n v="0.2"/>
    <x v="0"/>
    <n v="0"/>
    <n v="0"/>
    <n v="0.79241338881606982"/>
    <n v="0"/>
    <n v="7.5000000000000178E-2"/>
  </r>
  <r>
    <x v="1403"/>
    <n v="3.0443074721170098"/>
    <n v="3.8250000000000002"/>
    <n v="2"/>
    <n v="0.2"/>
    <n v="2"/>
    <n v="1.204863458618286"/>
    <n v="0.4"/>
    <x v="0"/>
    <n v="0"/>
    <n v="0"/>
    <n v="0.79241338881606982"/>
    <n v="0"/>
    <n v="7.5000000000000178E-2"/>
  </r>
  <r>
    <x v="1404"/>
    <n v="3.0403355668872298"/>
    <n v="3.8250000000000002"/>
    <n v="5"/>
    <n v="0.2"/>
    <n v="3"/>
    <n v="1.812930571995732"/>
    <n v="0.60000000000000009"/>
    <x v="0"/>
    <n v="0"/>
    <n v="0"/>
    <n v="0.79241338881606982"/>
    <n v="0"/>
    <n v="7.5000000000000178E-2"/>
  </r>
  <r>
    <x v="1405"/>
    <n v="3.0130090109041801"/>
    <n v="3.8250000000000002"/>
    <n v="6"/>
    <n v="0.2"/>
    <n v="4"/>
    <n v="2.4155323741765682"/>
    <n v="0.8"/>
    <x v="0"/>
    <n v="0"/>
    <n v="0"/>
    <n v="0.79241338881606982"/>
    <n v="0"/>
    <n v="7.5000000000000178E-2"/>
  </r>
  <r>
    <x v="1406"/>
    <n v="2.9832273925471098"/>
    <n v="3.8250000000000002"/>
    <n v="7"/>
    <n v="0.2"/>
    <n v="5"/>
    <n v="3.0121778526859901"/>
    <n v="1"/>
    <x v="1"/>
    <n v="3.0121778526859901"/>
    <n v="0.81282214731401004"/>
    <n v="0.81282214731401004"/>
    <n v="2.0408758497940216E-2"/>
    <n v="7.5000000000000178E-2"/>
  </r>
  <r>
    <x v="1407"/>
    <n v="2.9906585902343101"/>
    <n v="3.7949999999999999"/>
    <n v="1"/>
    <n v="0.2"/>
    <n v="1"/>
    <n v="0.59813171804686205"/>
    <n v="0.2"/>
    <x v="0"/>
    <n v="0"/>
    <n v="0"/>
    <n v="0.81282214731401004"/>
    <n v="0"/>
    <n v="-3.0000000000000249E-2"/>
  </r>
  <r>
    <x v="1408"/>
    <n v="2.98764576093506"/>
    <n v="3.7949999999999999"/>
    <n v="2"/>
    <n v="0.2"/>
    <n v="2"/>
    <n v="1.195660870233874"/>
    <n v="0.4"/>
    <x v="0"/>
    <n v="0"/>
    <n v="0"/>
    <n v="0.81282214731401004"/>
    <n v="0"/>
    <n v="-3.0000000000000249E-2"/>
  </r>
  <r>
    <x v="1409"/>
    <n v="3.0172328691696801"/>
    <n v="3.7949999999999999"/>
    <n v="5"/>
    <n v="0.2"/>
    <n v="3"/>
    <n v="1.7991074440678101"/>
    <n v="0.60000000000000009"/>
    <x v="0"/>
    <n v="0"/>
    <n v="0"/>
    <n v="0.81282214731401004"/>
    <n v="0"/>
    <n v="-3.0000000000000249E-2"/>
  </r>
  <r>
    <x v="1410"/>
    <n v="3.0047390423646898"/>
    <n v="3.7949999999999999"/>
    <n v="6"/>
    <n v="0.2"/>
    <n v="4"/>
    <n v="2.4000552525407484"/>
    <n v="0.8"/>
    <x v="0"/>
    <n v="0"/>
    <n v="0"/>
    <n v="0.81282214731401004"/>
    <n v="0"/>
    <n v="-3.0000000000000249E-2"/>
  </r>
  <r>
    <x v="1411"/>
    <n v="2.96000129770144"/>
    <n v="3.7949999999999999"/>
    <n v="7"/>
    <n v="0.2"/>
    <n v="5"/>
    <n v="2.9920555120810364"/>
    <n v="1"/>
    <x v="1"/>
    <n v="2.9920555120810364"/>
    <n v="0.80294448791896356"/>
    <n v="0.80294448791896356"/>
    <n v="-9.8776593950464786E-3"/>
    <n v="-3.0000000000000249E-2"/>
  </r>
  <r>
    <x v="1412"/>
    <n v="2.9773369107577001"/>
    <n v="3.7749999999999999"/>
    <n v="2"/>
    <n v="0.2"/>
    <n v="1"/>
    <n v="0.59546738215154005"/>
    <n v="0.2"/>
    <x v="0"/>
    <n v="0"/>
    <n v="0"/>
    <n v="0.80294448791896356"/>
    <n v="0"/>
    <n v="-2.0000000000000018E-2"/>
  </r>
  <r>
    <x v="1413"/>
    <n v="2.9651134917588999"/>
    <n v="3.7749999999999999"/>
    <n v="5"/>
    <n v="0.2"/>
    <n v="2"/>
    <n v="1.1884900805033201"/>
    <n v="0.4"/>
    <x v="0"/>
    <n v="0"/>
    <n v="0"/>
    <n v="0.80294448791896356"/>
    <n v="0"/>
    <n v="-2.0000000000000018E-2"/>
  </r>
  <r>
    <x v="1414"/>
    <n v="2.9759969781925699"/>
    <n v="3.7749999999999999"/>
    <n v="6"/>
    <n v="0.2"/>
    <n v="3"/>
    <n v="1.783689476141834"/>
    <n v="0.60000000000000009"/>
    <x v="0"/>
    <n v="0"/>
    <n v="0"/>
    <n v="0.80294448791896356"/>
    <n v="0"/>
    <n v="-2.0000000000000018E-2"/>
  </r>
  <r>
    <x v="1415"/>
    <n v="2.9962570180542998"/>
    <n v="3.7749999999999999"/>
    <n v="7"/>
    <n v="0.2"/>
    <n v="4"/>
    <n v="2.3829408797526939"/>
    <n v="0.8"/>
    <x v="1"/>
    <n v="2.9786760996908672"/>
    <n v="0.79632390030913269"/>
    <n v="0.79632390030913269"/>
    <n v="-6.6205876098308636E-3"/>
    <n v="-2.0000000000000018E-2"/>
  </r>
  <r>
    <x v="1416"/>
    <n v="3.039872343841"/>
    <n v="3.8149999999999999"/>
    <n v="1"/>
    <n v="0.2"/>
    <n v="1"/>
    <n v="0.60797446876820005"/>
    <n v="0.2"/>
    <x v="0"/>
    <n v="0"/>
    <n v="0"/>
    <n v="0.79632390030913269"/>
    <n v="0"/>
    <n v="4.0000000000000036E-2"/>
  </r>
  <r>
    <x v="1417"/>
    <n v="2.9992578340021199"/>
    <n v="3.8149999999999999"/>
    <n v="2"/>
    <n v="0.2"/>
    <n v="2"/>
    <n v="1.2078260355686241"/>
    <n v="0.4"/>
    <x v="0"/>
    <n v="0"/>
    <n v="0"/>
    <n v="0.79632390030913269"/>
    <n v="0"/>
    <n v="4.0000000000000036E-2"/>
  </r>
  <r>
    <x v="1418"/>
    <n v="3.0124377926268302"/>
    <n v="3.8149999999999999"/>
    <n v="5"/>
    <n v="0.2"/>
    <n v="3"/>
    <n v="1.8103135940939903"/>
    <n v="0.60000000000000009"/>
    <x v="0"/>
    <n v="0"/>
    <n v="0"/>
    <n v="0.79632390030913269"/>
    <n v="0"/>
    <n v="4.0000000000000036E-2"/>
  </r>
  <r>
    <x v="1419"/>
    <n v="2.9976192206493399"/>
    <n v="3.8149999999999999"/>
    <n v="6"/>
    <n v="0.2"/>
    <n v="4"/>
    <n v="2.4098374382238585"/>
    <n v="0.8"/>
    <x v="0"/>
    <n v="0"/>
    <n v="0"/>
    <n v="0.79632390030913269"/>
    <n v="0"/>
    <n v="4.0000000000000036E-2"/>
  </r>
  <r>
    <x v="1420"/>
    <n v="2.9788513551914302"/>
    <n v="3.8149999999999999"/>
    <n v="7"/>
    <n v="0.2"/>
    <n v="5"/>
    <n v="3.0056077092621445"/>
    <n v="1"/>
    <x v="1"/>
    <n v="3.0056077092621445"/>
    <n v="0.80939229073785546"/>
    <n v="0.80939229073785546"/>
    <n v="1.3068390428722765E-2"/>
    <n v="4.0000000000000036E-2"/>
  </r>
  <r>
    <x v="1421"/>
    <n v="3.00277267354438"/>
    <n v="3.8050000000000002"/>
    <n v="1"/>
    <n v="0.2"/>
    <n v="1"/>
    <n v="0.6005545347088761"/>
    <n v="0.2"/>
    <x v="0"/>
    <n v="0"/>
    <n v="0"/>
    <n v="0.80939229073785546"/>
    <n v="0"/>
    <n v="-9.9999999999997868E-3"/>
  </r>
  <r>
    <x v="1422"/>
    <n v="3.0124897237266501"/>
    <n v="3.8050000000000002"/>
    <n v="2"/>
    <n v="0.2"/>
    <n v="2"/>
    <n v="1.2030524794542061"/>
    <n v="0.4"/>
    <x v="0"/>
    <n v="0"/>
    <n v="0"/>
    <n v="0.80939229073785546"/>
    <n v="0"/>
    <n v="-9.9999999999997868E-3"/>
  </r>
  <r>
    <x v="1423"/>
    <n v="3.0318162237101798"/>
    <n v="3.8050000000000002"/>
    <n v="5"/>
    <n v="0.2"/>
    <n v="3"/>
    <n v="1.8094157241962421"/>
    <n v="0.60000000000000009"/>
    <x v="0"/>
    <n v="0"/>
    <n v="0"/>
    <n v="0.80939229073785546"/>
    <n v="0"/>
    <n v="-9.9999999999997868E-3"/>
  </r>
  <r>
    <x v="1424"/>
    <n v="3.0339833905387099"/>
    <n v="3.8050000000000002"/>
    <n v="6"/>
    <n v="0.2"/>
    <n v="4"/>
    <n v="2.4162124023039842"/>
    <n v="0.8"/>
    <x v="0"/>
    <n v="0"/>
    <n v="0"/>
    <n v="0.80939229073785546"/>
    <n v="0"/>
    <n v="-9.9999999999997868E-3"/>
  </r>
  <r>
    <x v="1425"/>
    <n v="2.9727125780720298"/>
    <n v="3.8050000000000002"/>
    <n v="7"/>
    <n v="0.2"/>
    <n v="5"/>
    <n v="3.0107549179183901"/>
    <n v="1"/>
    <x v="1"/>
    <n v="3.0107549179183901"/>
    <n v="0.79424508208161004"/>
    <n v="0.79424508208161004"/>
    <n v="-1.5147208656245414E-2"/>
    <n v="-9.9999999999997868E-3"/>
  </r>
  <r>
    <x v="1426"/>
    <n v="2.9600642142995102"/>
    <n v="3.8149999999999999"/>
    <n v="1"/>
    <n v="0.2"/>
    <n v="1"/>
    <n v="0.59201284285990208"/>
    <n v="0.2"/>
    <x v="0"/>
    <n v="0"/>
    <n v="0"/>
    <n v="0.79424508208161004"/>
    <n v="0"/>
    <n v="9.9999999999997868E-3"/>
  </r>
  <r>
    <x v="1427"/>
    <n v="2.9632029997698002"/>
    <n v="3.8149999999999999"/>
    <n v="2"/>
    <n v="0.2"/>
    <n v="2"/>
    <n v="1.184653442813862"/>
    <n v="0.4"/>
    <x v="0"/>
    <n v="0"/>
    <n v="0"/>
    <n v="0.79424508208161004"/>
    <n v="0"/>
    <n v="9.9999999999997868E-3"/>
  </r>
  <r>
    <x v="1428"/>
    <n v="2.9914396408866399"/>
    <n v="3.8149999999999999"/>
    <n v="5"/>
    <n v="0.2"/>
    <n v="3"/>
    <n v="1.7829413709911899"/>
    <n v="0.60000000000000009"/>
    <x v="0"/>
    <n v="0"/>
    <n v="0"/>
    <n v="0.79424508208161004"/>
    <n v="0"/>
    <n v="9.9999999999997868E-3"/>
  </r>
  <r>
    <x v="1429"/>
    <n v="3.06006400232204"/>
    <n v="3.8149999999999999"/>
    <n v="6"/>
    <n v="0.2"/>
    <n v="4"/>
    <n v="2.394954171455598"/>
    <n v="0.8"/>
    <x v="0"/>
    <n v="0"/>
    <n v="0"/>
    <n v="0.79424508208161004"/>
    <n v="0"/>
    <n v="9.9999999999997868E-3"/>
  </r>
  <r>
    <x v="1430"/>
    <n v="3.0963285442458899"/>
    <n v="3.8149999999999999"/>
    <n v="7"/>
    <n v="0.2"/>
    <n v="5"/>
    <n v="3.0142198803047759"/>
    <n v="1"/>
    <x v="1"/>
    <n v="3.0142198803047759"/>
    <n v="0.800780119695224"/>
    <n v="0.800780119695224"/>
    <n v="6.5350376136139587E-3"/>
    <n v="9.9999999999997868E-3"/>
  </r>
  <r>
    <x v="1431"/>
    <n v="3.08263374790045"/>
    <n v="3.8650000000000002"/>
    <n v="1"/>
    <n v="0.2"/>
    <n v="1"/>
    <n v="0.61652674958009002"/>
    <n v="0.2"/>
    <x v="0"/>
    <n v="0"/>
    <n v="0"/>
    <n v="0.800780119695224"/>
    <n v="0"/>
    <n v="5.0000000000000266E-2"/>
  </r>
  <r>
    <x v="1432"/>
    <n v="3.0751925710269701"/>
    <n v="3.8650000000000002"/>
    <n v="2"/>
    <n v="0.2"/>
    <n v="2"/>
    <n v="1.2315652637854839"/>
    <n v="0.4"/>
    <x v="0"/>
    <n v="0"/>
    <n v="0"/>
    <n v="0.800780119695224"/>
    <n v="0"/>
    <n v="5.0000000000000266E-2"/>
  </r>
  <r>
    <x v="1433"/>
    <n v="3.0634028881995499"/>
    <n v="3.8650000000000002"/>
    <n v="6"/>
    <n v="0.2"/>
    <n v="3"/>
    <n v="1.8442458414253939"/>
    <n v="0.60000000000000009"/>
    <x v="0"/>
    <n v="0"/>
    <n v="0"/>
    <n v="0.800780119695224"/>
    <n v="0"/>
    <n v="5.0000000000000266E-2"/>
  </r>
  <r>
    <x v="1434"/>
    <n v="3.0043532753091902"/>
    <n v="3.8650000000000002"/>
    <n v="7"/>
    <n v="0.2"/>
    <n v="4"/>
    <n v="2.4451164964872323"/>
    <n v="0.8"/>
    <x v="1"/>
    <n v="3.0563956206090404"/>
    <n v="0.80860437939095986"/>
    <n v="0.80860437939095986"/>
    <n v="7.8242596957358579E-3"/>
    <n v="5.0000000000000266E-2"/>
  </r>
  <r>
    <x v="1435"/>
    <n v="3.0219110766625001"/>
    <n v="3.8250000000000002"/>
    <n v="1"/>
    <n v="0.2"/>
    <n v="1"/>
    <n v="0.60438221533250003"/>
    <n v="0.2"/>
    <x v="0"/>
    <n v="0"/>
    <n v="0"/>
    <n v="0.80860437939095986"/>
    <n v="0"/>
    <n v="-4.0000000000000036E-2"/>
  </r>
  <r>
    <x v="1436"/>
    <n v="2.9971556031306501"/>
    <n v="3.8250000000000002"/>
    <n v="2"/>
    <n v="0.2"/>
    <n v="2"/>
    <n v="1.20381333595863"/>
    <n v="0.4"/>
    <x v="0"/>
    <n v="0"/>
    <n v="0"/>
    <n v="0.80860437939095986"/>
    <n v="0"/>
    <n v="-4.0000000000000036E-2"/>
  </r>
  <r>
    <x v="1437"/>
    <n v="3.0333840077441101"/>
    <n v="3.8250000000000002"/>
    <n v="6"/>
    <n v="0.2"/>
    <n v="3"/>
    <n v="1.8104901375074522"/>
    <n v="0.60000000000000009"/>
    <x v="0"/>
    <n v="0"/>
    <n v="0"/>
    <n v="0.80860437939095986"/>
    <n v="0"/>
    <n v="-4.0000000000000036E-2"/>
  </r>
  <r>
    <x v="1438"/>
    <n v="3.0010321159522402"/>
    <n v="3.8250000000000002"/>
    <n v="7"/>
    <n v="0.2"/>
    <n v="4"/>
    <n v="2.4106965606979003"/>
    <n v="0.8"/>
    <x v="1"/>
    <n v="3.0133707008723754"/>
    <n v="0.81162929912762483"/>
    <n v="0.81162929912762483"/>
    <n v="3.0249197366649661E-3"/>
    <n v="-4.0000000000000036E-2"/>
  </r>
  <r>
    <x v="1439"/>
    <n v="3.0184506677614298"/>
    <n v="3.8650000000000002"/>
    <n v="1"/>
    <n v="0.2"/>
    <n v="1"/>
    <n v="0.60369013355228596"/>
    <n v="0.2"/>
    <x v="0"/>
    <n v="0"/>
    <n v="0"/>
    <n v="0.81162929912762483"/>
    <n v="0"/>
    <n v="4.0000000000000036E-2"/>
  </r>
  <r>
    <x v="1440"/>
    <n v="3.0429935231741201"/>
    <n v="3.8650000000000002"/>
    <n v="2"/>
    <n v="0.2"/>
    <n v="2"/>
    <n v="1.21228883818711"/>
    <n v="0.4"/>
    <x v="0"/>
    <n v="0"/>
    <n v="0"/>
    <n v="0.81162929912762483"/>
    <n v="0"/>
    <n v="4.0000000000000036E-2"/>
  </r>
  <r>
    <x v="1441"/>
    <n v="3.0600060363944701"/>
    <n v="3.8650000000000002"/>
    <n v="5"/>
    <n v="0.2"/>
    <n v="3"/>
    <n v="1.824290045466004"/>
    <n v="0.60000000000000009"/>
    <x v="0"/>
    <n v="0"/>
    <n v="0"/>
    <n v="0.81162929912762483"/>
    <n v="0"/>
    <n v="4.0000000000000036E-2"/>
  </r>
  <r>
    <x v="1442"/>
    <n v="3.1326763618963098"/>
    <n v="3.8650000000000002"/>
    <n v="6"/>
    <n v="0.2"/>
    <n v="4"/>
    <n v="2.4508253178452661"/>
    <n v="0.8"/>
    <x v="0"/>
    <n v="0"/>
    <n v="0"/>
    <n v="0.81162929912762483"/>
    <n v="0"/>
    <n v="4.0000000000000036E-2"/>
  </r>
  <r>
    <x v="1443"/>
    <n v="3.12948619895139"/>
    <n v="3.8650000000000002"/>
    <n v="7"/>
    <n v="0.2"/>
    <n v="5"/>
    <n v="3.0767225576355441"/>
    <n v="1"/>
    <x v="1"/>
    <n v="3.0767225576355441"/>
    <n v="0.78827744236445607"/>
    <n v="0.78827744236445607"/>
    <n v="-2.3351856763168755E-2"/>
    <n v="4.0000000000000036E-2"/>
  </r>
  <r>
    <x v="1444"/>
    <n v="3.1079899578366099"/>
    <n v="3.94"/>
    <n v="1"/>
    <n v="0.2"/>
    <n v="1"/>
    <n v="0.62159799156732198"/>
    <n v="0.2"/>
    <x v="0"/>
    <n v="0"/>
    <n v="0"/>
    <n v="0.78827744236445607"/>
    <n v="0"/>
    <n v="7.4999999999999734E-2"/>
  </r>
  <r>
    <x v="1445"/>
    <n v="3.1201767975079799"/>
    <n v="3.94"/>
    <n v="2"/>
    <n v="0.2"/>
    <n v="2"/>
    <n v="1.2456333510689181"/>
    <n v="0.4"/>
    <x v="0"/>
    <n v="0"/>
    <n v="0"/>
    <n v="0.78827744236445607"/>
    <n v="0"/>
    <n v="7.4999999999999734E-2"/>
  </r>
  <r>
    <x v="1446"/>
    <n v="3.1252712153014199"/>
    <n v="3.94"/>
    <n v="6"/>
    <n v="0.2"/>
    <n v="3"/>
    <n v="1.870687594129202"/>
    <n v="0.60000000000000009"/>
    <x v="0"/>
    <n v="0"/>
    <n v="0"/>
    <n v="0.78827744236445607"/>
    <n v="0"/>
    <n v="7.4999999999999734E-2"/>
  </r>
  <r>
    <x v="1447"/>
    <n v="3.1711318605465202"/>
    <n v="3.94"/>
    <n v="7"/>
    <n v="0.2"/>
    <n v="4"/>
    <n v="2.5049139662385063"/>
    <n v="0.8"/>
    <x v="1"/>
    <n v="3.1311424577981328"/>
    <n v="0.80885754220186712"/>
    <n v="0.80885754220186712"/>
    <n v="2.0580099837411048E-2"/>
    <n v="7.4999999999999734E-2"/>
  </r>
  <r>
    <x v="1448"/>
    <n v="3.2052321312830299"/>
    <n v="4.0250000000000004"/>
    <n v="1"/>
    <n v="0.2"/>
    <n v="1"/>
    <n v="0.64104642625660602"/>
    <n v="0.2"/>
    <x v="0"/>
    <n v="0"/>
    <n v="0"/>
    <n v="0.80885754220186712"/>
    <n v="0"/>
    <n v="8.5000000000000409E-2"/>
  </r>
  <r>
    <x v="1449"/>
    <n v="3.2358553424494998"/>
    <n v="4.0250000000000004"/>
    <n v="2"/>
    <n v="0.2"/>
    <n v="2"/>
    <n v="1.2882174947465059"/>
    <n v="0.4"/>
    <x v="0"/>
    <n v="0"/>
    <n v="0"/>
    <n v="0.80885754220186712"/>
    <n v="0"/>
    <n v="8.5000000000000409E-2"/>
  </r>
  <r>
    <x v="1450"/>
    <n v="3.2756089409200499"/>
    <n v="4.0250000000000004"/>
    <n v="5"/>
    <n v="0.2"/>
    <n v="3"/>
    <n v="1.9433392829305158"/>
    <n v="0.60000000000000009"/>
    <x v="0"/>
    <n v="0"/>
    <n v="0"/>
    <n v="0.80885754220186712"/>
    <n v="0"/>
    <n v="8.5000000000000409E-2"/>
  </r>
  <r>
    <x v="1451"/>
    <n v="3.2309545671703099"/>
    <n v="4.0250000000000004"/>
    <n v="6"/>
    <n v="0.2"/>
    <n v="4"/>
    <n v="2.5895301963645778"/>
    <n v="0.8"/>
    <x v="0"/>
    <n v="0"/>
    <n v="0"/>
    <n v="0.80885754220186712"/>
    <n v="0"/>
    <n v="8.5000000000000409E-2"/>
  </r>
  <r>
    <x v="1452"/>
    <n v="3.2639599022734598"/>
    <n v="4.0250000000000004"/>
    <n v="7"/>
    <n v="0.2"/>
    <n v="5"/>
    <n v="3.24232217681927"/>
    <n v="1"/>
    <x v="1"/>
    <n v="3.24232217681927"/>
    <n v="0.78267782318073031"/>
    <n v="0.78267782318073031"/>
    <n v="-2.6179719021136805E-2"/>
    <n v="8.5000000000000409E-2"/>
  </r>
  <r>
    <x v="1453"/>
    <n v="3.2165947499704002"/>
    <n v="4.0949999999999998"/>
    <n v="1"/>
    <n v="0.2"/>
    <n v="1"/>
    <n v="0.64331894999408012"/>
    <n v="0.2"/>
    <x v="0"/>
    <n v="0"/>
    <n v="0"/>
    <n v="0.78267782318073031"/>
    <n v="0"/>
    <n v="6.9999999999999396E-2"/>
  </r>
  <r>
    <x v="1454"/>
    <n v="3.27500652399522"/>
    <n v="4.0949999999999998"/>
    <n v="2"/>
    <n v="0.2"/>
    <n v="2"/>
    <n v="1.2983202547931243"/>
    <n v="0.4"/>
    <x v="0"/>
    <n v="0"/>
    <n v="0"/>
    <n v="0.78267782318073031"/>
    <n v="0"/>
    <n v="6.9999999999999396E-2"/>
  </r>
  <r>
    <x v="1455"/>
    <n v="3.30876933277424"/>
    <n v="4.0949999999999998"/>
    <n v="5"/>
    <n v="0.2"/>
    <n v="3"/>
    <n v="1.9600741213479722"/>
    <n v="0.60000000000000009"/>
    <x v="0"/>
    <n v="0"/>
    <n v="0"/>
    <n v="0.78267782318073031"/>
    <n v="0"/>
    <n v="6.9999999999999396E-2"/>
  </r>
  <r>
    <x v="1456"/>
    <n v="3.33983268018221"/>
    <n v="4.0949999999999998"/>
    <n v="6"/>
    <n v="0.2"/>
    <n v="4"/>
    <n v="2.6280406573844144"/>
    <n v="0.8"/>
    <x v="0"/>
    <n v="0"/>
    <n v="0"/>
    <n v="0.78267782318073031"/>
    <n v="0"/>
    <n v="6.9999999999999396E-2"/>
  </r>
  <r>
    <x v="1457"/>
    <n v="3.3416996853649299"/>
    <n v="4.0949999999999998"/>
    <n v="7"/>
    <n v="0.2"/>
    <n v="5"/>
    <n v="3.2963805944574003"/>
    <n v="1"/>
    <x v="1"/>
    <n v="3.2963805944574003"/>
    <n v="0.79861940554259947"/>
    <n v="0.79861940554259947"/>
    <n v="1.5941582361869155E-2"/>
    <n v="6.9999999999999396E-2"/>
  </r>
  <r>
    <x v="1458"/>
    <n v="3.3963814570573598"/>
    <n v="4.2200000000000006"/>
    <n v="1"/>
    <n v="0.2"/>
    <n v="1"/>
    <n v="0.67927629141147206"/>
    <n v="0.2"/>
    <x v="0"/>
    <n v="0"/>
    <n v="0"/>
    <n v="0.79861940554259947"/>
    <n v="0"/>
    <n v="0.12500000000000089"/>
  </r>
  <r>
    <x v="1459"/>
    <n v="3.4756654735662802"/>
    <n v="4.2200000000000006"/>
    <n v="2"/>
    <n v="0.2"/>
    <n v="2"/>
    <n v="1.3744093861247282"/>
    <n v="0.4"/>
    <x v="0"/>
    <n v="0"/>
    <n v="0"/>
    <n v="0.79861940554259947"/>
    <n v="0"/>
    <n v="0.12500000000000089"/>
  </r>
  <r>
    <x v="1460"/>
    <n v="3.4166882251409199"/>
    <n v="4.2200000000000006"/>
    <n v="5"/>
    <n v="0.2"/>
    <n v="3"/>
    <n v="2.0577470311529122"/>
    <n v="0.60000000000000009"/>
    <x v="0"/>
    <n v="0"/>
    <n v="0"/>
    <n v="0.79861940554259947"/>
    <n v="0"/>
    <n v="0.12500000000000089"/>
  </r>
  <r>
    <x v="1461"/>
    <n v="3.3996183954418902"/>
    <n v="4.2200000000000006"/>
    <n v="6"/>
    <n v="0.2"/>
    <n v="4"/>
    <n v="2.7376707102412903"/>
    <n v="0.8"/>
    <x v="0"/>
    <n v="0"/>
    <n v="0"/>
    <n v="0.79861940554259947"/>
    <n v="0"/>
    <n v="0.12500000000000089"/>
  </r>
  <r>
    <x v="1462"/>
    <n v="3.4755654585623601"/>
    <n v="4.2200000000000006"/>
    <n v="7"/>
    <n v="0.2"/>
    <n v="5"/>
    <n v="3.4327838019537622"/>
    <n v="1"/>
    <x v="1"/>
    <n v="3.4327838019537622"/>
    <n v="0.78721619804623844"/>
    <n v="0.78721619804623844"/>
    <n v="-1.1403207496361034E-2"/>
    <n v="0.12500000000000089"/>
  </r>
  <r>
    <x v="1463"/>
    <n v="3.5041245941432702"/>
    <n v="4.28"/>
    <n v="1"/>
    <n v="0.2"/>
    <n v="1"/>
    <n v="0.70082491882865405"/>
    <n v="0.2"/>
    <x v="0"/>
    <n v="0"/>
    <n v="0"/>
    <n v="0.78721619804623844"/>
    <n v="0"/>
    <n v="5.9999999999999609E-2"/>
  </r>
  <r>
    <x v="1464"/>
    <n v="3.4845493992221099"/>
    <n v="4.28"/>
    <n v="2"/>
    <n v="0.2"/>
    <n v="2"/>
    <n v="1.3977347986730759"/>
    <n v="0.4"/>
    <x v="0"/>
    <n v="0"/>
    <n v="0"/>
    <n v="0.78721619804623844"/>
    <n v="0"/>
    <n v="5.9999999999999609E-2"/>
  </r>
  <r>
    <x v="1465"/>
    <n v="3.5222989121343602"/>
    <n v="4.28"/>
    <n v="5"/>
    <n v="0.2"/>
    <n v="3"/>
    <n v="2.1021945810999481"/>
    <n v="0.60000000000000009"/>
    <x v="0"/>
    <n v="0"/>
    <n v="0"/>
    <n v="0.78721619804623844"/>
    <n v="0"/>
    <n v="5.9999999999999609E-2"/>
  </r>
  <r>
    <x v="1466"/>
    <n v="3.4877550324697602"/>
    <n v="4.28"/>
    <n v="6"/>
    <n v="0.2"/>
    <n v="4"/>
    <n v="2.7997455875939004"/>
    <n v="0.8"/>
    <x v="0"/>
    <n v="0"/>
    <n v="0"/>
    <n v="0.78721619804623844"/>
    <n v="0"/>
    <n v="5.9999999999999609E-2"/>
  </r>
  <r>
    <x v="1467"/>
    <n v="3.5912901025373101"/>
    <n v="4.28"/>
    <n v="7"/>
    <n v="0.2"/>
    <n v="5"/>
    <n v="3.5180036081013624"/>
    <n v="1"/>
    <x v="1"/>
    <n v="3.5180036081013624"/>
    <n v="0.76199639189863788"/>
    <n v="0.76199639189863788"/>
    <n v="-2.5219806147600554E-2"/>
    <n v="5.9999999999999609E-2"/>
  </r>
  <r>
    <x v="1468"/>
    <n v="3.55793583676309"/>
    <n v="4.2750000000000004"/>
    <n v="1"/>
    <n v="0.2"/>
    <n v="1"/>
    <n v="0.71158716735261807"/>
    <n v="0.2"/>
    <x v="0"/>
    <n v="0"/>
    <n v="0"/>
    <n v="0.76199639189863788"/>
    <n v="0"/>
    <n v="-4.9999999999998934E-3"/>
  </r>
  <r>
    <x v="1469"/>
    <n v="3.5258165177202798"/>
    <n v="4.2750000000000004"/>
    <n v="2"/>
    <n v="0.2"/>
    <n v="2"/>
    <n v="1.4167504708966741"/>
    <n v="0.4"/>
    <x v="0"/>
    <n v="0"/>
    <n v="0"/>
    <n v="0.76199639189863788"/>
    <n v="0"/>
    <n v="-4.9999999999998934E-3"/>
  </r>
  <r>
    <x v="1470"/>
    <n v="3.5367464122005199"/>
    <n v="4.2750000000000004"/>
    <n v="6"/>
    <n v="0.2"/>
    <n v="3"/>
    <n v="2.124099753336778"/>
    <n v="0.60000000000000009"/>
    <x v="0"/>
    <n v="0"/>
    <n v="0"/>
    <n v="0.76199639189863788"/>
    <n v="0"/>
    <n v="-4.9999999999998934E-3"/>
  </r>
  <r>
    <x v="1471"/>
    <n v="3.58120699852011"/>
    <n v="4.2750000000000004"/>
    <n v="7"/>
    <n v="0.2"/>
    <n v="4"/>
    <n v="2.8403411530408"/>
    <n v="0.8"/>
    <x v="1"/>
    <n v="3.550426441301"/>
    <n v="0.72457355869900031"/>
    <n v="0.72457355869900031"/>
    <n v="-3.7422833199637573E-2"/>
    <n v="-4.9999999999998934E-3"/>
  </r>
  <r>
    <x v="1472"/>
    <n v="3.5670929966370202"/>
    <n v="4.3049999999999997"/>
    <n v="1"/>
    <n v="0.2"/>
    <n v="1"/>
    <n v="0.71341859932740403"/>
    <n v="0.2"/>
    <x v="0"/>
    <n v="0"/>
    <n v="0"/>
    <n v="0.72457355869900031"/>
    <n v="0"/>
    <n v="2.9999999999999361E-2"/>
  </r>
  <r>
    <x v="1473"/>
    <n v="3.5264127759066199"/>
    <n v="4.3049999999999997"/>
    <n v="2"/>
    <n v="0.2"/>
    <n v="2"/>
    <n v="1.418701154508728"/>
    <n v="0.4"/>
    <x v="0"/>
    <n v="0"/>
    <n v="0"/>
    <n v="0.72457355869900031"/>
    <n v="0"/>
    <n v="2.9999999999999361E-2"/>
  </r>
  <r>
    <x v="1474"/>
    <n v="3.52469812203275"/>
    <n v="4.3049999999999997"/>
    <n v="5"/>
    <n v="0.2"/>
    <n v="3"/>
    <n v="2.123640778915278"/>
    <n v="0.60000000000000009"/>
    <x v="0"/>
    <n v="0"/>
    <n v="0"/>
    <n v="0.72457355869900031"/>
    <n v="0"/>
    <n v="2.9999999999999361E-2"/>
  </r>
  <r>
    <x v="1475"/>
    <n v="3.57603275250074"/>
    <n v="4.3049999999999997"/>
    <n v="6"/>
    <n v="0.2"/>
    <n v="4"/>
    <n v="2.8388473294154259"/>
    <n v="0.8"/>
    <x v="0"/>
    <n v="0"/>
    <n v="0"/>
    <n v="0.72457355869900031"/>
    <n v="0"/>
    <n v="2.9999999999999361E-2"/>
  </r>
  <r>
    <x v="1476"/>
    <n v="3.53366498993153"/>
    <n v="4.3049999999999997"/>
    <n v="7"/>
    <n v="0.2"/>
    <n v="5"/>
    <n v="3.5455803274017321"/>
    <n v="1"/>
    <x v="1"/>
    <n v="3.5455803274017321"/>
    <n v="0.75941967259826759"/>
    <n v="0.75941967259826759"/>
    <n v="3.4846113899267284E-2"/>
    <n v="2.9999999999999361E-2"/>
  </r>
  <r>
    <x v="1477"/>
    <n v="3.4719907313551799"/>
    <n v="4.335"/>
    <n v="1"/>
    <n v="0.2"/>
    <n v="1"/>
    <n v="0.69439814627103602"/>
    <n v="0.2"/>
    <x v="0"/>
    <n v="0"/>
    <n v="0"/>
    <n v="0.75941967259826759"/>
    <n v="0"/>
    <n v="3.0000000000000249E-2"/>
  </r>
  <r>
    <x v="1478"/>
    <n v="3.52897357349757"/>
    <n v="4.335"/>
    <n v="2"/>
    <n v="0.2"/>
    <n v="2"/>
    <n v="1.4001928609705501"/>
    <n v="0.4"/>
    <x v="0"/>
    <n v="0"/>
    <n v="0"/>
    <n v="0.75941967259826759"/>
    <n v="0"/>
    <n v="3.0000000000000249E-2"/>
  </r>
  <r>
    <x v="1479"/>
    <n v="3.5689660499670999"/>
    <n v="4.335"/>
    <n v="5"/>
    <n v="0.2"/>
    <n v="3"/>
    <n v="2.11398607096397"/>
    <n v="0.60000000000000009"/>
    <x v="0"/>
    <n v="0"/>
    <n v="0"/>
    <n v="0.75941967259826759"/>
    <n v="0"/>
    <n v="3.0000000000000249E-2"/>
  </r>
  <r>
    <x v="1480"/>
    <n v="3.5723633622628999"/>
    <n v="4.335"/>
    <n v="6"/>
    <n v="0.2"/>
    <n v="4"/>
    <n v="2.82845874341655"/>
    <n v="0.8"/>
    <x v="0"/>
    <n v="0"/>
    <n v="0"/>
    <n v="0.75941967259826759"/>
    <n v="0"/>
    <n v="3.0000000000000249E-2"/>
  </r>
  <r>
    <x v="1481"/>
    <n v="3.5797788518731699"/>
    <n v="4.335"/>
    <n v="7"/>
    <n v="0.2"/>
    <n v="5"/>
    <n v="3.544414513791184"/>
    <n v="1"/>
    <x v="1"/>
    <n v="3.544414513791184"/>
    <n v="0.79058548620881597"/>
    <n v="0.79058548620881597"/>
    <n v="3.1165813610548376E-2"/>
    <n v="3.0000000000000249E-2"/>
  </r>
  <r>
    <x v="1482"/>
    <n v="3.5507366902833"/>
    <n v="4.3150000000000004"/>
    <n v="1"/>
    <n v="0.2"/>
    <n v="1"/>
    <n v="0.71014733805666008"/>
    <n v="0.2"/>
    <x v="0"/>
    <n v="0"/>
    <n v="0"/>
    <n v="0.79058548620881597"/>
    <n v="0"/>
    <n v="-1.9999999999999574E-2"/>
  </r>
  <r>
    <x v="1483"/>
    <n v="3.56041652676535"/>
    <n v="4.3150000000000004"/>
    <n v="2"/>
    <n v="0.2"/>
    <n v="2"/>
    <n v="1.4222306434097303"/>
    <n v="0.4"/>
    <x v="0"/>
    <n v="0"/>
    <n v="0"/>
    <n v="0.79058548620881597"/>
    <n v="0"/>
    <n v="-1.9999999999999574E-2"/>
  </r>
  <r>
    <x v="1484"/>
    <n v="3.5382606285163201"/>
    <n v="4.3150000000000004"/>
    <n v="5"/>
    <n v="0.2"/>
    <n v="3"/>
    <n v="2.1298827691129945"/>
    <n v="0.60000000000000009"/>
    <x v="0"/>
    <n v="0"/>
    <n v="0"/>
    <n v="0.79058548620881597"/>
    <n v="0"/>
    <n v="-1.9999999999999574E-2"/>
  </r>
  <r>
    <x v="1485"/>
    <n v="3.5273201796000002"/>
    <n v="4.3150000000000004"/>
    <n v="6"/>
    <n v="0.2"/>
    <n v="4"/>
    <n v="2.8353468050329944"/>
    <n v="0.8"/>
    <x v="0"/>
    <n v="0"/>
    <n v="0"/>
    <n v="0.79058548620881597"/>
    <n v="0"/>
    <n v="-1.9999999999999574E-2"/>
  </r>
  <r>
    <x v="1486"/>
    <n v="3.5055716171442399"/>
    <n v="4.3150000000000004"/>
    <n v="7"/>
    <n v="0.2"/>
    <n v="5"/>
    <n v="3.5364611284618426"/>
    <n v="1"/>
    <x v="1"/>
    <n v="3.5364611284618426"/>
    <n v="0.77853887153815782"/>
    <n v="0.77853887153815782"/>
    <n v="-1.2046614670658151E-2"/>
    <n v="-1.9999999999999574E-2"/>
  </r>
  <r>
    <x v="1487"/>
    <n v="3.51167174642812"/>
    <n v="4.3250000000000002"/>
    <n v="1"/>
    <n v="0.2"/>
    <n v="1"/>
    <n v="0.70233434928562399"/>
    <n v="0.2"/>
    <x v="0"/>
    <n v="0"/>
    <n v="0"/>
    <n v="0.77853887153815782"/>
    <n v="0"/>
    <n v="9.9999999999997868E-3"/>
  </r>
  <r>
    <x v="1488"/>
    <n v="3.5317091582472302"/>
    <n v="4.3250000000000002"/>
    <n v="2"/>
    <n v="0.2"/>
    <n v="2"/>
    <n v="1.4086761809350701"/>
    <n v="0.4"/>
    <x v="0"/>
    <n v="0"/>
    <n v="0"/>
    <n v="0.77853887153815782"/>
    <n v="0"/>
    <n v="9.9999999999997868E-3"/>
  </r>
  <r>
    <x v="1489"/>
    <n v="3.5269673777605699"/>
    <n v="4.3250000000000002"/>
    <n v="5"/>
    <n v="0.2"/>
    <n v="3"/>
    <n v="2.1140696564871844"/>
    <n v="0.60000000000000009"/>
    <x v="0"/>
    <n v="0"/>
    <n v="0"/>
    <n v="0.77853887153815782"/>
    <n v="0"/>
    <n v="9.9999999999997868E-3"/>
  </r>
  <r>
    <x v="1490"/>
    <n v="3.5628939188655302"/>
    <n v="4.3250000000000002"/>
    <n v="6"/>
    <n v="0.2"/>
    <n v="4"/>
    <n v="2.8266484402602905"/>
    <n v="0.8"/>
    <x v="0"/>
    <n v="0"/>
    <n v="0"/>
    <n v="0.77853887153815782"/>
    <n v="0"/>
    <n v="9.9999999999997868E-3"/>
  </r>
  <r>
    <x v="1491"/>
    <n v="3.59236327995704"/>
    <n v="4.3250000000000002"/>
    <n v="7"/>
    <n v="0.2"/>
    <n v="5"/>
    <n v="3.5451210962516986"/>
    <n v="1"/>
    <x v="1"/>
    <n v="3.5451210962516986"/>
    <n v="0.7798789037483016"/>
    <n v="0.7798789037483016"/>
    <n v="1.3400322101437823E-3"/>
    <n v="9.9999999999997868E-3"/>
  </r>
  <r>
    <x v="1492"/>
    <n v="3.5172295094235499"/>
    <n v="4.3150000000000004"/>
    <n v="1"/>
    <n v="0.2"/>
    <n v="1"/>
    <n v="0.70344590188471001"/>
    <n v="0.2"/>
    <x v="0"/>
    <n v="0"/>
    <n v="0"/>
    <n v="0.7798789037483016"/>
    <n v="0"/>
    <n v="-9.9999999999997868E-3"/>
  </r>
  <r>
    <x v="1493"/>
    <n v="3.5246562396133601"/>
    <n v="4.3150000000000004"/>
    <n v="2"/>
    <n v="0.2"/>
    <n v="2"/>
    <n v="1.408377149807382"/>
    <n v="0.4"/>
    <x v="0"/>
    <n v="0"/>
    <n v="0"/>
    <n v="0.7798789037483016"/>
    <n v="0"/>
    <n v="-9.9999999999997868E-3"/>
  </r>
  <r>
    <x v="1494"/>
    <n v="3.5369596172053699"/>
    <n v="4.3150000000000004"/>
    <n v="5"/>
    <n v="0.2"/>
    <n v="3"/>
    <n v="2.115769073248456"/>
    <n v="0.60000000000000009"/>
    <x v="0"/>
    <n v="0"/>
    <n v="0"/>
    <n v="0.7798789037483016"/>
    <n v="0"/>
    <n v="-9.9999999999997868E-3"/>
  </r>
  <r>
    <x v="1495"/>
    <n v="3.4893089230960701"/>
    <n v="4.3150000000000004"/>
    <n v="6"/>
    <n v="0.2"/>
    <n v="4"/>
    <n v="2.8136308578676701"/>
    <n v="0.8"/>
    <x v="0"/>
    <n v="0"/>
    <n v="0"/>
    <n v="0.7798789037483016"/>
    <n v="0"/>
    <n v="-9.9999999999997868E-3"/>
  </r>
  <r>
    <x v="1496"/>
    <n v="3.4869782671275402"/>
    <n v="4.3150000000000004"/>
    <n v="7"/>
    <n v="0.2"/>
    <n v="5"/>
    <n v="3.5110265112931782"/>
    <n v="1"/>
    <x v="1"/>
    <n v="3.5110265112931782"/>
    <n v="0.80397348870682217"/>
    <n v="0.80397348870682217"/>
    <n v="2.4094584958520571E-2"/>
    <n v="-9.9999999999997868E-3"/>
  </r>
  <r>
    <x v="1497"/>
    <n v="3.4548254829851501"/>
    <n v="4.2750000000000004"/>
    <n v="1"/>
    <n v="0.2"/>
    <n v="1"/>
    <n v="0.69096509659703009"/>
    <n v="0.2"/>
    <x v="0"/>
    <n v="0"/>
    <n v="0"/>
    <n v="0.80397348870682217"/>
    <n v="0"/>
    <n v="-4.0000000000000036E-2"/>
  </r>
  <r>
    <x v="1498"/>
    <n v="3.45942644841069"/>
    <n v="4.2750000000000004"/>
    <n v="5"/>
    <n v="0.2"/>
    <n v="2"/>
    <n v="1.3828503862791681"/>
    <n v="0.4"/>
    <x v="0"/>
    <n v="0"/>
    <n v="0"/>
    <n v="0.80397348870682217"/>
    <n v="0"/>
    <n v="-4.0000000000000036E-2"/>
  </r>
  <r>
    <x v="1499"/>
    <n v="3.4920189409098699"/>
    <n v="4.2750000000000004"/>
    <n v="6"/>
    <n v="0.2"/>
    <n v="3"/>
    <n v="2.0812541744611419"/>
    <n v="0.60000000000000009"/>
    <x v="0"/>
    <n v="0"/>
    <n v="0"/>
    <n v="0.80397348870682217"/>
    <n v="0"/>
    <n v="-4.0000000000000036E-2"/>
  </r>
  <r>
    <x v="1500"/>
    <n v="3.4867371167007999"/>
    <n v="4.2750000000000004"/>
    <n v="7"/>
    <n v="0.2"/>
    <n v="4"/>
    <n v="2.7786015978013019"/>
    <n v="0.8"/>
    <x v="1"/>
    <n v="3.4732519972516274"/>
    <n v="0.80174800274837299"/>
    <n v="0.80174800274837299"/>
    <n v="-2.2254859584491804E-3"/>
    <n v="-4.0000000000000036E-2"/>
  </r>
  <r>
    <x v="1501"/>
    <n v="3.5070823160486202"/>
    <n v="4.2699999999999996"/>
    <n v="1"/>
    <n v="0.2"/>
    <n v="1"/>
    <n v="0.70141646320972406"/>
    <n v="0.2"/>
    <x v="0"/>
    <n v="0"/>
    <n v="0"/>
    <n v="0.80174800274837299"/>
    <n v="0"/>
    <n v="-5.0000000000007816E-3"/>
  </r>
  <r>
    <x v="1502"/>
    <n v="3.46895589474601"/>
    <n v="4.2699999999999996"/>
    <n v="2"/>
    <n v="0.2"/>
    <n v="2"/>
    <n v="1.3952076421589261"/>
    <n v="0.4"/>
    <x v="0"/>
    <n v="0"/>
    <n v="0"/>
    <n v="0.80174800274837299"/>
    <n v="0"/>
    <n v="-5.0000000000007816E-3"/>
  </r>
  <r>
    <x v="1503"/>
    <n v="3.4781948254524901"/>
    <n v="4.2699999999999996"/>
    <n v="5"/>
    <n v="0.2"/>
    <n v="3"/>
    <n v="2.0908466072494241"/>
    <n v="0.60000000000000009"/>
    <x v="0"/>
    <n v="0"/>
    <n v="0"/>
    <n v="0.80174800274837299"/>
    <n v="0"/>
    <n v="-5.0000000000007816E-3"/>
  </r>
  <r>
    <x v="1504"/>
    <n v="3.4963252770027902"/>
    <n v="4.2699999999999996"/>
    <n v="6"/>
    <n v="0.2"/>
    <n v="4"/>
    <n v="2.790111662649982"/>
    <n v="0.8"/>
    <x v="0"/>
    <n v="0"/>
    <n v="0"/>
    <n v="0.80174800274837299"/>
    <n v="0"/>
    <n v="-5.0000000000007816E-3"/>
  </r>
  <r>
    <x v="1505"/>
    <n v="3.4796838081033101"/>
    <n v="4.2699999999999996"/>
    <n v="7"/>
    <n v="0.2"/>
    <n v="5"/>
    <n v="3.4860484242706442"/>
    <n v="1"/>
    <x v="1"/>
    <n v="3.4860484242706442"/>
    <n v="0.78395157572935537"/>
    <n v="0.78395157572935537"/>
    <n v="-1.7796427019017624E-2"/>
    <n v="-5.0000000000007816E-3"/>
  </r>
  <r>
    <x v="1506"/>
    <n v="3.5240848548702401"/>
    <n v="4.3449999999999998"/>
    <n v="1"/>
    <n v="0.2"/>
    <n v="1"/>
    <n v="0.70481697097404805"/>
    <n v="0.2"/>
    <x v="0"/>
    <n v="0"/>
    <n v="0"/>
    <n v="0.78395157572935537"/>
    <n v="0"/>
    <n v="7.5000000000000178E-2"/>
  </r>
  <r>
    <x v="1507"/>
    <n v="3.5185369678071501"/>
    <n v="4.3449999999999998"/>
    <n v="2"/>
    <n v="0.2"/>
    <n v="2"/>
    <n v="1.4085243645354781"/>
    <n v="0.4"/>
    <x v="0"/>
    <n v="0"/>
    <n v="0"/>
    <n v="0.78395157572935537"/>
    <n v="0"/>
    <n v="7.5000000000000178E-2"/>
  </r>
  <r>
    <x v="1508"/>
    <n v="3.5091966978670501"/>
    <n v="4.3449999999999998"/>
    <n v="5"/>
    <n v="0.2"/>
    <n v="3"/>
    <n v="2.1103637041088881"/>
    <n v="0.60000000000000009"/>
    <x v="0"/>
    <n v="0"/>
    <n v="0"/>
    <n v="0.78395157572935537"/>
    <n v="0"/>
    <n v="7.5000000000000178E-2"/>
  </r>
  <r>
    <x v="1509"/>
    <n v="3.4970484240187401"/>
    <n v="4.3449999999999998"/>
    <n v="6"/>
    <n v="0.2"/>
    <n v="4"/>
    <n v="2.8097733889126362"/>
    <n v="0.8"/>
    <x v="0"/>
    <n v="0"/>
    <n v="0"/>
    <n v="0.78395157572935537"/>
    <n v="0"/>
    <n v="7.5000000000000178E-2"/>
  </r>
  <r>
    <x v="1510"/>
    <n v="3.5499313727394499"/>
    <n v="4.3449999999999998"/>
    <n v="7"/>
    <n v="0.2"/>
    <n v="5"/>
    <n v="3.5197596634605262"/>
    <n v="1"/>
    <x v="1"/>
    <n v="3.5197596634605262"/>
    <n v="0.8252403365394736"/>
    <n v="0.8252403365394736"/>
    <n v="4.128876081011823E-2"/>
    <n v="7.5000000000000178E-2"/>
  </r>
  <r>
    <x v="1511"/>
    <n v="3.5902592040672601"/>
    <n v="4.4550000000000001"/>
    <n v="1"/>
    <n v="0.2"/>
    <n v="1"/>
    <n v="0.71805184081345208"/>
    <n v="0.2"/>
    <x v="0"/>
    <n v="0"/>
    <n v="0"/>
    <n v="0.8252403365394736"/>
    <n v="0"/>
    <n v="0.11000000000000032"/>
  </r>
  <r>
    <x v="1512"/>
    <n v="3.63477313779397"/>
    <n v="4.4550000000000001"/>
    <n v="2"/>
    <n v="0.2"/>
    <n v="2"/>
    <n v="1.4450064683722461"/>
    <n v="0.4"/>
    <x v="0"/>
    <n v="0"/>
    <n v="0"/>
    <n v="0.8252403365394736"/>
    <n v="0"/>
    <n v="0.11000000000000032"/>
  </r>
  <r>
    <x v="1513"/>
    <n v="3.6735667016873901"/>
    <n v="4.4550000000000001"/>
    <n v="5"/>
    <n v="0.2"/>
    <n v="3"/>
    <n v="2.179719808709724"/>
    <n v="0.60000000000000009"/>
    <x v="0"/>
    <n v="0"/>
    <n v="0"/>
    <n v="0.8252403365394736"/>
    <n v="0"/>
    <n v="0.11000000000000032"/>
  </r>
  <r>
    <x v="1514"/>
    <n v="3.6945212291017899"/>
    <n v="4.4550000000000001"/>
    <n v="6"/>
    <n v="0.2"/>
    <n v="4"/>
    <n v="2.9186240545300821"/>
    <n v="0.8"/>
    <x v="0"/>
    <n v="0"/>
    <n v="0"/>
    <n v="0.8252403365394736"/>
    <n v="0"/>
    <n v="0.11000000000000032"/>
  </r>
  <r>
    <x v="1515"/>
    <n v="3.73135555543525"/>
    <n v="4.4550000000000001"/>
    <n v="7"/>
    <n v="0.2"/>
    <n v="5"/>
    <n v="3.664895165617132"/>
    <n v="1"/>
    <x v="1"/>
    <n v="3.664895165617132"/>
    <n v="0.79010483438286805"/>
    <n v="0.79010483438286805"/>
    <n v="-3.5135502156605547E-2"/>
    <n v="0.11000000000000032"/>
  </r>
  <r>
    <x v="1516"/>
    <n v="3.68299836519701"/>
    <n v="4.4249999999999998"/>
    <n v="1"/>
    <n v="0.2"/>
    <n v="1"/>
    <n v="0.73659967303940199"/>
    <n v="0.2"/>
    <x v="0"/>
    <n v="0"/>
    <n v="0"/>
    <n v="0.79010483438286805"/>
    <n v="0"/>
    <n v="-3.0000000000000249E-2"/>
  </r>
  <r>
    <x v="1517"/>
    <n v="3.6380832458802601"/>
    <n v="4.4249999999999998"/>
    <n v="2"/>
    <n v="0.2"/>
    <n v="2"/>
    <n v="1.4642163222154541"/>
    <n v="0.4"/>
    <x v="0"/>
    <n v="0"/>
    <n v="0"/>
    <n v="0.79010483438286805"/>
    <n v="0"/>
    <n v="-3.0000000000000249E-2"/>
  </r>
  <r>
    <x v="1518"/>
    <n v="3.63164434724577"/>
    <n v="4.4249999999999998"/>
    <n v="5"/>
    <n v="0.2"/>
    <n v="3"/>
    <n v="2.1905451916646079"/>
    <n v="0.60000000000000009"/>
    <x v="0"/>
    <n v="0"/>
    <n v="0"/>
    <n v="0.79010483438286805"/>
    <n v="0"/>
    <n v="-3.0000000000000249E-2"/>
  </r>
  <r>
    <x v="1519"/>
    <n v="3.6710838552373999"/>
    <n v="4.4249999999999998"/>
    <n v="6"/>
    <n v="0.2"/>
    <n v="4"/>
    <n v="2.924761962712088"/>
    <n v="0.8"/>
    <x v="0"/>
    <n v="0"/>
    <n v="0"/>
    <n v="0.79010483438286805"/>
    <n v="0"/>
    <n v="-3.0000000000000249E-2"/>
  </r>
  <r>
    <x v="1520"/>
    <n v="3.6572504925777198"/>
    <n v="4.4249999999999998"/>
    <n v="7"/>
    <n v="0.2"/>
    <n v="5"/>
    <n v="3.6562120612276319"/>
    <n v="1"/>
    <x v="1"/>
    <n v="3.6562120612276319"/>
    <n v="0.76878793877236795"/>
    <n v="0.76878793877236795"/>
    <n v="-2.1316895610500097E-2"/>
    <n v="-3.0000000000000249E-2"/>
  </r>
  <r>
    <x v="1521"/>
    <n v="3.6416318172673998"/>
    <n v="4.4249999999999998"/>
    <n v="1"/>
    <n v="0.2"/>
    <n v="1"/>
    <n v="0.72832636345348001"/>
    <n v="0.2"/>
    <x v="0"/>
    <n v="0"/>
    <n v="0"/>
    <n v="0.76878793877236795"/>
    <n v="0"/>
    <n v="0"/>
  </r>
  <r>
    <x v="1522"/>
    <n v="3.63031286608377"/>
    <n v="4.4249999999999998"/>
    <n v="2"/>
    <n v="0.2"/>
    <n v="2"/>
    <n v="1.4543889366702341"/>
    <n v="0.4"/>
    <x v="0"/>
    <n v="0"/>
    <n v="0"/>
    <n v="0.76878793877236795"/>
    <n v="0"/>
    <n v="0"/>
  </r>
  <r>
    <x v="1523"/>
    <n v="3.63388103806881"/>
    <n v="4.4249999999999998"/>
    <n v="5"/>
    <n v="0.2"/>
    <n v="3"/>
    <n v="2.1811651442839963"/>
    <n v="0.60000000000000009"/>
    <x v="0"/>
    <n v="0"/>
    <n v="0"/>
    <n v="0.76878793877236795"/>
    <n v="0"/>
    <n v="0"/>
  </r>
  <r>
    <x v="1524"/>
    <n v="3.66861052585823"/>
    <n v="4.4249999999999998"/>
    <n v="6"/>
    <n v="0.2"/>
    <n v="4"/>
    <n v="2.9148872494556421"/>
    <n v="0.8"/>
    <x v="0"/>
    <n v="0"/>
    <n v="0"/>
    <n v="0.76878793877236795"/>
    <n v="0"/>
    <n v="0"/>
  </r>
  <r>
    <x v="1525"/>
    <n v="3.7057182088359402"/>
    <n v="4.4249999999999998"/>
    <n v="7"/>
    <n v="0.2"/>
    <n v="5"/>
    <n v="3.6560308912228301"/>
    <n v="1"/>
    <x v="1"/>
    <n v="3.6560308912228301"/>
    <n v="0.76896910877716973"/>
    <n v="0.76896910877716973"/>
    <n v="1.8117000480177836E-4"/>
    <n v="0"/>
  </r>
  <r>
    <x v="1526"/>
    <n v="3.66929905020976"/>
    <n v="4.46"/>
    <n v="1"/>
    <n v="0.2"/>
    <n v="1"/>
    <n v="0.733859810041952"/>
    <n v="0.2"/>
    <x v="0"/>
    <n v="0"/>
    <n v="0"/>
    <n v="0.76896910877716973"/>
    <n v="0"/>
    <n v="3.5000000000000142E-2"/>
  </r>
  <r>
    <x v="1527"/>
    <n v="3.6585087268416099"/>
    <n v="4.46"/>
    <n v="2"/>
    <n v="0.2"/>
    <n v="2"/>
    <n v="1.4655615554102739"/>
    <n v="0.4"/>
    <x v="0"/>
    <n v="0"/>
    <n v="0"/>
    <n v="0.76896910877716973"/>
    <n v="0"/>
    <n v="3.5000000000000142E-2"/>
  </r>
  <r>
    <x v="1528"/>
    <n v="3.6820813540217001"/>
    <n v="4.46"/>
    <n v="5"/>
    <n v="0.2"/>
    <n v="3"/>
    <n v="2.2019778262146139"/>
    <n v="0.60000000000000009"/>
    <x v="0"/>
    <n v="0"/>
    <n v="0"/>
    <n v="0.76896910877716973"/>
    <n v="0"/>
    <n v="3.5000000000000142E-2"/>
  </r>
  <r>
    <x v="1529"/>
    <n v="3.7777318378385201"/>
    <n v="4.46"/>
    <n v="6"/>
    <n v="0.2"/>
    <n v="4"/>
    <n v="2.957524193782318"/>
    <n v="0.8"/>
    <x v="0"/>
    <n v="0"/>
    <n v="0"/>
    <n v="0.76896910877716973"/>
    <n v="0"/>
    <n v="3.5000000000000142E-2"/>
  </r>
  <r>
    <x v="1530"/>
    <n v="3.7938856637865102"/>
    <n v="4.46"/>
    <n v="7"/>
    <n v="0.2"/>
    <n v="5"/>
    <n v="3.7163013265396199"/>
    <n v="1"/>
    <x v="1"/>
    <n v="3.7163013265396199"/>
    <n v="0.7436986734603801"/>
    <n v="0.7436986734603801"/>
    <n v="-2.527043531678963E-2"/>
    <n v="3.5000000000000142E-2"/>
  </r>
  <r>
    <x v="1531"/>
    <n v="3.8022991192017099"/>
    <n v="4.51"/>
    <n v="1"/>
    <n v="0.2"/>
    <n v="1"/>
    <n v="0.76045982384034205"/>
    <n v="0.2"/>
    <x v="0"/>
    <n v="0"/>
    <n v="0"/>
    <n v="0.7436986734603801"/>
    <n v="0"/>
    <n v="4.9999999999999822E-2"/>
  </r>
  <r>
    <x v="1532"/>
    <n v="3.7570616623054498"/>
    <n v="4.51"/>
    <n v="2"/>
    <n v="0.2"/>
    <n v="2"/>
    <n v="1.5118721563014321"/>
    <n v="0.4"/>
    <x v="0"/>
    <n v="0"/>
    <n v="0"/>
    <n v="0.7436986734603801"/>
    <n v="0"/>
    <n v="4.9999999999999822E-2"/>
  </r>
  <r>
    <x v="1533"/>
    <n v="3.7604127530148199"/>
    <n v="4.51"/>
    <n v="5"/>
    <n v="0.2"/>
    <n v="3"/>
    <n v="2.2639547069043964"/>
    <n v="0.60000000000000009"/>
    <x v="0"/>
    <n v="0"/>
    <n v="0"/>
    <n v="0.7436986734603801"/>
    <n v="0"/>
    <n v="4.9999999999999822E-2"/>
  </r>
  <r>
    <x v="1534"/>
    <n v="3.76318219124978"/>
    <n v="4.51"/>
    <n v="6"/>
    <n v="0.2"/>
    <n v="4"/>
    <n v="3.0165911451543526"/>
    <n v="0.8"/>
    <x v="0"/>
    <n v="0"/>
    <n v="0"/>
    <n v="0.7436986734603801"/>
    <n v="0"/>
    <n v="4.9999999999999822E-2"/>
  </r>
  <r>
    <x v="1535"/>
    <n v="3.69575683962693"/>
    <n v="4.51"/>
    <n v="7"/>
    <n v="0.2"/>
    <n v="5"/>
    <n v="3.7557425130797384"/>
    <n v="1"/>
    <x v="1"/>
    <n v="3.7557425130797384"/>
    <n v="0.7542574869202614"/>
    <n v="0.7542574869202614"/>
    <n v="1.05588134598813E-2"/>
    <n v="4.9999999999999822E-2"/>
  </r>
  <r>
    <x v="1536"/>
    <n v="3.6770201628450101"/>
    <n v="4.4099999999999993"/>
    <n v="1"/>
    <n v="0.2"/>
    <n v="1"/>
    <n v="0.73540403256900211"/>
    <n v="0.2"/>
    <x v="0"/>
    <n v="0"/>
    <n v="0"/>
    <n v="0.7542574869202614"/>
    <n v="0"/>
    <n v="-0.10000000000000053"/>
  </r>
  <r>
    <x v="1537"/>
    <n v="3.6305016806760002"/>
    <n v="4.4099999999999993"/>
    <n v="2"/>
    <n v="0.2"/>
    <n v="2"/>
    <n v="1.4615043687042022"/>
    <n v="0.4"/>
    <x v="0"/>
    <n v="0"/>
    <n v="0"/>
    <n v="0.7542574869202614"/>
    <n v="0"/>
    <n v="-0.10000000000000053"/>
  </r>
  <r>
    <x v="1538"/>
    <n v="3.47849542009673"/>
    <n v="4.4099999999999993"/>
    <n v="6"/>
    <n v="0.2"/>
    <n v="3"/>
    <n v="2.1572034527235484"/>
    <n v="0.60000000000000009"/>
    <x v="0"/>
    <n v="0"/>
    <n v="0"/>
    <n v="0.7542574869202614"/>
    <n v="0"/>
    <n v="-0.10000000000000053"/>
  </r>
  <r>
    <x v="1539"/>
    <n v="3.5457252902276499"/>
    <n v="4.4099999999999993"/>
    <n v="7"/>
    <n v="0.2"/>
    <n v="4"/>
    <n v="2.8663485107690785"/>
    <n v="0.8"/>
    <x v="1"/>
    <n v="3.5829356384613478"/>
    <n v="0.82706436153865148"/>
    <n v="0.82706436153865148"/>
    <n v="7.2806874618390083E-2"/>
    <n v="-0.10000000000000053"/>
  </r>
  <r>
    <x v="1540"/>
    <n v="3.53392674996633"/>
    <n v="4.415"/>
    <n v="1"/>
    <n v="0.2"/>
    <n v="1"/>
    <n v="0.70678534999326603"/>
    <n v="0.2"/>
    <x v="0"/>
    <n v="0"/>
    <n v="0"/>
    <n v="0.82706436153865148"/>
    <n v="0"/>
    <n v="5.0000000000007816E-3"/>
  </r>
  <r>
    <x v="1541"/>
    <n v="3.6075522658731298"/>
    <n v="4.415"/>
    <n v="2"/>
    <n v="0.2"/>
    <n v="2"/>
    <n v="1.4282958031678921"/>
    <n v="0.4"/>
    <x v="0"/>
    <n v="0"/>
    <n v="0"/>
    <n v="0.82706436153865148"/>
    <n v="0"/>
    <n v="5.0000000000007816E-3"/>
  </r>
  <r>
    <x v="1542"/>
    <n v="3.6457666426145798"/>
    <n v="4.415"/>
    <n v="5"/>
    <n v="0.2"/>
    <n v="3"/>
    <n v="2.1574491316908082"/>
    <n v="0.60000000000000009"/>
    <x v="0"/>
    <n v="0"/>
    <n v="0"/>
    <n v="0.82706436153865148"/>
    <n v="0"/>
    <n v="5.0000000000007816E-3"/>
  </r>
  <r>
    <x v="1543"/>
    <n v="3.64118028970872"/>
    <n v="4.415"/>
    <n v="6"/>
    <n v="0.2"/>
    <n v="4"/>
    <n v="2.8856851896325524"/>
    <n v="0.8"/>
    <x v="0"/>
    <n v="0"/>
    <n v="0"/>
    <n v="0.82706436153865148"/>
    <n v="0"/>
    <n v="5.0000000000007816E-3"/>
  </r>
  <r>
    <x v="1544"/>
    <n v="3.69779849104486"/>
    <n v="4.415"/>
    <n v="7"/>
    <n v="0.2"/>
    <n v="5"/>
    <n v="3.6252448878415242"/>
    <n v="1"/>
    <x v="1"/>
    <n v="3.6252448878415242"/>
    <n v="0.78975511215847582"/>
    <n v="0.78975511215847582"/>
    <n v="-3.7309249380175658E-2"/>
    <n v="5.0000000000007816E-3"/>
  </r>
  <r>
    <x v="1545"/>
    <n v="3.66522520994672"/>
    <n v="4.47"/>
    <n v="1"/>
    <n v="0.2"/>
    <n v="1"/>
    <n v="0.73304504198934406"/>
    <n v="0.2"/>
    <x v="0"/>
    <n v="0"/>
    <n v="0"/>
    <n v="0.78975511215847582"/>
    <n v="0"/>
    <n v="5.4999999999999716E-2"/>
  </r>
  <r>
    <x v="1546"/>
    <n v="3.6817021231482898"/>
    <n v="4.47"/>
    <n v="2"/>
    <n v="0.2"/>
    <n v="2"/>
    <n v="1.469385466619002"/>
    <n v="0.4"/>
    <x v="0"/>
    <n v="0"/>
    <n v="0"/>
    <n v="0.78975511215847582"/>
    <n v="0"/>
    <n v="5.4999999999999716E-2"/>
  </r>
  <r>
    <x v="1547"/>
    <n v="3.70300854574208"/>
    <n v="4.47"/>
    <n v="5"/>
    <n v="0.2"/>
    <n v="3"/>
    <n v="2.2099871757674183"/>
    <n v="0.60000000000000009"/>
    <x v="0"/>
    <n v="0"/>
    <n v="0"/>
    <n v="0.78975511215847582"/>
    <n v="0"/>
    <n v="5.4999999999999716E-2"/>
  </r>
  <r>
    <x v="1548"/>
    <n v="3.68730856259161"/>
    <n v="4.47"/>
    <n v="6"/>
    <n v="0.2"/>
    <n v="4"/>
    <n v="2.9474488882857406"/>
    <n v="0.8"/>
    <x v="0"/>
    <n v="0"/>
    <n v="0"/>
    <n v="0.78975511215847582"/>
    <n v="0"/>
    <n v="5.4999999999999716E-2"/>
  </r>
  <r>
    <x v="1549"/>
    <n v="3.7089468099420499"/>
    <n v="4.47"/>
    <n v="7"/>
    <n v="0.2"/>
    <n v="5"/>
    <n v="3.6892382502741508"/>
    <n v="1"/>
    <x v="1"/>
    <n v="3.6892382502741508"/>
    <n v="0.780761749725849"/>
    <n v="0.780761749725849"/>
    <n v="-8.993362432626828E-3"/>
    <n v="5.4999999999999716E-2"/>
  </r>
  <r>
    <x v="1550"/>
    <n v="3.6654731838552799"/>
    <n v="4.4450000000000003"/>
    <n v="1"/>
    <n v="0.2"/>
    <n v="1"/>
    <n v="0.73309463677105602"/>
    <n v="0.2"/>
    <x v="0"/>
    <n v="0"/>
    <n v="0"/>
    <n v="0.780761749725849"/>
    <n v="0"/>
    <n v="-2.4999999999999467E-2"/>
  </r>
  <r>
    <x v="1551"/>
    <n v="3.6526262180028599"/>
    <n v="4.4450000000000003"/>
    <n v="2"/>
    <n v="0.2"/>
    <n v="2"/>
    <n v="1.463619880371628"/>
    <n v="0.4"/>
    <x v="0"/>
    <n v="0"/>
    <n v="0"/>
    <n v="0.780761749725849"/>
    <n v="0"/>
    <n v="-2.4999999999999467E-2"/>
  </r>
  <r>
    <x v="1552"/>
    <n v="3.6592252729507302"/>
    <n v="4.4450000000000003"/>
    <n v="5"/>
    <n v="0.2"/>
    <n v="3"/>
    <n v="2.1954649349617741"/>
    <n v="0.60000000000000009"/>
    <x v="0"/>
    <n v="0"/>
    <n v="0"/>
    <n v="0.780761749725849"/>
    <n v="0"/>
    <n v="-2.4999999999999467E-2"/>
  </r>
  <r>
    <x v="1553"/>
    <n v="3.6310140741232302"/>
    <n v="4.4450000000000003"/>
    <n v="6"/>
    <n v="0.2"/>
    <n v="4"/>
    <n v="2.9216677497864203"/>
    <n v="0.8"/>
    <x v="0"/>
    <n v="0"/>
    <n v="0"/>
    <n v="0.780761749725849"/>
    <n v="0"/>
    <n v="-2.4999999999999467E-2"/>
  </r>
  <r>
    <x v="1554"/>
    <n v="3.6581115593316702"/>
    <n v="4.4450000000000003"/>
    <n v="7"/>
    <n v="0.2"/>
    <n v="5"/>
    <n v="3.6532900616527542"/>
    <n v="1"/>
    <x v="1"/>
    <n v="3.6532900616527542"/>
    <n v="0.79170993834724612"/>
    <n v="0.79170993834724612"/>
    <n v="1.0948188621397126E-2"/>
    <n v="-2.4999999999999467E-2"/>
  </r>
  <r>
    <x v="1555"/>
    <n v="3.63386900265423"/>
    <n v="4.4249999999999998"/>
    <n v="1"/>
    <n v="0.2"/>
    <n v="1"/>
    <n v="0.72677380053084606"/>
    <n v="0.2"/>
    <x v="0"/>
    <n v="0"/>
    <n v="0"/>
    <n v="0.79170993834724612"/>
    <n v="0"/>
    <n v="-2.0000000000000462E-2"/>
  </r>
  <r>
    <x v="1556"/>
    <n v="3.6444968717003898"/>
    <n v="4.4249999999999998"/>
    <n v="2"/>
    <n v="0.2"/>
    <n v="2"/>
    <n v="1.455673174870924"/>
    <n v="0.4"/>
    <x v="0"/>
    <n v="0"/>
    <n v="0"/>
    <n v="0.79170993834724612"/>
    <n v="0"/>
    <n v="-2.0000000000000462E-2"/>
  </r>
  <r>
    <x v="1557"/>
    <n v="3.63257020785941"/>
    <n v="4.4249999999999998"/>
    <n v="5"/>
    <n v="0.2"/>
    <n v="3"/>
    <n v="2.1821872164428058"/>
    <n v="0.60000000000000009"/>
    <x v="0"/>
    <n v="0"/>
    <n v="0"/>
    <n v="0.79170993834724612"/>
    <n v="0"/>
    <n v="-2.0000000000000462E-2"/>
  </r>
  <r>
    <x v="1558"/>
    <n v="3.62608092453898"/>
    <n v="4.4249999999999998"/>
    <n v="6"/>
    <n v="0.2"/>
    <n v="4"/>
    <n v="2.907403401350602"/>
    <n v="0.8"/>
    <x v="0"/>
    <n v="0"/>
    <n v="0"/>
    <n v="0.79170993834724612"/>
    <n v="0"/>
    <n v="-2.0000000000000462E-2"/>
  </r>
  <r>
    <x v="1559"/>
    <n v="3.5845179710778798"/>
    <n v="4.4249999999999998"/>
    <n v="7"/>
    <n v="0.2"/>
    <n v="5"/>
    <n v="3.6243069955661782"/>
    <n v="1"/>
    <x v="1"/>
    <n v="3.6243069955661782"/>
    <n v="0.80069300443382163"/>
    <n v="0.80069300443382163"/>
    <n v="8.9830660865755085E-3"/>
    <n v="-2.0000000000000462E-2"/>
  </r>
  <r>
    <x v="1560"/>
    <n v="3.5956794187142802"/>
    <n v="4.3949999999999996"/>
    <n v="1"/>
    <n v="0.2"/>
    <n v="1"/>
    <n v="0.71913588374285609"/>
    <n v="0.2"/>
    <x v="0"/>
    <n v="0"/>
    <n v="0"/>
    <n v="0.80069300443382163"/>
    <n v="0"/>
    <n v="-3.0000000000000249E-2"/>
  </r>
  <r>
    <x v="1561"/>
    <n v="3.58781846229643"/>
    <n v="4.3949999999999996"/>
    <n v="2"/>
    <n v="0.2"/>
    <n v="2"/>
    <n v="1.4366995762021422"/>
    <n v="0.4"/>
    <x v="0"/>
    <n v="0"/>
    <n v="0"/>
    <n v="0.80069300443382163"/>
    <n v="0"/>
    <n v="-3.0000000000000249E-2"/>
  </r>
  <r>
    <x v="1562"/>
    <n v="3.61940093827369"/>
    <n v="4.3949999999999996"/>
    <n v="5"/>
    <n v="0.2"/>
    <n v="3"/>
    <n v="2.1605797638568802"/>
    <n v="0.60000000000000009"/>
    <x v="0"/>
    <n v="0"/>
    <n v="0"/>
    <n v="0.80069300443382163"/>
    <n v="0"/>
    <n v="-3.0000000000000249E-2"/>
  </r>
  <r>
    <x v="1563"/>
    <n v="3.5895202150333398"/>
    <n v="4.3949999999999996"/>
    <n v="6"/>
    <n v="0.2"/>
    <n v="4"/>
    <n v="2.8784838068635481"/>
    <n v="0.8"/>
    <x v="1"/>
    <n v="3.598104758579435"/>
    <n v="0.79689524142056456"/>
    <n v="0.79689524142056456"/>
    <n v="-3.7977630132570717E-3"/>
    <n v="-3.0000000000000249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4" indent="0" outline="1" outlineData="1" multipleFieldFilters="0" chartFormat="1">
  <location ref="F3:H330" firstHeaderRow="0" firstDataRow="1" firstDataCol="1" rowPageCount="1" colPageCount="1"/>
  <pivotFields count="14">
    <pivotField axis="axisRow" showAll="0" sortType="descending">
      <items count="1565">
        <item x="1563"/>
        <item x="1562"/>
        <item x="1561"/>
        <item x="1560"/>
        <item x="1559"/>
        <item x="1558"/>
        <item x="1557"/>
        <item x="1556"/>
        <item x="1555"/>
        <item x="1554"/>
        <item x="1553"/>
        <item x="1552"/>
        <item x="1551"/>
        <item x="1550"/>
        <item x="1549"/>
        <item x="1548"/>
        <item x="1547"/>
        <item x="1546"/>
        <item x="1545"/>
        <item x="1544"/>
        <item x="1543"/>
        <item x="1542"/>
        <item x="1541"/>
        <item x="1540"/>
        <item x="1539"/>
        <item x="1538"/>
        <item x="1537"/>
        <item x="1536"/>
        <item x="1535"/>
        <item x="1534"/>
        <item x="1533"/>
        <item x="1532"/>
        <item x="1531"/>
        <item x="1530"/>
        <item x="1529"/>
        <item x="1528"/>
        <item x="1527"/>
        <item x="1526"/>
        <item x="1525"/>
        <item x="1524"/>
        <item x="1523"/>
        <item x="1522"/>
        <item x="1521"/>
        <item x="1520"/>
        <item x="1519"/>
        <item x="1518"/>
        <item x="1517"/>
        <item x="1516"/>
        <item x="1515"/>
        <item x="1514"/>
        <item x="1513"/>
        <item x="1512"/>
        <item x="1511"/>
        <item x="1510"/>
        <item x="1509"/>
        <item x="1508"/>
        <item x="1507"/>
        <item x="1506"/>
        <item x="1505"/>
        <item x="1504"/>
        <item x="1503"/>
        <item x="1502"/>
        <item x="1501"/>
        <item x="1500"/>
        <item x="1499"/>
        <item x="1498"/>
        <item x="1497"/>
        <item x="1496"/>
        <item x="1495"/>
        <item x="1494"/>
        <item x="1493"/>
        <item x="1492"/>
        <item x="1491"/>
        <item x="1490"/>
        <item x="1489"/>
        <item x="1488"/>
        <item x="1487"/>
        <item x="1486"/>
        <item x="1485"/>
        <item x="1484"/>
        <item x="1483"/>
        <item x="1482"/>
        <item x="1481"/>
        <item x="1480"/>
        <item x="1479"/>
        <item x="1478"/>
        <item x="1477"/>
        <item x="1476"/>
        <item x="1475"/>
        <item x="1474"/>
        <item x="1473"/>
        <item x="1472"/>
        <item x="1471"/>
        <item x="1470"/>
        <item x="1469"/>
        <item x="1468"/>
        <item x="1467"/>
        <item x="1466"/>
        <item x="1465"/>
        <item x="1464"/>
        <item x="1463"/>
        <item x="1462"/>
        <item x="1461"/>
        <item x="1460"/>
        <item x="1459"/>
        <item x="1458"/>
        <item x="1457"/>
        <item x="1456"/>
        <item x="1455"/>
        <item x="1454"/>
        <item x="1453"/>
        <item x="1452"/>
        <item x="1451"/>
        <item x="1450"/>
        <item x="1449"/>
        <item x="1448"/>
        <item x="1447"/>
        <item x="1446"/>
        <item x="1445"/>
        <item x="1444"/>
        <item x="1443"/>
        <item x="1442"/>
        <item x="1441"/>
        <item x="1440"/>
        <item x="1439"/>
        <item x="1438"/>
        <item x="1437"/>
        <item x="1436"/>
        <item x="1435"/>
        <item x="1434"/>
        <item x="1433"/>
        <item x="1432"/>
        <item x="1431"/>
        <item x="1430"/>
        <item x="1429"/>
        <item x="1428"/>
        <item x="1427"/>
        <item x="1426"/>
        <item x="1425"/>
        <item x="1424"/>
        <item x="1423"/>
        <item x="1422"/>
        <item x="1421"/>
        <item x="1420"/>
        <item x="1419"/>
        <item x="1418"/>
        <item x="1417"/>
        <item x="1416"/>
        <item x="1415"/>
        <item x="1414"/>
        <item x="1413"/>
        <item x="1412"/>
        <item x="1411"/>
        <item x="1410"/>
        <item x="1409"/>
        <item x="1408"/>
        <item x="1407"/>
        <item x="1406"/>
        <item x="1405"/>
        <item x="1404"/>
        <item x="1403"/>
        <item x="1402"/>
        <item x="1401"/>
        <item x="1400"/>
        <item x="1399"/>
        <item x="1398"/>
        <item x="1397"/>
        <item x="1396"/>
        <item x="1395"/>
        <item x="1394"/>
        <item x="1393"/>
        <item x="1392"/>
        <item x="1391"/>
        <item x="1390"/>
        <item x="1389"/>
        <item x="1388"/>
        <item x="1387"/>
        <item x="1386"/>
        <item x="1385"/>
        <item x="1384"/>
        <item x="1383"/>
        <item x="1382"/>
        <item x="1381"/>
        <item x="1380"/>
        <item x="1379"/>
        <item x="1378"/>
        <item x="1377"/>
        <item x="1376"/>
        <item x="1375"/>
        <item x="1374"/>
        <item x="1373"/>
        <item x="1372"/>
        <item x="1371"/>
        <item x="1370"/>
        <item x="1369"/>
        <item x="1368"/>
        <item x="1367"/>
        <item x="1366"/>
        <item x="1365"/>
        <item x="1364"/>
        <item x="1363"/>
        <item x="1362"/>
        <item x="1361"/>
        <item x="1360"/>
        <item x="1359"/>
        <item x="1358"/>
        <item x="1357"/>
        <item x="1356"/>
        <item x="1355"/>
        <item x="1354"/>
        <item x="1353"/>
        <item x="1352"/>
        <item x="1351"/>
        <item x="1350"/>
        <item x="1349"/>
        <item x="1348"/>
        <item x="1347"/>
        <item x="1346"/>
        <item x="1345"/>
        <item x="1344"/>
        <item x="1343"/>
        <item x="1342"/>
        <item x="1341"/>
        <item x="1340"/>
        <item x="1339"/>
        <item x="1338"/>
        <item x="1337"/>
        <item x="1336"/>
        <item x="1335"/>
        <item x="1334"/>
        <item x="1333"/>
        <item x="1332"/>
        <item x="1331"/>
        <item x="1330"/>
        <item x="1329"/>
        <item x="1328"/>
        <item x="1327"/>
        <item x="1326"/>
        <item x="1325"/>
        <item x="1324"/>
        <item x="1323"/>
        <item x="1322"/>
        <item x="1321"/>
        <item x="1320"/>
        <item x="1319"/>
        <item x="1318"/>
        <item x="1317"/>
        <item x="1316"/>
        <item x="1315"/>
        <item x="1314"/>
        <item x="1313"/>
        <item x="1312"/>
        <item x="1311"/>
        <item x="1310"/>
        <item x="1309"/>
        <item x="1308"/>
        <item x="1307"/>
        <item x="1306"/>
        <item x="1305"/>
        <item x="1304"/>
        <item x="1303"/>
        <item x="1302"/>
        <item x="1301"/>
        <item x="1300"/>
        <item x="1299"/>
        <item x="1298"/>
        <item x="1297"/>
        <item x="1296"/>
        <item x="1295"/>
        <item x="1294"/>
        <item x="1293"/>
        <item x="1292"/>
        <item x="1291"/>
        <item x="1290"/>
        <item x="1289"/>
        <item x="1288"/>
        <item x="1287"/>
        <item x="1286"/>
        <item x="1285"/>
        <item x="1284"/>
        <item x="1283"/>
        <item x="1282"/>
        <item x="1281"/>
        <item x="1280"/>
        <item x="1279"/>
        <item x="1278"/>
        <item x="1277"/>
        <item x="1276"/>
        <item x="1275"/>
        <item x="1274"/>
        <item x="1273"/>
        <item x="1272"/>
        <item x="1271"/>
        <item x="1270"/>
        <item x="1269"/>
        <item x="1268"/>
        <item x="1267"/>
        <item x="1266"/>
        <item x="1265"/>
        <item x="1264"/>
        <item x="1263"/>
        <item x="1262"/>
        <item x="1261"/>
        <item x="1260"/>
        <item x="1259"/>
        <item x="1258"/>
        <item x="1257"/>
        <item x="1256"/>
        <item x="1255"/>
        <item x="1254"/>
        <item x="1253"/>
        <item x="1252"/>
        <item x="1251"/>
        <item x="1250"/>
        <item x="1249"/>
        <item x="1248"/>
        <item x="1247"/>
        <item x="1246"/>
        <item x="1245"/>
        <item x="1244"/>
        <item x="1243"/>
        <item x="1242"/>
        <item x="1241"/>
        <item x="1240"/>
        <item x="1239"/>
        <item x="1238"/>
        <item x="1237"/>
        <item x="1236"/>
        <item x="1235"/>
        <item x="1234"/>
        <item x="1233"/>
        <item x="1232"/>
        <item x="1231"/>
        <item x="1230"/>
        <item x="1229"/>
        <item x="1228"/>
        <item x="1227"/>
        <item x="1226"/>
        <item x="1225"/>
        <item x="1224"/>
        <item x="1223"/>
        <item x="1222"/>
        <item x="1221"/>
        <item x="1220"/>
        <item x="1219"/>
        <item x="1218"/>
        <item x="1217"/>
        <item x="1216"/>
        <item x="1215"/>
        <item x="1214"/>
        <item x="1213"/>
        <item x="1212"/>
        <item x="1211"/>
        <item x="1210"/>
        <item x="1209"/>
        <item x="1208"/>
        <item x="1207"/>
        <item x="1206"/>
        <item x="1205"/>
        <item x="1204"/>
        <item x="1203"/>
        <item x="1202"/>
        <item x="1201"/>
        <item x="1200"/>
        <item x="1199"/>
        <item x="1198"/>
        <item x="1197"/>
        <item x="1196"/>
        <item x="1195"/>
        <item x="1194"/>
        <item x="1193"/>
        <item x="1192"/>
        <item x="1191"/>
        <item x="1190"/>
        <item x="1189"/>
        <item x="1188"/>
        <item x="1187"/>
        <item x="1186"/>
        <item x="1185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6"/>
        <item x="1165"/>
        <item x="1164"/>
        <item x="1163"/>
        <item x="1162"/>
        <item x="1161"/>
        <item x="1160"/>
        <item x="1159"/>
        <item x="1158"/>
        <item x="1157"/>
        <item x="1156"/>
        <item x="1155"/>
        <item x="1154"/>
        <item x="1153"/>
        <item x="1152"/>
        <item x="1151"/>
        <item x="1150"/>
        <item x="1149"/>
        <item x="1148"/>
        <item x="1147"/>
        <item x="1146"/>
        <item x="1145"/>
        <item x="1144"/>
        <item x="1143"/>
        <item x="1142"/>
        <item x="1141"/>
        <item x="1140"/>
        <item x="1139"/>
        <item x="1138"/>
        <item x="1137"/>
        <item x="1136"/>
        <item x="1135"/>
        <item x="1134"/>
        <item x="1133"/>
        <item x="1132"/>
        <item x="1131"/>
        <item x="1130"/>
        <item x="1129"/>
        <item x="1128"/>
        <item x="1127"/>
        <item x="1126"/>
        <item x="1125"/>
        <item x="1124"/>
        <item x="1123"/>
        <item x="1122"/>
        <item x="1121"/>
        <item x="1120"/>
        <item x="1119"/>
        <item x="1118"/>
        <item x="1117"/>
        <item x="1116"/>
        <item x="1115"/>
        <item x="1114"/>
        <item x="1113"/>
        <item x="1112"/>
        <item x="1111"/>
        <item x="1110"/>
        <item x="1109"/>
        <item x="1108"/>
        <item x="1107"/>
        <item x="1106"/>
        <item x="1105"/>
        <item x="1104"/>
        <item x="1103"/>
        <item x="1102"/>
        <item x="1101"/>
        <item x="1100"/>
        <item x="1099"/>
        <item x="1098"/>
        <item x="1097"/>
        <item x="1096"/>
        <item x="1095"/>
        <item x="1094"/>
        <item x="1093"/>
        <item x="1092"/>
        <item x="1091"/>
        <item x="1090"/>
        <item x="1089"/>
        <item x="1088"/>
        <item x="1087"/>
        <item x="1086"/>
        <item x="1085"/>
        <item x="1084"/>
        <item x="1083"/>
        <item x="1082"/>
        <item x="1081"/>
        <item x="1080"/>
        <item x="1079"/>
        <item x="1078"/>
        <item x="1077"/>
        <item x="1076"/>
        <item x="1075"/>
        <item x="1074"/>
        <item x="1073"/>
        <item x="1072"/>
        <item x="1071"/>
        <item x="1070"/>
        <item x="1069"/>
        <item x="1068"/>
        <item x="1067"/>
        <item x="1066"/>
        <item x="1065"/>
        <item x="1064"/>
        <item x="1063"/>
        <item x="1062"/>
        <item x="1061"/>
        <item x="1060"/>
        <item x="1059"/>
        <item x="1058"/>
        <item x="1057"/>
        <item x="1056"/>
        <item x="1055"/>
        <item x="1054"/>
        <item x="1053"/>
        <item x="1052"/>
        <item x="1051"/>
        <item x="1050"/>
        <item x="1049"/>
        <item x="1048"/>
        <item x="1047"/>
        <item x="1046"/>
        <item x="1045"/>
        <item x="1044"/>
        <item x="1043"/>
        <item x="1042"/>
        <item x="1041"/>
        <item x="1040"/>
        <item x="1039"/>
        <item x="1038"/>
        <item x="1037"/>
        <item x="1036"/>
        <item x="1035"/>
        <item x="1034"/>
        <item x="1033"/>
        <item x="1032"/>
        <item x="1031"/>
        <item x="1030"/>
        <item x="1029"/>
        <item x="1028"/>
        <item x="1027"/>
        <item x="1026"/>
        <item x="1025"/>
        <item x="1024"/>
        <item x="1023"/>
        <item x="1022"/>
        <item x="1021"/>
        <item x="1020"/>
        <item x="1019"/>
        <item x="1018"/>
        <item x="1017"/>
        <item x="1016"/>
        <item x="1015"/>
        <item x="1014"/>
        <item x="1013"/>
        <item x="1012"/>
        <item x="1011"/>
        <item x="1010"/>
        <item x="1009"/>
        <item x="1008"/>
        <item x="1007"/>
        <item x="1006"/>
        <item x="1005"/>
        <item x="1004"/>
        <item x="1003"/>
        <item x="1002"/>
        <item x="1001"/>
        <item x="1000"/>
        <item x="999"/>
        <item x="998"/>
        <item x="997"/>
        <item x="996"/>
        <item x="995"/>
        <item x="99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6"/>
        <item x="975"/>
        <item x="974"/>
        <item x="973"/>
        <item x="972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7"/>
        <item x="946"/>
        <item x="945"/>
        <item x="944"/>
        <item x="943"/>
        <item x="942"/>
        <item x="941"/>
        <item x="940"/>
        <item x="939"/>
        <item x="938"/>
        <item x="937"/>
        <item x="936"/>
        <item x="935"/>
        <item x="934"/>
        <item x="933"/>
        <item x="932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8"/>
        <item x="907"/>
        <item x="906"/>
        <item x="905"/>
        <item x="904"/>
        <item x="903"/>
        <item x="902"/>
        <item x="901"/>
        <item x="900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4"/>
        <item x="883"/>
        <item x="882"/>
        <item x="881"/>
        <item x="880"/>
        <item x="879"/>
        <item x="878"/>
        <item x="877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2"/>
        <item x="861"/>
        <item x="860"/>
        <item x="859"/>
        <item x="858"/>
        <item x="857"/>
        <item x="856"/>
        <item x="855"/>
        <item x="854"/>
        <item x="853"/>
        <item x="852"/>
        <item x="851"/>
        <item x="850"/>
        <item x="849"/>
        <item x="848"/>
        <item x="847"/>
        <item x="846"/>
        <item x="845"/>
        <item x="844"/>
        <item x="843"/>
        <item x="842"/>
        <item x="841"/>
        <item x="840"/>
        <item x="839"/>
        <item x="838"/>
        <item x="837"/>
        <item x="836"/>
        <item x="835"/>
        <item x="834"/>
        <item x="833"/>
        <item x="832"/>
        <item x="831"/>
        <item x="830"/>
        <item x="829"/>
        <item x="828"/>
        <item x="827"/>
        <item x="826"/>
        <item x="825"/>
        <item x="824"/>
        <item x="823"/>
        <item x="822"/>
        <item x="821"/>
        <item x="820"/>
        <item x="819"/>
        <item x="818"/>
        <item x="817"/>
        <item x="816"/>
        <item x="815"/>
        <item x="814"/>
        <item x="813"/>
        <item x="812"/>
        <item x="811"/>
        <item x="810"/>
        <item x="809"/>
        <item x="808"/>
        <item x="807"/>
        <item x="806"/>
        <item x="805"/>
        <item x="804"/>
        <item x="803"/>
        <item x="802"/>
        <item x="801"/>
        <item x="800"/>
        <item x="799"/>
        <item x="798"/>
        <item x="797"/>
        <item x="796"/>
        <item x="795"/>
        <item x="794"/>
        <item x="793"/>
        <item x="792"/>
        <item x="791"/>
        <item x="790"/>
        <item x="789"/>
        <item x="788"/>
        <item x="787"/>
        <item x="786"/>
        <item x="785"/>
        <item x="784"/>
        <item x="783"/>
        <item x="782"/>
        <item x="781"/>
        <item x="780"/>
        <item x="779"/>
        <item x="778"/>
        <item x="777"/>
        <item x="776"/>
        <item x="775"/>
        <item x="774"/>
        <item x="773"/>
        <item x="772"/>
        <item x="771"/>
        <item x="770"/>
        <item x="769"/>
        <item x="768"/>
        <item x="767"/>
        <item x="766"/>
        <item x="765"/>
        <item x="764"/>
        <item x="763"/>
        <item x="762"/>
        <item x="761"/>
        <item x="760"/>
        <item x="759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746"/>
        <item x="745"/>
        <item x="744"/>
        <item x="743"/>
        <item x="742"/>
        <item x="741"/>
        <item x="740"/>
        <item x="739"/>
        <item x="738"/>
        <item x="737"/>
        <item x="736"/>
        <item x="735"/>
        <item x="734"/>
        <item x="733"/>
        <item x="732"/>
        <item x="73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9"/>
        <item x="718"/>
        <item x="717"/>
        <item x="716"/>
        <item x="715"/>
        <item x="714"/>
        <item x="713"/>
        <item x="712"/>
        <item x="711"/>
        <item x="710"/>
        <item x="709"/>
        <item x="708"/>
        <item x="707"/>
        <item x="706"/>
        <item x="705"/>
        <item x="704"/>
        <item x="703"/>
        <item x="702"/>
        <item x="701"/>
        <item x="700"/>
        <item x="699"/>
        <item x="698"/>
        <item x="697"/>
        <item x="696"/>
        <item x="695"/>
        <item x="694"/>
        <item x="693"/>
        <item x="692"/>
        <item x="691"/>
        <item x="690"/>
        <item x="689"/>
        <item x="688"/>
        <item x="687"/>
        <item x="686"/>
        <item x="685"/>
        <item x="684"/>
        <item x="683"/>
        <item x="682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showAll="0" defaultSubtotal="0">
      <items count="2">
        <item x="0"/>
        <item x="1"/>
      </items>
    </pivotField>
    <pivotField showAll="0"/>
    <pivotField name="Changes" multipleItemSelectionAllowed="1" showAll="0"/>
    <pivotField showAll="0"/>
    <pivotField dataField="1" showAll="0"/>
    <pivotField dataField="1" showAll="0" defaultSubtotal="0"/>
  </pivotFields>
  <rowFields count="1">
    <field x="0"/>
  </rowFields>
  <rowItems count="327">
    <i>
      <x/>
    </i>
    <i>
      <x v="4"/>
    </i>
    <i>
      <x v="9"/>
    </i>
    <i>
      <x v="14"/>
    </i>
    <i>
      <x v="19"/>
    </i>
    <i>
      <x v="24"/>
    </i>
    <i>
      <x v="28"/>
    </i>
    <i>
      <x v="33"/>
    </i>
    <i>
      <x v="38"/>
    </i>
    <i>
      <x v="43"/>
    </i>
    <i>
      <x v="48"/>
    </i>
    <i>
      <x v="53"/>
    </i>
    <i>
      <x v="58"/>
    </i>
    <i>
      <x v="63"/>
    </i>
    <i>
      <x v="67"/>
    </i>
    <i>
      <x v="72"/>
    </i>
    <i>
      <x v="77"/>
    </i>
    <i>
      <x v="82"/>
    </i>
    <i>
      <x v="87"/>
    </i>
    <i>
      <x v="92"/>
    </i>
    <i>
      <x v="96"/>
    </i>
    <i>
      <x v="101"/>
    </i>
    <i>
      <x v="106"/>
    </i>
    <i>
      <x v="111"/>
    </i>
    <i>
      <x v="116"/>
    </i>
    <i>
      <x v="120"/>
    </i>
    <i>
      <x v="125"/>
    </i>
    <i>
      <x v="129"/>
    </i>
    <i>
      <x v="133"/>
    </i>
    <i>
      <x v="138"/>
    </i>
    <i>
      <x v="143"/>
    </i>
    <i>
      <x v="148"/>
    </i>
    <i>
      <x v="152"/>
    </i>
    <i>
      <x v="157"/>
    </i>
    <i>
      <x v="162"/>
    </i>
    <i>
      <x v="167"/>
    </i>
    <i>
      <x v="172"/>
    </i>
    <i>
      <x v="177"/>
    </i>
    <i>
      <x v="182"/>
    </i>
    <i>
      <x v="186"/>
    </i>
    <i>
      <x v="191"/>
    </i>
    <i>
      <x v="196"/>
    </i>
    <i>
      <x v="201"/>
    </i>
    <i>
      <x v="206"/>
    </i>
    <i>
      <x v="210"/>
    </i>
    <i>
      <x v="215"/>
    </i>
    <i>
      <x v="220"/>
    </i>
    <i>
      <x v="225"/>
    </i>
    <i>
      <x v="230"/>
    </i>
    <i>
      <x v="235"/>
    </i>
    <i>
      <x v="240"/>
    </i>
    <i>
      <x v="245"/>
    </i>
    <i>
      <x v="250"/>
    </i>
    <i>
      <x v="254"/>
    </i>
    <i>
      <x v="259"/>
    </i>
    <i>
      <x v="264"/>
    </i>
    <i>
      <x v="269"/>
    </i>
    <i>
      <x v="274"/>
    </i>
    <i>
      <x v="278"/>
    </i>
    <i>
      <x v="283"/>
    </i>
    <i>
      <x v="288"/>
    </i>
    <i>
      <x v="293"/>
    </i>
    <i>
      <x v="298"/>
    </i>
    <i>
      <x v="303"/>
    </i>
    <i>
      <x v="307"/>
    </i>
    <i>
      <x v="312"/>
    </i>
    <i>
      <x v="317"/>
    </i>
    <i>
      <x v="322"/>
    </i>
    <i>
      <x v="327"/>
    </i>
    <i>
      <x v="332"/>
    </i>
    <i>
      <x v="337"/>
    </i>
    <i>
      <x v="342"/>
    </i>
    <i>
      <x v="346"/>
    </i>
    <i>
      <x v="351"/>
    </i>
    <i>
      <x v="356"/>
    </i>
    <i>
      <x v="361"/>
    </i>
    <i>
      <x v="366"/>
    </i>
    <i>
      <x v="370"/>
    </i>
    <i>
      <x v="375"/>
    </i>
    <i>
      <x v="379"/>
    </i>
    <i>
      <x v="383"/>
    </i>
    <i>
      <x v="388"/>
    </i>
    <i>
      <x v="393"/>
    </i>
    <i>
      <x v="398"/>
    </i>
    <i>
      <x v="402"/>
    </i>
    <i>
      <x v="407"/>
    </i>
    <i>
      <x v="411"/>
    </i>
    <i>
      <x v="416"/>
    </i>
    <i>
      <x v="421"/>
    </i>
    <i>
      <x v="426"/>
    </i>
    <i>
      <x v="431"/>
    </i>
    <i>
      <x v="435"/>
    </i>
    <i>
      <x v="440"/>
    </i>
    <i>
      <x v="445"/>
    </i>
    <i>
      <x v="450"/>
    </i>
    <i>
      <x v="455"/>
    </i>
    <i>
      <x v="459"/>
    </i>
    <i>
      <x v="464"/>
    </i>
    <i>
      <x v="469"/>
    </i>
    <i>
      <x v="474"/>
    </i>
    <i>
      <x v="479"/>
    </i>
    <i>
      <x v="484"/>
    </i>
    <i>
      <x v="489"/>
    </i>
    <i>
      <x v="494"/>
    </i>
    <i>
      <x v="499"/>
    </i>
    <i>
      <x v="503"/>
    </i>
    <i>
      <x v="508"/>
    </i>
    <i>
      <x v="513"/>
    </i>
    <i>
      <x v="518"/>
    </i>
    <i>
      <x v="523"/>
    </i>
    <i>
      <x v="527"/>
    </i>
    <i>
      <x v="532"/>
    </i>
    <i>
      <x v="537"/>
    </i>
    <i>
      <x v="542"/>
    </i>
    <i>
      <x v="547"/>
    </i>
    <i>
      <x v="552"/>
    </i>
    <i>
      <x v="557"/>
    </i>
    <i>
      <x v="562"/>
    </i>
    <i>
      <x v="567"/>
    </i>
    <i>
      <x v="571"/>
    </i>
    <i>
      <x v="576"/>
    </i>
    <i>
      <x v="581"/>
    </i>
    <i>
      <x v="586"/>
    </i>
    <i>
      <x v="591"/>
    </i>
    <i>
      <x v="596"/>
    </i>
    <i>
      <x v="600"/>
    </i>
    <i>
      <x v="605"/>
    </i>
    <i>
      <x v="610"/>
    </i>
    <i>
      <x v="615"/>
    </i>
    <i>
      <x v="619"/>
    </i>
    <i>
      <x v="624"/>
    </i>
    <i>
      <x v="628"/>
    </i>
    <i>
      <x v="632"/>
    </i>
    <i>
      <x v="637"/>
    </i>
    <i>
      <x v="642"/>
    </i>
    <i>
      <x v="647"/>
    </i>
    <i>
      <x v="651"/>
    </i>
    <i>
      <x v="656"/>
    </i>
    <i>
      <x v="661"/>
    </i>
    <i>
      <x v="665"/>
    </i>
    <i>
      <x v="670"/>
    </i>
    <i>
      <x v="675"/>
    </i>
    <i>
      <x v="680"/>
    </i>
    <i>
      <x v="684"/>
    </i>
    <i>
      <x v="689"/>
    </i>
    <i>
      <x v="694"/>
    </i>
    <i>
      <x v="699"/>
    </i>
    <i>
      <x v="704"/>
    </i>
    <i>
      <x v="708"/>
    </i>
    <i>
      <x v="713"/>
    </i>
    <i>
      <x v="718"/>
    </i>
    <i>
      <x v="723"/>
    </i>
    <i>
      <x v="728"/>
    </i>
    <i>
      <x v="733"/>
    </i>
    <i>
      <x v="738"/>
    </i>
    <i>
      <x v="743"/>
    </i>
    <i>
      <x v="748"/>
    </i>
    <i>
      <x v="752"/>
    </i>
    <i>
      <x v="757"/>
    </i>
    <i>
      <x v="762"/>
    </i>
    <i>
      <x v="767"/>
    </i>
    <i>
      <x v="772"/>
    </i>
    <i>
      <x v="777"/>
    </i>
    <i>
      <x v="781"/>
    </i>
    <i>
      <x v="786"/>
    </i>
    <i>
      <x v="791"/>
    </i>
    <i>
      <x v="796"/>
    </i>
    <i>
      <x v="801"/>
    </i>
    <i>
      <x v="806"/>
    </i>
    <i>
      <x v="811"/>
    </i>
    <i>
      <x v="816"/>
    </i>
    <i>
      <x v="821"/>
    </i>
    <i>
      <x v="826"/>
    </i>
    <i>
      <x v="831"/>
    </i>
    <i>
      <x v="836"/>
    </i>
    <i>
      <x v="841"/>
    </i>
    <i>
      <x v="846"/>
    </i>
    <i>
      <x v="850"/>
    </i>
    <i>
      <x v="855"/>
    </i>
    <i>
      <x v="860"/>
    </i>
    <i>
      <x v="865"/>
    </i>
    <i>
      <x v="869"/>
    </i>
    <i>
      <x v="874"/>
    </i>
    <i>
      <x v="878"/>
    </i>
    <i>
      <x v="882"/>
    </i>
    <i>
      <x v="887"/>
    </i>
    <i>
      <x v="892"/>
    </i>
    <i>
      <x v="897"/>
    </i>
    <i>
      <x v="901"/>
    </i>
    <i>
      <x v="906"/>
    </i>
    <i>
      <x v="911"/>
    </i>
    <i>
      <x v="915"/>
    </i>
    <i>
      <x v="920"/>
    </i>
    <i>
      <x v="925"/>
    </i>
    <i>
      <x v="930"/>
    </i>
    <i>
      <x v="934"/>
    </i>
    <i>
      <x v="939"/>
    </i>
    <i>
      <x v="944"/>
    </i>
    <i>
      <x v="949"/>
    </i>
    <i>
      <x v="954"/>
    </i>
    <i>
      <x v="959"/>
    </i>
    <i>
      <x v="963"/>
    </i>
    <i>
      <x v="968"/>
    </i>
    <i>
      <x v="973"/>
    </i>
    <i>
      <x v="978"/>
    </i>
    <i>
      <x v="983"/>
    </i>
    <i>
      <x v="988"/>
    </i>
    <i>
      <x v="993"/>
    </i>
    <i>
      <x v="998"/>
    </i>
    <i>
      <x v="1002"/>
    </i>
    <i>
      <x v="1007"/>
    </i>
    <i>
      <x v="1012"/>
    </i>
    <i>
      <x v="1017"/>
    </i>
    <i>
      <x v="1022"/>
    </i>
    <i>
      <x v="1027"/>
    </i>
    <i>
      <x v="1031"/>
    </i>
    <i>
      <x v="1036"/>
    </i>
    <i>
      <x v="1041"/>
    </i>
    <i>
      <x v="1046"/>
    </i>
    <i>
      <x v="1051"/>
    </i>
    <i>
      <x v="1055"/>
    </i>
    <i>
      <x v="1060"/>
    </i>
    <i>
      <x v="1065"/>
    </i>
    <i>
      <x v="1070"/>
    </i>
    <i>
      <x v="1075"/>
    </i>
    <i>
      <x v="1080"/>
    </i>
    <i>
      <x v="1085"/>
    </i>
    <i>
      <x v="1090"/>
    </i>
    <i>
      <x v="1095"/>
    </i>
    <i>
      <x v="1099"/>
    </i>
    <i>
      <x v="1104"/>
    </i>
    <i>
      <x v="1109"/>
    </i>
    <i>
      <x v="1114"/>
    </i>
    <i>
      <x v="1118"/>
    </i>
    <i>
      <x v="1123"/>
    </i>
    <i>
      <x v="1128"/>
    </i>
    <i>
      <x v="1132"/>
    </i>
    <i>
      <x v="1136"/>
    </i>
    <i>
      <x v="1141"/>
    </i>
    <i>
      <x v="1146"/>
    </i>
    <i>
      <x v="1150"/>
    </i>
    <i>
      <x v="1155"/>
    </i>
    <i>
      <x v="1160"/>
    </i>
    <i>
      <x v="1164"/>
    </i>
    <i>
      <x v="1169"/>
    </i>
    <i>
      <x v="1174"/>
    </i>
    <i>
      <x v="1179"/>
    </i>
    <i>
      <x v="1183"/>
    </i>
    <i>
      <x v="1188"/>
    </i>
    <i>
      <x v="1193"/>
    </i>
    <i>
      <x v="1198"/>
    </i>
    <i>
      <x v="1203"/>
    </i>
    <i>
      <x v="1208"/>
    </i>
    <i>
      <x v="1212"/>
    </i>
    <i>
      <x v="1217"/>
    </i>
    <i>
      <x v="1222"/>
    </i>
    <i>
      <x v="1227"/>
    </i>
    <i>
      <x v="1232"/>
    </i>
    <i>
      <x v="1237"/>
    </i>
    <i>
      <x v="1242"/>
    </i>
    <i>
      <x v="1247"/>
    </i>
    <i>
      <x v="1251"/>
    </i>
    <i>
      <x v="1256"/>
    </i>
    <i>
      <x v="1261"/>
    </i>
    <i>
      <x v="1266"/>
    </i>
    <i>
      <x v="1271"/>
    </i>
    <i>
      <x v="1276"/>
    </i>
    <i>
      <x v="1280"/>
    </i>
    <i>
      <x v="1285"/>
    </i>
    <i>
      <x v="1290"/>
    </i>
    <i>
      <x v="1295"/>
    </i>
    <i>
      <x v="1300"/>
    </i>
    <i>
      <x v="1305"/>
    </i>
    <i>
      <x v="1310"/>
    </i>
    <i>
      <x v="1315"/>
    </i>
    <i>
      <x v="1319"/>
    </i>
    <i>
      <x v="1324"/>
    </i>
    <i>
      <x v="1329"/>
    </i>
    <i>
      <x v="1334"/>
    </i>
    <i>
      <x v="1339"/>
    </i>
    <i>
      <x v="1344"/>
    </i>
    <i>
      <x v="1348"/>
    </i>
    <i>
      <x v="1353"/>
    </i>
    <i>
      <x v="1358"/>
    </i>
    <i>
      <x v="1363"/>
    </i>
    <i>
      <x v="1367"/>
    </i>
    <i>
      <x v="1372"/>
    </i>
    <i>
      <x v="1377"/>
    </i>
    <i>
      <x v="1381"/>
    </i>
    <i>
      <x v="1385"/>
    </i>
    <i>
      <x v="1390"/>
    </i>
    <i>
      <x v="1395"/>
    </i>
    <i>
      <x v="1400"/>
    </i>
    <i>
      <x v="1404"/>
    </i>
    <i>
      <x v="1409"/>
    </i>
    <i>
      <x v="1413"/>
    </i>
    <i>
      <x v="1418"/>
    </i>
    <i>
      <x v="1422"/>
    </i>
    <i>
      <x v="1427"/>
    </i>
    <i>
      <x v="1432"/>
    </i>
    <i>
      <x v="1436"/>
    </i>
    <i>
      <x v="1441"/>
    </i>
    <i>
      <x v="1446"/>
    </i>
    <i>
      <x v="1451"/>
    </i>
    <i>
      <x v="1456"/>
    </i>
    <i>
      <x v="1460"/>
    </i>
    <i>
      <x v="1465"/>
    </i>
    <i>
      <x v="1470"/>
    </i>
    <i>
      <x v="1475"/>
    </i>
    <i>
      <x v="1480"/>
    </i>
    <i>
      <x v="1485"/>
    </i>
    <i>
      <x v="1490"/>
    </i>
    <i>
      <x v="1495"/>
    </i>
    <i>
      <x v="1500"/>
    </i>
    <i>
      <x v="1504"/>
    </i>
    <i>
      <x v="1509"/>
    </i>
    <i>
      <x v="1514"/>
    </i>
    <i>
      <x v="1519"/>
    </i>
    <i>
      <x v="1524"/>
    </i>
    <i>
      <x v="1528"/>
    </i>
    <i>
      <x v="1533"/>
    </i>
    <i>
      <x v="1538"/>
    </i>
    <i>
      <x v="1543"/>
    </i>
    <i>
      <x v="1548"/>
    </i>
    <i>
      <x v="1553"/>
    </i>
    <i>
      <x v="1558"/>
    </i>
    <i t="grand">
      <x/>
    </i>
  </rowItems>
  <colFields count="1">
    <field x="-2"/>
  </colFields>
  <colItems count="2">
    <i>
      <x/>
    </i>
    <i i="1">
      <x v="1"/>
    </i>
  </colItems>
  <pageFields count="1">
    <pageField fld="8" item="1" hier="-1"/>
  </pageFields>
  <dataFields count="2">
    <dataField name="Survey Rate chg" fld="13" subtotal="average" baseField="0" baseItem="0"/>
    <dataField name="Servicing Spread chg" fld="12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showDrill="0" useAutoFormatting="1" itemPrintTitles="1" createdVersion="4" indent="0" showHeaders="0" outline="1" outlineData="1" multipleFieldFilters="0" chartFormat="11">
  <location ref="A3:C330" firstHeaderRow="0" firstDataRow="1" firstDataCol="1" rowPageCount="1" colPageCount="1"/>
  <pivotFields count="14">
    <pivotField axis="axisRow" showAll="0" sortType="ascending">
      <items count="156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axis="axisPage" showAll="0" defaultSubtotal="0">
      <items count="2">
        <item x="0"/>
        <item x="1"/>
      </items>
    </pivotField>
    <pivotField showAll="0"/>
    <pivotField dataField="1" multipleItemSelectionAllowed="1" showAll="0"/>
    <pivotField showAll="0" defaultSubtotal="0"/>
    <pivotField showAll="0" defaultSubtotal="0"/>
    <pivotField showAll="0" defaultSubtotal="0"/>
  </pivotFields>
  <rowFields count="1">
    <field x="0"/>
  </rowFields>
  <rowItems count="327">
    <i>
      <x v="5"/>
    </i>
    <i>
      <x v="10"/>
    </i>
    <i>
      <x v="15"/>
    </i>
    <i>
      <x v="20"/>
    </i>
    <i>
      <x v="25"/>
    </i>
    <i>
      <x v="30"/>
    </i>
    <i>
      <x v="35"/>
    </i>
    <i>
      <x v="39"/>
    </i>
    <i>
      <x v="44"/>
    </i>
    <i>
      <x v="49"/>
    </i>
    <i>
      <x v="54"/>
    </i>
    <i>
      <x v="59"/>
    </i>
    <i>
      <x v="63"/>
    </i>
    <i>
      <x v="68"/>
    </i>
    <i>
      <x v="73"/>
    </i>
    <i>
      <x v="78"/>
    </i>
    <i>
      <x v="83"/>
    </i>
    <i>
      <x v="88"/>
    </i>
    <i>
      <x v="93"/>
    </i>
    <i>
      <x v="98"/>
    </i>
    <i>
      <x v="103"/>
    </i>
    <i>
      <x v="107"/>
    </i>
    <i>
      <x v="112"/>
    </i>
    <i>
      <x v="117"/>
    </i>
    <i>
      <x v="122"/>
    </i>
    <i>
      <x v="127"/>
    </i>
    <i>
      <x v="131"/>
    </i>
    <i>
      <x v="136"/>
    </i>
    <i>
      <x v="141"/>
    </i>
    <i>
      <x v="145"/>
    </i>
    <i>
      <x v="150"/>
    </i>
    <i>
      <x v="154"/>
    </i>
    <i>
      <x v="159"/>
    </i>
    <i>
      <x v="163"/>
    </i>
    <i>
      <x v="168"/>
    </i>
    <i>
      <x v="173"/>
    </i>
    <i>
      <x v="178"/>
    </i>
    <i>
      <x v="182"/>
    </i>
    <i>
      <x v="186"/>
    </i>
    <i>
      <x v="191"/>
    </i>
    <i>
      <x v="196"/>
    </i>
    <i>
      <x v="200"/>
    </i>
    <i>
      <x v="205"/>
    </i>
    <i>
      <x v="210"/>
    </i>
    <i>
      <x v="215"/>
    </i>
    <i>
      <x v="219"/>
    </i>
    <i>
      <x v="224"/>
    </i>
    <i>
      <x v="229"/>
    </i>
    <i>
      <x v="234"/>
    </i>
    <i>
      <x v="239"/>
    </i>
    <i>
      <x v="244"/>
    </i>
    <i>
      <x v="248"/>
    </i>
    <i>
      <x v="253"/>
    </i>
    <i>
      <x v="258"/>
    </i>
    <i>
      <x v="263"/>
    </i>
    <i>
      <x v="268"/>
    </i>
    <i>
      <x v="273"/>
    </i>
    <i>
      <x v="278"/>
    </i>
    <i>
      <x v="283"/>
    </i>
    <i>
      <x v="287"/>
    </i>
    <i>
      <x v="292"/>
    </i>
    <i>
      <x v="297"/>
    </i>
    <i>
      <x v="302"/>
    </i>
    <i>
      <x v="307"/>
    </i>
    <i>
      <x v="312"/>
    </i>
    <i>
      <x v="316"/>
    </i>
    <i>
      <x v="321"/>
    </i>
    <i>
      <x v="326"/>
    </i>
    <i>
      <x v="331"/>
    </i>
    <i>
      <x v="336"/>
    </i>
    <i>
      <x v="341"/>
    </i>
    <i>
      <x v="346"/>
    </i>
    <i>
      <x v="351"/>
    </i>
    <i>
      <x v="355"/>
    </i>
    <i>
      <x v="360"/>
    </i>
    <i>
      <x v="365"/>
    </i>
    <i>
      <x v="370"/>
    </i>
    <i>
      <x v="375"/>
    </i>
    <i>
      <x v="380"/>
    </i>
    <i>
      <x v="384"/>
    </i>
    <i>
      <x v="389"/>
    </i>
    <i>
      <x v="394"/>
    </i>
    <i>
      <x v="399"/>
    </i>
    <i>
      <x v="403"/>
    </i>
    <i>
      <x v="408"/>
    </i>
    <i>
      <x v="413"/>
    </i>
    <i>
      <x v="417"/>
    </i>
    <i>
      <x v="422"/>
    </i>
    <i>
      <x v="427"/>
    </i>
    <i>
      <x v="431"/>
    </i>
    <i>
      <x v="435"/>
    </i>
    <i>
      <x v="440"/>
    </i>
    <i>
      <x v="445"/>
    </i>
    <i>
      <x v="449"/>
    </i>
    <i>
      <x v="454"/>
    </i>
    <i>
      <x v="459"/>
    </i>
    <i>
      <x v="464"/>
    </i>
    <i>
      <x v="468"/>
    </i>
    <i>
      <x v="473"/>
    </i>
    <i>
      <x v="478"/>
    </i>
    <i>
      <x v="483"/>
    </i>
    <i>
      <x v="488"/>
    </i>
    <i>
      <x v="493"/>
    </i>
    <i>
      <x v="498"/>
    </i>
    <i>
      <x v="503"/>
    </i>
    <i>
      <x v="508"/>
    </i>
    <i>
      <x v="512"/>
    </i>
    <i>
      <x v="517"/>
    </i>
    <i>
      <x v="522"/>
    </i>
    <i>
      <x v="527"/>
    </i>
    <i>
      <x v="532"/>
    </i>
    <i>
      <x v="536"/>
    </i>
    <i>
      <x v="541"/>
    </i>
    <i>
      <x v="546"/>
    </i>
    <i>
      <x v="551"/>
    </i>
    <i>
      <x v="556"/>
    </i>
    <i>
      <x v="561"/>
    </i>
    <i>
      <x v="565"/>
    </i>
    <i>
      <x v="570"/>
    </i>
    <i>
      <x v="575"/>
    </i>
    <i>
      <x v="580"/>
    </i>
    <i>
      <x v="585"/>
    </i>
    <i>
      <x v="590"/>
    </i>
    <i>
      <x v="595"/>
    </i>
    <i>
      <x v="600"/>
    </i>
    <i>
      <x v="604"/>
    </i>
    <i>
      <x v="609"/>
    </i>
    <i>
      <x v="614"/>
    </i>
    <i>
      <x v="619"/>
    </i>
    <i>
      <x v="624"/>
    </i>
    <i>
      <x v="629"/>
    </i>
    <i>
      <x v="633"/>
    </i>
    <i>
      <x v="638"/>
    </i>
    <i>
      <x v="643"/>
    </i>
    <i>
      <x v="648"/>
    </i>
    <i>
      <x v="652"/>
    </i>
    <i>
      <x v="657"/>
    </i>
    <i>
      <x v="662"/>
    </i>
    <i>
      <x v="666"/>
    </i>
    <i>
      <x v="671"/>
    </i>
    <i>
      <x v="676"/>
    </i>
    <i>
      <x v="681"/>
    </i>
    <i>
      <x v="685"/>
    </i>
    <i>
      <x v="689"/>
    </i>
    <i>
      <x v="694"/>
    </i>
    <i>
      <x v="698"/>
    </i>
    <i>
      <x v="703"/>
    </i>
    <i>
      <x v="708"/>
    </i>
    <i>
      <x v="713"/>
    </i>
    <i>
      <x v="717"/>
    </i>
    <i>
      <x v="722"/>
    </i>
    <i>
      <x v="727"/>
    </i>
    <i>
      <x v="732"/>
    </i>
    <i>
      <x v="737"/>
    </i>
    <i>
      <x v="742"/>
    </i>
    <i>
      <x v="747"/>
    </i>
    <i>
      <x v="752"/>
    </i>
    <i>
      <x v="757"/>
    </i>
    <i>
      <x v="762"/>
    </i>
    <i>
      <x v="767"/>
    </i>
    <i>
      <x v="772"/>
    </i>
    <i>
      <x v="777"/>
    </i>
    <i>
      <x v="782"/>
    </i>
    <i>
      <x v="786"/>
    </i>
    <i>
      <x v="791"/>
    </i>
    <i>
      <x v="796"/>
    </i>
    <i>
      <x v="801"/>
    </i>
    <i>
      <x v="806"/>
    </i>
    <i>
      <x v="811"/>
    </i>
    <i>
      <x v="815"/>
    </i>
    <i>
      <x v="820"/>
    </i>
    <i>
      <x v="825"/>
    </i>
    <i>
      <x v="830"/>
    </i>
    <i>
      <x v="835"/>
    </i>
    <i>
      <x v="840"/>
    </i>
    <i>
      <x v="845"/>
    </i>
    <i>
      <x v="850"/>
    </i>
    <i>
      <x v="855"/>
    </i>
    <i>
      <x v="859"/>
    </i>
    <i>
      <x v="864"/>
    </i>
    <i>
      <x v="869"/>
    </i>
    <i>
      <x v="874"/>
    </i>
    <i>
      <x v="879"/>
    </i>
    <i>
      <x v="883"/>
    </i>
    <i>
      <x v="888"/>
    </i>
    <i>
      <x v="893"/>
    </i>
    <i>
      <x v="898"/>
    </i>
    <i>
      <x v="902"/>
    </i>
    <i>
      <x v="907"/>
    </i>
    <i>
      <x v="912"/>
    </i>
    <i>
      <x v="916"/>
    </i>
    <i>
      <x v="921"/>
    </i>
    <i>
      <x v="926"/>
    </i>
    <i>
      <x v="931"/>
    </i>
    <i>
      <x v="935"/>
    </i>
    <i>
      <x v="939"/>
    </i>
    <i>
      <x v="944"/>
    </i>
    <i>
      <x v="948"/>
    </i>
    <i>
      <x v="953"/>
    </i>
    <i>
      <x v="958"/>
    </i>
    <i>
      <x v="963"/>
    </i>
    <i>
      <x v="967"/>
    </i>
    <i>
      <x v="972"/>
    </i>
    <i>
      <x v="977"/>
    </i>
    <i>
      <x v="982"/>
    </i>
    <i>
      <x v="987"/>
    </i>
    <i>
      <x v="992"/>
    </i>
    <i>
      <x v="996"/>
    </i>
    <i>
      <x v="1001"/>
    </i>
    <i>
      <x v="1006"/>
    </i>
    <i>
      <x v="1011"/>
    </i>
    <i>
      <x v="1016"/>
    </i>
    <i>
      <x v="1021"/>
    </i>
    <i>
      <x v="1026"/>
    </i>
    <i>
      <x v="1031"/>
    </i>
    <i>
      <x v="1036"/>
    </i>
    <i>
      <x v="1040"/>
    </i>
    <i>
      <x v="1045"/>
    </i>
    <i>
      <x v="1050"/>
    </i>
    <i>
      <x v="1055"/>
    </i>
    <i>
      <x v="1060"/>
    </i>
    <i>
      <x v="1064"/>
    </i>
    <i>
      <x v="1069"/>
    </i>
    <i>
      <x v="1074"/>
    </i>
    <i>
      <x v="1079"/>
    </i>
    <i>
      <x v="1084"/>
    </i>
    <i>
      <x v="1089"/>
    </i>
    <i>
      <x v="1094"/>
    </i>
    <i>
      <x v="1099"/>
    </i>
    <i>
      <x v="1104"/>
    </i>
    <i>
      <x v="1108"/>
    </i>
    <i>
      <x v="1113"/>
    </i>
    <i>
      <x v="1118"/>
    </i>
    <i>
      <x v="1123"/>
    </i>
    <i>
      <x v="1128"/>
    </i>
    <i>
      <x v="1132"/>
    </i>
    <i>
      <x v="1137"/>
    </i>
    <i>
      <x v="1142"/>
    </i>
    <i>
      <x v="1147"/>
    </i>
    <i>
      <x v="1152"/>
    </i>
    <i>
      <x v="1156"/>
    </i>
    <i>
      <x v="1161"/>
    </i>
    <i>
      <x v="1165"/>
    </i>
    <i>
      <x v="1170"/>
    </i>
    <i>
      <x v="1175"/>
    </i>
    <i>
      <x v="1180"/>
    </i>
    <i>
      <x v="1184"/>
    </i>
    <i>
      <x v="1188"/>
    </i>
    <i>
      <x v="1193"/>
    </i>
    <i>
      <x v="1197"/>
    </i>
    <i>
      <x v="1202"/>
    </i>
    <i>
      <x v="1207"/>
    </i>
    <i>
      <x v="1212"/>
    </i>
    <i>
      <x v="1217"/>
    </i>
    <i>
      <x v="1221"/>
    </i>
    <i>
      <x v="1226"/>
    </i>
    <i>
      <x v="1231"/>
    </i>
    <i>
      <x v="1236"/>
    </i>
    <i>
      <x v="1241"/>
    </i>
    <i>
      <x v="1246"/>
    </i>
    <i>
      <x v="1251"/>
    </i>
    <i>
      <x v="1256"/>
    </i>
    <i>
      <x v="1260"/>
    </i>
    <i>
      <x v="1265"/>
    </i>
    <i>
      <x v="1270"/>
    </i>
    <i>
      <x v="1275"/>
    </i>
    <i>
      <x v="1280"/>
    </i>
    <i>
      <x v="1285"/>
    </i>
    <i>
      <x v="1289"/>
    </i>
    <i>
      <x v="1294"/>
    </i>
    <i>
      <x v="1299"/>
    </i>
    <i>
      <x v="1304"/>
    </i>
    <i>
      <x v="1309"/>
    </i>
    <i>
      <x v="1313"/>
    </i>
    <i>
      <x v="1318"/>
    </i>
    <i>
      <x v="1323"/>
    </i>
    <i>
      <x v="1328"/>
    </i>
    <i>
      <x v="1333"/>
    </i>
    <i>
      <x v="1338"/>
    </i>
    <i>
      <x v="1343"/>
    </i>
    <i>
      <x v="1348"/>
    </i>
    <i>
      <x v="1353"/>
    </i>
    <i>
      <x v="1357"/>
    </i>
    <i>
      <x v="1362"/>
    </i>
    <i>
      <x v="1367"/>
    </i>
    <i>
      <x v="1372"/>
    </i>
    <i>
      <x v="1377"/>
    </i>
    <i>
      <x v="1381"/>
    </i>
    <i>
      <x v="1386"/>
    </i>
    <i>
      <x v="1391"/>
    </i>
    <i>
      <x v="1396"/>
    </i>
    <i>
      <x v="1401"/>
    </i>
    <i>
      <x v="1406"/>
    </i>
    <i>
      <x v="1411"/>
    </i>
    <i>
      <x v="1415"/>
    </i>
    <i>
      <x v="1420"/>
    </i>
    <i>
      <x v="1425"/>
    </i>
    <i>
      <x v="1430"/>
    </i>
    <i>
      <x v="1434"/>
    </i>
    <i>
      <x v="1438"/>
    </i>
    <i>
      <x v="1443"/>
    </i>
    <i>
      <x v="1447"/>
    </i>
    <i>
      <x v="1452"/>
    </i>
    <i>
      <x v="1457"/>
    </i>
    <i>
      <x v="1462"/>
    </i>
    <i>
      <x v="1467"/>
    </i>
    <i>
      <x v="1471"/>
    </i>
    <i>
      <x v="1476"/>
    </i>
    <i>
      <x v="1481"/>
    </i>
    <i>
      <x v="1486"/>
    </i>
    <i>
      <x v="1491"/>
    </i>
    <i>
      <x v="1496"/>
    </i>
    <i>
      <x v="1500"/>
    </i>
    <i>
      <x v="1505"/>
    </i>
    <i>
      <x v="1510"/>
    </i>
    <i>
      <x v="1515"/>
    </i>
    <i>
      <x v="1520"/>
    </i>
    <i>
      <x v="1525"/>
    </i>
    <i>
      <x v="1530"/>
    </i>
    <i>
      <x v="1535"/>
    </i>
    <i>
      <x v="1539"/>
    </i>
    <i>
      <x v="1544"/>
    </i>
    <i>
      <x v="1549"/>
    </i>
    <i>
      <x v="1554"/>
    </i>
    <i>
      <x v="1559"/>
    </i>
    <i>
      <x v="1563"/>
    </i>
    <i t="grand">
      <x/>
    </i>
  </rowItems>
  <colFields count="1">
    <field x="-2"/>
  </colFields>
  <colItems count="2">
    <i>
      <x/>
    </i>
    <i i="1">
      <x v="1"/>
    </i>
  </colItems>
  <pageFields count="1">
    <pageField fld="8" item="1" hier="-1"/>
  </pageFields>
  <dataFields count="2">
    <dataField name="FHLMC Survey Rate" fld="2" subtotal="average" baseField="0" baseItem="0"/>
    <dataField name="Implied Servicing Spread " fld="10" subtotal="average" baseField="0" baseItem="0"/>
  </dataFields>
  <chartFormats count="2">
    <chartFormat chart="2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_6" backgroundRefresh="0" adjustColumnWidth="0" connectionId="1" autoFormatId="16" applyNumberFormats="0" applyBorderFormats="0" applyFontFormats="0" applyPatternFormats="0" applyAlignmentFormats="0" applyWidthHeightFormats="0">
  <queryTableRefresh nextId="83" unboundColumnsRight="11">
    <queryTableFields count="14">
      <queryTableField id="51" name="AsOfDate" tableColumnId="10"/>
      <queryTableField id="68" name="SeriesNumValue" tableColumnId="5"/>
      <queryTableField id="69" name="Rate" tableColumnId="1"/>
      <queryTableField id="70" dataBound="0" tableColumnId="2"/>
      <queryTableField id="75" dataBound="0" tableColumnId="3"/>
      <queryTableField id="74" dataBound="0" tableColumnId="4"/>
      <queryTableField id="73" dataBound="0" tableColumnId="6"/>
      <queryTableField id="72" dataBound="0" tableColumnId="7"/>
      <queryTableField id="82" dataBound="0" tableColumnId="13"/>
      <queryTableField id="71" dataBound="0" tableColumnId="8"/>
      <queryTableField id="76" dataBound="0" tableColumnId="9"/>
      <queryTableField id="77" dataBound="0" tableColumnId="11"/>
      <queryTableField id="78" dataBound="0" tableColumnId="12"/>
      <queryTableField id="81" dataBound="0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7" name="CurrentMtgRatesDataTable8" displayName="CurrentMtgRatesDataTable8" ref="A4:N1568" tableType="queryTable" totalsRowShown="0" headerRowDxfId="15" dataDxfId="14">
  <tableColumns count="14">
    <tableColumn id="10" uniqueName="10" name="AsOfDate" queryTableFieldId="51" dataDxfId="13" dataCellStyle="Normal 2 7"/>
    <tableColumn id="5" uniqueName="5" name="SeriesNumValue" queryTableFieldId="68" dataDxfId="12"/>
    <tableColumn id="1" uniqueName="1" name="Rate" queryTableFieldId="69" dataDxfId="11"/>
    <tableColumn id="2" uniqueName="2" name="Weekday" queryTableFieldId="70" dataDxfId="10" dataCellStyle="Normal 2 7">
      <calculatedColumnFormula>WEEKDAY(A5,14)</calculatedColumnFormula>
    </tableColumn>
    <tableColumn id="3" uniqueName="3" name="Weight" queryTableFieldId="75" dataDxfId="9" dataCellStyle="Normal 2 7">
      <calculatedColumnFormula>VLOOKUP(D5,Q$5:R$11,2,FALSE)</calculatedColumnFormula>
    </tableColumn>
    <tableColumn id="4" uniqueName="4" name="Counter" queryTableFieldId="74" dataDxfId="8" dataCellStyle="Normal 2 7">
      <calculatedColumnFormula>IF(AND(D5&gt;D4,F4&lt;6),F4+1,1)</calculatedColumnFormula>
    </tableColumn>
    <tableColumn id="6" uniqueName="6" name="Accumulated Weighted CC" queryTableFieldId="73" dataDxfId="7" dataCellStyle="Normal 2 7">
      <calculatedColumnFormula>IF(F5&gt;F4,G4+B5*E5,B5*E5)</calculatedColumnFormula>
    </tableColumn>
    <tableColumn id="7" uniqueName="7" name="AccumulatedWeight" queryTableFieldId="72" dataDxfId="6" dataCellStyle="Normal 2 7">
      <calculatedColumnFormula>IF(AND(F5&lt;6,F5&gt;F4),E5+H4,E5)</calculatedColumnFormula>
    </tableColumn>
    <tableColumn id="13" uniqueName="13" name="EndWeek" queryTableFieldId="82" dataDxfId="5" dataCellStyle="Normal 2 7">
      <calculatedColumnFormula>IF(F5&gt;F6,1,0)</calculatedColumnFormula>
    </tableColumn>
    <tableColumn id="8" uniqueName="8" name="WA CC" queryTableFieldId="71" dataDxfId="4" dataCellStyle="Normal 2 7">
      <calculatedColumnFormula>IF(F5&gt;F6,G5/H5,0)</calculatedColumnFormula>
    </tableColumn>
    <tableColumn id="9" uniqueName="9" name="Servicing Spread" queryTableFieldId="76" dataDxfId="3" dataCellStyle="Normal 2 7">
      <calculatedColumnFormula>IF(CurrentMtgRatesDataTable8[[#This Row],[WA CC]]&lt;&gt;0,C4-CurrentMtgRatesDataTable8[[#This Row],[WA CC]],0)</calculatedColumnFormula>
    </tableColumn>
    <tableColumn id="11" uniqueName="11" name="Servicing Spread Non-Zero" queryTableFieldId="77" dataDxfId="2" dataCellStyle="Normal 2 7">
      <calculatedColumnFormula>IF(CurrentMtgRatesDataTable8[[#This Row],[Servicing Spread]]&lt;=0,L4,CurrentMtgRatesDataTable8[[#This Row],[Servicing Spread]])</calculatedColumnFormula>
    </tableColumn>
    <tableColumn id="12" uniqueName="12" name="Servicing Spread 1m chg" queryTableFieldId="78" dataDxfId="1" dataCellStyle="Normal 2 7">
      <calculatedColumnFormula>CurrentMtgRatesDataTable8[[#This Row],[Servicing Spread Non-Zero]]-L4</calculatedColumnFormula>
    </tableColumn>
    <tableColumn id="15" uniqueName="15" name="Survey Rate 1m chg" queryTableFieldId="81" dataDxfId="0" dataCellStyle="Normal 2 7">
      <calculatedColumnFormula>IF(J4&lt;&gt;0,CurrentMtgRatesDataTable8[[#This Row],[Rate]]-C4,N4)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F1:V57"/>
  <sheetViews>
    <sheetView showGridLines="0" tabSelected="1" topLeftCell="G1" zoomScale="90" zoomScaleNormal="90" workbookViewId="0">
      <selection activeCell="T9" sqref="T9"/>
    </sheetView>
  </sheetViews>
  <sheetFormatPr defaultRowHeight="15"/>
  <cols>
    <col min="2" max="2" width="22.140625" customWidth="1"/>
    <col min="3" max="4" width="12.140625" bestFit="1" customWidth="1"/>
    <col min="5" max="5" width="17.140625" bestFit="1" customWidth="1"/>
    <col min="6" max="6" width="24.140625" bestFit="1" customWidth="1"/>
    <col min="7" max="12" width="15.28515625" customWidth="1"/>
    <col min="13" max="16" width="12.140625" bestFit="1" customWidth="1"/>
    <col min="17" max="17" width="12.85546875" customWidth="1"/>
    <col min="19" max="19" width="16" bestFit="1" customWidth="1"/>
    <col min="20" max="20" width="24.140625" customWidth="1"/>
    <col min="21" max="21" width="15.7109375" bestFit="1" customWidth="1"/>
  </cols>
  <sheetData>
    <row r="1" spans="19:22">
      <c r="S1" s="1" t="s">
        <v>0</v>
      </c>
      <c r="T1" s="2" t="s">
        <v>744</v>
      </c>
      <c r="U1" t="s">
        <v>1</v>
      </c>
      <c r="V1" s="2" t="s">
        <v>4</v>
      </c>
    </row>
    <row r="2" spans="19:22">
      <c r="S2" s="1" t="s">
        <v>2</v>
      </c>
      <c r="T2" s="3">
        <v>43446</v>
      </c>
    </row>
    <row r="3" spans="19:22">
      <c r="S3" s="1" t="s">
        <v>784</v>
      </c>
      <c r="T3" s="4" t="s">
        <v>785</v>
      </c>
    </row>
    <row r="4" spans="19:22">
      <c r="S4" s="1" t="s">
        <v>3</v>
      </c>
      <c r="T4" s="4" t="str">
        <f>PDFReportDir &amp; "Servicing Spread and Survey Rate " &amp; TEXT(CurrentCloseDate, "yyyy-mm-dd") &amp; ".pdf"</f>
        <v>S:\IT\Production\Daily Reports\Primary Market\tmp\Servicing Spread and Survey Rate 2018-12-12.pdf</v>
      </c>
    </row>
    <row r="8" spans="19:22">
      <c r="S8" t="s">
        <v>762</v>
      </c>
      <c r="T8" s="10">
        <f>IF(WEEKDAY(CurrentCloseDate,2)&gt;=4,CurrentCloseDate-WEEKDAY(CurrentCloseDate,2)+4,CurrentCloseDate-WEEKDAY(CurrentCloseDate,2)-7+4)</f>
        <v>43440</v>
      </c>
      <c r="U8" s="10"/>
    </row>
    <row r="9" spans="19:22">
      <c r="S9" t="s">
        <v>763</v>
      </c>
      <c r="T9" s="10">
        <f>LastSurveyDate-1</f>
        <v>43439</v>
      </c>
    </row>
    <row r="12" spans="19:22">
      <c r="T12" s="10"/>
    </row>
    <row r="50" spans="6:16">
      <c r="J50" s="36"/>
      <c r="P50" s="36"/>
    </row>
    <row r="54" spans="6:16">
      <c r="F54" s="37" t="s">
        <v>764</v>
      </c>
      <c r="G54" s="38">
        <f>LastSurveyDate</f>
        <v>43440</v>
      </c>
    </row>
    <row r="55" spans="6:16">
      <c r="F55" s="32"/>
      <c r="G55" s="22" t="s">
        <v>18</v>
      </c>
      <c r="H55" s="27" t="s">
        <v>778</v>
      </c>
      <c r="I55" s="29" t="s">
        <v>733</v>
      </c>
      <c r="J55" s="27" t="s">
        <v>734</v>
      </c>
      <c r="K55" s="30" t="s">
        <v>735</v>
      </c>
      <c r="L55" s="27" t="s">
        <v>736</v>
      </c>
    </row>
    <row r="56" spans="6:16">
      <c r="F56" s="25" t="s">
        <v>787</v>
      </c>
      <c r="G56" s="31" t="e">
        <f>'Historic Change'!C4&amp;"%"</f>
        <v>#N/A</v>
      </c>
      <c r="H56" s="34" t="e">
        <f>('Historic Change'!$C$4-'Historic Change'!E4)*100</f>
        <v>#N/A</v>
      </c>
      <c r="I56" s="33" t="e">
        <f>('Historic Change'!$C$4-'Historic Change'!F4)*100</f>
        <v>#N/A</v>
      </c>
      <c r="J56" s="34" t="e">
        <f>('Historic Change'!$C$4-'Historic Change'!G4)*100</f>
        <v>#N/A</v>
      </c>
      <c r="K56" s="35" t="e">
        <f>('Historic Change'!$C$4-'Historic Change'!H4)*100</f>
        <v>#N/A</v>
      </c>
      <c r="L56" s="34" t="e">
        <f>('Historic Change'!$C$4-'Historic Change'!I4)*100</f>
        <v>#N/A</v>
      </c>
    </row>
    <row r="57" spans="6:16">
      <c r="F57" s="25" t="s">
        <v>737</v>
      </c>
      <c r="G57" s="23" t="e">
        <f>'Historic Change'!C5*100</f>
        <v>#N/A</v>
      </c>
      <c r="H57" s="34" t="e">
        <f>('Historic Change'!$C$5-'Historic Change'!E5)*100</f>
        <v>#N/A</v>
      </c>
      <c r="I57" s="33" t="e">
        <f>('Historic Change'!$C$5-'Historic Change'!F5)*100</f>
        <v>#N/A</v>
      </c>
      <c r="J57" s="34" t="e">
        <f>('Historic Change'!$C$5-'Historic Change'!G5)*100</f>
        <v>#N/A</v>
      </c>
      <c r="K57" s="35" t="e">
        <f>('Historic Change'!$C$5-'Historic Change'!H5)*100</f>
        <v>#N/A</v>
      </c>
      <c r="L57" s="34" t="e">
        <f>('Historic Change'!$C$5-'Historic Change'!I5)*100</f>
        <v>#N/A</v>
      </c>
    </row>
  </sheetData>
  <conditionalFormatting sqref="H56:L57">
    <cfRule type="cellIs" dxfId="17" priority="1" operator="lessThan">
      <formula>0</formula>
    </cfRule>
  </conditionalFormatting>
  <dataValidations disablePrompts="1" count="2">
    <dataValidation type="list" allowBlank="1" showInputMessage="1" showErrorMessage="1" sqref="V1">
      <formula1>"Yes, No"</formula1>
    </dataValidation>
    <dataValidation type="list" allowBlank="1" showInputMessage="1" showErrorMessage="1" sqref="T1">
      <formula1>"PROD, DEV"</formula1>
    </dataValidation>
  </dataValidations>
  <pageMargins left="0.25" right="0.25" top="0.255" bottom="0.25" header="0.1" footer="0.1"/>
  <pageSetup scale="65" orientation="landscape" horizontalDpi="1200" verticalDpi="1200" r:id="rId1"/>
  <headerFooter scaleWithDoc="0">
    <oddHeader>&amp;L&amp;G&amp;C&amp;"-,Bold"&amp;10&amp;K2E398A
&amp;15FHLMC Survey Rate and Implied Servicing Spread&amp;R&amp;"-,Bold"&amp;10&amp;K2E398A
As of 07/05/2018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3:R1682"/>
  <sheetViews>
    <sheetView topLeftCell="A1508" workbookViewId="0">
      <selection activeCell="L1577" sqref="L1577"/>
    </sheetView>
  </sheetViews>
  <sheetFormatPr defaultRowHeight="12.75"/>
  <cols>
    <col min="1" max="1" width="16.7109375" style="5" customWidth="1"/>
    <col min="2" max="2" width="10.140625" style="5" bestFit="1" customWidth="1"/>
    <col min="3" max="4" width="10.140625" style="5" customWidth="1"/>
    <col min="5" max="5" width="14.140625" style="5" bestFit="1" customWidth="1"/>
    <col min="6" max="6" width="13.85546875" style="5" bestFit="1" customWidth="1"/>
    <col min="7" max="7" width="21.85546875" style="5" bestFit="1" customWidth="1"/>
    <col min="8" max="8" width="16.7109375" style="5" bestFit="1" customWidth="1"/>
    <col min="9" max="9" width="16.7109375" style="5" customWidth="1"/>
    <col min="10" max="10" width="15.7109375" style="5" bestFit="1" customWidth="1"/>
    <col min="11" max="11" width="14.140625" style="5" bestFit="1" customWidth="1"/>
    <col min="12" max="14" width="14.140625" style="5" customWidth="1"/>
    <col min="15" max="15" width="13.85546875" style="5" bestFit="1" customWidth="1"/>
    <col min="16" max="16" width="12.5703125" style="5" bestFit="1" customWidth="1"/>
    <col min="17" max="17" width="12" style="5" bestFit="1" customWidth="1"/>
    <col min="18" max="18" width="15.140625" style="5" bestFit="1" customWidth="1"/>
    <col min="19" max="19" width="14.140625" style="5" bestFit="1" customWidth="1"/>
    <col min="20" max="20" width="14.140625" style="5" customWidth="1"/>
    <col min="21" max="23" width="12" style="5" bestFit="1" customWidth="1"/>
    <col min="24" max="24" width="8" style="5" bestFit="1" customWidth="1"/>
    <col min="25" max="25" width="12" style="5" bestFit="1" customWidth="1"/>
    <col min="26" max="26" width="5.7109375" style="5" bestFit="1" customWidth="1"/>
    <col min="27" max="28" width="12" style="5" bestFit="1" customWidth="1"/>
    <col min="29" max="29" width="17.5703125" style="5" bestFit="1" customWidth="1"/>
    <col min="30" max="30" width="8.85546875" style="5" bestFit="1" customWidth="1"/>
    <col min="31" max="32" width="16" style="5" bestFit="1" customWidth="1"/>
    <col min="33" max="33" width="14.7109375" style="5" bestFit="1" customWidth="1"/>
    <col min="34" max="34" width="16" style="5" bestFit="1" customWidth="1"/>
    <col min="35" max="35" width="17.5703125" style="5" bestFit="1" customWidth="1"/>
    <col min="36" max="36" width="12.140625" style="5" bestFit="1" customWidth="1"/>
    <col min="37" max="37" width="8.5703125" style="5" bestFit="1" customWidth="1"/>
    <col min="38" max="38" width="15.28515625" style="5" customWidth="1"/>
    <col min="39" max="39" width="11.7109375" style="5" bestFit="1" customWidth="1"/>
    <col min="40" max="40" width="10.28515625" style="5" bestFit="1" customWidth="1"/>
    <col min="41" max="41" width="12" style="5" bestFit="1" customWidth="1"/>
    <col min="42" max="42" width="14.42578125" style="5" customWidth="1"/>
    <col min="43" max="43" width="18.5703125" style="5" bestFit="1" customWidth="1"/>
    <col min="44" max="44" width="10.7109375" style="5" bestFit="1" customWidth="1"/>
    <col min="45" max="45" width="16.42578125" style="5" bestFit="1" customWidth="1"/>
    <col min="46" max="46" width="16.140625" style="5" bestFit="1" customWidth="1"/>
    <col min="47" max="47" width="14.42578125" style="5" customWidth="1"/>
    <col min="48" max="48" width="12.28515625" style="5" customWidth="1"/>
    <col min="49" max="16384" width="9.140625" style="5"/>
  </cols>
  <sheetData>
    <row r="3" spans="1:18" ht="23.25">
      <c r="A3" s="6" t="s">
        <v>725</v>
      </c>
    </row>
    <row r="4" spans="1:18" s="20" customFormat="1">
      <c r="A4" s="20" t="s">
        <v>5</v>
      </c>
      <c r="B4" s="20" t="s">
        <v>6</v>
      </c>
      <c r="C4" s="20" t="s">
        <v>18</v>
      </c>
      <c r="D4" s="21" t="s">
        <v>7</v>
      </c>
      <c r="E4" s="21" t="s">
        <v>8</v>
      </c>
      <c r="F4" s="21" t="s">
        <v>9</v>
      </c>
      <c r="G4" s="21" t="s">
        <v>727</v>
      </c>
      <c r="H4" s="21" t="s">
        <v>728</v>
      </c>
      <c r="I4" s="20" t="s">
        <v>1199</v>
      </c>
      <c r="J4" s="21" t="s">
        <v>10</v>
      </c>
      <c r="K4" s="21" t="s">
        <v>729</v>
      </c>
      <c r="L4" s="20" t="s">
        <v>732</v>
      </c>
      <c r="M4" s="20" t="s">
        <v>775</v>
      </c>
      <c r="N4" s="20" t="s">
        <v>780</v>
      </c>
    </row>
    <row r="5" spans="1:18" s="7" customFormat="1">
      <c r="A5" s="8" t="s">
        <v>19</v>
      </c>
      <c r="B5" s="16">
        <v>3.10879854950432</v>
      </c>
      <c r="C5" s="15">
        <v>3.9049999999999998</v>
      </c>
      <c r="D5" s="14">
        <f t="shared" ref="D5:D68" si="0">WEEKDAY(A5,14)</f>
        <v>7</v>
      </c>
      <c r="E5" s="14">
        <f t="shared" ref="E5:E68" si="1">VLOOKUP(D5,Q$5:R$11,2,FALSE)</f>
        <v>0.2</v>
      </c>
      <c r="F5" s="14">
        <f t="shared" ref="F5:F68" si="2">IF(AND(D5&gt;D4,F4&lt;6),F4+1,1)</f>
        <v>1</v>
      </c>
      <c r="G5" s="14">
        <f t="shared" ref="G5:G68" si="3">IF(F5&gt;F4,G4+B5*E5,B5*E5)</f>
        <v>0.62175970990086404</v>
      </c>
      <c r="H5" s="14">
        <f t="shared" ref="H5:H68" si="4">IF(AND(F5&lt;6,F5&gt;F4),E5+H4,E5)</f>
        <v>0.2</v>
      </c>
      <c r="I5" s="14">
        <f t="shared" ref="I5:I68" si="5">IF(F5&gt;F6,1,0)</f>
        <v>0</v>
      </c>
      <c r="J5" s="14">
        <f t="shared" ref="J5:J68" si="6">IF(F5&gt;F6,G5/H5,0)</f>
        <v>0</v>
      </c>
      <c r="K5" s="15">
        <f>IF(CurrentMtgRatesDataTable8[[#This Row],[WA CC]]&lt;&gt;0,C4-CurrentMtgRatesDataTable8[[#This Row],[WA CC]],0)</f>
        <v>0</v>
      </c>
      <c r="L5" s="16" t="str">
        <f>IF(CurrentMtgRatesDataTable8[[#This Row],[Servicing Spread]]&lt;=0,L4,CurrentMtgRatesDataTable8[[#This Row],[Servicing Spread]])</f>
        <v>Servicing Spread Non-Zero</v>
      </c>
      <c r="M5" s="16" t="e">
        <f>CurrentMtgRatesDataTable8[[#This Row],[Servicing Spread Non-Zero]]-L4</f>
        <v>#VALUE!</v>
      </c>
      <c r="N5" s="16" t="e">
        <f>IF(J4&lt;&gt;0,CurrentMtgRatesDataTable8[[#This Row],[Rate]]-C4,N4)</f>
        <v>#VALUE!</v>
      </c>
      <c r="P5" s="7" t="s">
        <v>11</v>
      </c>
      <c r="Q5" s="7">
        <v>5</v>
      </c>
      <c r="R5" s="7">
        <v>0.2</v>
      </c>
    </row>
    <row r="6" spans="1:18" s="7" customFormat="1">
      <c r="A6" s="8" t="s">
        <v>586</v>
      </c>
      <c r="B6" s="11">
        <v>3.0539631363774702</v>
      </c>
      <c r="C6" s="13">
        <v>3.8049999999999997</v>
      </c>
      <c r="D6" s="14">
        <f t="shared" si="0"/>
        <v>1</v>
      </c>
      <c r="E6" s="14">
        <f t="shared" si="1"/>
        <v>0.2</v>
      </c>
      <c r="F6" s="14">
        <f t="shared" si="2"/>
        <v>1</v>
      </c>
      <c r="G6" s="14">
        <f t="shared" si="3"/>
        <v>0.6107926272754941</v>
      </c>
      <c r="H6" s="14">
        <f t="shared" si="4"/>
        <v>0.2</v>
      </c>
      <c r="I6" s="14">
        <f t="shared" si="5"/>
        <v>0</v>
      </c>
      <c r="J6" s="14">
        <f t="shared" si="6"/>
        <v>0</v>
      </c>
      <c r="K6" s="15">
        <f>IF(CurrentMtgRatesDataTable8[[#This Row],[WA CC]]&lt;&gt;0,C5-CurrentMtgRatesDataTable8[[#This Row],[WA CC]],0)</f>
        <v>0</v>
      </c>
      <c r="L6" s="16" t="str">
        <f>IF(CurrentMtgRatesDataTable8[[#This Row],[Servicing Spread]]&lt;=0,L5,CurrentMtgRatesDataTable8[[#This Row],[Servicing Spread]])</f>
        <v>Servicing Spread Non-Zero</v>
      </c>
      <c r="M6" s="16" t="e">
        <f>CurrentMtgRatesDataTable8[[#This Row],[Servicing Spread Non-Zero]]-L5</f>
        <v>#VALUE!</v>
      </c>
      <c r="N6" s="16" t="e">
        <f>IF(J5&lt;&gt;0,CurrentMtgRatesDataTable8[[#This Row],[Rate]]-C5,N5)</f>
        <v>#VALUE!</v>
      </c>
      <c r="P6" s="7" t="s">
        <v>12</v>
      </c>
      <c r="Q6" s="7">
        <v>6</v>
      </c>
      <c r="R6" s="7">
        <v>0.2</v>
      </c>
    </row>
    <row r="7" spans="1:18" s="7" customFormat="1">
      <c r="A7" s="8" t="s">
        <v>441</v>
      </c>
      <c r="B7" s="11">
        <v>2.93072207475555</v>
      </c>
      <c r="C7" s="13">
        <v>3.8049999999999997</v>
      </c>
      <c r="D7" s="14">
        <f t="shared" si="0"/>
        <v>2</v>
      </c>
      <c r="E7" s="14">
        <f t="shared" si="1"/>
        <v>0.2</v>
      </c>
      <c r="F7" s="14">
        <f t="shared" si="2"/>
        <v>2</v>
      </c>
      <c r="G7" s="14">
        <f t="shared" si="3"/>
        <v>1.1969370422266041</v>
      </c>
      <c r="H7" s="14">
        <f t="shared" si="4"/>
        <v>0.4</v>
      </c>
      <c r="I7" s="14">
        <f t="shared" si="5"/>
        <v>0</v>
      </c>
      <c r="J7" s="14">
        <f t="shared" si="6"/>
        <v>0</v>
      </c>
      <c r="K7" s="15">
        <f>IF(CurrentMtgRatesDataTable8[[#This Row],[WA CC]]&lt;&gt;0,C6-CurrentMtgRatesDataTable8[[#This Row],[WA CC]],0)</f>
        <v>0</v>
      </c>
      <c r="L7" s="16" t="str">
        <f>IF(CurrentMtgRatesDataTable8[[#This Row],[Servicing Spread]]&lt;=0,L6,CurrentMtgRatesDataTable8[[#This Row],[Servicing Spread]])</f>
        <v>Servicing Spread Non-Zero</v>
      </c>
      <c r="M7" s="16" t="e">
        <f>CurrentMtgRatesDataTable8[[#This Row],[Servicing Spread Non-Zero]]-L6</f>
        <v>#VALUE!</v>
      </c>
      <c r="N7" s="16" t="e">
        <f>IF(J6&lt;&gt;0,CurrentMtgRatesDataTable8[[#This Row],[Rate]]-C6,N6)</f>
        <v>#VALUE!</v>
      </c>
      <c r="P7" s="7" t="s">
        <v>13</v>
      </c>
      <c r="Q7" s="7">
        <v>7</v>
      </c>
      <c r="R7" s="7">
        <v>0.2</v>
      </c>
    </row>
    <row r="8" spans="1:18" s="7" customFormat="1">
      <c r="A8" s="8" t="s">
        <v>309</v>
      </c>
      <c r="B8" s="11">
        <v>2.9115161148392898</v>
      </c>
      <c r="C8" s="13">
        <v>3.8049999999999997</v>
      </c>
      <c r="D8" s="14">
        <f t="shared" si="0"/>
        <v>5</v>
      </c>
      <c r="E8" s="14">
        <f t="shared" si="1"/>
        <v>0.2</v>
      </c>
      <c r="F8" s="14">
        <f t="shared" si="2"/>
        <v>3</v>
      </c>
      <c r="G8" s="14">
        <f t="shared" si="3"/>
        <v>1.7792402651944621</v>
      </c>
      <c r="H8" s="14">
        <f t="shared" si="4"/>
        <v>0.60000000000000009</v>
      </c>
      <c r="I8" s="14">
        <f t="shared" si="5"/>
        <v>0</v>
      </c>
      <c r="J8" s="14">
        <f t="shared" si="6"/>
        <v>0</v>
      </c>
      <c r="K8" s="15">
        <f>IF(CurrentMtgRatesDataTable8[[#This Row],[WA CC]]&lt;&gt;0,C7-CurrentMtgRatesDataTable8[[#This Row],[WA CC]],0)</f>
        <v>0</v>
      </c>
      <c r="L8" s="16" t="str">
        <f>IF(CurrentMtgRatesDataTable8[[#This Row],[Servicing Spread]]&lt;=0,L7,CurrentMtgRatesDataTable8[[#This Row],[Servicing Spread]])</f>
        <v>Servicing Spread Non-Zero</v>
      </c>
      <c r="M8" s="16" t="e">
        <f>CurrentMtgRatesDataTable8[[#This Row],[Servicing Spread Non-Zero]]-L7</f>
        <v>#VALUE!</v>
      </c>
      <c r="N8" s="16" t="e">
        <f>IF(J7&lt;&gt;0,CurrentMtgRatesDataTable8[[#This Row],[Rate]]-C7,N7)</f>
        <v>#VALUE!</v>
      </c>
      <c r="P8" s="7" t="s">
        <v>14</v>
      </c>
      <c r="Q8" s="7">
        <v>1</v>
      </c>
      <c r="R8" s="7">
        <v>0.2</v>
      </c>
    </row>
    <row r="9" spans="1:18" s="7" customFormat="1">
      <c r="A9" s="8" t="s">
        <v>165</v>
      </c>
      <c r="B9" s="11">
        <v>2.9109852395687899</v>
      </c>
      <c r="C9" s="13">
        <v>3.8049999999999997</v>
      </c>
      <c r="D9" s="14">
        <f t="shared" si="0"/>
        <v>6</v>
      </c>
      <c r="E9" s="14">
        <f t="shared" si="1"/>
        <v>0.2</v>
      </c>
      <c r="F9" s="14">
        <f t="shared" si="2"/>
        <v>4</v>
      </c>
      <c r="G9" s="14">
        <f t="shared" si="3"/>
        <v>2.3614373131082202</v>
      </c>
      <c r="H9" s="14">
        <f t="shared" si="4"/>
        <v>0.8</v>
      </c>
      <c r="I9" s="14">
        <f t="shared" si="5"/>
        <v>0</v>
      </c>
      <c r="J9" s="14">
        <f t="shared" si="6"/>
        <v>0</v>
      </c>
      <c r="K9" s="15">
        <f>IF(CurrentMtgRatesDataTable8[[#This Row],[WA CC]]&lt;&gt;0,C8-CurrentMtgRatesDataTable8[[#This Row],[WA CC]],0)</f>
        <v>0</v>
      </c>
      <c r="L9" s="16" t="str">
        <f>IF(CurrentMtgRatesDataTable8[[#This Row],[Servicing Spread]]&lt;=0,L8,CurrentMtgRatesDataTable8[[#This Row],[Servicing Spread]])</f>
        <v>Servicing Spread Non-Zero</v>
      </c>
      <c r="M9" s="16" t="e">
        <f>CurrentMtgRatesDataTable8[[#This Row],[Servicing Spread Non-Zero]]-L8</f>
        <v>#VALUE!</v>
      </c>
      <c r="N9" s="16" t="e">
        <f>IF(J8&lt;&gt;0,CurrentMtgRatesDataTable8[[#This Row],[Rate]]-C8,N8)</f>
        <v>#VALUE!</v>
      </c>
      <c r="P9" s="7" t="s">
        <v>15</v>
      </c>
      <c r="Q9" s="7">
        <v>2</v>
      </c>
      <c r="R9" s="7">
        <v>0.2</v>
      </c>
    </row>
    <row r="10" spans="1:18" s="7" customFormat="1">
      <c r="A10" s="8" t="s">
        <v>20</v>
      </c>
      <c r="B10" s="11">
        <v>2.9307831448374801</v>
      </c>
      <c r="C10" s="13">
        <v>3.8049999999999997</v>
      </c>
      <c r="D10" s="14">
        <f t="shared" si="0"/>
        <v>7</v>
      </c>
      <c r="E10" s="14">
        <f t="shared" si="1"/>
        <v>0.2</v>
      </c>
      <c r="F10" s="14">
        <f t="shared" si="2"/>
        <v>5</v>
      </c>
      <c r="G10" s="14">
        <f t="shared" si="3"/>
        <v>2.9475939420757165</v>
      </c>
      <c r="H10" s="14">
        <f t="shared" si="4"/>
        <v>1</v>
      </c>
      <c r="I10" s="14">
        <f t="shared" si="5"/>
        <v>1</v>
      </c>
      <c r="J10" s="14">
        <f t="shared" si="6"/>
        <v>2.9475939420757165</v>
      </c>
      <c r="K10" s="15">
        <f>IF(CurrentMtgRatesDataTable8[[#This Row],[WA CC]]&lt;&gt;0,C9-CurrentMtgRatesDataTable8[[#This Row],[WA CC]],0)</f>
        <v>0.85740605792428326</v>
      </c>
      <c r="L10" s="16">
        <f>IF(CurrentMtgRatesDataTable8[[#This Row],[Servicing Spread]]&lt;=0,L9,CurrentMtgRatesDataTable8[[#This Row],[Servicing Spread]])</f>
        <v>0.85740605792428326</v>
      </c>
      <c r="M10" s="16" t="e">
        <f>CurrentMtgRatesDataTable8[[#This Row],[Servicing Spread Non-Zero]]-L9</f>
        <v>#VALUE!</v>
      </c>
      <c r="N10" s="16" t="e">
        <f>IF(J9&lt;&gt;0,CurrentMtgRatesDataTable8[[#This Row],[Rate]]-C9,N9)</f>
        <v>#VALUE!</v>
      </c>
      <c r="P10" s="7" t="s">
        <v>16</v>
      </c>
      <c r="Q10" s="7">
        <v>3</v>
      </c>
      <c r="R10" s="7">
        <v>0</v>
      </c>
    </row>
    <row r="11" spans="1:18" s="7" customFormat="1">
      <c r="A11" s="8" t="s">
        <v>587</v>
      </c>
      <c r="B11" s="11">
        <v>2.9674500244903301</v>
      </c>
      <c r="C11" s="13">
        <v>3.85</v>
      </c>
      <c r="D11" s="14">
        <f t="shared" si="0"/>
        <v>1</v>
      </c>
      <c r="E11" s="14">
        <f t="shared" si="1"/>
        <v>0.2</v>
      </c>
      <c r="F11" s="14">
        <f t="shared" si="2"/>
        <v>1</v>
      </c>
      <c r="G11" s="14">
        <f t="shared" si="3"/>
        <v>0.59349000489806603</v>
      </c>
      <c r="H11" s="14">
        <f t="shared" si="4"/>
        <v>0.2</v>
      </c>
      <c r="I11" s="14">
        <f t="shared" si="5"/>
        <v>0</v>
      </c>
      <c r="J11" s="14">
        <f t="shared" si="6"/>
        <v>0</v>
      </c>
      <c r="K11" s="15">
        <f>IF(CurrentMtgRatesDataTable8[[#This Row],[WA CC]]&lt;&gt;0,C10-CurrentMtgRatesDataTable8[[#This Row],[WA CC]],0)</f>
        <v>0</v>
      </c>
      <c r="L11" s="16">
        <f>IF(CurrentMtgRatesDataTable8[[#This Row],[Servicing Spread]]&lt;=0,L10,CurrentMtgRatesDataTable8[[#This Row],[Servicing Spread]])</f>
        <v>0.85740605792428326</v>
      </c>
      <c r="M11" s="16">
        <f>CurrentMtgRatesDataTable8[[#This Row],[Servicing Spread Non-Zero]]-L10</f>
        <v>0</v>
      </c>
      <c r="N11" s="16">
        <f>IF(J10&lt;&gt;0,CurrentMtgRatesDataTable8[[#This Row],[Rate]]-C10,N10)</f>
        <v>4.5000000000000373E-2</v>
      </c>
      <c r="P11" s="7" t="s">
        <v>17</v>
      </c>
      <c r="Q11" s="7">
        <v>4</v>
      </c>
      <c r="R11" s="7">
        <v>0</v>
      </c>
    </row>
    <row r="12" spans="1:18" s="7" customFormat="1">
      <c r="A12" s="8" t="s">
        <v>442</v>
      </c>
      <c r="B12" s="11">
        <v>2.93226575052006</v>
      </c>
      <c r="C12" s="13">
        <v>3.85</v>
      </c>
      <c r="D12" s="14">
        <f t="shared" si="0"/>
        <v>2</v>
      </c>
      <c r="E12" s="14">
        <f t="shared" si="1"/>
        <v>0.2</v>
      </c>
      <c r="F12" s="14">
        <f t="shared" si="2"/>
        <v>2</v>
      </c>
      <c r="G12" s="14">
        <f t="shared" si="3"/>
        <v>1.179943155002078</v>
      </c>
      <c r="H12" s="14">
        <f t="shared" si="4"/>
        <v>0.4</v>
      </c>
      <c r="I12" s="14">
        <f t="shared" si="5"/>
        <v>0</v>
      </c>
      <c r="J12" s="14">
        <f t="shared" si="6"/>
        <v>0</v>
      </c>
      <c r="K12" s="15">
        <f>IF(CurrentMtgRatesDataTable8[[#This Row],[WA CC]]&lt;&gt;0,C11-CurrentMtgRatesDataTable8[[#This Row],[WA CC]],0)</f>
        <v>0</v>
      </c>
      <c r="L12" s="16">
        <f>IF(CurrentMtgRatesDataTable8[[#This Row],[Servicing Spread]]&lt;=0,L11,CurrentMtgRatesDataTable8[[#This Row],[Servicing Spread]])</f>
        <v>0.85740605792428326</v>
      </c>
      <c r="M12" s="16">
        <f>CurrentMtgRatesDataTable8[[#This Row],[Servicing Spread Non-Zero]]-L11</f>
        <v>0</v>
      </c>
      <c r="N12" s="16">
        <f>IF(J11&lt;&gt;0,CurrentMtgRatesDataTable8[[#This Row],[Rate]]-C11,N11)</f>
        <v>4.5000000000000373E-2</v>
      </c>
    </row>
    <row r="13" spans="1:18" s="7" customFormat="1">
      <c r="A13" s="8" t="s">
        <v>310</v>
      </c>
      <c r="B13" s="11">
        <v>2.91808321555345</v>
      </c>
      <c r="C13" s="13">
        <v>3.85</v>
      </c>
      <c r="D13" s="14">
        <f t="shared" si="0"/>
        <v>5</v>
      </c>
      <c r="E13" s="14">
        <f t="shared" si="1"/>
        <v>0.2</v>
      </c>
      <c r="F13" s="14">
        <f t="shared" si="2"/>
        <v>3</v>
      </c>
      <c r="G13" s="14">
        <f t="shared" si="3"/>
        <v>1.7635597981127682</v>
      </c>
      <c r="H13" s="14">
        <f t="shared" si="4"/>
        <v>0.60000000000000009</v>
      </c>
      <c r="I13" s="14">
        <f t="shared" si="5"/>
        <v>0</v>
      </c>
      <c r="J13" s="14">
        <f t="shared" si="6"/>
        <v>0</v>
      </c>
      <c r="K13" s="15">
        <f>IF(CurrentMtgRatesDataTable8[[#This Row],[WA CC]]&lt;&gt;0,C12-CurrentMtgRatesDataTable8[[#This Row],[WA CC]],0)</f>
        <v>0</v>
      </c>
      <c r="L13" s="16">
        <f>IF(CurrentMtgRatesDataTable8[[#This Row],[Servicing Spread]]&lt;=0,L12,CurrentMtgRatesDataTable8[[#This Row],[Servicing Spread]])</f>
        <v>0.85740605792428326</v>
      </c>
      <c r="M13" s="16">
        <f>CurrentMtgRatesDataTable8[[#This Row],[Servicing Spread Non-Zero]]-L12</f>
        <v>0</v>
      </c>
      <c r="N13" s="16">
        <f>IF(J12&lt;&gt;0,CurrentMtgRatesDataTable8[[#This Row],[Rate]]-C12,N12)</f>
        <v>4.5000000000000373E-2</v>
      </c>
    </row>
    <row r="14" spans="1:18" s="7" customFormat="1">
      <c r="A14" s="8" t="s">
        <v>166</v>
      </c>
      <c r="B14" s="11">
        <v>2.9570995386029302</v>
      </c>
      <c r="C14" s="13">
        <v>3.85</v>
      </c>
      <c r="D14" s="14">
        <f t="shared" si="0"/>
        <v>6</v>
      </c>
      <c r="E14" s="14">
        <f t="shared" si="1"/>
        <v>0.2</v>
      </c>
      <c r="F14" s="14">
        <f t="shared" si="2"/>
        <v>4</v>
      </c>
      <c r="G14" s="14">
        <f t="shared" si="3"/>
        <v>2.3549797058333541</v>
      </c>
      <c r="H14" s="14">
        <f t="shared" si="4"/>
        <v>0.8</v>
      </c>
      <c r="I14" s="14">
        <f t="shared" si="5"/>
        <v>0</v>
      </c>
      <c r="J14" s="14">
        <f t="shared" si="6"/>
        <v>0</v>
      </c>
      <c r="K14" s="15">
        <f>IF(CurrentMtgRatesDataTable8[[#This Row],[WA CC]]&lt;&gt;0,C13-CurrentMtgRatesDataTable8[[#This Row],[WA CC]],0)</f>
        <v>0</v>
      </c>
      <c r="L14" s="16">
        <f>IF(CurrentMtgRatesDataTable8[[#This Row],[Servicing Spread]]&lt;=0,L13,CurrentMtgRatesDataTable8[[#This Row],[Servicing Spread]])</f>
        <v>0.85740605792428326</v>
      </c>
      <c r="M14" s="16">
        <f>CurrentMtgRatesDataTable8[[#This Row],[Servicing Spread Non-Zero]]-L13</f>
        <v>0</v>
      </c>
      <c r="N14" s="16">
        <f>IF(J13&lt;&gt;0,CurrentMtgRatesDataTable8[[#This Row],[Rate]]-C13,N13)</f>
        <v>4.5000000000000373E-2</v>
      </c>
    </row>
    <row r="15" spans="1:18" s="7" customFormat="1">
      <c r="A15" s="8" t="s">
        <v>21</v>
      </c>
      <c r="B15" s="11">
        <v>2.9304565344863098</v>
      </c>
      <c r="C15" s="13">
        <v>3.85</v>
      </c>
      <c r="D15" s="14">
        <f t="shared" si="0"/>
        <v>7</v>
      </c>
      <c r="E15" s="14">
        <f t="shared" si="1"/>
        <v>0.2</v>
      </c>
      <c r="F15" s="14">
        <f t="shared" si="2"/>
        <v>5</v>
      </c>
      <c r="G15" s="14">
        <f t="shared" si="3"/>
        <v>2.9410710127306161</v>
      </c>
      <c r="H15" s="14">
        <f t="shared" si="4"/>
        <v>1</v>
      </c>
      <c r="I15" s="14">
        <f t="shared" si="5"/>
        <v>1</v>
      </c>
      <c r="J15" s="14">
        <f t="shared" si="6"/>
        <v>2.9410710127306161</v>
      </c>
      <c r="K15" s="15">
        <f>IF(CurrentMtgRatesDataTable8[[#This Row],[WA CC]]&lt;&gt;0,C14-CurrentMtgRatesDataTable8[[#This Row],[WA CC]],0)</f>
        <v>0.90892898726938398</v>
      </c>
      <c r="L15" s="16">
        <f>IF(CurrentMtgRatesDataTable8[[#This Row],[Servicing Spread]]&lt;=0,L14,CurrentMtgRatesDataTable8[[#This Row],[Servicing Spread]])</f>
        <v>0.90892898726938398</v>
      </c>
      <c r="M15" s="16">
        <f>CurrentMtgRatesDataTable8[[#This Row],[Servicing Spread Non-Zero]]-L14</f>
        <v>5.1522929345100721E-2</v>
      </c>
      <c r="N15" s="16">
        <f>IF(J14&lt;&gt;0,CurrentMtgRatesDataTable8[[#This Row],[Rate]]-C14,N14)</f>
        <v>4.5000000000000373E-2</v>
      </c>
    </row>
    <row r="16" spans="1:18" s="7" customFormat="1">
      <c r="A16" s="8" t="s">
        <v>588</v>
      </c>
      <c r="B16" s="11">
        <v>2.8874390264499499</v>
      </c>
      <c r="C16" s="13">
        <v>3.8049999999999997</v>
      </c>
      <c r="D16" s="14">
        <f t="shared" si="0"/>
        <v>1</v>
      </c>
      <c r="E16" s="14">
        <f t="shared" si="1"/>
        <v>0.2</v>
      </c>
      <c r="F16" s="14">
        <f t="shared" si="2"/>
        <v>1</v>
      </c>
      <c r="G16" s="14">
        <f t="shared" si="3"/>
        <v>0.57748780528999</v>
      </c>
      <c r="H16" s="14">
        <f t="shared" si="4"/>
        <v>0.2</v>
      </c>
      <c r="I16" s="14">
        <f t="shared" si="5"/>
        <v>0</v>
      </c>
      <c r="J16" s="14">
        <f t="shared" si="6"/>
        <v>0</v>
      </c>
      <c r="K16" s="15">
        <f>IF(CurrentMtgRatesDataTable8[[#This Row],[WA CC]]&lt;&gt;0,C15-CurrentMtgRatesDataTable8[[#This Row],[WA CC]],0)</f>
        <v>0</v>
      </c>
      <c r="L16" s="16">
        <f>IF(CurrentMtgRatesDataTable8[[#This Row],[Servicing Spread]]&lt;=0,L15,CurrentMtgRatesDataTable8[[#This Row],[Servicing Spread]])</f>
        <v>0.90892898726938398</v>
      </c>
      <c r="M16" s="16">
        <f>CurrentMtgRatesDataTable8[[#This Row],[Servicing Spread Non-Zero]]-L15</f>
        <v>0</v>
      </c>
      <c r="N16" s="16">
        <f>IF(J15&lt;&gt;0,CurrentMtgRatesDataTable8[[#This Row],[Rate]]-C15,N15)</f>
        <v>-4.5000000000000373E-2</v>
      </c>
    </row>
    <row r="17" spans="1:14" s="7" customFormat="1">
      <c r="A17" s="8" t="s">
        <v>443</v>
      </c>
      <c r="B17" s="11">
        <v>2.90335136163185</v>
      </c>
      <c r="C17" s="13">
        <v>3.8049999999999997</v>
      </c>
      <c r="D17" s="14">
        <f t="shared" si="0"/>
        <v>2</v>
      </c>
      <c r="E17" s="14">
        <f t="shared" si="1"/>
        <v>0.2</v>
      </c>
      <c r="F17" s="14">
        <f t="shared" si="2"/>
        <v>2</v>
      </c>
      <c r="G17" s="14">
        <f t="shared" si="3"/>
        <v>1.15815807761636</v>
      </c>
      <c r="H17" s="14">
        <f t="shared" si="4"/>
        <v>0.4</v>
      </c>
      <c r="I17" s="14">
        <f t="shared" si="5"/>
        <v>0</v>
      </c>
      <c r="J17" s="14">
        <f t="shared" si="6"/>
        <v>0</v>
      </c>
      <c r="K17" s="15">
        <f>IF(CurrentMtgRatesDataTable8[[#This Row],[WA CC]]&lt;&gt;0,C16-CurrentMtgRatesDataTable8[[#This Row],[WA CC]],0)</f>
        <v>0</v>
      </c>
      <c r="L17" s="16">
        <f>IF(CurrentMtgRatesDataTable8[[#This Row],[Servicing Spread]]&lt;=0,L16,CurrentMtgRatesDataTable8[[#This Row],[Servicing Spread]])</f>
        <v>0.90892898726938398</v>
      </c>
      <c r="M17" s="16">
        <f>CurrentMtgRatesDataTable8[[#This Row],[Servicing Spread Non-Zero]]-L16</f>
        <v>0</v>
      </c>
      <c r="N17" s="16">
        <f>IF(J16&lt;&gt;0,CurrentMtgRatesDataTable8[[#This Row],[Rate]]-C16,N16)</f>
        <v>-4.5000000000000373E-2</v>
      </c>
    </row>
    <row r="18" spans="1:14" s="7" customFormat="1">
      <c r="A18" s="8" t="s">
        <v>311</v>
      </c>
      <c r="B18" s="11">
        <v>2.8708141508909</v>
      </c>
      <c r="C18" s="13">
        <v>3.8049999999999997</v>
      </c>
      <c r="D18" s="14">
        <f t="shared" si="0"/>
        <v>5</v>
      </c>
      <c r="E18" s="14">
        <f t="shared" si="1"/>
        <v>0.2</v>
      </c>
      <c r="F18" s="14">
        <f t="shared" si="2"/>
        <v>3</v>
      </c>
      <c r="G18" s="14">
        <f t="shared" si="3"/>
        <v>1.7323209077945401</v>
      </c>
      <c r="H18" s="14">
        <f t="shared" si="4"/>
        <v>0.60000000000000009</v>
      </c>
      <c r="I18" s="14">
        <f t="shared" si="5"/>
        <v>0</v>
      </c>
      <c r="J18" s="14">
        <f t="shared" si="6"/>
        <v>0</v>
      </c>
      <c r="K18" s="15">
        <f>IF(CurrentMtgRatesDataTable8[[#This Row],[WA CC]]&lt;&gt;0,C17-CurrentMtgRatesDataTable8[[#This Row],[WA CC]],0)</f>
        <v>0</v>
      </c>
      <c r="L18" s="16">
        <f>IF(CurrentMtgRatesDataTable8[[#This Row],[Servicing Spread]]&lt;=0,L17,CurrentMtgRatesDataTable8[[#This Row],[Servicing Spread]])</f>
        <v>0.90892898726938398</v>
      </c>
      <c r="M18" s="16">
        <f>CurrentMtgRatesDataTable8[[#This Row],[Servicing Spread Non-Zero]]-L17</f>
        <v>0</v>
      </c>
      <c r="N18" s="16">
        <f>IF(J17&lt;&gt;0,CurrentMtgRatesDataTable8[[#This Row],[Rate]]-C17,N17)</f>
        <v>-4.5000000000000373E-2</v>
      </c>
    </row>
    <row r="19" spans="1:14" s="7" customFormat="1">
      <c r="A19" s="8" t="s">
        <v>167</v>
      </c>
      <c r="B19" s="11">
        <v>2.9009701197976399</v>
      </c>
      <c r="C19" s="13">
        <v>3.8049999999999997</v>
      </c>
      <c r="D19" s="14">
        <f t="shared" si="0"/>
        <v>6</v>
      </c>
      <c r="E19" s="14">
        <f t="shared" si="1"/>
        <v>0.2</v>
      </c>
      <c r="F19" s="14">
        <f t="shared" si="2"/>
        <v>4</v>
      </c>
      <c r="G19" s="14">
        <f t="shared" si="3"/>
        <v>2.3125149317540679</v>
      </c>
      <c r="H19" s="14">
        <f t="shared" si="4"/>
        <v>0.8</v>
      </c>
      <c r="I19" s="14">
        <f t="shared" si="5"/>
        <v>0</v>
      </c>
      <c r="J19" s="14">
        <f t="shared" si="6"/>
        <v>0</v>
      </c>
      <c r="K19" s="15">
        <f>IF(CurrentMtgRatesDataTable8[[#This Row],[WA CC]]&lt;&gt;0,C18-CurrentMtgRatesDataTable8[[#This Row],[WA CC]],0)</f>
        <v>0</v>
      </c>
      <c r="L19" s="16">
        <f>IF(CurrentMtgRatesDataTable8[[#This Row],[Servicing Spread]]&lt;=0,L18,CurrentMtgRatesDataTable8[[#This Row],[Servicing Spread]])</f>
        <v>0.90892898726938398</v>
      </c>
      <c r="M19" s="16">
        <f>CurrentMtgRatesDataTable8[[#This Row],[Servicing Spread Non-Zero]]-L18</f>
        <v>0</v>
      </c>
      <c r="N19" s="16">
        <f>IF(J18&lt;&gt;0,CurrentMtgRatesDataTable8[[#This Row],[Rate]]-C18,N18)</f>
        <v>-4.5000000000000373E-2</v>
      </c>
    </row>
    <row r="20" spans="1:14" s="7" customFormat="1">
      <c r="A20" s="8" t="s">
        <v>22</v>
      </c>
      <c r="B20" s="11">
        <v>2.9224114614009999</v>
      </c>
      <c r="C20" s="13">
        <v>3.8049999999999997</v>
      </c>
      <c r="D20" s="14">
        <f t="shared" si="0"/>
        <v>7</v>
      </c>
      <c r="E20" s="14">
        <f t="shared" si="1"/>
        <v>0.2</v>
      </c>
      <c r="F20" s="14">
        <f t="shared" si="2"/>
        <v>5</v>
      </c>
      <c r="G20" s="14">
        <f t="shared" si="3"/>
        <v>2.8969972240342678</v>
      </c>
      <c r="H20" s="14">
        <f t="shared" si="4"/>
        <v>1</v>
      </c>
      <c r="I20" s="14">
        <f t="shared" si="5"/>
        <v>1</v>
      </c>
      <c r="J20" s="14">
        <f t="shared" si="6"/>
        <v>2.8969972240342678</v>
      </c>
      <c r="K20" s="15">
        <f>IF(CurrentMtgRatesDataTable8[[#This Row],[WA CC]]&lt;&gt;0,C19-CurrentMtgRatesDataTable8[[#This Row],[WA CC]],0)</f>
        <v>0.90800277596573187</v>
      </c>
      <c r="L20" s="16">
        <f>IF(CurrentMtgRatesDataTable8[[#This Row],[Servicing Spread]]&lt;=0,L19,CurrentMtgRatesDataTable8[[#This Row],[Servicing Spread]])</f>
        <v>0.90800277596573187</v>
      </c>
      <c r="M20" s="16">
        <f>CurrentMtgRatesDataTable8[[#This Row],[Servicing Spread Non-Zero]]-L19</f>
        <v>-9.2621130365211357E-4</v>
      </c>
      <c r="N20" s="16">
        <f>IF(J19&lt;&gt;0,CurrentMtgRatesDataTable8[[#This Row],[Rate]]-C19,N19)</f>
        <v>-4.5000000000000373E-2</v>
      </c>
    </row>
    <row r="21" spans="1:14" s="7" customFormat="1">
      <c r="A21" s="8" t="s">
        <v>589</v>
      </c>
      <c r="B21" s="11">
        <v>2.8924009736045302</v>
      </c>
      <c r="C21" s="13">
        <v>3.79</v>
      </c>
      <c r="D21" s="14">
        <f t="shared" si="0"/>
        <v>1</v>
      </c>
      <c r="E21" s="14">
        <f t="shared" si="1"/>
        <v>0.2</v>
      </c>
      <c r="F21" s="14">
        <f t="shared" si="2"/>
        <v>1</v>
      </c>
      <c r="G21" s="14">
        <f t="shared" si="3"/>
        <v>0.57848019472090606</v>
      </c>
      <c r="H21" s="14">
        <f t="shared" si="4"/>
        <v>0.2</v>
      </c>
      <c r="I21" s="14">
        <f t="shared" si="5"/>
        <v>0</v>
      </c>
      <c r="J21" s="14">
        <f t="shared" si="6"/>
        <v>0</v>
      </c>
      <c r="K21" s="15">
        <f>IF(CurrentMtgRatesDataTable8[[#This Row],[WA CC]]&lt;&gt;0,C20-CurrentMtgRatesDataTable8[[#This Row],[WA CC]],0)</f>
        <v>0</v>
      </c>
      <c r="L21" s="16">
        <f>IF(CurrentMtgRatesDataTable8[[#This Row],[Servicing Spread]]&lt;=0,L20,CurrentMtgRatesDataTable8[[#This Row],[Servicing Spread]])</f>
        <v>0.90800277596573187</v>
      </c>
      <c r="M21" s="16">
        <f>CurrentMtgRatesDataTable8[[#This Row],[Servicing Spread Non-Zero]]-L20</f>
        <v>0</v>
      </c>
      <c r="N21" s="16">
        <f>IF(J20&lt;&gt;0,CurrentMtgRatesDataTable8[[#This Row],[Rate]]-C20,N20)</f>
        <v>-1.499999999999968E-2</v>
      </c>
    </row>
    <row r="22" spans="1:14" s="7" customFormat="1">
      <c r="A22" s="8" t="s">
        <v>444</v>
      </c>
      <c r="B22" s="11">
        <v>2.8716721168117001</v>
      </c>
      <c r="C22" s="13">
        <v>3.79</v>
      </c>
      <c r="D22" s="14">
        <f t="shared" si="0"/>
        <v>2</v>
      </c>
      <c r="E22" s="14">
        <f t="shared" si="1"/>
        <v>0.2</v>
      </c>
      <c r="F22" s="14">
        <f t="shared" si="2"/>
        <v>2</v>
      </c>
      <c r="G22" s="14">
        <f t="shared" si="3"/>
        <v>1.1528146180832461</v>
      </c>
      <c r="H22" s="14">
        <f t="shared" si="4"/>
        <v>0.4</v>
      </c>
      <c r="I22" s="14">
        <f t="shared" si="5"/>
        <v>0</v>
      </c>
      <c r="J22" s="14">
        <f t="shared" si="6"/>
        <v>0</v>
      </c>
      <c r="K22" s="15">
        <f>IF(CurrentMtgRatesDataTable8[[#This Row],[WA CC]]&lt;&gt;0,C21-CurrentMtgRatesDataTable8[[#This Row],[WA CC]],0)</f>
        <v>0</v>
      </c>
      <c r="L22" s="16">
        <f>IF(CurrentMtgRatesDataTable8[[#This Row],[Servicing Spread]]&lt;=0,L21,CurrentMtgRatesDataTable8[[#This Row],[Servicing Spread]])</f>
        <v>0.90800277596573187</v>
      </c>
      <c r="M22" s="16">
        <f>CurrentMtgRatesDataTable8[[#This Row],[Servicing Spread Non-Zero]]-L21</f>
        <v>0</v>
      </c>
      <c r="N22" s="16">
        <f>IF(J21&lt;&gt;0,CurrentMtgRatesDataTable8[[#This Row],[Rate]]-C21,N21)</f>
        <v>-1.499999999999968E-2</v>
      </c>
    </row>
    <row r="23" spans="1:14" s="7" customFormat="1">
      <c r="A23" s="8" t="s">
        <v>312</v>
      </c>
      <c r="B23" s="11">
        <v>2.8585941716778001</v>
      </c>
      <c r="C23" s="13">
        <v>3.79</v>
      </c>
      <c r="D23" s="14">
        <f t="shared" si="0"/>
        <v>5</v>
      </c>
      <c r="E23" s="14">
        <f t="shared" si="1"/>
        <v>0.2</v>
      </c>
      <c r="F23" s="14">
        <f t="shared" si="2"/>
        <v>3</v>
      </c>
      <c r="G23" s="14">
        <f t="shared" si="3"/>
        <v>1.7245334524188061</v>
      </c>
      <c r="H23" s="14">
        <f t="shared" si="4"/>
        <v>0.60000000000000009</v>
      </c>
      <c r="I23" s="14">
        <f t="shared" si="5"/>
        <v>0</v>
      </c>
      <c r="J23" s="14">
        <f t="shared" si="6"/>
        <v>0</v>
      </c>
      <c r="K23" s="15">
        <f>IF(CurrentMtgRatesDataTable8[[#This Row],[WA CC]]&lt;&gt;0,C22-CurrentMtgRatesDataTable8[[#This Row],[WA CC]],0)</f>
        <v>0</v>
      </c>
      <c r="L23" s="16">
        <f>IF(CurrentMtgRatesDataTable8[[#This Row],[Servicing Spread]]&lt;=0,L22,CurrentMtgRatesDataTable8[[#This Row],[Servicing Spread]])</f>
        <v>0.90800277596573187</v>
      </c>
      <c r="M23" s="16">
        <f>CurrentMtgRatesDataTable8[[#This Row],[Servicing Spread Non-Zero]]-L22</f>
        <v>0</v>
      </c>
      <c r="N23" s="16">
        <f>IF(J22&lt;&gt;0,CurrentMtgRatesDataTable8[[#This Row],[Rate]]-C22,N22)</f>
        <v>-1.499999999999968E-2</v>
      </c>
    </row>
    <row r="24" spans="1:14" s="7" customFormat="1">
      <c r="A24" s="8" t="s">
        <v>168</v>
      </c>
      <c r="B24" s="11">
        <v>2.8908484323394701</v>
      </c>
      <c r="C24" s="13">
        <v>3.79</v>
      </c>
      <c r="D24" s="14">
        <f t="shared" si="0"/>
        <v>6</v>
      </c>
      <c r="E24" s="14">
        <f t="shared" si="1"/>
        <v>0.2</v>
      </c>
      <c r="F24" s="14">
        <f t="shared" si="2"/>
        <v>4</v>
      </c>
      <c r="G24" s="14">
        <f t="shared" si="3"/>
        <v>2.3027031388867001</v>
      </c>
      <c r="H24" s="14">
        <f t="shared" si="4"/>
        <v>0.8</v>
      </c>
      <c r="I24" s="14">
        <f t="shared" si="5"/>
        <v>0</v>
      </c>
      <c r="J24" s="14">
        <f t="shared" si="6"/>
        <v>0</v>
      </c>
      <c r="K24" s="15">
        <f>IF(CurrentMtgRatesDataTable8[[#This Row],[WA CC]]&lt;&gt;0,C23-CurrentMtgRatesDataTable8[[#This Row],[WA CC]],0)</f>
        <v>0</v>
      </c>
      <c r="L24" s="16">
        <f>IF(CurrentMtgRatesDataTable8[[#This Row],[Servicing Spread]]&lt;=0,L23,CurrentMtgRatesDataTable8[[#This Row],[Servicing Spread]])</f>
        <v>0.90800277596573187</v>
      </c>
      <c r="M24" s="16">
        <f>CurrentMtgRatesDataTable8[[#This Row],[Servicing Spread Non-Zero]]-L23</f>
        <v>0</v>
      </c>
      <c r="N24" s="16">
        <f>IF(J23&lt;&gt;0,CurrentMtgRatesDataTable8[[#This Row],[Rate]]-C23,N23)</f>
        <v>-1.499999999999968E-2</v>
      </c>
    </row>
    <row r="25" spans="1:14" s="7" customFormat="1">
      <c r="A25" s="8" t="s">
        <v>23</v>
      </c>
      <c r="B25" s="11">
        <v>2.8733809550088201</v>
      </c>
      <c r="C25" s="13">
        <v>3.79</v>
      </c>
      <c r="D25" s="14">
        <f t="shared" si="0"/>
        <v>7</v>
      </c>
      <c r="E25" s="14">
        <f t="shared" si="1"/>
        <v>0.2</v>
      </c>
      <c r="F25" s="14">
        <f t="shared" si="2"/>
        <v>5</v>
      </c>
      <c r="G25" s="14">
        <f t="shared" si="3"/>
        <v>2.877379329888464</v>
      </c>
      <c r="H25" s="14">
        <f t="shared" si="4"/>
        <v>1</v>
      </c>
      <c r="I25" s="14">
        <f t="shared" si="5"/>
        <v>1</v>
      </c>
      <c r="J25" s="14">
        <f t="shared" si="6"/>
        <v>2.877379329888464</v>
      </c>
      <c r="K25" s="15">
        <f>IF(CurrentMtgRatesDataTable8[[#This Row],[WA CC]]&lt;&gt;0,C24-CurrentMtgRatesDataTable8[[#This Row],[WA CC]],0)</f>
        <v>0.91262067011153603</v>
      </c>
      <c r="L25" s="16">
        <f>IF(CurrentMtgRatesDataTable8[[#This Row],[Servicing Spread]]&lt;=0,L24,CurrentMtgRatesDataTable8[[#This Row],[Servicing Spread]])</f>
        <v>0.91262067011153603</v>
      </c>
      <c r="M25" s="16">
        <f>CurrentMtgRatesDataTable8[[#This Row],[Servicing Spread Non-Zero]]-L24</f>
        <v>4.6178941458041578E-3</v>
      </c>
      <c r="N25" s="16">
        <f>IF(J24&lt;&gt;0,CurrentMtgRatesDataTable8[[#This Row],[Rate]]-C24,N24)</f>
        <v>-1.499999999999968E-2</v>
      </c>
    </row>
    <row r="26" spans="1:14" s="7" customFormat="1">
      <c r="A26" s="8" t="s">
        <v>590</v>
      </c>
      <c r="B26" s="11">
        <v>2.88233463781564</v>
      </c>
      <c r="C26" s="13">
        <v>3.7549999999999999</v>
      </c>
      <c r="D26" s="14">
        <f t="shared" si="0"/>
        <v>1</v>
      </c>
      <c r="E26" s="14">
        <f t="shared" si="1"/>
        <v>0.2</v>
      </c>
      <c r="F26" s="14">
        <f t="shared" si="2"/>
        <v>1</v>
      </c>
      <c r="G26" s="14">
        <f t="shared" si="3"/>
        <v>0.57646692756312801</v>
      </c>
      <c r="H26" s="14">
        <f t="shared" si="4"/>
        <v>0.2</v>
      </c>
      <c r="I26" s="14">
        <f t="shared" si="5"/>
        <v>0</v>
      </c>
      <c r="J26" s="14">
        <f t="shared" si="6"/>
        <v>0</v>
      </c>
      <c r="K26" s="15">
        <f>IF(CurrentMtgRatesDataTable8[[#This Row],[WA CC]]&lt;&gt;0,C25-CurrentMtgRatesDataTable8[[#This Row],[WA CC]],0)</f>
        <v>0</v>
      </c>
      <c r="L26" s="16">
        <f>IF(CurrentMtgRatesDataTable8[[#This Row],[Servicing Spread]]&lt;=0,L25,CurrentMtgRatesDataTable8[[#This Row],[Servicing Spread]])</f>
        <v>0.91262067011153603</v>
      </c>
      <c r="M26" s="16">
        <f>CurrentMtgRatesDataTable8[[#This Row],[Servicing Spread Non-Zero]]-L25</f>
        <v>0</v>
      </c>
      <c r="N26" s="16">
        <f>IF(J25&lt;&gt;0,CurrentMtgRatesDataTable8[[#This Row],[Rate]]-C25,N25)</f>
        <v>-3.5000000000000142E-2</v>
      </c>
    </row>
    <row r="27" spans="1:14" s="7" customFormat="1">
      <c r="A27" s="8" t="s">
        <v>445</v>
      </c>
      <c r="B27" s="11">
        <v>2.8508681241779898</v>
      </c>
      <c r="C27" s="13">
        <v>3.7549999999999999</v>
      </c>
      <c r="D27" s="14">
        <f t="shared" si="0"/>
        <v>2</v>
      </c>
      <c r="E27" s="14">
        <f t="shared" si="1"/>
        <v>0.2</v>
      </c>
      <c r="F27" s="14">
        <f t="shared" si="2"/>
        <v>2</v>
      </c>
      <c r="G27" s="14">
        <f t="shared" si="3"/>
        <v>1.146640552398726</v>
      </c>
      <c r="H27" s="14">
        <f t="shared" si="4"/>
        <v>0.4</v>
      </c>
      <c r="I27" s="14">
        <f t="shared" si="5"/>
        <v>0</v>
      </c>
      <c r="J27" s="14">
        <f t="shared" si="6"/>
        <v>0</v>
      </c>
      <c r="K27" s="15">
        <f>IF(CurrentMtgRatesDataTable8[[#This Row],[WA CC]]&lt;&gt;0,C26-CurrentMtgRatesDataTable8[[#This Row],[WA CC]],0)</f>
        <v>0</v>
      </c>
      <c r="L27" s="16">
        <f>IF(CurrentMtgRatesDataTable8[[#This Row],[Servicing Spread]]&lt;=0,L26,CurrentMtgRatesDataTable8[[#This Row],[Servicing Spread]])</f>
        <v>0.91262067011153603</v>
      </c>
      <c r="M27" s="16">
        <f>CurrentMtgRatesDataTable8[[#This Row],[Servicing Spread Non-Zero]]-L26</f>
        <v>0</v>
      </c>
      <c r="N27" s="16">
        <f>IF(J26&lt;&gt;0,CurrentMtgRatesDataTable8[[#This Row],[Rate]]-C26,N26)</f>
        <v>-3.5000000000000142E-2</v>
      </c>
    </row>
    <row r="28" spans="1:14" s="7" customFormat="1">
      <c r="A28" s="8" t="s">
        <v>313</v>
      </c>
      <c r="B28" s="11">
        <v>2.85847369417964</v>
      </c>
      <c r="C28" s="13">
        <v>3.7549999999999999</v>
      </c>
      <c r="D28" s="14">
        <f t="shared" si="0"/>
        <v>5</v>
      </c>
      <c r="E28" s="14">
        <f t="shared" si="1"/>
        <v>0.2</v>
      </c>
      <c r="F28" s="14">
        <f t="shared" si="2"/>
        <v>3</v>
      </c>
      <c r="G28" s="14">
        <f t="shared" si="3"/>
        <v>1.7183352912346539</v>
      </c>
      <c r="H28" s="14">
        <f t="shared" si="4"/>
        <v>0.60000000000000009</v>
      </c>
      <c r="I28" s="14">
        <f t="shared" si="5"/>
        <v>0</v>
      </c>
      <c r="J28" s="14">
        <f t="shared" si="6"/>
        <v>0</v>
      </c>
      <c r="K28" s="15">
        <f>IF(CurrentMtgRatesDataTable8[[#This Row],[WA CC]]&lt;&gt;0,C27-CurrentMtgRatesDataTable8[[#This Row],[WA CC]],0)</f>
        <v>0</v>
      </c>
      <c r="L28" s="16">
        <f>IF(CurrentMtgRatesDataTable8[[#This Row],[Servicing Spread]]&lt;=0,L27,CurrentMtgRatesDataTable8[[#This Row],[Servicing Spread]])</f>
        <v>0.91262067011153603</v>
      </c>
      <c r="M28" s="16">
        <f>CurrentMtgRatesDataTable8[[#This Row],[Servicing Spread Non-Zero]]-L27</f>
        <v>0</v>
      </c>
      <c r="N28" s="16">
        <f>IF(J27&lt;&gt;0,CurrentMtgRatesDataTable8[[#This Row],[Rate]]-C27,N27)</f>
        <v>-3.5000000000000142E-2</v>
      </c>
    </row>
    <row r="29" spans="1:14" s="7" customFormat="1">
      <c r="A29" s="8" t="s">
        <v>169</v>
      </c>
      <c r="B29" s="11">
        <v>2.8457023219339699</v>
      </c>
      <c r="C29" s="13">
        <v>3.7549999999999999</v>
      </c>
      <c r="D29" s="14">
        <f t="shared" si="0"/>
        <v>6</v>
      </c>
      <c r="E29" s="14">
        <f t="shared" si="1"/>
        <v>0.2</v>
      </c>
      <c r="F29" s="14">
        <f t="shared" si="2"/>
        <v>4</v>
      </c>
      <c r="G29" s="14">
        <f t="shared" si="3"/>
        <v>2.2874757556214478</v>
      </c>
      <c r="H29" s="14">
        <f t="shared" si="4"/>
        <v>0.8</v>
      </c>
      <c r="I29" s="14">
        <f t="shared" si="5"/>
        <v>0</v>
      </c>
      <c r="J29" s="14">
        <f t="shared" si="6"/>
        <v>0</v>
      </c>
      <c r="K29" s="15">
        <f>IF(CurrentMtgRatesDataTable8[[#This Row],[WA CC]]&lt;&gt;0,C28-CurrentMtgRatesDataTable8[[#This Row],[WA CC]],0)</f>
        <v>0</v>
      </c>
      <c r="L29" s="16">
        <f>IF(CurrentMtgRatesDataTable8[[#This Row],[Servicing Spread]]&lt;=0,L28,CurrentMtgRatesDataTable8[[#This Row],[Servicing Spread]])</f>
        <v>0.91262067011153603</v>
      </c>
      <c r="M29" s="16">
        <f>CurrentMtgRatesDataTable8[[#This Row],[Servicing Spread Non-Zero]]-L28</f>
        <v>0</v>
      </c>
      <c r="N29" s="16">
        <f>IF(J28&lt;&gt;0,CurrentMtgRatesDataTable8[[#This Row],[Rate]]-C28,N28)</f>
        <v>-3.5000000000000142E-2</v>
      </c>
    </row>
    <row r="30" spans="1:14" s="7" customFormat="1">
      <c r="A30" s="8" t="s">
        <v>24</v>
      </c>
      <c r="B30" s="11">
        <v>2.8327642978398999</v>
      </c>
      <c r="C30" s="13">
        <v>3.7549999999999999</v>
      </c>
      <c r="D30" s="14">
        <f t="shared" si="0"/>
        <v>7</v>
      </c>
      <c r="E30" s="14">
        <f t="shared" si="1"/>
        <v>0.2</v>
      </c>
      <c r="F30" s="14">
        <f t="shared" si="2"/>
        <v>5</v>
      </c>
      <c r="G30" s="14">
        <f t="shared" si="3"/>
        <v>2.8540286151894279</v>
      </c>
      <c r="H30" s="14">
        <f t="shared" si="4"/>
        <v>1</v>
      </c>
      <c r="I30" s="14">
        <f t="shared" si="5"/>
        <v>1</v>
      </c>
      <c r="J30" s="14">
        <f t="shared" si="6"/>
        <v>2.8540286151894279</v>
      </c>
      <c r="K30" s="15">
        <f>IF(CurrentMtgRatesDataTable8[[#This Row],[WA CC]]&lt;&gt;0,C29-CurrentMtgRatesDataTable8[[#This Row],[WA CC]],0)</f>
        <v>0.90097138481057204</v>
      </c>
      <c r="L30" s="16">
        <f>IF(CurrentMtgRatesDataTable8[[#This Row],[Servicing Spread]]&lt;=0,L29,CurrentMtgRatesDataTable8[[#This Row],[Servicing Spread]])</f>
        <v>0.90097138481057204</v>
      </c>
      <c r="M30" s="16">
        <f>CurrentMtgRatesDataTable8[[#This Row],[Servicing Spread Non-Zero]]-L29</f>
        <v>-1.1649285300963985E-2</v>
      </c>
      <c r="N30" s="16">
        <f>IF(J29&lt;&gt;0,CurrentMtgRatesDataTable8[[#This Row],[Rate]]-C29,N29)</f>
        <v>-3.5000000000000142E-2</v>
      </c>
    </row>
    <row r="31" spans="1:14" s="7" customFormat="1">
      <c r="A31" s="8" t="s">
        <v>591</v>
      </c>
      <c r="B31" s="11">
        <v>2.8246078637178802</v>
      </c>
      <c r="C31" s="13">
        <v>3.7149999999999999</v>
      </c>
      <c r="D31" s="14">
        <f t="shared" si="0"/>
        <v>1</v>
      </c>
      <c r="E31" s="14">
        <f t="shared" si="1"/>
        <v>0.2</v>
      </c>
      <c r="F31" s="14">
        <f t="shared" si="2"/>
        <v>1</v>
      </c>
      <c r="G31" s="14">
        <f t="shared" si="3"/>
        <v>0.56492157274357602</v>
      </c>
      <c r="H31" s="14">
        <f t="shared" si="4"/>
        <v>0.2</v>
      </c>
      <c r="I31" s="14">
        <f t="shared" si="5"/>
        <v>0</v>
      </c>
      <c r="J31" s="14">
        <f t="shared" si="6"/>
        <v>0</v>
      </c>
      <c r="K31" s="15">
        <f>IF(CurrentMtgRatesDataTable8[[#This Row],[WA CC]]&lt;&gt;0,C30-CurrentMtgRatesDataTable8[[#This Row],[WA CC]],0)</f>
        <v>0</v>
      </c>
      <c r="L31" s="16">
        <f>IF(CurrentMtgRatesDataTable8[[#This Row],[Servicing Spread]]&lt;=0,L30,CurrentMtgRatesDataTable8[[#This Row],[Servicing Spread]])</f>
        <v>0.90097138481057204</v>
      </c>
      <c r="M31" s="16">
        <f>CurrentMtgRatesDataTable8[[#This Row],[Servicing Spread Non-Zero]]-L30</f>
        <v>0</v>
      </c>
      <c r="N31" s="16">
        <f>IF(J30&lt;&gt;0,CurrentMtgRatesDataTable8[[#This Row],[Rate]]-C30,N30)</f>
        <v>-4.0000000000000036E-2</v>
      </c>
    </row>
    <row r="32" spans="1:14" s="7" customFormat="1">
      <c r="A32" s="8" t="s">
        <v>446</v>
      </c>
      <c r="B32" s="11">
        <v>2.8052772077153998</v>
      </c>
      <c r="C32" s="13">
        <v>3.7149999999999999</v>
      </c>
      <c r="D32" s="14">
        <f t="shared" si="0"/>
        <v>2</v>
      </c>
      <c r="E32" s="14">
        <f t="shared" si="1"/>
        <v>0.2</v>
      </c>
      <c r="F32" s="14">
        <f t="shared" si="2"/>
        <v>2</v>
      </c>
      <c r="G32" s="14">
        <f t="shared" si="3"/>
        <v>1.1259770142866561</v>
      </c>
      <c r="H32" s="14">
        <f t="shared" si="4"/>
        <v>0.4</v>
      </c>
      <c r="I32" s="14">
        <f t="shared" si="5"/>
        <v>0</v>
      </c>
      <c r="J32" s="14">
        <f t="shared" si="6"/>
        <v>0</v>
      </c>
      <c r="K32" s="15">
        <f>IF(CurrentMtgRatesDataTable8[[#This Row],[WA CC]]&lt;&gt;0,C31-CurrentMtgRatesDataTable8[[#This Row],[WA CC]],0)</f>
        <v>0</v>
      </c>
      <c r="L32" s="16">
        <f>IF(CurrentMtgRatesDataTable8[[#This Row],[Servicing Spread]]&lt;=0,L31,CurrentMtgRatesDataTable8[[#This Row],[Servicing Spread]])</f>
        <v>0.90097138481057204</v>
      </c>
      <c r="M32" s="16">
        <f>CurrentMtgRatesDataTable8[[#This Row],[Servicing Spread Non-Zero]]-L31</f>
        <v>0</v>
      </c>
      <c r="N32" s="16">
        <f>IF(J31&lt;&gt;0,CurrentMtgRatesDataTable8[[#This Row],[Rate]]-C31,N31)</f>
        <v>-4.0000000000000036E-2</v>
      </c>
    </row>
    <row r="33" spans="1:14" s="7" customFormat="1">
      <c r="A33" s="8" t="s">
        <v>314</v>
      </c>
      <c r="B33" s="11">
        <v>2.7739749118365999</v>
      </c>
      <c r="C33" s="13">
        <v>3.7149999999999999</v>
      </c>
      <c r="D33" s="14">
        <f t="shared" si="0"/>
        <v>5</v>
      </c>
      <c r="E33" s="14">
        <f t="shared" si="1"/>
        <v>0.2</v>
      </c>
      <c r="F33" s="14">
        <f t="shared" si="2"/>
        <v>3</v>
      </c>
      <c r="G33" s="14">
        <f t="shared" si="3"/>
        <v>1.6807719966539763</v>
      </c>
      <c r="H33" s="14">
        <f t="shared" si="4"/>
        <v>0.60000000000000009</v>
      </c>
      <c r="I33" s="14">
        <f t="shared" si="5"/>
        <v>0</v>
      </c>
      <c r="J33" s="14">
        <f t="shared" si="6"/>
        <v>0</v>
      </c>
      <c r="K33" s="15">
        <f>IF(CurrentMtgRatesDataTable8[[#This Row],[WA CC]]&lt;&gt;0,C32-CurrentMtgRatesDataTable8[[#This Row],[WA CC]],0)</f>
        <v>0</v>
      </c>
      <c r="L33" s="16">
        <f>IF(CurrentMtgRatesDataTable8[[#This Row],[Servicing Spread]]&lt;=0,L32,CurrentMtgRatesDataTable8[[#This Row],[Servicing Spread]])</f>
        <v>0.90097138481057204</v>
      </c>
      <c r="M33" s="16">
        <f>CurrentMtgRatesDataTable8[[#This Row],[Servicing Spread Non-Zero]]-L32</f>
        <v>0</v>
      </c>
      <c r="N33" s="16">
        <f>IF(J32&lt;&gt;0,CurrentMtgRatesDataTable8[[#This Row],[Rate]]-C32,N32)</f>
        <v>-4.0000000000000036E-2</v>
      </c>
    </row>
    <row r="34" spans="1:14" s="7" customFormat="1">
      <c r="A34" s="8" t="s">
        <v>170</v>
      </c>
      <c r="B34" s="11">
        <v>2.7697091879875599</v>
      </c>
      <c r="C34" s="13">
        <v>3.7149999999999999</v>
      </c>
      <c r="D34" s="14">
        <f t="shared" si="0"/>
        <v>6</v>
      </c>
      <c r="E34" s="14">
        <f t="shared" si="1"/>
        <v>0.2</v>
      </c>
      <c r="F34" s="14">
        <f t="shared" si="2"/>
        <v>4</v>
      </c>
      <c r="G34" s="14">
        <f t="shared" si="3"/>
        <v>2.2347138342514885</v>
      </c>
      <c r="H34" s="14">
        <f t="shared" si="4"/>
        <v>0.8</v>
      </c>
      <c r="I34" s="14">
        <f t="shared" si="5"/>
        <v>0</v>
      </c>
      <c r="J34" s="14">
        <f t="shared" si="6"/>
        <v>0</v>
      </c>
      <c r="K34" s="15">
        <f>IF(CurrentMtgRatesDataTable8[[#This Row],[WA CC]]&lt;&gt;0,C33-CurrentMtgRatesDataTable8[[#This Row],[WA CC]],0)</f>
        <v>0</v>
      </c>
      <c r="L34" s="16">
        <f>IF(CurrentMtgRatesDataTable8[[#This Row],[Servicing Spread]]&lt;=0,L33,CurrentMtgRatesDataTable8[[#This Row],[Servicing Spread]])</f>
        <v>0.90097138481057204</v>
      </c>
      <c r="M34" s="16">
        <f>CurrentMtgRatesDataTable8[[#This Row],[Servicing Spread Non-Zero]]-L33</f>
        <v>0</v>
      </c>
      <c r="N34" s="16">
        <f>IF(J33&lt;&gt;0,CurrentMtgRatesDataTable8[[#This Row],[Rate]]-C33,N33)</f>
        <v>-4.0000000000000036E-2</v>
      </c>
    </row>
    <row r="35" spans="1:14" s="7" customFormat="1">
      <c r="A35" s="8" t="s">
        <v>25</v>
      </c>
      <c r="B35" s="11">
        <v>2.7401286983352402</v>
      </c>
      <c r="C35" s="13">
        <v>3.7149999999999999</v>
      </c>
      <c r="D35" s="14">
        <f t="shared" si="0"/>
        <v>7</v>
      </c>
      <c r="E35" s="14">
        <f t="shared" si="1"/>
        <v>0.2</v>
      </c>
      <c r="F35" s="14">
        <f t="shared" si="2"/>
        <v>5</v>
      </c>
      <c r="G35" s="14">
        <f t="shared" si="3"/>
        <v>2.7827395739185365</v>
      </c>
      <c r="H35" s="14">
        <f t="shared" si="4"/>
        <v>1</v>
      </c>
      <c r="I35" s="14">
        <f t="shared" si="5"/>
        <v>1</v>
      </c>
      <c r="J35" s="14">
        <f t="shared" si="6"/>
        <v>2.7827395739185365</v>
      </c>
      <c r="K35" s="15">
        <f>IF(CurrentMtgRatesDataTable8[[#This Row],[WA CC]]&lt;&gt;0,C34-CurrentMtgRatesDataTable8[[#This Row],[WA CC]],0)</f>
        <v>0.93226042608146331</v>
      </c>
      <c r="L35" s="16">
        <f>IF(CurrentMtgRatesDataTable8[[#This Row],[Servicing Spread]]&lt;=0,L34,CurrentMtgRatesDataTable8[[#This Row],[Servicing Spread]])</f>
        <v>0.93226042608146331</v>
      </c>
      <c r="M35" s="16">
        <f>CurrentMtgRatesDataTable8[[#This Row],[Servicing Spread Non-Zero]]-L34</f>
        <v>3.1289041270891271E-2</v>
      </c>
      <c r="N35" s="16">
        <f>IF(J34&lt;&gt;0,CurrentMtgRatesDataTable8[[#This Row],[Rate]]-C34,N34)</f>
        <v>-4.0000000000000036E-2</v>
      </c>
    </row>
    <row r="36" spans="1:14" s="7" customFormat="1">
      <c r="A36" s="8" t="s">
        <v>592</v>
      </c>
      <c r="B36" s="11">
        <v>2.6718406862121098</v>
      </c>
      <c r="C36" s="13">
        <v>3.73</v>
      </c>
      <c r="D36" s="14">
        <f t="shared" si="0"/>
        <v>1</v>
      </c>
      <c r="E36" s="14">
        <f t="shared" si="1"/>
        <v>0.2</v>
      </c>
      <c r="F36" s="14">
        <f t="shared" si="2"/>
        <v>1</v>
      </c>
      <c r="G36" s="14">
        <f t="shared" si="3"/>
        <v>0.53436813724242194</v>
      </c>
      <c r="H36" s="14">
        <f t="shared" si="4"/>
        <v>0.2</v>
      </c>
      <c r="I36" s="14">
        <f t="shared" si="5"/>
        <v>0</v>
      </c>
      <c r="J36" s="14">
        <f t="shared" si="6"/>
        <v>0</v>
      </c>
      <c r="K36" s="15">
        <f>IF(CurrentMtgRatesDataTable8[[#This Row],[WA CC]]&lt;&gt;0,C35-CurrentMtgRatesDataTable8[[#This Row],[WA CC]],0)</f>
        <v>0</v>
      </c>
      <c r="L36" s="16">
        <f>IF(CurrentMtgRatesDataTable8[[#This Row],[Servicing Spread]]&lt;=0,L35,CurrentMtgRatesDataTable8[[#This Row],[Servicing Spread]])</f>
        <v>0.93226042608146331</v>
      </c>
      <c r="M36" s="16">
        <f>CurrentMtgRatesDataTable8[[#This Row],[Servicing Spread Non-Zero]]-L35</f>
        <v>0</v>
      </c>
      <c r="N36" s="16">
        <f>IF(J35&lt;&gt;0,CurrentMtgRatesDataTable8[[#This Row],[Rate]]-C35,N35)</f>
        <v>1.5000000000000124E-2</v>
      </c>
    </row>
    <row r="37" spans="1:14" s="7" customFormat="1">
      <c r="A37" s="8" t="s">
        <v>447</v>
      </c>
      <c r="B37" s="11">
        <v>2.67797206633489</v>
      </c>
      <c r="C37" s="13">
        <v>3.73</v>
      </c>
      <c r="D37" s="14">
        <f t="shared" si="0"/>
        <v>2</v>
      </c>
      <c r="E37" s="14">
        <f t="shared" si="1"/>
        <v>0.2</v>
      </c>
      <c r="F37" s="14">
        <f t="shared" si="2"/>
        <v>2</v>
      </c>
      <c r="G37" s="14">
        <f t="shared" si="3"/>
        <v>1.0699625505093999</v>
      </c>
      <c r="H37" s="14">
        <f t="shared" si="4"/>
        <v>0.4</v>
      </c>
      <c r="I37" s="14">
        <f t="shared" si="5"/>
        <v>0</v>
      </c>
      <c r="J37" s="14">
        <f t="shared" si="6"/>
        <v>0</v>
      </c>
      <c r="K37" s="15">
        <f>IF(CurrentMtgRatesDataTable8[[#This Row],[WA CC]]&lt;&gt;0,C36-CurrentMtgRatesDataTable8[[#This Row],[WA CC]],0)</f>
        <v>0</v>
      </c>
      <c r="L37" s="16">
        <f>IF(CurrentMtgRatesDataTable8[[#This Row],[Servicing Spread]]&lt;=0,L36,CurrentMtgRatesDataTable8[[#This Row],[Servicing Spread]])</f>
        <v>0.93226042608146331</v>
      </c>
      <c r="M37" s="16">
        <f>CurrentMtgRatesDataTable8[[#This Row],[Servicing Spread Non-Zero]]-L36</f>
        <v>0</v>
      </c>
      <c r="N37" s="16">
        <f>IF(J36&lt;&gt;0,CurrentMtgRatesDataTable8[[#This Row],[Rate]]-C36,N36)</f>
        <v>1.5000000000000124E-2</v>
      </c>
    </row>
    <row r="38" spans="1:14" s="7" customFormat="1">
      <c r="A38" s="8" t="s">
        <v>315</v>
      </c>
      <c r="B38" s="11">
        <v>2.73357010628694</v>
      </c>
      <c r="C38" s="13">
        <v>3.73</v>
      </c>
      <c r="D38" s="14">
        <f t="shared" si="0"/>
        <v>5</v>
      </c>
      <c r="E38" s="14">
        <f t="shared" si="1"/>
        <v>0.2</v>
      </c>
      <c r="F38" s="14">
        <f t="shared" si="2"/>
        <v>3</v>
      </c>
      <c r="G38" s="14">
        <f t="shared" si="3"/>
        <v>1.6166765717667879</v>
      </c>
      <c r="H38" s="14">
        <f t="shared" si="4"/>
        <v>0.60000000000000009</v>
      </c>
      <c r="I38" s="14">
        <f t="shared" si="5"/>
        <v>0</v>
      </c>
      <c r="J38" s="14">
        <f t="shared" si="6"/>
        <v>0</v>
      </c>
      <c r="K38" s="15">
        <f>IF(CurrentMtgRatesDataTable8[[#This Row],[WA CC]]&lt;&gt;0,C37-CurrentMtgRatesDataTable8[[#This Row],[WA CC]],0)</f>
        <v>0</v>
      </c>
      <c r="L38" s="16">
        <f>IF(CurrentMtgRatesDataTable8[[#This Row],[Servicing Spread]]&lt;=0,L37,CurrentMtgRatesDataTable8[[#This Row],[Servicing Spread]])</f>
        <v>0.93226042608146331</v>
      </c>
      <c r="M38" s="16">
        <f>CurrentMtgRatesDataTable8[[#This Row],[Servicing Spread Non-Zero]]-L37</f>
        <v>0</v>
      </c>
      <c r="N38" s="16">
        <f>IF(J37&lt;&gt;0,CurrentMtgRatesDataTable8[[#This Row],[Rate]]-C37,N37)</f>
        <v>1.5000000000000124E-2</v>
      </c>
    </row>
    <row r="39" spans="1:14" s="7" customFormat="1">
      <c r="A39" s="8" t="s">
        <v>171</v>
      </c>
      <c r="B39" s="11">
        <v>2.76969358536605</v>
      </c>
      <c r="C39" s="13">
        <v>3.73</v>
      </c>
      <c r="D39" s="14">
        <f t="shared" si="0"/>
        <v>6</v>
      </c>
      <c r="E39" s="14">
        <f t="shared" si="1"/>
        <v>0.2</v>
      </c>
      <c r="F39" s="14">
        <f t="shared" si="2"/>
        <v>4</v>
      </c>
      <c r="G39" s="14">
        <f t="shared" si="3"/>
        <v>2.1706152888399979</v>
      </c>
      <c r="H39" s="14">
        <f t="shared" si="4"/>
        <v>0.8</v>
      </c>
      <c r="I39" s="14">
        <f t="shared" si="5"/>
        <v>0</v>
      </c>
      <c r="J39" s="14">
        <f t="shared" si="6"/>
        <v>0</v>
      </c>
      <c r="K39" s="15">
        <f>IF(CurrentMtgRatesDataTable8[[#This Row],[WA CC]]&lt;&gt;0,C38-CurrentMtgRatesDataTable8[[#This Row],[WA CC]],0)</f>
        <v>0</v>
      </c>
      <c r="L39" s="16">
        <f>IF(CurrentMtgRatesDataTable8[[#This Row],[Servicing Spread]]&lt;=0,L38,CurrentMtgRatesDataTable8[[#This Row],[Servicing Spread]])</f>
        <v>0.93226042608146331</v>
      </c>
      <c r="M39" s="16">
        <f>CurrentMtgRatesDataTable8[[#This Row],[Servicing Spread Non-Zero]]-L38</f>
        <v>0</v>
      </c>
      <c r="N39" s="16">
        <f>IF(J38&lt;&gt;0,CurrentMtgRatesDataTable8[[#This Row],[Rate]]-C38,N38)</f>
        <v>1.5000000000000124E-2</v>
      </c>
    </row>
    <row r="40" spans="1:14" s="7" customFormat="1">
      <c r="A40" s="8" t="s">
        <v>26</v>
      </c>
      <c r="B40" s="11">
        <v>2.7350812469927099</v>
      </c>
      <c r="C40" s="13">
        <v>3.73</v>
      </c>
      <c r="D40" s="14">
        <f t="shared" si="0"/>
        <v>7</v>
      </c>
      <c r="E40" s="14">
        <f t="shared" si="1"/>
        <v>0.2</v>
      </c>
      <c r="F40" s="14">
        <f t="shared" si="2"/>
        <v>5</v>
      </c>
      <c r="G40" s="14">
        <f t="shared" si="3"/>
        <v>2.7176315382385399</v>
      </c>
      <c r="H40" s="14">
        <f t="shared" si="4"/>
        <v>1</v>
      </c>
      <c r="I40" s="14">
        <f t="shared" si="5"/>
        <v>1</v>
      </c>
      <c r="J40" s="14">
        <f t="shared" si="6"/>
        <v>2.7176315382385399</v>
      </c>
      <c r="K40" s="15">
        <f>IF(CurrentMtgRatesDataTable8[[#This Row],[WA CC]]&lt;&gt;0,C39-CurrentMtgRatesDataTable8[[#This Row],[WA CC]],0)</f>
        <v>1.0123684617614601</v>
      </c>
      <c r="L40" s="16">
        <f>IF(CurrentMtgRatesDataTable8[[#This Row],[Servicing Spread]]&lt;=0,L39,CurrentMtgRatesDataTable8[[#This Row],[Servicing Spread]])</f>
        <v>1.0123684617614601</v>
      </c>
      <c r="M40" s="16">
        <f>CurrentMtgRatesDataTable8[[#This Row],[Servicing Spread Non-Zero]]-L39</f>
        <v>8.0108035679996803E-2</v>
      </c>
      <c r="N40" s="16">
        <f>IF(J39&lt;&gt;0,CurrentMtgRatesDataTable8[[#This Row],[Rate]]-C39,N39)</f>
        <v>1.5000000000000124E-2</v>
      </c>
    </row>
    <row r="41" spans="1:14" s="7" customFormat="1">
      <c r="A41" s="8" t="s">
        <v>593</v>
      </c>
      <c r="B41" s="11">
        <v>2.7605421873144298</v>
      </c>
      <c r="C41" s="13">
        <v>3.7</v>
      </c>
      <c r="D41" s="14">
        <f t="shared" si="0"/>
        <v>1</v>
      </c>
      <c r="E41" s="14">
        <f t="shared" si="1"/>
        <v>0.2</v>
      </c>
      <c r="F41" s="14">
        <f t="shared" si="2"/>
        <v>1</v>
      </c>
      <c r="G41" s="14">
        <f t="shared" si="3"/>
        <v>0.55210843746288596</v>
      </c>
      <c r="H41" s="14">
        <f t="shared" si="4"/>
        <v>0.2</v>
      </c>
      <c r="I41" s="14">
        <f t="shared" si="5"/>
        <v>0</v>
      </c>
      <c r="J41" s="14">
        <f t="shared" si="6"/>
        <v>0</v>
      </c>
      <c r="K41" s="15">
        <f>IF(CurrentMtgRatesDataTable8[[#This Row],[WA CC]]&lt;&gt;0,C40-CurrentMtgRatesDataTable8[[#This Row],[WA CC]],0)</f>
        <v>0</v>
      </c>
      <c r="L41" s="16">
        <f>IF(CurrentMtgRatesDataTable8[[#This Row],[Servicing Spread]]&lt;=0,L40,CurrentMtgRatesDataTable8[[#This Row],[Servicing Spread]])</f>
        <v>1.0123684617614601</v>
      </c>
      <c r="M41" s="16">
        <f>CurrentMtgRatesDataTable8[[#This Row],[Servicing Spread Non-Zero]]-L40</f>
        <v>0</v>
      </c>
      <c r="N41" s="16">
        <f>IF(J40&lt;&gt;0,CurrentMtgRatesDataTable8[[#This Row],[Rate]]-C40,N40)</f>
        <v>-2.9999999999999805E-2</v>
      </c>
    </row>
    <row r="42" spans="1:14" s="7" customFormat="1">
      <c r="A42" s="8" t="s">
        <v>448</v>
      </c>
      <c r="B42" s="11">
        <v>2.7634534959262198</v>
      </c>
      <c r="C42" s="13">
        <v>3.7</v>
      </c>
      <c r="D42" s="14">
        <f t="shared" si="0"/>
        <v>2</v>
      </c>
      <c r="E42" s="14">
        <f t="shared" si="1"/>
        <v>0.2</v>
      </c>
      <c r="F42" s="14">
        <f t="shared" si="2"/>
        <v>2</v>
      </c>
      <c r="G42" s="14">
        <f t="shared" si="3"/>
        <v>1.10479913664813</v>
      </c>
      <c r="H42" s="14">
        <f t="shared" si="4"/>
        <v>0.4</v>
      </c>
      <c r="I42" s="14">
        <f t="shared" si="5"/>
        <v>0</v>
      </c>
      <c r="J42" s="14">
        <f t="shared" si="6"/>
        <v>0</v>
      </c>
      <c r="K42" s="15">
        <f>IF(CurrentMtgRatesDataTable8[[#This Row],[WA CC]]&lt;&gt;0,C41-CurrentMtgRatesDataTable8[[#This Row],[WA CC]],0)</f>
        <v>0</v>
      </c>
      <c r="L42" s="16">
        <f>IF(CurrentMtgRatesDataTable8[[#This Row],[Servicing Spread]]&lt;=0,L41,CurrentMtgRatesDataTable8[[#This Row],[Servicing Spread]])</f>
        <v>1.0123684617614601</v>
      </c>
      <c r="M42" s="16">
        <f>CurrentMtgRatesDataTable8[[#This Row],[Servicing Spread Non-Zero]]-L41</f>
        <v>0</v>
      </c>
      <c r="N42" s="16">
        <f>IF(J41&lt;&gt;0,CurrentMtgRatesDataTable8[[#This Row],[Rate]]-C41,N41)</f>
        <v>-2.9999999999999805E-2</v>
      </c>
    </row>
    <row r="43" spans="1:14" s="7" customFormat="1">
      <c r="A43" s="8" t="s">
        <v>172</v>
      </c>
      <c r="B43" s="11">
        <v>2.77148784579206</v>
      </c>
      <c r="C43" s="13">
        <v>3.7</v>
      </c>
      <c r="D43" s="14">
        <f t="shared" si="0"/>
        <v>6</v>
      </c>
      <c r="E43" s="14">
        <f t="shared" si="1"/>
        <v>0.2</v>
      </c>
      <c r="F43" s="14">
        <f t="shared" si="2"/>
        <v>3</v>
      </c>
      <c r="G43" s="14">
        <f t="shared" si="3"/>
        <v>1.659096705806542</v>
      </c>
      <c r="H43" s="14">
        <f t="shared" si="4"/>
        <v>0.60000000000000009</v>
      </c>
      <c r="I43" s="14">
        <f t="shared" si="5"/>
        <v>0</v>
      </c>
      <c r="J43" s="14">
        <f t="shared" si="6"/>
        <v>0</v>
      </c>
      <c r="K43" s="15">
        <f>IF(CurrentMtgRatesDataTable8[[#This Row],[WA CC]]&lt;&gt;0,C42-CurrentMtgRatesDataTable8[[#This Row],[WA CC]],0)</f>
        <v>0</v>
      </c>
      <c r="L43" s="16">
        <f>IF(CurrentMtgRatesDataTable8[[#This Row],[Servicing Spread]]&lt;=0,L42,CurrentMtgRatesDataTable8[[#This Row],[Servicing Spread]])</f>
        <v>1.0123684617614601</v>
      </c>
      <c r="M43" s="16">
        <f>CurrentMtgRatesDataTable8[[#This Row],[Servicing Spread Non-Zero]]-L42</f>
        <v>0</v>
      </c>
      <c r="N43" s="16">
        <f>IF(J42&lt;&gt;0,CurrentMtgRatesDataTable8[[#This Row],[Rate]]-C42,N42)</f>
        <v>-2.9999999999999805E-2</v>
      </c>
    </row>
    <row r="44" spans="1:14" s="7" customFormat="1">
      <c r="A44" s="8" t="s">
        <v>27</v>
      </c>
      <c r="B44" s="11">
        <v>2.6848642616862599</v>
      </c>
      <c r="C44" s="13">
        <v>3.7</v>
      </c>
      <c r="D44" s="14">
        <f t="shared" si="0"/>
        <v>7</v>
      </c>
      <c r="E44" s="14">
        <f t="shared" si="1"/>
        <v>0.2</v>
      </c>
      <c r="F44" s="14">
        <f t="shared" si="2"/>
        <v>4</v>
      </c>
      <c r="G44" s="14">
        <f t="shared" si="3"/>
        <v>2.1960695581437939</v>
      </c>
      <c r="H44" s="14">
        <f t="shared" si="4"/>
        <v>0.8</v>
      </c>
      <c r="I44" s="14">
        <f t="shared" si="5"/>
        <v>1</v>
      </c>
      <c r="J44" s="14">
        <f t="shared" si="6"/>
        <v>2.7450869476797424</v>
      </c>
      <c r="K44" s="15">
        <f>IF(CurrentMtgRatesDataTable8[[#This Row],[WA CC]]&lt;&gt;0,C43-CurrentMtgRatesDataTable8[[#This Row],[WA CC]],0)</f>
        <v>0.9549130523202578</v>
      </c>
      <c r="L44" s="16">
        <f>IF(CurrentMtgRatesDataTable8[[#This Row],[Servicing Spread]]&lt;=0,L43,CurrentMtgRatesDataTable8[[#This Row],[Servicing Spread]])</f>
        <v>0.9549130523202578</v>
      </c>
      <c r="M44" s="16">
        <f>CurrentMtgRatesDataTable8[[#This Row],[Servicing Spread Non-Zero]]-L43</f>
        <v>-5.745540944120231E-2</v>
      </c>
      <c r="N44" s="16">
        <f>IF(J43&lt;&gt;0,CurrentMtgRatesDataTable8[[#This Row],[Rate]]-C43,N43)</f>
        <v>-2.9999999999999805E-2</v>
      </c>
    </row>
    <row r="45" spans="1:14" s="7" customFormat="1">
      <c r="A45" s="8" t="s">
        <v>594</v>
      </c>
      <c r="B45" s="11">
        <v>2.6463905286345102</v>
      </c>
      <c r="C45" s="13">
        <v>3.5949999999999998</v>
      </c>
      <c r="D45" s="14">
        <f t="shared" si="0"/>
        <v>1</v>
      </c>
      <c r="E45" s="14">
        <f t="shared" si="1"/>
        <v>0.2</v>
      </c>
      <c r="F45" s="14">
        <f t="shared" si="2"/>
        <v>1</v>
      </c>
      <c r="G45" s="14">
        <f t="shared" si="3"/>
        <v>0.52927810572690204</v>
      </c>
      <c r="H45" s="14">
        <f t="shared" si="4"/>
        <v>0.2</v>
      </c>
      <c r="I45" s="14">
        <f t="shared" si="5"/>
        <v>0</v>
      </c>
      <c r="J45" s="14">
        <f t="shared" si="6"/>
        <v>0</v>
      </c>
      <c r="K45" s="15">
        <f>IF(CurrentMtgRatesDataTable8[[#This Row],[WA CC]]&lt;&gt;0,C44-CurrentMtgRatesDataTable8[[#This Row],[WA CC]],0)</f>
        <v>0</v>
      </c>
      <c r="L45" s="16">
        <f>IF(CurrentMtgRatesDataTable8[[#This Row],[Servicing Spread]]&lt;=0,L44,CurrentMtgRatesDataTable8[[#This Row],[Servicing Spread]])</f>
        <v>0.9549130523202578</v>
      </c>
      <c r="M45" s="16">
        <f>CurrentMtgRatesDataTable8[[#This Row],[Servicing Spread Non-Zero]]-L44</f>
        <v>0</v>
      </c>
      <c r="N45" s="16">
        <f>IF(J44&lt;&gt;0,CurrentMtgRatesDataTable8[[#This Row],[Rate]]-C44,N44)</f>
        <v>-0.10500000000000043</v>
      </c>
    </row>
    <row r="46" spans="1:14" s="7" customFormat="1">
      <c r="A46" s="8" t="s">
        <v>449</v>
      </c>
      <c r="B46" s="11">
        <v>2.5315862032348999</v>
      </c>
      <c r="C46" s="13">
        <v>3.5949999999999998</v>
      </c>
      <c r="D46" s="14">
        <f t="shared" si="0"/>
        <v>2</v>
      </c>
      <c r="E46" s="14">
        <f t="shared" si="1"/>
        <v>0.2</v>
      </c>
      <c r="F46" s="14">
        <f t="shared" si="2"/>
        <v>2</v>
      </c>
      <c r="G46" s="14">
        <f t="shared" si="3"/>
        <v>1.0355953463738821</v>
      </c>
      <c r="H46" s="14">
        <f t="shared" si="4"/>
        <v>0.4</v>
      </c>
      <c r="I46" s="14">
        <f t="shared" si="5"/>
        <v>0</v>
      </c>
      <c r="J46" s="14">
        <f t="shared" si="6"/>
        <v>0</v>
      </c>
      <c r="K46" s="15">
        <f>IF(CurrentMtgRatesDataTable8[[#This Row],[WA CC]]&lt;&gt;0,C45-CurrentMtgRatesDataTable8[[#This Row],[WA CC]],0)</f>
        <v>0</v>
      </c>
      <c r="L46" s="16">
        <f>IF(CurrentMtgRatesDataTable8[[#This Row],[Servicing Spread]]&lt;=0,L45,CurrentMtgRatesDataTable8[[#This Row],[Servicing Spread]])</f>
        <v>0.9549130523202578</v>
      </c>
      <c r="M46" s="16">
        <f>CurrentMtgRatesDataTable8[[#This Row],[Servicing Spread Non-Zero]]-L45</f>
        <v>0</v>
      </c>
      <c r="N46" s="16">
        <f>IF(J45&lt;&gt;0,CurrentMtgRatesDataTable8[[#This Row],[Rate]]-C45,N45)</f>
        <v>-0.10500000000000043</v>
      </c>
    </row>
    <row r="47" spans="1:14" s="7" customFormat="1">
      <c r="A47" s="8" t="s">
        <v>316</v>
      </c>
      <c r="B47" s="11">
        <v>2.62225605452167</v>
      </c>
      <c r="C47" s="13">
        <v>3.5949999999999998</v>
      </c>
      <c r="D47" s="14">
        <f t="shared" si="0"/>
        <v>5</v>
      </c>
      <c r="E47" s="14">
        <f t="shared" si="1"/>
        <v>0.2</v>
      </c>
      <c r="F47" s="14">
        <f t="shared" si="2"/>
        <v>3</v>
      </c>
      <c r="G47" s="14">
        <f t="shared" si="3"/>
        <v>1.5600465572782161</v>
      </c>
      <c r="H47" s="14">
        <f t="shared" si="4"/>
        <v>0.60000000000000009</v>
      </c>
      <c r="I47" s="14">
        <f t="shared" si="5"/>
        <v>0</v>
      </c>
      <c r="J47" s="14">
        <f t="shared" si="6"/>
        <v>0</v>
      </c>
      <c r="K47" s="15">
        <f>IF(CurrentMtgRatesDataTable8[[#This Row],[WA CC]]&lt;&gt;0,C46-CurrentMtgRatesDataTable8[[#This Row],[WA CC]],0)</f>
        <v>0</v>
      </c>
      <c r="L47" s="16">
        <f>IF(CurrentMtgRatesDataTable8[[#This Row],[Servicing Spread]]&lt;=0,L46,CurrentMtgRatesDataTable8[[#This Row],[Servicing Spread]])</f>
        <v>0.9549130523202578</v>
      </c>
      <c r="M47" s="16">
        <f>CurrentMtgRatesDataTable8[[#This Row],[Servicing Spread Non-Zero]]-L46</f>
        <v>0</v>
      </c>
      <c r="N47" s="16">
        <f>IF(J46&lt;&gt;0,CurrentMtgRatesDataTable8[[#This Row],[Rate]]-C46,N46)</f>
        <v>-0.10500000000000043</v>
      </c>
    </row>
    <row r="48" spans="1:14" s="7" customFormat="1">
      <c r="A48" s="8" t="s">
        <v>173</v>
      </c>
      <c r="B48" s="11">
        <v>2.67215902179854</v>
      </c>
      <c r="C48" s="13">
        <v>3.5949999999999998</v>
      </c>
      <c r="D48" s="14">
        <f t="shared" si="0"/>
        <v>6</v>
      </c>
      <c r="E48" s="14">
        <f t="shared" si="1"/>
        <v>0.2</v>
      </c>
      <c r="F48" s="14">
        <f t="shared" si="2"/>
        <v>4</v>
      </c>
      <c r="G48" s="14">
        <f t="shared" si="3"/>
        <v>2.0944783616379241</v>
      </c>
      <c r="H48" s="14">
        <f t="shared" si="4"/>
        <v>0.8</v>
      </c>
      <c r="I48" s="14">
        <f t="shared" si="5"/>
        <v>0</v>
      </c>
      <c r="J48" s="14">
        <f t="shared" si="6"/>
        <v>0</v>
      </c>
      <c r="K48" s="15">
        <f>IF(CurrentMtgRatesDataTable8[[#This Row],[WA CC]]&lt;&gt;0,C47-CurrentMtgRatesDataTable8[[#This Row],[WA CC]],0)</f>
        <v>0</v>
      </c>
      <c r="L48" s="16">
        <f>IF(CurrentMtgRatesDataTable8[[#This Row],[Servicing Spread]]&lt;=0,L47,CurrentMtgRatesDataTable8[[#This Row],[Servicing Spread]])</f>
        <v>0.9549130523202578</v>
      </c>
      <c r="M48" s="16">
        <f>CurrentMtgRatesDataTable8[[#This Row],[Servicing Spread Non-Zero]]-L47</f>
        <v>0</v>
      </c>
      <c r="N48" s="16">
        <f>IF(J47&lt;&gt;0,CurrentMtgRatesDataTable8[[#This Row],[Rate]]-C47,N47)</f>
        <v>-0.10500000000000043</v>
      </c>
    </row>
    <row r="49" spans="1:14" s="7" customFormat="1">
      <c r="A49" s="8" t="s">
        <v>28</v>
      </c>
      <c r="B49" s="11">
        <v>2.7069899299945201</v>
      </c>
      <c r="C49" s="13">
        <v>3.5949999999999998</v>
      </c>
      <c r="D49" s="14">
        <f t="shared" si="0"/>
        <v>7</v>
      </c>
      <c r="E49" s="14">
        <f t="shared" si="1"/>
        <v>0.2</v>
      </c>
      <c r="F49" s="14">
        <f t="shared" si="2"/>
        <v>5</v>
      </c>
      <c r="G49" s="14">
        <f t="shared" si="3"/>
        <v>2.6358763476368283</v>
      </c>
      <c r="H49" s="14">
        <f t="shared" si="4"/>
        <v>1</v>
      </c>
      <c r="I49" s="14">
        <f t="shared" si="5"/>
        <v>1</v>
      </c>
      <c r="J49" s="14">
        <f t="shared" si="6"/>
        <v>2.6358763476368283</v>
      </c>
      <c r="K49" s="15">
        <f>IF(CurrentMtgRatesDataTable8[[#This Row],[WA CC]]&lt;&gt;0,C48-CurrentMtgRatesDataTable8[[#This Row],[WA CC]],0)</f>
        <v>0.95912365236317143</v>
      </c>
      <c r="L49" s="16">
        <f>IF(CurrentMtgRatesDataTable8[[#This Row],[Servicing Spread]]&lt;=0,L48,CurrentMtgRatesDataTable8[[#This Row],[Servicing Spread]])</f>
        <v>0.95912365236317143</v>
      </c>
      <c r="M49" s="16">
        <f>CurrentMtgRatesDataTable8[[#This Row],[Servicing Spread Non-Zero]]-L48</f>
        <v>4.2106000429136259E-3</v>
      </c>
      <c r="N49" s="16">
        <f>IF(J48&lt;&gt;0,CurrentMtgRatesDataTable8[[#This Row],[Rate]]-C48,N48)</f>
        <v>-0.10500000000000043</v>
      </c>
    </row>
    <row r="50" spans="1:14" s="7" customFormat="1">
      <c r="A50" s="8" t="s">
        <v>595</v>
      </c>
      <c r="B50" s="11">
        <v>2.6775785563630401</v>
      </c>
      <c r="C50" s="13">
        <v>3.6349999999999998</v>
      </c>
      <c r="D50" s="14">
        <f t="shared" si="0"/>
        <v>1</v>
      </c>
      <c r="E50" s="14">
        <f t="shared" si="1"/>
        <v>0.2</v>
      </c>
      <c r="F50" s="14">
        <f t="shared" si="2"/>
        <v>1</v>
      </c>
      <c r="G50" s="14">
        <f t="shared" si="3"/>
        <v>0.535515711272608</v>
      </c>
      <c r="H50" s="14">
        <f t="shared" si="4"/>
        <v>0.2</v>
      </c>
      <c r="I50" s="14">
        <f t="shared" si="5"/>
        <v>0</v>
      </c>
      <c r="J50" s="14">
        <f t="shared" si="6"/>
        <v>0</v>
      </c>
      <c r="K50" s="15">
        <f>IF(CurrentMtgRatesDataTable8[[#This Row],[WA CC]]&lt;&gt;0,C49-CurrentMtgRatesDataTable8[[#This Row],[WA CC]],0)</f>
        <v>0</v>
      </c>
      <c r="L50" s="16">
        <f>IF(CurrentMtgRatesDataTable8[[#This Row],[Servicing Spread]]&lt;=0,L49,CurrentMtgRatesDataTable8[[#This Row],[Servicing Spread]])</f>
        <v>0.95912365236317143</v>
      </c>
      <c r="M50" s="16">
        <f>CurrentMtgRatesDataTable8[[#This Row],[Servicing Spread Non-Zero]]-L49</f>
        <v>0</v>
      </c>
      <c r="N50" s="16">
        <f>IF(J49&lt;&gt;0,CurrentMtgRatesDataTable8[[#This Row],[Rate]]-C49,N49)</f>
        <v>4.0000000000000036E-2</v>
      </c>
    </row>
    <row r="51" spans="1:14" s="7" customFormat="1">
      <c r="A51" s="8" t="s">
        <v>450</v>
      </c>
      <c r="B51" s="11">
        <v>2.6791053539735099</v>
      </c>
      <c r="C51" s="13">
        <v>3.6349999999999998</v>
      </c>
      <c r="D51" s="14">
        <f t="shared" si="0"/>
        <v>2</v>
      </c>
      <c r="E51" s="14">
        <f t="shared" si="1"/>
        <v>0.2</v>
      </c>
      <c r="F51" s="14">
        <f t="shared" si="2"/>
        <v>2</v>
      </c>
      <c r="G51" s="14">
        <f t="shared" si="3"/>
        <v>1.0713367820673101</v>
      </c>
      <c r="H51" s="14">
        <f t="shared" si="4"/>
        <v>0.4</v>
      </c>
      <c r="I51" s="14">
        <f t="shared" si="5"/>
        <v>0</v>
      </c>
      <c r="J51" s="14">
        <f t="shared" si="6"/>
        <v>0</v>
      </c>
      <c r="K51" s="15">
        <f>IF(CurrentMtgRatesDataTable8[[#This Row],[WA CC]]&lt;&gt;0,C50-CurrentMtgRatesDataTable8[[#This Row],[WA CC]],0)</f>
        <v>0</v>
      </c>
      <c r="L51" s="16">
        <f>IF(CurrentMtgRatesDataTable8[[#This Row],[Servicing Spread]]&lt;=0,L50,CurrentMtgRatesDataTable8[[#This Row],[Servicing Spread]])</f>
        <v>0.95912365236317143</v>
      </c>
      <c r="M51" s="16">
        <f>CurrentMtgRatesDataTable8[[#This Row],[Servicing Spread Non-Zero]]-L50</f>
        <v>0</v>
      </c>
      <c r="N51" s="16">
        <f>IF(J50&lt;&gt;0,CurrentMtgRatesDataTable8[[#This Row],[Rate]]-C50,N50)</f>
        <v>4.0000000000000036E-2</v>
      </c>
    </row>
    <row r="52" spans="1:14" s="7" customFormat="1">
      <c r="A52" s="8" t="s">
        <v>317</v>
      </c>
      <c r="B52" s="11">
        <v>2.6398968961248501</v>
      </c>
      <c r="C52" s="13">
        <v>3.6349999999999998</v>
      </c>
      <c r="D52" s="14">
        <f t="shared" si="0"/>
        <v>5</v>
      </c>
      <c r="E52" s="14">
        <f t="shared" si="1"/>
        <v>0.2</v>
      </c>
      <c r="F52" s="14">
        <f t="shared" si="2"/>
        <v>3</v>
      </c>
      <c r="G52" s="14">
        <f t="shared" si="3"/>
        <v>1.5993161612922802</v>
      </c>
      <c r="H52" s="14">
        <f t="shared" si="4"/>
        <v>0.60000000000000009</v>
      </c>
      <c r="I52" s="14">
        <f t="shared" si="5"/>
        <v>0</v>
      </c>
      <c r="J52" s="14">
        <f t="shared" si="6"/>
        <v>0</v>
      </c>
      <c r="K52" s="15">
        <f>IF(CurrentMtgRatesDataTable8[[#This Row],[WA CC]]&lt;&gt;0,C51-CurrentMtgRatesDataTable8[[#This Row],[WA CC]],0)</f>
        <v>0</v>
      </c>
      <c r="L52" s="16">
        <f>IF(CurrentMtgRatesDataTable8[[#This Row],[Servicing Spread]]&lt;=0,L51,CurrentMtgRatesDataTable8[[#This Row],[Servicing Spread]])</f>
        <v>0.95912365236317143</v>
      </c>
      <c r="M52" s="16">
        <f>CurrentMtgRatesDataTable8[[#This Row],[Servicing Spread Non-Zero]]-L51</f>
        <v>0</v>
      </c>
      <c r="N52" s="16">
        <f>IF(J51&lt;&gt;0,CurrentMtgRatesDataTable8[[#This Row],[Rate]]-C51,N51)</f>
        <v>4.0000000000000036E-2</v>
      </c>
    </row>
    <row r="53" spans="1:14" s="7" customFormat="1">
      <c r="A53" s="8" t="s">
        <v>174</v>
      </c>
      <c r="B53" s="11">
        <v>2.6959588926221301</v>
      </c>
      <c r="C53" s="13">
        <v>3.6349999999999998</v>
      </c>
      <c r="D53" s="14">
        <f t="shared" si="0"/>
        <v>6</v>
      </c>
      <c r="E53" s="14">
        <f t="shared" si="1"/>
        <v>0.2</v>
      </c>
      <c r="F53" s="14">
        <f t="shared" si="2"/>
        <v>4</v>
      </c>
      <c r="G53" s="14">
        <f t="shared" si="3"/>
        <v>2.1385079398167059</v>
      </c>
      <c r="H53" s="14">
        <f t="shared" si="4"/>
        <v>0.8</v>
      </c>
      <c r="I53" s="14">
        <f t="shared" si="5"/>
        <v>0</v>
      </c>
      <c r="J53" s="14">
        <f t="shared" si="6"/>
        <v>0</v>
      </c>
      <c r="K53" s="15">
        <f>IF(CurrentMtgRatesDataTable8[[#This Row],[WA CC]]&lt;&gt;0,C52-CurrentMtgRatesDataTable8[[#This Row],[WA CC]],0)</f>
        <v>0</v>
      </c>
      <c r="L53" s="16">
        <f>IF(CurrentMtgRatesDataTable8[[#This Row],[Servicing Spread]]&lt;=0,L52,CurrentMtgRatesDataTable8[[#This Row],[Servicing Spread]])</f>
        <v>0.95912365236317143</v>
      </c>
      <c r="M53" s="16">
        <f>CurrentMtgRatesDataTable8[[#This Row],[Servicing Spread Non-Zero]]-L52</f>
        <v>0</v>
      </c>
      <c r="N53" s="16">
        <f>IF(J52&lt;&gt;0,CurrentMtgRatesDataTable8[[#This Row],[Rate]]-C52,N52)</f>
        <v>4.0000000000000036E-2</v>
      </c>
    </row>
    <row r="54" spans="1:14" s="7" customFormat="1">
      <c r="A54" s="8" t="s">
        <v>29</v>
      </c>
      <c r="B54" s="11">
        <v>2.6525646200106201</v>
      </c>
      <c r="C54" s="13">
        <v>3.6349999999999998</v>
      </c>
      <c r="D54" s="14">
        <f t="shared" si="0"/>
        <v>7</v>
      </c>
      <c r="E54" s="14">
        <f t="shared" si="1"/>
        <v>0.2</v>
      </c>
      <c r="F54" s="14">
        <f t="shared" si="2"/>
        <v>5</v>
      </c>
      <c r="G54" s="14">
        <f t="shared" si="3"/>
        <v>2.66902086381883</v>
      </c>
      <c r="H54" s="14">
        <f t="shared" si="4"/>
        <v>1</v>
      </c>
      <c r="I54" s="14">
        <f t="shared" si="5"/>
        <v>1</v>
      </c>
      <c r="J54" s="14">
        <f t="shared" si="6"/>
        <v>2.66902086381883</v>
      </c>
      <c r="K54" s="15">
        <f>IF(CurrentMtgRatesDataTable8[[#This Row],[WA CC]]&lt;&gt;0,C53-CurrentMtgRatesDataTable8[[#This Row],[WA CC]],0)</f>
        <v>0.96597913618116982</v>
      </c>
      <c r="L54" s="16">
        <f>IF(CurrentMtgRatesDataTable8[[#This Row],[Servicing Spread]]&lt;=0,L53,CurrentMtgRatesDataTable8[[#This Row],[Servicing Spread]])</f>
        <v>0.96597913618116982</v>
      </c>
      <c r="M54" s="16">
        <f>CurrentMtgRatesDataTable8[[#This Row],[Servicing Spread Non-Zero]]-L53</f>
        <v>6.8554838179983868E-3</v>
      </c>
      <c r="N54" s="16">
        <f>IF(J53&lt;&gt;0,CurrentMtgRatesDataTable8[[#This Row],[Rate]]-C53,N53)</f>
        <v>4.0000000000000036E-2</v>
      </c>
    </row>
    <row r="55" spans="1:14" s="7" customFormat="1">
      <c r="A55" s="8" t="s">
        <v>596</v>
      </c>
      <c r="B55" s="11">
        <v>2.63093877997242</v>
      </c>
      <c r="C55" s="13">
        <v>3.585</v>
      </c>
      <c r="D55" s="14">
        <f t="shared" si="0"/>
        <v>1</v>
      </c>
      <c r="E55" s="14">
        <f t="shared" si="1"/>
        <v>0.2</v>
      </c>
      <c r="F55" s="14">
        <f t="shared" si="2"/>
        <v>1</v>
      </c>
      <c r="G55" s="14">
        <f t="shared" si="3"/>
        <v>0.52618775599448397</v>
      </c>
      <c r="H55" s="14">
        <f t="shared" si="4"/>
        <v>0.2</v>
      </c>
      <c r="I55" s="14">
        <f t="shared" si="5"/>
        <v>0</v>
      </c>
      <c r="J55" s="14">
        <f t="shared" si="6"/>
        <v>0</v>
      </c>
      <c r="K55" s="15">
        <f>IF(CurrentMtgRatesDataTable8[[#This Row],[WA CC]]&lt;&gt;0,C54-CurrentMtgRatesDataTable8[[#This Row],[WA CC]],0)</f>
        <v>0</v>
      </c>
      <c r="L55" s="16">
        <f>IF(CurrentMtgRatesDataTable8[[#This Row],[Servicing Spread]]&lt;=0,L54,CurrentMtgRatesDataTable8[[#This Row],[Servicing Spread]])</f>
        <v>0.96597913618116982</v>
      </c>
      <c r="M55" s="16">
        <f>CurrentMtgRatesDataTable8[[#This Row],[Servicing Spread Non-Zero]]-L54</f>
        <v>0</v>
      </c>
      <c r="N55" s="16">
        <f>IF(J54&lt;&gt;0,CurrentMtgRatesDataTable8[[#This Row],[Rate]]-C54,N54)</f>
        <v>-4.9999999999999822E-2</v>
      </c>
    </row>
    <row r="56" spans="1:14" s="7" customFormat="1">
      <c r="A56" s="8" t="s">
        <v>451</v>
      </c>
      <c r="B56" s="11">
        <v>2.6135481549442598</v>
      </c>
      <c r="C56" s="13">
        <v>3.585</v>
      </c>
      <c r="D56" s="14">
        <f t="shared" si="0"/>
        <v>2</v>
      </c>
      <c r="E56" s="14">
        <f t="shared" si="1"/>
        <v>0.2</v>
      </c>
      <c r="F56" s="14">
        <f t="shared" si="2"/>
        <v>2</v>
      </c>
      <c r="G56" s="14">
        <f t="shared" si="3"/>
        <v>1.048897386983336</v>
      </c>
      <c r="H56" s="14">
        <f t="shared" si="4"/>
        <v>0.4</v>
      </c>
      <c r="I56" s="14">
        <f t="shared" si="5"/>
        <v>0</v>
      </c>
      <c r="J56" s="14">
        <f t="shared" si="6"/>
        <v>0</v>
      </c>
      <c r="K56" s="15">
        <f>IF(CurrentMtgRatesDataTable8[[#This Row],[WA CC]]&lt;&gt;0,C55-CurrentMtgRatesDataTable8[[#This Row],[WA CC]],0)</f>
        <v>0</v>
      </c>
      <c r="L56" s="16">
        <f>IF(CurrentMtgRatesDataTable8[[#This Row],[Servicing Spread]]&lt;=0,L55,CurrentMtgRatesDataTable8[[#This Row],[Servicing Spread]])</f>
        <v>0.96597913618116982</v>
      </c>
      <c r="M56" s="16">
        <f>CurrentMtgRatesDataTable8[[#This Row],[Servicing Spread Non-Zero]]-L55</f>
        <v>0</v>
      </c>
      <c r="N56" s="16">
        <f>IF(J55&lt;&gt;0,CurrentMtgRatesDataTable8[[#This Row],[Rate]]-C55,N55)</f>
        <v>-4.9999999999999822E-2</v>
      </c>
    </row>
    <row r="57" spans="1:14" s="7" customFormat="1">
      <c r="A57" s="8" t="s">
        <v>318</v>
      </c>
      <c r="B57" s="11">
        <v>2.5951502868946998</v>
      </c>
      <c r="C57" s="13">
        <v>3.585</v>
      </c>
      <c r="D57" s="14">
        <f t="shared" si="0"/>
        <v>5</v>
      </c>
      <c r="E57" s="14">
        <f t="shared" si="1"/>
        <v>0.2</v>
      </c>
      <c r="F57" s="14">
        <f t="shared" si="2"/>
        <v>3</v>
      </c>
      <c r="G57" s="14">
        <f t="shared" si="3"/>
        <v>1.5679274443622759</v>
      </c>
      <c r="H57" s="14">
        <f t="shared" si="4"/>
        <v>0.60000000000000009</v>
      </c>
      <c r="I57" s="14">
        <f t="shared" si="5"/>
        <v>0</v>
      </c>
      <c r="J57" s="14">
        <f t="shared" si="6"/>
        <v>0</v>
      </c>
      <c r="K57" s="15">
        <f>IF(CurrentMtgRatesDataTable8[[#This Row],[WA CC]]&lt;&gt;0,C56-CurrentMtgRatesDataTable8[[#This Row],[WA CC]],0)</f>
        <v>0</v>
      </c>
      <c r="L57" s="16">
        <f>IF(CurrentMtgRatesDataTable8[[#This Row],[Servicing Spread]]&lt;=0,L56,CurrentMtgRatesDataTable8[[#This Row],[Servicing Spread]])</f>
        <v>0.96597913618116982</v>
      </c>
      <c r="M57" s="16">
        <f>CurrentMtgRatesDataTable8[[#This Row],[Servicing Spread Non-Zero]]-L56</f>
        <v>0</v>
      </c>
      <c r="N57" s="16">
        <f>IF(J56&lt;&gt;0,CurrentMtgRatesDataTable8[[#This Row],[Rate]]-C56,N56)</f>
        <v>-4.9999999999999822E-2</v>
      </c>
    </row>
    <row r="58" spans="1:14" s="7" customFormat="1">
      <c r="A58" s="8" t="s">
        <v>175</v>
      </c>
      <c r="B58" s="11">
        <v>2.5989008122860202</v>
      </c>
      <c r="C58" s="13">
        <v>3.585</v>
      </c>
      <c r="D58" s="14">
        <f t="shared" si="0"/>
        <v>6</v>
      </c>
      <c r="E58" s="14">
        <f t="shared" si="1"/>
        <v>0.2</v>
      </c>
      <c r="F58" s="14">
        <f t="shared" si="2"/>
        <v>4</v>
      </c>
      <c r="G58" s="14">
        <f t="shared" si="3"/>
        <v>2.08770760681948</v>
      </c>
      <c r="H58" s="14">
        <f t="shared" si="4"/>
        <v>0.8</v>
      </c>
      <c r="I58" s="14">
        <f t="shared" si="5"/>
        <v>0</v>
      </c>
      <c r="J58" s="14">
        <f t="shared" si="6"/>
        <v>0</v>
      </c>
      <c r="K58" s="15">
        <f>IF(CurrentMtgRatesDataTable8[[#This Row],[WA CC]]&lt;&gt;0,C57-CurrentMtgRatesDataTable8[[#This Row],[WA CC]],0)</f>
        <v>0</v>
      </c>
      <c r="L58" s="16">
        <f>IF(CurrentMtgRatesDataTable8[[#This Row],[Servicing Spread]]&lt;=0,L57,CurrentMtgRatesDataTable8[[#This Row],[Servicing Spread]])</f>
        <v>0.96597913618116982</v>
      </c>
      <c r="M58" s="16">
        <f>CurrentMtgRatesDataTable8[[#This Row],[Servicing Spread Non-Zero]]-L57</f>
        <v>0</v>
      </c>
      <c r="N58" s="16">
        <f>IF(J57&lt;&gt;0,CurrentMtgRatesDataTable8[[#This Row],[Rate]]-C57,N57)</f>
        <v>-4.9999999999999822E-2</v>
      </c>
    </row>
    <row r="59" spans="1:14" s="7" customFormat="1">
      <c r="A59" s="8" t="s">
        <v>30</v>
      </c>
      <c r="B59" s="11">
        <v>2.6422120111570599</v>
      </c>
      <c r="C59" s="13">
        <v>3.585</v>
      </c>
      <c r="D59" s="14">
        <f t="shared" si="0"/>
        <v>7</v>
      </c>
      <c r="E59" s="14">
        <f t="shared" si="1"/>
        <v>0.2</v>
      </c>
      <c r="F59" s="14">
        <f t="shared" si="2"/>
        <v>5</v>
      </c>
      <c r="G59" s="14">
        <f t="shared" si="3"/>
        <v>2.6161500090508918</v>
      </c>
      <c r="H59" s="14">
        <f t="shared" si="4"/>
        <v>1</v>
      </c>
      <c r="I59" s="14">
        <f t="shared" si="5"/>
        <v>1</v>
      </c>
      <c r="J59" s="14">
        <f t="shared" si="6"/>
        <v>2.6161500090508918</v>
      </c>
      <c r="K59" s="15">
        <f>IF(CurrentMtgRatesDataTable8[[#This Row],[WA CC]]&lt;&gt;0,C58-CurrentMtgRatesDataTable8[[#This Row],[WA CC]],0)</f>
        <v>0.96884999094910818</v>
      </c>
      <c r="L59" s="16">
        <f>IF(CurrentMtgRatesDataTable8[[#This Row],[Servicing Spread]]&lt;=0,L58,CurrentMtgRatesDataTable8[[#This Row],[Servicing Spread]])</f>
        <v>0.96884999094910818</v>
      </c>
      <c r="M59" s="16">
        <f>CurrentMtgRatesDataTable8[[#This Row],[Servicing Spread Non-Zero]]-L58</f>
        <v>2.8708547679383578E-3</v>
      </c>
      <c r="N59" s="16">
        <f>IF(J58&lt;&gt;0,CurrentMtgRatesDataTable8[[#This Row],[Rate]]-C58,N58)</f>
        <v>-4.9999999999999822E-2</v>
      </c>
    </row>
    <row r="60" spans="1:14" s="7" customFormat="1">
      <c r="A60" s="8" t="s">
        <v>597</v>
      </c>
      <c r="B60" s="11">
        <v>2.61404533663225</v>
      </c>
      <c r="C60" s="13">
        <v>3.585</v>
      </c>
      <c r="D60" s="14">
        <f t="shared" si="0"/>
        <v>1</v>
      </c>
      <c r="E60" s="14">
        <f t="shared" si="1"/>
        <v>0.2</v>
      </c>
      <c r="F60" s="14">
        <f t="shared" si="2"/>
        <v>1</v>
      </c>
      <c r="G60" s="14">
        <f t="shared" si="3"/>
        <v>0.52280906732645005</v>
      </c>
      <c r="H60" s="14">
        <f t="shared" si="4"/>
        <v>0.2</v>
      </c>
      <c r="I60" s="14">
        <f t="shared" si="5"/>
        <v>0</v>
      </c>
      <c r="J60" s="14">
        <f t="shared" si="6"/>
        <v>0</v>
      </c>
      <c r="K60" s="15">
        <f>IF(CurrentMtgRatesDataTable8[[#This Row],[WA CC]]&lt;&gt;0,C59-CurrentMtgRatesDataTable8[[#This Row],[WA CC]],0)</f>
        <v>0</v>
      </c>
      <c r="L60" s="16">
        <f>IF(CurrentMtgRatesDataTable8[[#This Row],[Servicing Spread]]&lt;=0,L59,CurrentMtgRatesDataTable8[[#This Row],[Servicing Spread]])</f>
        <v>0.96884999094910818</v>
      </c>
      <c r="M60" s="16">
        <f>CurrentMtgRatesDataTable8[[#This Row],[Servicing Spread Non-Zero]]-L59</f>
        <v>0</v>
      </c>
      <c r="N60" s="16">
        <f>IF(J59&lt;&gt;0,CurrentMtgRatesDataTable8[[#This Row],[Rate]]-C59,N59)</f>
        <v>0</v>
      </c>
    </row>
    <row r="61" spans="1:14" s="7" customFormat="1">
      <c r="A61" s="8" t="s">
        <v>452</v>
      </c>
      <c r="B61" s="11">
        <v>2.6681925280418901</v>
      </c>
      <c r="C61" s="13">
        <v>3.585</v>
      </c>
      <c r="D61" s="14">
        <f t="shared" si="0"/>
        <v>2</v>
      </c>
      <c r="E61" s="14">
        <f t="shared" si="1"/>
        <v>0.2</v>
      </c>
      <c r="F61" s="14">
        <f t="shared" si="2"/>
        <v>2</v>
      </c>
      <c r="G61" s="14">
        <f t="shared" si="3"/>
        <v>1.0564475729348279</v>
      </c>
      <c r="H61" s="14">
        <f t="shared" si="4"/>
        <v>0.4</v>
      </c>
      <c r="I61" s="14">
        <f t="shared" si="5"/>
        <v>0</v>
      </c>
      <c r="J61" s="14">
        <f t="shared" si="6"/>
        <v>0</v>
      </c>
      <c r="K61" s="15">
        <f>IF(CurrentMtgRatesDataTable8[[#This Row],[WA CC]]&lt;&gt;0,C60-CurrentMtgRatesDataTable8[[#This Row],[WA CC]],0)</f>
        <v>0</v>
      </c>
      <c r="L61" s="16">
        <f>IF(CurrentMtgRatesDataTable8[[#This Row],[Servicing Spread]]&lt;=0,L60,CurrentMtgRatesDataTable8[[#This Row],[Servicing Spread]])</f>
        <v>0.96884999094910818</v>
      </c>
      <c r="M61" s="16">
        <f>CurrentMtgRatesDataTable8[[#This Row],[Servicing Spread Non-Zero]]-L60</f>
        <v>0</v>
      </c>
      <c r="N61" s="16">
        <f>IF(J60&lt;&gt;0,CurrentMtgRatesDataTable8[[#This Row],[Rate]]-C60,N60)</f>
        <v>0</v>
      </c>
    </row>
    <row r="62" spans="1:14" s="7" customFormat="1">
      <c r="A62" s="8" t="s">
        <v>319</v>
      </c>
      <c r="B62" s="11">
        <v>2.57850061271707</v>
      </c>
      <c r="C62" s="13">
        <v>3.585</v>
      </c>
      <c r="D62" s="14">
        <f t="shared" si="0"/>
        <v>5</v>
      </c>
      <c r="E62" s="14">
        <f t="shared" si="1"/>
        <v>0.2</v>
      </c>
      <c r="F62" s="14">
        <f t="shared" si="2"/>
        <v>3</v>
      </c>
      <c r="G62" s="14">
        <f t="shared" si="3"/>
        <v>1.5721476954782418</v>
      </c>
      <c r="H62" s="14">
        <f t="shared" si="4"/>
        <v>0.60000000000000009</v>
      </c>
      <c r="I62" s="14">
        <f t="shared" si="5"/>
        <v>0</v>
      </c>
      <c r="J62" s="14">
        <f t="shared" si="6"/>
        <v>0</v>
      </c>
      <c r="K62" s="15">
        <f>IF(CurrentMtgRatesDataTable8[[#This Row],[WA CC]]&lt;&gt;0,C61-CurrentMtgRatesDataTable8[[#This Row],[WA CC]],0)</f>
        <v>0</v>
      </c>
      <c r="L62" s="16">
        <f>IF(CurrentMtgRatesDataTable8[[#This Row],[Servicing Spread]]&lt;=0,L61,CurrentMtgRatesDataTable8[[#This Row],[Servicing Spread]])</f>
        <v>0.96884999094910818</v>
      </c>
      <c r="M62" s="16">
        <f>CurrentMtgRatesDataTable8[[#This Row],[Servicing Spread Non-Zero]]-L61</f>
        <v>0</v>
      </c>
      <c r="N62" s="16">
        <f>IF(J61&lt;&gt;0,CurrentMtgRatesDataTable8[[#This Row],[Rate]]-C61,N61)</f>
        <v>0</v>
      </c>
    </row>
    <row r="63" spans="1:14" s="7" customFormat="1">
      <c r="A63" s="8" t="s">
        <v>176</v>
      </c>
      <c r="B63" s="11">
        <v>2.6163872152587899</v>
      </c>
      <c r="C63" s="13">
        <v>3.585</v>
      </c>
      <c r="D63" s="14">
        <f t="shared" si="0"/>
        <v>6</v>
      </c>
      <c r="E63" s="14">
        <f t="shared" si="1"/>
        <v>0.2</v>
      </c>
      <c r="F63" s="14">
        <f t="shared" si="2"/>
        <v>4</v>
      </c>
      <c r="G63" s="14">
        <f t="shared" si="3"/>
        <v>2.09542513853</v>
      </c>
      <c r="H63" s="14">
        <f t="shared" si="4"/>
        <v>0.8</v>
      </c>
      <c r="I63" s="14">
        <f t="shared" si="5"/>
        <v>0</v>
      </c>
      <c r="J63" s="14">
        <f t="shared" si="6"/>
        <v>0</v>
      </c>
      <c r="K63" s="15">
        <f>IF(CurrentMtgRatesDataTable8[[#This Row],[WA CC]]&lt;&gt;0,C62-CurrentMtgRatesDataTable8[[#This Row],[WA CC]],0)</f>
        <v>0</v>
      </c>
      <c r="L63" s="16">
        <f>IF(CurrentMtgRatesDataTable8[[#This Row],[Servicing Spread]]&lt;=0,L62,CurrentMtgRatesDataTable8[[#This Row],[Servicing Spread]])</f>
        <v>0.96884999094910818</v>
      </c>
      <c r="M63" s="16">
        <f>CurrentMtgRatesDataTable8[[#This Row],[Servicing Spread Non-Zero]]-L62</f>
        <v>0</v>
      </c>
      <c r="N63" s="16">
        <f>IF(J62&lt;&gt;0,CurrentMtgRatesDataTable8[[#This Row],[Rate]]-C62,N62)</f>
        <v>0</v>
      </c>
    </row>
    <row r="64" spans="1:14" s="7" customFormat="1">
      <c r="A64" s="8" t="s">
        <v>31</v>
      </c>
      <c r="B64" s="11">
        <v>2.5886723749410501</v>
      </c>
      <c r="C64" s="13">
        <v>3.585</v>
      </c>
      <c r="D64" s="14">
        <f t="shared" si="0"/>
        <v>7</v>
      </c>
      <c r="E64" s="14">
        <f t="shared" si="1"/>
        <v>0.2</v>
      </c>
      <c r="F64" s="14">
        <f t="shared" si="2"/>
        <v>5</v>
      </c>
      <c r="G64" s="14">
        <f t="shared" si="3"/>
        <v>2.61315961351821</v>
      </c>
      <c r="H64" s="14">
        <f t="shared" si="4"/>
        <v>1</v>
      </c>
      <c r="I64" s="14">
        <f t="shared" si="5"/>
        <v>1</v>
      </c>
      <c r="J64" s="14">
        <f t="shared" si="6"/>
        <v>2.61315961351821</v>
      </c>
      <c r="K64" s="15">
        <f>IF(CurrentMtgRatesDataTable8[[#This Row],[WA CC]]&lt;&gt;0,C63-CurrentMtgRatesDataTable8[[#This Row],[WA CC]],0)</f>
        <v>0.97184038648178994</v>
      </c>
      <c r="L64" s="16">
        <f>IF(CurrentMtgRatesDataTable8[[#This Row],[Servicing Spread]]&lt;=0,L63,CurrentMtgRatesDataTable8[[#This Row],[Servicing Spread]])</f>
        <v>0.97184038648178994</v>
      </c>
      <c r="M64" s="16">
        <f>CurrentMtgRatesDataTable8[[#This Row],[Servicing Spread Non-Zero]]-L63</f>
        <v>2.9903955326817666E-3</v>
      </c>
      <c r="N64" s="16">
        <f>IF(J63&lt;&gt;0,CurrentMtgRatesDataTable8[[#This Row],[Rate]]-C63,N63)</f>
        <v>0</v>
      </c>
    </row>
    <row r="65" spans="1:14" s="7" customFormat="1">
      <c r="A65" s="8" t="s">
        <v>598</v>
      </c>
      <c r="B65" s="11">
        <v>2.5509636037861898</v>
      </c>
      <c r="C65" s="13">
        <v>3.5700000000000003</v>
      </c>
      <c r="D65" s="14">
        <f t="shared" si="0"/>
        <v>1</v>
      </c>
      <c r="E65" s="14">
        <f t="shared" si="1"/>
        <v>0.2</v>
      </c>
      <c r="F65" s="14">
        <f t="shared" si="2"/>
        <v>1</v>
      </c>
      <c r="G65" s="14">
        <f t="shared" si="3"/>
        <v>0.51019272075723798</v>
      </c>
      <c r="H65" s="14">
        <f t="shared" si="4"/>
        <v>0.2</v>
      </c>
      <c r="I65" s="14">
        <f t="shared" si="5"/>
        <v>0</v>
      </c>
      <c r="J65" s="14">
        <f t="shared" si="6"/>
        <v>0</v>
      </c>
      <c r="K65" s="15">
        <f>IF(CurrentMtgRatesDataTable8[[#This Row],[WA CC]]&lt;&gt;0,C64-CurrentMtgRatesDataTable8[[#This Row],[WA CC]],0)</f>
        <v>0</v>
      </c>
      <c r="L65" s="16">
        <f>IF(CurrentMtgRatesDataTable8[[#This Row],[Servicing Spread]]&lt;=0,L64,CurrentMtgRatesDataTable8[[#This Row],[Servicing Spread]])</f>
        <v>0.97184038648178994</v>
      </c>
      <c r="M65" s="16">
        <f>CurrentMtgRatesDataTable8[[#This Row],[Servicing Spread Non-Zero]]-L64</f>
        <v>0</v>
      </c>
      <c r="N65" s="16">
        <f>IF(J64&lt;&gt;0,CurrentMtgRatesDataTable8[[#This Row],[Rate]]-C64,N64)</f>
        <v>-1.499999999999968E-2</v>
      </c>
    </row>
    <row r="66" spans="1:14" s="7" customFormat="1">
      <c r="A66" s="8" t="s">
        <v>453</v>
      </c>
      <c r="B66" s="11">
        <v>2.6237188553228199</v>
      </c>
      <c r="C66" s="13">
        <v>3.5700000000000003</v>
      </c>
      <c r="D66" s="14">
        <f t="shared" si="0"/>
        <v>2</v>
      </c>
      <c r="E66" s="14">
        <f t="shared" si="1"/>
        <v>0.2</v>
      </c>
      <c r="F66" s="14">
        <f t="shared" si="2"/>
        <v>2</v>
      </c>
      <c r="G66" s="14">
        <f t="shared" si="3"/>
        <v>1.034936491821802</v>
      </c>
      <c r="H66" s="14">
        <f t="shared" si="4"/>
        <v>0.4</v>
      </c>
      <c r="I66" s="14">
        <f t="shared" si="5"/>
        <v>0</v>
      </c>
      <c r="J66" s="14">
        <f t="shared" si="6"/>
        <v>0</v>
      </c>
      <c r="K66" s="15">
        <f>IF(CurrentMtgRatesDataTable8[[#This Row],[WA CC]]&lt;&gt;0,C65-CurrentMtgRatesDataTable8[[#This Row],[WA CC]],0)</f>
        <v>0</v>
      </c>
      <c r="L66" s="16">
        <f>IF(CurrentMtgRatesDataTable8[[#This Row],[Servicing Spread]]&lt;=0,L65,CurrentMtgRatesDataTable8[[#This Row],[Servicing Spread]])</f>
        <v>0.97184038648178994</v>
      </c>
      <c r="M66" s="16">
        <f>CurrentMtgRatesDataTable8[[#This Row],[Servicing Spread Non-Zero]]-L65</f>
        <v>0</v>
      </c>
      <c r="N66" s="16">
        <f>IF(J65&lt;&gt;0,CurrentMtgRatesDataTable8[[#This Row],[Rate]]-C65,N65)</f>
        <v>-1.499999999999968E-2</v>
      </c>
    </row>
    <row r="67" spans="1:14" s="7" customFormat="1">
      <c r="A67" s="8" t="s">
        <v>320</v>
      </c>
      <c r="B67" s="11">
        <v>2.54531844167705</v>
      </c>
      <c r="C67" s="13">
        <v>3.5700000000000003</v>
      </c>
      <c r="D67" s="14">
        <f t="shared" si="0"/>
        <v>5</v>
      </c>
      <c r="E67" s="14">
        <f t="shared" si="1"/>
        <v>0.2</v>
      </c>
      <c r="F67" s="14">
        <f t="shared" si="2"/>
        <v>3</v>
      </c>
      <c r="G67" s="14">
        <f t="shared" si="3"/>
        <v>1.5440001801572121</v>
      </c>
      <c r="H67" s="14">
        <f t="shared" si="4"/>
        <v>0.60000000000000009</v>
      </c>
      <c r="I67" s="14">
        <f t="shared" si="5"/>
        <v>0</v>
      </c>
      <c r="J67" s="14">
        <f t="shared" si="6"/>
        <v>0</v>
      </c>
      <c r="K67" s="15">
        <f>IF(CurrentMtgRatesDataTable8[[#This Row],[WA CC]]&lt;&gt;0,C66-CurrentMtgRatesDataTable8[[#This Row],[WA CC]],0)</f>
        <v>0</v>
      </c>
      <c r="L67" s="16">
        <f>IF(CurrentMtgRatesDataTable8[[#This Row],[Servicing Spread]]&lt;=0,L66,CurrentMtgRatesDataTable8[[#This Row],[Servicing Spread]])</f>
        <v>0.97184038648178994</v>
      </c>
      <c r="M67" s="16">
        <f>CurrentMtgRatesDataTable8[[#This Row],[Servicing Spread Non-Zero]]-L66</f>
        <v>0</v>
      </c>
      <c r="N67" s="16">
        <f>IF(J66&lt;&gt;0,CurrentMtgRatesDataTable8[[#This Row],[Rate]]-C66,N66)</f>
        <v>-1.499999999999968E-2</v>
      </c>
    </row>
    <row r="68" spans="1:14" s="7" customFormat="1">
      <c r="A68" s="8" t="s">
        <v>177</v>
      </c>
      <c r="B68" s="11">
        <v>2.58328220354782</v>
      </c>
      <c r="C68" s="13">
        <v>3.5700000000000003</v>
      </c>
      <c r="D68" s="14">
        <f t="shared" si="0"/>
        <v>6</v>
      </c>
      <c r="E68" s="14">
        <f t="shared" si="1"/>
        <v>0.2</v>
      </c>
      <c r="F68" s="14">
        <f t="shared" si="2"/>
        <v>4</v>
      </c>
      <c r="G68" s="14">
        <f t="shared" si="3"/>
        <v>2.060656620866776</v>
      </c>
      <c r="H68" s="14">
        <f t="shared" si="4"/>
        <v>0.8</v>
      </c>
      <c r="I68" s="14">
        <f t="shared" si="5"/>
        <v>1</v>
      </c>
      <c r="J68" s="14">
        <f t="shared" si="6"/>
        <v>2.5758207760834697</v>
      </c>
      <c r="K68" s="15">
        <f>IF(CurrentMtgRatesDataTable8[[#This Row],[WA CC]]&lt;&gt;0,C67-CurrentMtgRatesDataTable8[[#This Row],[WA CC]],0)</f>
        <v>0.99417922391653057</v>
      </c>
      <c r="L68" s="16">
        <f>IF(CurrentMtgRatesDataTable8[[#This Row],[Servicing Spread]]&lt;=0,L67,CurrentMtgRatesDataTable8[[#This Row],[Servicing Spread]])</f>
        <v>0.99417922391653057</v>
      </c>
      <c r="M68" s="16">
        <f>CurrentMtgRatesDataTable8[[#This Row],[Servicing Spread Non-Zero]]-L67</f>
        <v>2.2338837434740633E-2</v>
      </c>
      <c r="N68" s="16">
        <f>IF(J67&lt;&gt;0,CurrentMtgRatesDataTable8[[#This Row],[Rate]]-C67,N67)</f>
        <v>-1.499999999999968E-2</v>
      </c>
    </row>
    <row r="69" spans="1:14" s="7" customFormat="1">
      <c r="A69" s="8" t="s">
        <v>599</v>
      </c>
      <c r="B69" s="11">
        <v>2.5563795134905498</v>
      </c>
      <c r="C69" s="13">
        <v>3.4849999999999999</v>
      </c>
      <c r="D69" s="14">
        <f t="shared" ref="D69:D132" si="7">WEEKDAY(A69,14)</f>
        <v>1</v>
      </c>
      <c r="E69" s="14">
        <f t="shared" ref="E69:E132" si="8">VLOOKUP(D69,Q$5:R$11,2,FALSE)</f>
        <v>0.2</v>
      </c>
      <c r="F69" s="14">
        <f t="shared" ref="F69:F132" si="9">IF(AND(D69&gt;D68,F68&lt;6),F68+1,1)</f>
        <v>1</v>
      </c>
      <c r="G69" s="14">
        <f t="shared" ref="G69:G132" si="10">IF(F69&gt;F68,G68+B69*E69,B69*E69)</f>
        <v>0.51127590269810996</v>
      </c>
      <c r="H69" s="14">
        <f t="shared" ref="H69:H132" si="11">IF(AND(F69&lt;6,F69&gt;F68),E69+H68,E69)</f>
        <v>0.2</v>
      </c>
      <c r="I69" s="14">
        <f t="shared" ref="I69:I132" si="12">IF(F69&gt;F70,1,0)</f>
        <v>0</v>
      </c>
      <c r="J69" s="14">
        <f t="shared" ref="J69:J132" si="13">IF(F69&gt;F70,G69/H69,0)</f>
        <v>0</v>
      </c>
      <c r="K69" s="15">
        <f>IF(CurrentMtgRatesDataTable8[[#This Row],[WA CC]]&lt;&gt;0,C68-CurrentMtgRatesDataTable8[[#This Row],[WA CC]],0)</f>
        <v>0</v>
      </c>
      <c r="L69" s="16">
        <f>IF(CurrentMtgRatesDataTable8[[#This Row],[Servicing Spread]]&lt;=0,L68,CurrentMtgRatesDataTable8[[#This Row],[Servicing Spread]])</f>
        <v>0.99417922391653057</v>
      </c>
      <c r="M69" s="16">
        <f>CurrentMtgRatesDataTable8[[#This Row],[Servicing Spread Non-Zero]]-L68</f>
        <v>0</v>
      </c>
      <c r="N69" s="16">
        <f>IF(J68&lt;&gt;0,CurrentMtgRatesDataTable8[[#This Row],[Rate]]-C68,N68)</f>
        <v>-8.5000000000000409E-2</v>
      </c>
    </row>
    <row r="70" spans="1:14" s="7" customFormat="1">
      <c r="A70" s="8" t="s">
        <v>454</v>
      </c>
      <c r="B70" s="11">
        <v>2.4766480457309101</v>
      </c>
      <c r="C70" s="13">
        <v>3.4849999999999999</v>
      </c>
      <c r="D70" s="14">
        <f t="shared" si="7"/>
        <v>2</v>
      </c>
      <c r="E70" s="14">
        <f t="shared" si="8"/>
        <v>0.2</v>
      </c>
      <c r="F70" s="14">
        <f t="shared" si="9"/>
        <v>2</v>
      </c>
      <c r="G70" s="14">
        <f t="shared" si="10"/>
        <v>1.006605511844292</v>
      </c>
      <c r="H70" s="14">
        <f t="shared" si="11"/>
        <v>0.4</v>
      </c>
      <c r="I70" s="14">
        <f t="shared" si="12"/>
        <v>0</v>
      </c>
      <c r="J70" s="14">
        <f t="shared" si="13"/>
        <v>0</v>
      </c>
      <c r="K70" s="15">
        <f>IF(CurrentMtgRatesDataTable8[[#This Row],[WA CC]]&lt;&gt;0,C69-CurrentMtgRatesDataTable8[[#This Row],[WA CC]],0)</f>
        <v>0</v>
      </c>
      <c r="L70" s="16">
        <f>IF(CurrentMtgRatesDataTable8[[#This Row],[Servicing Spread]]&lt;=0,L69,CurrentMtgRatesDataTable8[[#This Row],[Servicing Spread]])</f>
        <v>0.99417922391653057</v>
      </c>
      <c r="M70" s="16">
        <f>CurrentMtgRatesDataTable8[[#This Row],[Servicing Spread Non-Zero]]-L69</f>
        <v>0</v>
      </c>
      <c r="N70" s="16">
        <f>IF(J69&lt;&gt;0,CurrentMtgRatesDataTable8[[#This Row],[Rate]]-C69,N69)</f>
        <v>-8.5000000000000409E-2</v>
      </c>
    </row>
    <row r="71" spans="1:14" s="7" customFormat="1">
      <c r="A71" s="8" t="s">
        <v>321</v>
      </c>
      <c r="B71" s="11">
        <v>2.4491972100580299</v>
      </c>
      <c r="C71" s="13">
        <v>3.4849999999999999</v>
      </c>
      <c r="D71" s="14">
        <f t="shared" si="7"/>
        <v>5</v>
      </c>
      <c r="E71" s="14">
        <f t="shared" si="8"/>
        <v>0.2</v>
      </c>
      <c r="F71" s="14">
        <f t="shared" si="9"/>
        <v>3</v>
      </c>
      <c r="G71" s="14">
        <f t="shared" si="10"/>
        <v>1.4964449538558982</v>
      </c>
      <c r="H71" s="14">
        <f t="shared" si="11"/>
        <v>0.60000000000000009</v>
      </c>
      <c r="I71" s="14">
        <f t="shared" si="12"/>
        <v>0</v>
      </c>
      <c r="J71" s="14">
        <f t="shared" si="13"/>
        <v>0</v>
      </c>
      <c r="K71" s="15">
        <f>IF(CurrentMtgRatesDataTable8[[#This Row],[WA CC]]&lt;&gt;0,C70-CurrentMtgRatesDataTable8[[#This Row],[WA CC]],0)</f>
        <v>0</v>
      </c>
      <c r="L71" s="16">
        <f>IF(CurrentMtgRatesDataTable8[[#This Row],[Servicing Spread]]&lt;=0,L70,CurrentMtgRatesDataTable8[[#This Row],[Servicing Spread]])</f>
        <v>0.99417922391653057</v>
      </c>
      <c r="M71" s="16">
        <f>CurrentMtgRatesDataTable8[[#This Row],[Servicing Spread Non-Zero]]-L70</f>
        <v>0</v>
      </c>
      <c r="N71" s="16">
        <f>IF(J70&lt;&gt;0,CurrentMtgRatesDataTable8[[#This Row],[Rate]]-C70,N70)</f>
        <v>-8.5000000000000409E-2</v>
      </c>
    </row>
    <row r="72" spans="1:14" s="7" customFormat="1">
      <c r="A72" s="8" t="s">
        <v>178</v>
      </c>
      <c r="B72" s="11">
        <v>2.42302981927218</v>
      </c>
      <c r="C72" s="13">
        <v>3.4849999999999999</v>
      </c>
      <c r="D72" s="14">
        <f t="shared" si="7"/>
        <v>6</v>
      </c>
      <c r="E72" s="14">
        <f t="shared" si="8"/>
        <v>0.2</v>
      </c>
      <c r="F72" s="14">
        <f t="shared" si="9"/>
        <v>4</v>
      </c>
      <c r="G72" s="14">
        <f t="shared" si="10"/>
        <v>1.9810509177103341</v>
      </c>
      <c r="H72" s="14">
        <f t="shared" si="11"/>
        <v>0.8</v>
      </c>
      <c r="I72" s="14">
        <f t="shared" si="12"/>
        <v>0</v>
      </c>
      <c r="J72" s="14">
        <f t="shared" si="13"/>
        <v>0</v>
      </c>
      <c r="K72" s="15">
        <f>IF(CurrentMtgRatesDataTable8[[#This Row],[WA CC]]&lt;&gt;0,C71-CurrentMtgRatesDataTable8[[#This Row],[WA CC]],0)</f>
        <v>0</v>
      </c>
      <c r="L72" s="16">
        <f>IF(CurrentMtgRatesDataTable8[[#This Row],[Servicing Spread]]&lt;=0,L71,CurrentMtgRatesDataTable8[[#This Row],[Servicing Spread]])</f>
        <v>0.99417922391653057</v>
      </c>
      <c r="M72" s="16">
        <f>CurrentMtgRatesDataTable8[[#This Row],[Servicing Spread Non-Zero]]-L71</f>
        <v>0</v>
      </c>
      <c r="N72" s="16">
        <f>IF(J71&lt;&gt;0,CurrentMtgRatesDataTable8[[#This Row],[Rate]]-C71,N71)</f>
        <v>-8.5000000000000409E-2</v>
      </c>
    </row>
    <row r="73" spans="1:14" s="7" customFormat="1">
      <c r="A73" s="8" t="s">
        <v>32</v>
      </c>
      <c r="B73" s="11">
        <v>2.4116172706611501</v>
      </c>
      <c r="C73" s="13">
        <v>3.4849999999999999</v>
      </c>
      <c r="D73" s="14">
        <f t="shared" si="7"/>
        <v>7</v>
      </c>
      <c r="E73" s="14">
        <f t="shared" si="8"/>
        <v>0.2</v>
      </c>
      <c r="F73" s="14">
        <f t="shared" si="9"/>
        <v>5</v>
      </c>
      <c r="G73" s="14">
        <f t="shared" si="10"/>
        <v>2.4633743718425642</v>
      </c>
      <c r="H73" s="14">
        <f t="shared" si="11"/>
        <v>1</v>
      </c>
      <c r="I73" s="14">
        <f t="shared" si="12"/>
        <v>1</v>
      </c>
      <c r="J73" s="14">
        <f t="shared" si="13"/>
        <v>2.4633743718425642</v>
      </c>
      <c r="K73" s="15">
        <f>IF(CurrentMtgRatesDataTable8[[#This Row],[WA CC]]&lt;&gt;0,C72-CurrentMtgRatesDataTable8[[#This Row],[WA CC]],0)</f>
        <v>1.0216256281574356</v>
      </c>
      <c r="L73" s="16">
        <f>IF(CurrentMtgRatesDataTable8[[#This Row],[Servicing Spread]]&lt;=0,L72,CurrentMtgRatesDataTable8[[#This Row],[Servicing Spread]])</f>
        <v>1.0216256281574356</v>
      </c>
      <c r="M73" s="16">
        <f>CurrentMtgRatesDataTable8[[#This Row],[Servicing Spread Non-Zero]]-L72</f>
        <v>2.7446404240905053E-2</v>
      </c>
      <c r="N73" s="16">
        <f>IF(J72&lt;&gt;0,CurrentMtgRatesDataTable8[[#This Row],[Rate]]-C72,N72)</f>
        <v>-8.5000000000000409E-2</v>
      </c>
    </row>
    <row r="74" spans="1:14" s="7" customFormat="1">
      <c r="A74" s="8" t="s">
        <v>600</v>
      </c>
      <c r="B74" s="11">
        <v>2.4034266466938199</v>
      </c>
      <c r="C74" s="13">
        <v>3.4549999999999996</v>
      </c>
      <c r="D74" s="14">
        <f t="shared" si="7"/>
        <v>1</v>
      </c>
      <c r="E74" s="14">
        <f t="shared" si="8"/>
        <v>0.2</v>
      </c>
      <c r="F74" s="14">
        <f t="shared" si="9"/>
        <v>1</v>
      </c>
      <c r="G74" s="14">
        <f t="shared" si="10"/>
        <v>0.48068532933876401</v>
      </c>
      <c r="H74" s="14">
        <f t="shared" si="11"/>
        <v>0.2</v>
      </c>
      <c r="I74" s="14">
        <f t="shared" si="12"/>
        <v>0</v>
      </c>
      <c r="J74" s="14">
        <f t="shared" si="13"/>
        <v>0</v>
      </c>
      <c r="K74" s="15">
        <f>IF(CurrentMtgRatesDataTable8[[#This Row],[WA CC]]&lt;&gt;0,C73-CurrentMtgRatesDataTable8[[#This Row],[WA CC]],0)</f>
        <v>0</v>
      </c>
      <c r="L74" s="16">
        <f>IF(CurrentMtgRatesDataTable8[[#This Row],[Servicing Spread]]&lt;=0,L73,CurrentMtgRatesDataTable8[[#This Row],[Servicing Spread]])</f>
        <v>1.0216256281574356</v>
      </c>
      <c r="M74" s="16">
        <f>CurrentMtgRatesDataTable8[[#This Row],[Servicing Spread Non-Zero]]-L73</f>
        <v>0</v>
      </c>
      <c r="N74" s="16">
        <f>IF(J73&lt;&gt;0,CurrentMtgRatesDataTable8[[#This Row],[Rate]]-C73,N73)</f>
        <v>-3.0000000000000249E-2</v>
      </c>
    </row>
    <row r="75" spans="1:14" s="7" customFormat="1">
      <c r="A75" s="8" t="s">
        <v>455</v>
      </c>
      <c r="B75" s="11">
        <v>2.45850252986091</v>
      </c>
      <c r="C75" s="13">
        <v>3.4549999999999996</v>
      </c>
      <c r="D75" s="14">
        <f t="shared" si="7"/>
        <v>2</v>
      </c>
      <c r="E75" s="14">
        <f t="shared" si="8"/>
        <v>0.2</v>
      </c>
      <c r="F75" s="14">
        <f t="shared" si="9"/>
        <v>2</v>
      </c>
      <c r="G75" s="14">
        <f t="shared" si="10"/>
        <v>0.97238583531094602</v>
      </c>
      <c r="H75" s="14">
        <f t="shared" si="11"/>
        <v>0.4</v>
      </c>
      <c r="I75" s="14">
        <f t="shared" si="12"/>
        <v>0</v>
      </c>
      <c r="J75" s="14">
        <f t="shared" si="13"/>
        <v>0</v>
      </c>
      <c r="K75" s="15">
        <f>IF(CurrentMtgRatesDataTable8[[#This Row],[WA CC]]&lt;&gt;0,C74-CurrentMtgRatesDataTable8[[#This Row],[WA CC]],0)</f>
        <v>0</v>
      </c>
      <c r="L75" s="16">
        <f>IF(CurrentMtgRatesDataTable8[[#This Row],[Servicing Spread]]&lt;=0,L74,CurrentMtgRatesDataTable8[[#This Row],[Servicing Spread]])</f>
        <v>1.0216256281574356</v>
      </c>
      <c r="M75" s="16">
        <f>CurrentMtgRatesDataTable8[[#This Row],[Servicing Spread Non-Zero]]-L74</f>
        <v>0</v>
      </c>
      <c r="N75" s="16">
        <f>IF(J74&lt;&gt;0,CurrentMtgRatesDataTable8[[#This Row],[Rate]]-C74,N74)</f>
        <v>-3.0000000000000249E-2</v>
      </c>
    </row>
    <row r="76" spans="1:14" s="7" customFormat="1">
      <c r="A76" s="8" t="s">
        <v>322</v>
      </c>
      <c r="B76" s="11">
        <v>2.3968423718228902</v>
      </c>
      <c r="C76" s="13">
        <v>3.4549999999999996</v>
      </c>
      <c r="D76" s="14">
        <f t="shared" si="7"/>
        <v>5</v>
      </c>
      <c r="E76" s="14">
        <f t="shared" si="8"/>
        <v>0.2</v>
      </c>
      <c r="F76" s="14">
        <f t="shared" si="9"/>
        <v>3</v>
      </c>
      <c r="G76" s="14">
        <f t="shared" si="10"/>
        <v>1.4517543096755241</v>
      </c>
      <c r="H76" s="14">
        <f t="shared" si="11"/>
        <v>0.60000000000000009</v>
      </c>
      <c r="I76" s="14">
        <f t="shared" si="12"/>
        <v>0</v>
      </c>
      <c r="J76" s="14">
        <f t="shared" si="13"/>
        <v>0</v>
      </c>
      <c r="K76" s="15">
        <f>IF(CurrentMtgRatesDataTable8[[#This Row],[WA CC]]&lt;&gt;0,C75-CurrentMtgRatesDataTable8[[#This Row],[WA CC]],0)</f>
        <v>0</v>
      </c>
      <c r="L76" s="16">
        <f>IF(CurrentMtgRatesDataTable8[[#This Row],[Servicing Spread]]&lt;=0,L75,CurrentMtgRatesDataTable8[[#This Row],[Servicing Spread]])</f>
        <v>1.0216256281574356</v>
      </c>
      <c r="M76" s="16">
        <f>CurrentMtgRatesDataTable8[[#This Row],[Servicing Spread Non-Zero]]-L75</f>
        <v>0</v>
      </c>
      <c r="N76" s="16">
        <f>IF(J75&lt;&gt;0,CurrentMtgRatesDataTable8[[#This Row],[Rate]]-C75,N75)</f>
        <v>-3.0000000000000249E-2</v>
      </c>
    </row>
    <row r="77" spans="1:14" s="7" customFormat="1">
      <c r="A77" s="8" t="s">
        <v>179</v>
      </c>
      <c r="B77" s="11">
        <v>2.4360959184987601</v>
      </c>
      <c r="C77" s="13">
        <v>3.4549999999999996</v>
      </c>
      <c r="D77" s="14">
        <f t="shared" si="7"/>
        <v>6</v>
      </c>
      <c r="E77" s="14">
        <f t="shared" si="8"/>
        <v>0.2</v>
      </c>
      <c r="F77" s="14">
        <f t="shared" si="9"/>
        <v>4</v>
      </c>
      <c r="G77" s="14">
        <f t="shared" si="10"/>
        <v>1.938973493375276</v>
      </c>
      <c r="H77" s="14">
        <f t="shared" si="11"/>
        <v>0.8</v>
      </c>
      <c r="I77" s="14">
        <f t="shared" si="12"/>
        <v>0</v>
      </c>
      <c r="J77" s="14">
        <f t="shared" si="13"/>
        <v>0</v>
      </c>
      <c r="K77" s="15">
        <f>IF(CurrentMtgRatesDataTable8[[#This Row],[WA CC]]&lt;&gt;0,C76-CurrentMtgRatesDataTable8[[#This Row],[WA CC]],0)</f>
        <v>0</v>
      </c>
      <c r="L77" s="16">
        <f>IF(CurrentMtgRatesDataTable8[[#This Row],[Servicing Spread]]&lt;=0,L76,CurrentMtgRatesDataTable8[[#This Row],[Servicing Spread]])</f>
        <v>1.0216256281574356</v>
      </c>
      <c r="M77" s="16">
        <f>CurrentMtgRatesDataTable8[[#This Row],[Servicing Spread Non-Zero]]-L76</f>
        <v>0</v>
      </c>
      <c r="N77" s="16">
        <f>IF(J76&lt;&gt;0,CurrentMtgRatesDataTable8[[#This Row],[Rate]]-C76,N76)</f>
        <v>-3.0000000000000249E-2</v>
      </c>
    </row>
    <row r="78" spans="1:14" s="7" customFormat="1">
      <c r="A78" s="8" t="s">
        <v>33</v>
      </c>
      <c r="B78" s="11">
        <v>2.3758504228028601</v>
      </c>
      <c r="C78" s="13">
        <v>3.4549999999999996</v>
      </c>
      <c r="D78" s="14">
        <f t="shared" si="7"/>
        <v>7</v>
      </c>
      <c r="E78" s="14">
        <f t="shared" si="8"/>
        <v>0.2</v>
      </c>
      <c r="F78" s="14">
        <f t="shared" si="9"/>
        <v>5</v>
      </c>
      <c r="G78" s="14">
        <f t="shared" si="10"/>
        <v>2.4141435779358482</v>
      </c>
      <c r="H78" s="14">
        <f t="shared" si="11"/>
        <v>1</v>
      </c>
      <c r="I78" s="14">
        <f t="shared" si="12"/>
        <v>1</v>
      </c>
      <c r="J78" s="14">
        <f t="shared" si="13"/>
        <v>2.4141435779358482</v>
      </c>
      <c r="K78" s="15">
        <f>IF(CurrentMtgRatesDataTable8[[#This Row],[WA CC]]&lt;&gt;0,C77-CurrentMtgRatesDataTable8[[#This Row],[WA CC]],0)</f>
        <v>1.0408564220641514</v>
      </c>
      <c r="L78" s="16">
        <f>IF(CurrentMtgRatesDataTable8[[#This Row],[Servicing Spread]]&lt;=0,L77,CurrentMtgRatesDataTable8[[#This Row],[Servicing Spread]])</f>
        <v>1.0408564220641514</v>
      </c>
      <c r="M78" s="16">
        <f>CurrentMtgRatesDataTable8[[#This Row],[Servicing Spread Non-Zero]]-L77</f>
        <v>1.9230793906715782E-2</v>
      </c>
      <c r="N78" s="16">
        <f>IF(J77&lt;&gt;0,CurrentMtgRatesDataTable8[[#This Row],[Rate]]-C77,N77)</f>
        <v>-3.0000000000000249E-2</v>
      </c>
    </row>
    <row r="79" spans="1:14" s="9" customFormat="1">
      <c r="A79" s="8" t="s">
        <v>601</v>
      </c>
      <c r="B79" s="11">
        <v>2.3931217438343899</v>
      </c>
      <c r="C79" s="13">
        <v>3.415</v>
      </c>
      <c r="D79" s="14">
        <f t="shared" si="7"/>
        <v>1</v>
      </c>
      <c r="E79" s="14">
        <f t="shared" si="8"/>
        <v>0.2</v>
      </c>
      <c r="F79" s="14">
        <f t="shared" si="9"/>
        <v>1</v>
      </c>
      <c r="G79" s="14">
        <f t="shared" si="10"/>
        <v>0.47862434876687798</v>
      </c>
      <c r="H79" s="14">
        <f t="shared" si="11"/>
        <v>0.2</v>
      </c>
      <c r="I79" s="14">
        <f t="shared" si="12"/>
        <v>0</v>
      </c>
      <c r="J79" s="14">
        <f t="shared" si="13"/>
        <v>0</v>
      </c>
      <c r="K79" s="15">
        <f>IF(CurrentMtgRatesDataTable8[[#This Row],[WA CC]]&lt;&gt;0,C78-CurrentMtgRatesDataTable8[[#This Row],[WA CC]],0)</f>
        <v>0</v>
      </c>
      <c r="L79" s="16">
        <f>IF(CurrentMtgRatesDataTable8[[#This Row],[Servicing Spread]]&lt;=0,L78,CurrentMtgRatesDataTable8[[#This Row],[Servicing Spread]])</f>
        <v>1.0408564220641514</v>
      </c>
      <c r="M79" s="16">
        <f>CurrentMtgRatesDataTable8[[#This Row],[Servicing Spread Non-Zero]]-L78</f>
        <v>0</v>
      </c>
      <c r="N79" s="16">
        <f>IF(J78&lt;&gt;0,CurrentMtgRatesDataTable8[[#This Row],[Rate]]-C78,N78)</f>
        <v>-3.9999999999999591E-2</v>
      </c>
    </row>
    <row r="80" spans="1:14" s="9" customFormat="1">
      <c r="A80" s="8" t="s">
        <v>456</v>
      </c>
      <c r="B80" s="11">
        <v>2.32496037866738</v>
      </c>
      <c r="C80" s="13">
        <v>3.415</v>
      </c>
      <c r="D80" s="14">
        <f t="shared" si="7"/>
        <v>2</v>
      </c>
      <c r="E80" s="14">
        <f t="shared" si="8"/>
        <v>0.2</v>
      </c>
      <c r="F80" s="14">
        <f t="shared" si="9"/>
        <v>2</v>
      </c>
      <c r="G80" s="14">
        <f t="shared" si="10"/>
        <v>0.94361642450035399</v>
      </c>
      <c r="H80" s="14">
        <f t="shared" si="11"/>
        <v>0.4</v>
      </c>
      <c r="I80" s="14">
        <f t="shared" si="12"/>
        <v>0</v>
      </c>
      <c r="J80" s="14">
        <f t="shared" si="13"/>
        <v>0</v>
      </c>
      <c r="K80" s="15">
        <f>IF(CurrentMtgRatesDataTable8[[#This Row],[WA CC]]&lt;&gt;0,C79-CurrentMtgRatesDataTable8[[#This Row],[WA CC]],0)</f>
        <v>0</v>
      </c>
      <c r="L80" s="16">
        <f>IF(CurrentMtgRatesDataTable8[[#This Row],[Servicing Spread]]&lt;=0,L79,CurrentMtgRatesDataTable8[[#This Row],[Servicing Spread]])</f>
        <v>1.0408564220641514</v>
      </c>
      <c r="M80" s="16">
        <f>CurrentMtgRatesDataTable8[[#This Row],[Servicing Spread Non-Zero]]-L79</f>
        <v>0</v>
      </c>
      <c r="N80" s="16">
        <f>IF(J79&lt;&gt;0,CurrentMtgRatesDataTable8[[#This Row],[Rate]]-C79,N79)</f>
        <v>-3.9999999999999591E-2</v>
      </c>
    </row>
    <row r="81" spans="1:14" s="9" customFormat="1">
      <c r="A81" s="8" t="s">
        <v>323</v>
      </c>
      <c r="B81" s="11">
        <v>2.27723185682542</v>
      </c>
      <c r="C81" s="13">
        <v>3.415</v>
      </c>
      <c r="D81" s="14">
        <f t="shared" si="7"/>
        <v>5</v>
      </c>
      <c r="E81" s="14">
        <f t="shared" si="8"/>
        <v>0.2</v>
      </c>
      <c r="F81" s="14">
        <f t="shared" si="9"/>
        <v>3</v>
      </c>
      <c r="G81" s="14">
        <f t="shared" si="10"/>
        <v>1.399062795865438</v>
      </c>
      <c r="H81" s="14">
        <f t="shared" si="11"/>
        <v>0.60000000000000009</v>
      </c>
      <c r="I81" s="14">
        <f t="shared" si="12"/>
        <v>0</v>
      </c>
      <c r="J81" s="14">
        <f t="shared" si="13"/>
        <v>0</v>
      </c>
      <c r="K81" s="15">
        <f>IF(CurrentMtgRatesDataTable8[[#This Row],[WA CC]]&lt;&gt;0,C80-CurrentMtgRatesDataTable8[[#This Row],[WA CC]],0)</f>
        <v>0</v>
      </c>
      <c r="L81" s="16">
        <f>IF(CurrentMtgRatesDataTable8[[#This Row],[Servicing Spread]]&lt;=0,L80,CurrentMtgRatesDataTable8[[#This Row],[Servicing Spread]])</f>
        <v>1.0408564220641514</v>
      </c>
      <c r="M81" s="16">
        <f>CurrentMtgRatesDataTable8[[#This Row],[Servicing Spread Non-Zero]]-L80</f>
        <v>0</v>
      </c>
      <c r="N81" s="16">
        <f>IF(J80&lt;&gt;0,CurrentMtgRatesDataTable8[[#This Row],[Rate]]-C80,N80)</f>
        <v>-3.9999999999999591E-2</v>
      </c>
    </row>
    <row r="82" spans="1:14" s="9" customFormat="1">
      <c r="A82" s="8" t="s">
        <v>180</v>
      </c>
      <c r="B82" s="11">
        <v>2.2471779895370898</v>
      </c>
      <c r="C82" s="13">
        <v>3.415</v>
      </c>
      <c r="D82" s="14">
        <f t="shared" si="7"/>
        <v>6</v>
      </c>
      <c r="E82" s="14">
        <f t="shared" si="8"/>
        <v>0.2</v>
      </c>
      <c r="F82" s="14">
        <f t="shared" si="9"/>
        <v>4</v>
      </c>
      <c r="G82" s="14">
        <f t="shared" si="10"/>
        <v>1.8484983937728561</v>
      </c>
      <c r="H82" s="14">
        <f t="shared" si="11"/>
        <v>0.8</v>
      </c>
      <c r="I82" s="14">
        <f t="shared" si="12"/>
        <v>0</v>
      </c>
      <c r="J82" s="14">
        <f t="shared" si="13"/>
        <v>0</v>
      </c>
      <c r="K82" s="15">
        <f>IF(CurrentMtgRatesDataTable8[[#This Row],[WA CC]]&lt;&gt;0,C81-CurrentMtgRatesDataTable8[[#This Row],[WA CC]],0)</f>
        <v>0</v>
      </c>
      <c r="L82" s="16">
        <f>IF(CurrentMtgRatesDataTable8[[#This Row],[Servicing Spread]]&lt;=0,L81,CurrentMtgRatesDataTable8[[#This Row],[Servicing Spread]])</f>
        <v>1.0408564220641514</v>
      </c>
      <c r="M82" s="16">
        <f>CurrentMtgRatesDataTable8[[#This Row],[Servicing Spread Non-Zero]]-L81</f>
        <v>0</v>
      </c>
      <c r="N82" s="16">
        <f>IF(J81&lt;&gt;0,CurrentMtgRatesDataTable8[[#This Row],[Rate]]-C81,N81)</f>
        <v>-3.9999999999999591E-2</v>
      </c>
    </row>
    <row r="83" spans="1:14" s="9" customFormat="1">
      <c r="A83" s="8" t="s">
        <v>34</v>
      </c>
      <c r="B83" s="11">
        <v>2.2633680242154099</v>
      </c>
      <c r="C83" s="13">
        <v>3.415</v>
      </c>
      <c r="D83" s="14">
        <f t="shared" si="7"/>
        <v>7</v>
      </c>
      <c r="E83" s="14">
        <f t="shared" si="8"/>
        <v>0.2</v>
      </c>
      <c r="F83" s="14">
        <f t="shared" si="9"/>
        <v>5</v>
      </c>
      <c r="G83" s="14">
        <f t="shared" si="10"/>
        <v>2.301171998615938</v>
      </c>
      <c r="H83" s="14">
        <f t="shared" si="11"/>
        <v>1</v>
      </c>
      <c r="I83" s="14">
        <f t="shared" si="12"/>
        <v>1</v>
      </c>
      <c r="J83" s="14">
        <f t="shared" si="13"/>
        <v>2.301171998615938</v>
      </c>
      <c r="K83" s="15">
        <f>IF(CurrentMtgRatesDataTable8[[#This Row],[WA CC]]&lt;&gt;0,C82-CurrentMtgRatesDataTable8[[#This Row],[WA CC]],0)</f>
        <v>1.113828001384062</v>
      </c>
      <c r="L83" s="16">
        <f>IF(CurrentMtgRatesDataTable8[[#This Row],[Servicing Spread]]&lt;=0,L82,CurrentMtgRatesDataTable8[[#This Row],[Servicing Spread]])</f>
        <v>1.113828001384062</v>
      </c>
      <c r="M83" s="16">
        <f>CurrentMtgRatesDataTable8[[#This Row],[Servicing Spread Non-Zero]]-L82</f>
        <v>7.2971579319910607E-2</v>
      </c>
      <c r="N83" s="16">
        <f>IF(J82&lt;&gt;0,CurrentMtgRatesDataTable8[[#This Row],[Rate]]-C82,N82)</f>
        <v>-3.9999999999999591E-2</v>
      </c>
    </row>
    <row r="84" spans="1:14" s="9" customFormat="1">
      <c r="A84" s="8" t="s">
        <v>602</v>
      </c>
      <c r="B84" s="11">
        <v>2.2877898548229898</v>
      </c>
      <c r="C84" s="13">
        <v>3.4749999999999996</v>
      </c>
      <c r="D84" s="14">
        <f t="shared" si="7"/>
        <v>1</v>
      </c>
      <c r="E84" s="14">
        <f t="shared" si="8"/>
        <v>0.2</v>
      </c>
      <c r="F84" s="14">
        <f t="shared" si="9"/>
        <v>1</v>
      </c>
      <c r="G84" s="14">
        <f t="shared" si="10"/>
        <v>0.45755797096459799</v>
      </c>
      <c r="H84" s="14">
        <f t="shared" si="11"/>
        <v>0.2</v>
      </c>
      <c r="I84" s="14">
        <f t="shared" si="12"/>
        <v>0</v>
      </c>
      <c r="J84" s="14">
        <f t="shared" si="13"/>
        <v>0</v>
      </c>
      <c r="K84" s="15">
        <f>IF(CurrentMtgRatesDataTable8[[#This Row],[WA CC]]&lt;&gt;0,C83-CurrentMtgRatesDataTable8[[#This Row],[WA CC]],0)</f>
        <v>0</v>
      </c>
      <c r="L84" s="16">
        <f>IF(CurrentMtgRatesDataTable8[[#This Row],[Servicing Spread]]&lt;=0,L83,CurrentMtgRatesDataTable8[[#This Row],[Servicing Spread]])</f>
        <v>1.113828001384062</v>
      </c>
      <c r="M84" s="16">
        <f>CurrentMtgRatesDataTable8[[#This Row],[Servicing Spread Non-Zero]]-L83</f>
        <v>0</v>
      </c>
      <c r="N84" s="16">
        <f>IF(J83&lt;&gt;0,CurrentMtgRatesDataTable8[[#This Row],[Rate]]-C83,N83)</f>
        <v>5.9999999999999609E-2</v>
      </c>
    </row>
    <row r="85" spans="1:14" s="9" customFormat="1">
      <c r="A85" s="8" t="s">
        <v>457</v>
      </c>
      <c r="B85" s="11">
        <v>2.4685368274640398</v>
      </c>
      <c r="C85" s="13">
        <v>3.4749999999999996</v>
      </c>
      <c r="D85" s="14">
        <f t="shared" si="7"/>
        <v>2</v>
      </c>
      <c r="E85" s="14">
        <f t="shared" si="8"/>
        <v>0.2</v>
      </c>
      <c r="F85" s="14">
        <f t="shared" si="9"/>
        <v>2</v>
      </c>
      <c r="G85" s="14">
        <f t="shared" si="10"/>
        <v>0.95126533645740596</v>
      </c>
      <c r="H85" s="14">
        <f t="shared" si="11"/>
        <v>0.4</v>
      </c>
      <c r="I85" s="14">
        <f t="shared" si="12"/>
        <v>0</v>
      </c>
      <c r="J85" s="14">
        <f t="shared" si="13"/>
        <v>0</v>
      </c>
      <c r="K85" s="15">
        <f>IF(CurrentMtgRatesDataTable8[[#This Row],[WA CC]]&lt;&gt;0,C84-CurrentMtgRatesDataTable8[[#This Row],[WA CC]],0)</f>
        <v>0</v>
      </c>
      <c r="L85" s="16">
        <f>IF(CurrentMtgRatesDataTable8[[#This Row],[Servicing Spread]]&lt;=0,L84,CurrentMtgRatesDataTable8[[#This Row],[Servicing Spread]])</f>
        <v>1.113828001384062</v>
      </c>
      <c r="M85" s="16">
        <f>CurrentMtgRatesDataTable8[[#This Row],[Servicing Spread Non-Zero]]-L84</f>
        <v>0</v>
      </c>
      <c r="N85" s="16">
        <f>IF(J84&lt;&gt;0,CurrentMtgRatesDataTable8[[#This Row],[Rate]]-C84,N84)</f>
        <v>5.9999999999999609E-2</v>
      </c>
    </row>
    <row r="86" spans="1:14" s="9" customFormat="1">
      <c r="A86" s="8" t="s">
        <v>324</v>
      </c>
      <c r="B86" s="11">
        <v>2.3365107534465399</v>
      </c>
      <c r="C86" s="13">
        <v>3.4749999999999996</v>
      </c>
      <c r="D86" s="14">
        <f t="shared" si="7"/>
        <v>5</v>
      </c>
      <c r="E86" s="14">
        <f t="shared" si="8"/>
        <v>0.2</v>
      </c>
      <c r="F86" s="14">
        <f t="shared" si="9"/>
        <v>3</v>
      </c>
      <c r="G86" s="14">
        <f t="shared" si="10"/>
        <v>1.418567487146714</v>
      </c>
      <c r="H86" s="14">
        <f t="shared" si="11"/>
        <v>0.60000000000000009</v>
      </c>
      <c r="I86" s="14">
        <f t="shared" si="12"/>
        <v>0</v>
      </c>
      <c r="J86" s="14">
        <f t="shared" si="13"/>
        <v>0</v>
      </c>
      <c r="K86" s="15">
        <f>IF(CurrentMtgRatesDataTable8[[#This Row],[WA CC]]&lt;&gt;0,C85-CurrentMtgRatesDataTable8[[#This Row],[WA CC]],0)</f>
        <v>0</v>
      </c>
      <c r="L86" s="16">
        <f>IF(CurrentMtgRatesDataTable8[[#This Row],[Servicing Spread]]&lt;=0,L85,CurrentMtgRatesDataTable8[[#This Row],[Servicing Spread]])</f>
        <v>1.113828001384062</v>
      </c>
      <c r="M86" s="16">
        <f>CurrentMtgRatesDataTable8[[#This Row],[Servicing Spread Non-Zero]]-L85</f>
        <v>0</v>
      </c>
      <c r="N86" s="16">
        <f>IF(J85&lt;&gt;0,CurrentMtgRatesDataTable8[[#This Row],[Rate]]-C85,N85)</f>
        <v>5.9999999999999609E-2</v>
      </c>
    </row>
    <row r="87" spans="1:14" s="9" customFormat="1">
      <c r="A87" s="8" t="s">
        <v>181</v>
      </c>
      <c r="B87" s="11">
        <v>2.3145960727619199</v>
      </c>
      <c r="C87" s="13">
        <v>3.4749999999999996</v>
      </c>
      <c r="D87" s="14">
        <f t="shared" si="7"/>
        <v>6</v>
      </c>
      <c r="E87" s="14">
        <f t="shared" si="8"/>
        <v>0.2</v>
      </c>
      <c r="F87" s="14">
        <f t="shared" si="9"/>
        <v>4</v>
      </c>
      <c r="G87" s="14">
        <f t="shared" si="10"/>
        <v>1.8814867016990979</v>
      </c>
      <c r="H87" s="14">
        <f t="shared" si="11"/>
        <v>0.8</v>
      </c>
      <c r="I87" s="14">
        <f t="shared" si="12"/>
        <v>0</v>
      </c>
      <c r="J87" s="14">
        <f t="shared" si="13"/>
        <v>0</v>
      </c>
      <c r="K87" s="15">
        <f>IF(CurrentMtgRatesDataTable8[[#This Row],[WA CC]]&lt;&gt;0,C86-CurrentMtgRatesDataTable8[[#This Row],[WA CC]],0)</f>
        <v>0</v>
      </c>
      <c r="L87" s="16">
        <f>IF(CurrentMtgRatesDataTable8[[#This Row],[Servicing Spread]]&lt;=0,L86,CurrentMtgRatesDataTable8[[#This Row],[Servicing Spread]])</f>
        <v>1.113828001384062</v>
      </c>
      <c r="M87" s="16">
        <f>CurrentMtgRatesDataTable8[[#This Row],[Servicing Spread Non-Zero]]-L86</f>
        <v>0</v>
      </c>
      <c r="N87" s="16">
        <f>IF(J86&lt;&gt;0,CurrentMtgRatesDataTable8[[#This Row],[Rate]]-C86,N86)</f>
        <v>5.9999999999999609E-2</v>
      </c>
    </row>
    <row r="88" spans="1:14" s="9" customFormat="1">
      <c r="A88" s="8" t="s">
        <v>35</v>
      </c>
      <c r="B88" s="11">
        <v>2.3658814096234999</v>
      </c>
      <c r="C88" s="13">
        <v>3.4749999999999996</v>
      </c>
      <c r="D88" s="14">
        <f t="shared" si="7"/>
        <v>7</v>
      </c>
      <c r="E88" s="14">
        <f t="shared" si="8"/>
        <v>0.2</v>
      </c>
      <c r="F88" s="14">
        <f t="shared" si="9"/>
        <v>5</v>
      </c>
      <c r="G88" s="14">
        <f t="shared" si="10"/>
        <v>2.3546629836237978</v>
      </c>
      <c r="H88" s="14">
        <f t="shared" si="11"/>
        <v>1</v>
      </c>
      <c r="I88" s="14">
        <f t="shared" si="12"/>
        <v>1</v>
      </c>
      <c r="J88" s="14">
        <f t="shared" si="13"/>
        <v>2.3546629836237978</v>
      </c>
      <c r="K88" s="15">
        <f>IF(CurrentMtgRatesDataTable8[[#This Row],[WA CC]]&lt;&gt;0,C87-CurrentMtgRatesDataTable8[[#This Row],[WA CC]],0)</f>
        <v>1.1203370163762019</v>
      </c>
      <c r="L88" s="16">
        <f>IF(CurrentMtgRatesDataTable8[[#This Row],[Servicing Spread]]&lt;=0,L87,CurrentMtgRatesDataTable8[[#This Row],[Servicing Spread]])</f>
        <v>1.1203370163762019</v>
      </c>
      <c r="M88" s="16">
        <f>CurrentMtgRatesDataTable8[[#This Row],[Servicing Spread Non-Zero]]-L87</f>
        <v>6.5090149921398499E-3</v>
      </c>
      <c r="N88" s="16">
        <f>IF(J87&lt;&gt;0,CurrentMtgRatesDataTable8[[#This Row],[Rate]]-C87,N87)</f>
        <v>5.9999999999999609E-2</v>
      </c>
    </row>
    <row r="89" spans="1:14" s="9" customFormat="1">
      <c r="A89" s="8" t="s">
        <v>603</v>
      </c>
      <c r="B89" s="11">
        <v>2.33657189118883</v>
      </c>
      <c r="C89" s="13">
        <v>3.4899999999999998</v>
      </c>
      <c r="D89" s="14">
        <f t="shared" si="7"/>
        <v>1</v>
      </c>
      <c r="E89" s="14">
        <f t="shared" si="8"/>
        <v>0.2</v>
      </c>
      <c r="F89" s="14">
        <f t="shared" si="9"/>
        <v>1</v>
      </c>
      <c r="G89" s="14">
        <f t="shared" si="10"/>
        <v>0.467314378237766</v>
      </c>
      <c r="H89" s="14">
        <f t="shared" si="11"/>
        <v>0.2</v>
      </c>
      <c r="I89" s="14">
        <f t="shared" si="12"/>
        <v>0</v>
      </c>
      <c r="J89" s="14">
        <f t="shared" si="13"/>
        <v>0</v>
      </c>
      <c r="K89" s="15">
        <f>IF(CurrentMtgRatesDataTable8[[#This Row],[WA CC]]&lt;&gt;0,C88-CurrentMtgRatesDataTable8[[#This Row],[WA CC]],0)</f>
        <v>0</v>
      </c>
      <c r="L89" s="16">
        <f>IF(CurrentMtgRatesDataTable8[[#This Row],[Servicing Spread]]&lt;=0,L88,CurrentMtgRatesDataTable8[[#This Row],[Servicing Spread]])</f>
        <v>1.1203370163762019</v>
      </c>
      <c r="M89" s="16">
        <f>CurrentMtgRatesDataTable8[[#This Row],[Servicing Spread Non-Zero]]-L88</f>
        <v>0</v>
      </c>
      <c r="N89" s="16">
        <f>IF(J88&lt;&gt;0,CurrentMtgRatesDataTable8[[#This Row],[Rate]]-C88,N88)</f>
        <v>1.5000000000000124E-2</v>
      </c>
    </row>
    <row r="90" spans="1:14" s="9" customFormat="1">
      <c r="A90" s="8" t="s">
        <v>458</v>
      </c>
      <c r="B90" s="11">
        <v>2.42675409444622</v>
      </c>
      <c r="C90" s="13">
        <v>3.4899999999999998</v>
      </c>
      <c r="D90" s="14">
        <f t="shared" si="7"/>
        <v>2</v>
      </c>
      <c r="E90" s="14">
        <f t="shared" si="8"/>
        <v>0.2</v>
      </c>
      <c r="F90" s="14">
        <f t="shared" si="9"/>
        <v>2</v>
      </c>
      <c r="G90" s="14">
        <f t="shared" si="10"/>
        <v>0.95266519712701003</v>
      </c>
      <c r="H90" s="14">
        <f t="shared" si="11"/>
        <v>0.4</v>
      </c>
      <c r="I90" s="14">
        <f t="shared" si="12"/>
        <v>0</v>
      </c>
      <c r="J90" s="14">
        <f t="shared" si="13"/>
        <v>0</v>
      </c>
      <c r="K90" s="15">
        <f>IF(CurrentMtgRatesDataTable8[[#This Row],[WA CC]]&lt;&gt;0,C89-CurrentMtgRatesDataTable8[[#This Row],[WA CC]],0)</f>
        <v>0</v>
      </c>
      <c r="L90" s="16">
        <f>IF(CurrentMtgRatesDataTable8[[#This Row],[Servicing Spread]]&lt;=0,L89,CurrentMtgRatesDataTable8[[#This Row],[Servicing Spread]])</f>
        <v>1.1203370163762019</v>
      </c>
      <c r="M90" s="16">
        <f>CurrentMtgRatesDataTable8[[#This Row],[Servicing Spread Non-Zero]]-L89</f>
        <v>0</v>
      </c>
      <c r="N90" s="16">
        <f>IF(J89&lt;&gt;0,CurrentMtgRatesDataTable8[[#This Row],[Rate]]-C89,N89)</f>
        <v>1.5000000000000124E-2</v>
      </c>
    </row>
    <row r="91" spans="1:14" s="9" customFormat="1">
      <c r="A91" s="8" t="s">
        <v>325</v>
      </c>
      <c r="B91" s="11">
        <v>2.4102554462908099</v>
      </c>
      <c r="C91" s="13">
        <v>3.4899999999999998</v>
      </c>
      <c r="D91" s="14">
        <f t="shared" si="7"/>
        <v>5</v>
      </c>
      <c r="E91" s="14">
        <f t="shared" si="8"/>
        <v>0.2</v>
      </c>
      <c r="F91" s="14">
        <f t="shared" si="9"/>
        <v>3</v>
      </c>
      <c r="G91" s="14">
        <f t="shared" si="10"/>
        <v>1.4347162863851719</v>
      </c>
      <c r="H91" s="14">
        <f t="shared" si="11"/>
        <v>0.60000000000000009</v>
      </c>
      <c r="I91" s="14">
        <f t="shared" si="12"/>
        <v>0</v>
      </c>
      <c r="J91" s="14">
        <f t="shared" si="13"/>
        <v>0</v>
      </c>
      <c r="K91" s="15">
        <f>IF(CurrentMtgRatesDataTable8[[#This Row],[WA CC]]&lt;&gt;0,C90-CurrentMtgRatesDataTable8[[#This Row],[WA CC]],0)</f>
        <v>0</v>
      </c>
      <c r="L91" s="16">
        <f>IF(CurrentMtgRatesDataTable8[[#This Row],[Servicing Spread]]&lt;=0,L90,CurrentMtgRatesDataTable8[[#This Row],[Servicing Spread]])</f>
        <v>1.1203370163762019</v>
      </c>
      <c r="M91" s="16">
        <f>CurrentMtgRatesDataTable8[[#This Row],[Servicing Spread Non-Zero]]-L90</f>
        <v>0</v>
      </c>
      <c r="N91" s="16">
        <f>IF(J90&lt;&gt;0,CurrentMtgRatesDataTable8[[#This Row],[Rate]]-C90,N90)</f>
        <v>1.5000000000000124E-2</v>
      </c>
    </row>
    <row r="92" spans="1:14" s="9" customFormat="1">
      <c r="A92" s="8" t="s">
        <v>182</v>
      </c>
      <c r="B92" s="11">
        <v>2.4648279812140101</v>
      </c>
      <c r="C92" s="13">
        <v>3.4899999999999998</v>
      </c>
      <c r="D92" s="14">
        <f t="shared" si="7"/>
        <v>6</v>
      </c>
      <c r="E92" s="14">
        <f t="shared" si="8"/>
        <v>0.2</v>
      </c>
      <c r="F92" s="14">
        <f t="shared" si="9"/>
        <v>4</v>
      </c>
      <c r="G92" s="14">
        <f t="shared" si="10"/>
        <v>1.927681882627974</v>
      </c>
      <c r="H92" s="14">
        <f t="shared" si="11"/>
        <v>0.8</v>
      </c>
      <c r="I92" s="14">
        <f t="shared" si="12"/>
        <v>0</v>
      </c>
      <c r="J92" s="14">
        <f t="shared" si="13"/>
        <v>0</v>
      </c>
      <c r="K92" s="15">
        <f>IF(CurrentMtgRatesDataTable8[[#This Row],[WA CC]]&lt;&gt;0,C91-CurrentMtgRatesDataTable8[[#This Row],[WA CC]],0)</f>
        <v>0</v>
      </c>
      <c r="L92" s="16">
        <f>IF(CurrentMtgRatesDataTable8[[#This Row],[Servicing Spread]]&lt;=0,L91,CurrentMtgRatesDataTable8[[#This Row],[Servicing Spread]])</f>
        <v>1.1203370163762019</v>
      </c>
      <c r="M92" s="16">
        <f>CurrentMtgRatesDataTable8[[#This Row],[Servicing Spread Non-Zero]]-L91</f>
        <v>0</v>
      </c>
      <c r="N92" s="16">
        <f>IF(J91&lt;&gt;0,CurrentMtgRatesDataTable8[[#This Row],[Rate]]-C91,N91)</f>
        <v>1.5000000000000124E-2</v>
      </c>
    </row>
    <row r="93" spans="1:14" s="9" customFormat="1">
      <c r="A93" s="8" t="s">
        <v>36</v>
      </c>
      <c r="B93" s="11">
        <v>2.45387778372179</v>
      </c>
      <c r="C93" s="13">
        <v>3.4899999999999998</v>
      </c>
      <c r="D93" s="14">
        <f t="shared" si="7"/>
        <v>7</v>
      </c>
      <c r="E93" s="14">
        <f t="shared" si="8"/>
        <v>0.2</v>
      </c>
      <c r="F93" s="14">
        <f t="shared" si="9"/>
        <v>5</v>
      </c>
      <c r="G93" s="14">
        <f t="shared" si="10"/>
        <v>2.4184574393723319</v>
      </c>
      <c r="H93" s="14">
        <f t="shared" si="11"/>
        <v>1</v>
      </c>
      <c r="I93" s="14">
        <f t="shared" si="12"/>
        <v>1</v>
      </c>
      <c r="J93" s="14">
        <f t="shared" si="13"/>
        <v>2.4184574393723319</v>
      </c>
      <c r="K93" s="15">
        <f>IF(CurrentMtgRatesDataTable8[[#This Row],[WA CC]]&lt;&gt;0,C92-CurrentMtgRatesDataTable8[[#This Row],[WA CC]],0)</f>
        <v>1.0715425606276678</v>
      </c>
      <c r="L93" s="16">
        <f>IF(CurrentMtgRatesDataTable8[[#This Row],[Servicing Spread]]&lt;=0,L92,CurrentMtgRatesDataTable8[[#This Row],[Servicing Spread]])</f>
        <v>1.0715425606276678</v>
      </c>
      <c r="M93" s="16">
        <f>CurrentMtgRatesDataTable8[[#This Row],[Servicing Spread Non-Zero]]-L92</f>
        <v>-4.8794455748534027E-2</v>
      </c>
      <c r="N93" s="16">
        <f>IF(J92&lt;&gt;0,CurrentMtgRatesDataTable8[[#This Row],[Rate]]-C92,N92)</f>
        <v>1.5000000000000124E-2</v>
      </c>
    </row>
    <row r="94" spans="1:14" s="9" customFormat="1">
      <c r="A94" s="8" t="s">
        <v>604</v>
      </c>
      <c r="B94" s="11">
        <v>2.45717074132124</v>
      </c>
      <c r="C94" s="13">
        <v>3.52</v>
      </c>
      <c r="D94" s="14">
        <f t="shared" si="7"/>
        <v>1</v>
      </c>
      <c r="E94" s="14">
        <f t="shared" si="8"/>
        <v>0.2</v>
      </c>
      <c r="F94" s="14">
        <f t="shared" si="9"/>
        <v>1</v>
      </c>
      <c r="G94" s="14">
        <f t="shared" si="10"/>
        <v>0.49143414826424803</v>
      </c>
      <c r="H94" s="14">
        <f t="shared" si="11"/>
        <v>0.2</v>
      </c>
      <c r="I94" s="14">
        <f t="shared" si="12"/>
        <v>0</v>
      </c>
      <c r="J94" s="14">
        <f t="shared" si="13"/>
        <v>0</v>
      </c>
      <c r="K94" s="15">
        <f>IF(CurrentMtgRatesDataTable8[[#This Row],[WA CC]]&lt;&gt;0,C93-CurrentMtgRatesDataTable8[[#This Row],[WA CC]],0)</f>
        <v>0</v>
      </c>
      <c r="L94" s="16">
        <f>IF(CurrentMtgRatesDataTable8[[#This Row],[Servicing Spread]]&lt;=0,L93,CurrentMtgRatesDataTable8[[#This Row],[Servicing Spread]])</f>
        <v>1.0715425606276678</v>
      </c>
      <c r="M94" s="16">
        <f>CurrentMtgRatesDataTable8[[#This Row],[Servicing Spread Non-Zero]]-L93</f>
        <v>0</v>
      </c>
      <c r="N94" s="16">
        <f>IF(J93&lt;&gt;0,CurrentMtgRatesDataTable8[[#This Row],[Rate]]-C93,N93)</f>
        <v>3.0000000000000249E-2</v>
      </c>
    </row>
    <row r="95" spans="1:14" s="9" customFormat="1">
      <c r="A95" s="8" t="s">
        <v>459</v>
      </c>
      <c r="B95" s="11">
        <v>2.43734688080974</v>
      </c>
      <c r="C95" s="13">
        <v>3.52</v>
      </c>
      <c r="D95" s="14">
        <f t="shared" si="7"/>
        <v>2</v>
      </c>
      <c r="E95" s="14">
        <f t="shared" si="8"/>
        <v>0.2</v>
      </c>
      <c r="F95" s="14">
        <f t="shared" si="9"/>
        <v>2</v>
      </c>
      <c r="G95" s="14">
        <f t="shared" si="10"/>
        <v>0.9789035244261961</v>
      </c>
      <c r="H95" s="14">
        <f t="shared" si="11"/>
        <v>0.4</v>
      </c>
      <c r="I95" s="14">
        <f t="shared" si="12"/>
        <v>0</v>
      </c>
      <c r="J95" s="14">
        <f t="shared" si="13"/>
        <v>0</v>
      </c>
      <c r="K95" s="15">
        <f>IF(CurrentMtgRatesDataTable8[[#This Row],[WA CC]]&lt;&gt;0,C94-CurrentMtgRatesDataTable8[[#This Row],[WA CC]],0)</f>
        <v>0</v>
      </c>
      <c r="L95" s="16">
        <f>IF(CurrentMtgRatesDataTable8[[#This Row],[Servicing Spread]]&lt;=0,L94,CurrentMtgRatesDataTable8[[#This Row],[Servicing Spread]])</f>
        <v>1.0715425606276678</v>
      </c>
      <c r="M95" s="16">
        <f>CurrentMtgRatesDataTable8[[#This Row],[Servicing Spread Non-Zero]]-L94</f>
        <v>0</v>
      </c>
      <c r="N95" s="16">
        <f>IF(J94&lt;&gt;0,CurrentMtgRatesDataTable8[[#This Row],[Rate]]-C94,N94)</f>
        <v>3.0000000000000249E-2</v>
      </c>
    </row>
    <row r="96" spans="1:14" s="9" customFormat="1">
      <c r="A96" s="8" t="s">
        <v>326</v>
      </c>
      <c r="B96" s="11">
        <v>2.4326197879338101</v>
      </c>
      <c r="C96" s="13">
        <v>3.52</v>
      </c>
      <c r="D96" s="14">
        <f t="shared" si="7"/>
        <v>5</v>
      </c>
      <c r="E96" s="14">
        <f t="shared" si="8"/>
        <v>0.2</v>
      </c>
      <c r="F96" s="14">
        <f t="shared" si="9"/>
        <v>3</v>
      </c>
      <c r="G96" s="14">
        <f t="shared" si="10"/>
        <v>1.465427482012958</v>
      </c>
      <c r="H96" s="14">
        <f t="shared" si="11"/>
        <v>0.60000000000000009</v>
      </c>
      <c r="I96" s="14">
        <f t="shared" si="12"/>
        <v>0</v>
      </c>
      <c r="J96" s="14">
        <f t="shared" si="13"/>
        <v>0</v>
      </c>
      <c r="K96" s="15">
        <f>IF(CurrentMtgRatesDataTable8[[#This Row],[WA CC]]&lt;&gt;0,C95-CurrentMtgRatesDataTable8[[#This Row],[WA CC]],0)</f>
        <v>0</v>
      </c>
      <c r="L96" s="16">
        <f>IF(CurrentMtgRatesDataTable8[[#This Row],[Servicing Spread]]&lt;=0,L95,CurrentMtgRatesDataTable8[[#This Row],[Servicing Spread]])</f>
        <v>1.0715425606276678</v>
      </c>
      <c r="M96" s="16">
        <f>CurrentMtgRatesDataTable8[[#This Row],[Servicing Spread Non-Zero]]-L95</f>
        <v>0</v>
      </c>
      <c r="N96" s="16">
        <f>IF(J95&lt;&gt;0,CurrentMtgRatesDataTable8[[#This Row],[Rate]]-C95,N95)</f>
        <v>3.0000000000000249E-2</v>
      </c>
    </row>
    <row r="97" spans="1:14" s="9" customFormat="1">
      <c r="A97" s="8" t="s">
        <v>183</v>
      </c>
      <c r="B97" s="11">
        <v>2.5032104637526098</v>
      </c>
      <c r="C97" s="13">
        <v>3.52</v>
      </c>
      <c r="D97" s="14">
        <f t="shared" si="7"/>
        <v>6</v>
      </c>
      <c r="E97" s="14">
        <f t="shared" si="8"/>
        <v>0.2</v>
      </c>
      <c r="F97" s="14">
        <f t="shared" si="9"/>
        <v>4</v>
      </c>
      <c r="G97" s="14">
        <f t="shared" si="10"/>
        <v>1.96606957476348</v>
      </c>
      <c r="H97" s="14">
        <f t="shared" si="11"/>
        <v>0.8</v>
      </c>
      <c r="I97" s="14">
        <f t="shared" si="12"/>
        <v>0</v>
      </c>
      <c r="J97" s="14">
        <f t="shared" si="13"/>
        <v>0</v>
      </c>
      <c r="K97" s="15">
        <f>IF(CurrentMtgRatesDataTable8[[#This Row],[WA CC]]&lt;&gt;0,C96-CurrentMtgRatesDataTable8[[#This Row],[WA CC]],0)</f>
        <v>0</v>
      </c>
      <c r="L97" s="16">
        <f>IF(CurrentMtgRatesDataTable8[[#This Row],[Servicing Spread]]&lt;=0,L96,CurrentMtgRatesDataTable8[[#This Row],[Servicing Spread]])</f>
        <v>1.0715425606276678</v>
      </c>
      <c r="M97" s="16">
        <f>CurrentMtgRatesDataTable8[[#This Row],[Servicing Spread Non-Zero]]-L96</f>
        <v>0</v>
      </c>
      <c r="N97" s="16">
        <f>IF(J96&lt;&gt;0,CurrentMtgRatesDataTable8[[#This Row],[Rate]]-C96,N96)</f>
        <v>3.0000000000000249E-2</v>
      </c>
    </row>
    <row r="98" spans="1:14" s="9" customFormat="1">
      <c r="A98" s="8" t="s">
        <v>37</v>
      </c>
      <c r="B98" s="11">
        <v>2.6381335660023502</v>
      </c>
      <c r="C98" s="13">
        <v>3.52</v>
      </c>
      <c r="D98" s="14">
        <f t="shared" si="7"/>
        <v>7</v>
      </c>
      <c r="E98" s="14">
        <f t="shared" si="8"/>
        <v>0.2</v>
      </c>
      <c r="F98" s="14">
        <f t="shared" si="9"/>
        <v>5</v>
      </c>
      <c r="G98" s="14">
        <f t="shared" si="10"/>
        <v>2.4936962879639499</v>
      </c>
      <c r="H98" s="14">
        <f t="shared" si="11"/>
        <v>1</v>
      </c>
      <c r="I98" s="14">
        <f t="shared" si="12"/>
        <v>1</v>
      </c>
      <c r="J98" s="14">
        <f t="shared" si="13"/>
        <v>2.4936962879639499</v>
      </c>
      <c r="K98" s="15">
        <f>IF(CurrentMtgRatesDataTable8[[#This Row],[WA CC]]&lt;&gt;0,C97-CurrentMtgRatesDataTable8[[#This Row],[WA CC]],0)</f>
        <v>1.0263037120360501</v>
      </c>
      <c r="L98" s="16">
        <f>IF(CurrentMtgRatesDataTable8[[#This Row],[Servicing Spread]]&lt;=0,L97,CurrentMtgRatesDataTable8[[#This Row],[Servicing Spread]])</f>
        <v>1.0263037120360501</v>
      </c>
      <c r="M98" s="16">
        <f>CurrentMtgRatesDataTable8[[#This Row],[Servicing Spread Non-Zero]]-L97</f>
        <v>-4.5238848591617753E-2</v>
      </c>
      <c r="N98" s="16">
        <f>IF(J97&lt;&gt;0,CurrentMtgRatesDataTable8[[#This Row],[Rate]]-C97,N97)</f>
        <v>3.0000000000000249E-2</v>
      </c>
    </row>
    <row r="99" spans="1:14" s="9" customFormat="1">
      <c r="A99" s="8" t="s">
        <v>605</v>
      </c>
      <c r="B99" s="11">
        <v>2.67019432510418</v>
      </c>
      <c r="C99" s="13">
        <v>3.585</v>
      </c>
      <c r="D99" s="14">
        <f t="shared" si="7"/>
        <v>1</v>
      </c>
      <c r="E99" s="14">
        <f t="shared" si="8"/>
        <v>0.2</v>
      </c>
      <c r="F99" s="14">
        <f t="shared" si="9"/>
        <v>1</v>
      </c>
      <c r="G99" s="14">
        <f t="shared" si="10"/>
        <v>0.53403886502083597</v>
      </c>
      <c r="H99" s="14">
        <f t="shared" si="11"/>
        <v>0.2</v>
      </c>
      <c r="I99" s="14">
        <f t="shared" si="12"/>
        <v>0</v>
      </c>
      <c r="J99" s="14">
        <f t="shared" si="13"/>
        <v>0</v>
      </c>
      <c r="K99" s="15">
        <f>IF(CurrentMtgRatesDataTable8[[#This Row],[WA CC]]&lt;&gt;0,C98-CurrentMtgRatesDataTable8[[#This Row],[WA CC]],0)</f>
        <v>0</v>
      </c>
      <c r="L99" s="16">
        <f>IF(CurrentMtgRatesDataTable8[[#This Row],[Servicing Spread]]&lt;=0,L98,CurrentMtgRatesDataTable8[[#This Row],[Servicing Spread]])</f>
        <v>1.0263037120360501</v>
      </c>
      <c r="M99" s="16">
        <f>CurrentMtgRatesDataTable8[[#This Row],[Servicing Spread Non-Zero]]-L98</f>
        <v>0</v>
      </c>
      <c r="N99" s="16">
        <f>IF(J98&lt;&gt;0,CurrentMtgRatesDataTable8[[#This Row],[Rate]]-C98,N98)</f>
        <v>6.4999999999999947E-2</v>
      </c>
    </row>
    <row r="100" spans="1:14" s="9" customFormat="1">
      <c r="A100" s="8" t="s">
        <v>460</v>
      </c>
      <c r="B100" s="11">
        <v>2.6390371038052001</v>
      </c>
      <c r="C100" s="13">
        <v>3.585</v>
      </c>
      <c r="D100" s="14">
        <f t="shared" si="7"/>
        <v>2</v>
      </c>
      <c r="E100" s="14">
        <f t="shared" si="8"/>
        <v>0.2</v>
      </c>
      <c r="F100" s="14">
        <f t="shared" si="9"/>
        <v>2</v>
      </c>
      <c r="G100" s="14">
        <f t="shared" si="10"/>
        <v>1.061846285781876</v>
      </c>
      <c r="H100" s="14">
        <f t="shared" si="11"/>
        <v>0.4</v>
      </c>
      <c r="I100" s="14">
        <f t="shared" si="12"/>
        <v>0</v>
      </c>
      <c r="J100" s="14">
        <f t="shared" si="13"/>
        <v>0</v>
      </c>
      <c r="K100" s="15">
        <f>IF(CurrentMtgRatesDataTable8[[#This Row],[WA CC]]&lt;&gt;0,C99-CurrentMtgRatesDataTable8[[#This Row],[WA CC]],0)</f>
        <v>0</v>
      </c>
      <c r="L100" s="16">
        <f>IF(CurrentMtgRatesDataTable8[[#This Row],[Servicing Spread]]&lt;=0,L99,CurrentMtgRatesDataTable8[[#This Row],[Servicing Spread]])</f>
        <v>1.0263037120360501</v>
      </c>
      <c r="M100" s="16">
        <f>CurrentMtgRatesDataTable8[[#This Row],[Servicing Spread Non-Zero]]-L99</f>
        <v>0</v>
      </c>
      <c r="N100" s="16">
        <f>IF(J99&lt;&gt;0,CurrentMtgRatesDataTable8[[#This Row],[Rate]]-C99,N99)</f>
        <v>6.4999999999999947E-2</v>
      </c>
    </row>
    <row r="101" spans="1:14" s="9" customFormat="1">
      <c r="A101" s="8" t="s">
        <v>327</v>
      </c>
      <c r="B101" s="11">
        <v>2.6186769861639401</v>
      </c>
      <c r="C101" s="13">
        <v>3.585</v>
      </c>
      <c r="D101" s="14">
        <f t="shared" si="7"/>
        <v>5</v>
      </c>
      <c r="E101" s="14">
        <f t="shared" si="8"/>
        <v>0.2</v>
      </c>
      <c r="F101" s="14">
        <f t="shared" si="9"/>
        <v>3</v>
      </c>
      <c r="G101" s="14">
        <f t="shared" si="10"/>
        <v>1.5855816830146641</v>
      </c>
      <c r="H101" s="14">
        <f t="shared" si="11"/>
        <v>0.60000000000000009</v>
      </c>
      <c r="I101" s="14">
        <f t="shared" si="12"/>
        <v>0</v>
      </c>
      <c r="J101" s="14">
        <f t="shared" si="13"/>
        <v>0</v>
      </c>
      <c r="K101" s="15">
        <f>IF(CurrentMtgRatesDataTable8[[#This Row],[WA CC]]&lt;&gt;0,C100-CurrentMtgRatesDataTable8[[#This Row],[WA CC]],0)</f>
        <v>0</v>
      </c>
      <c r="L101" s="16">
        <f>IF(CurrentMtgRatesDataTable8[[#This Row],[Servicing Spread]]&lt;=0,L100,CurrentMtgRatesDataTable8[[#This Row],[Servicing Spread]])</f>
        <v>1.0263037120360501</v>
      </c>
      <c r="M101" s="16">
        <f>CurrentMtgRatesDataTable8[[#This Row],[Servicing Spread Non-Zero]]-L100</f>
        <v>0</v>
      </c>
      <c r="N101" s="16">
        <f>IF(J100&lt;&gt;0,CurrentMtgRatesDataTable8[[#This Row],[Rate]]-C100,N100)</f>
        <v>6.4999999999999947E-2</v>
      </c>
    </row>
    <row r="102" spans="1:14" s="9" customFormat="1">
      <c r="A102" s="8" t="s">
        <v>184</v>
      </c>
      <c r="B102" s="11">
        <v>2.6258914158610902</v>
      </c>
      <c r="C102" s="13">
        <v>3.585</v>
      </c>
      <c r="D102" s="14">
        <f t="shared" si="7"/>
        <v>6</v>
      </c>
      <c r="E102" s="14">
        <f t="shared" si="8"/>
        <v>0.2</v>
      </c>
      <c r="F102" s="14">
        <f t="shared" si="9"/>
        <v>4</v>
      </c>
      <c r="G102" s="14">
        <f t="shared" si="10"/>
        <v>2.1107599661868823</v>
      </c>
      <c r="H102" s="14">
        <f t="shared" si="11"/>
        <v>0.8</v>
      </c>
      <c r="I102" s="14">
        <f t="shared" si="12"/>
        <v>0</v>
      </c>
      <c r="J102" s="14">
        <f t="shared" si="13"/>
        <v>0</v>
      </c>
      <c r="K102" s="15">
        <f>IF(CurrentMtgRatesDataTable8[[#This Row],[WA CC]]&lt;&gt;0,C101-CurrentMtgRatesDataTable8[[#This Row],[WA CC]],0)</f>
        <v>0</v>
      </c>
      <c r="L102" s="16">
        <f>IF(CurrentMtgRatesDataTable8[[#This Row],[Servicing Spread]]&lt;=0,L101,CurrentMtgRatesDataTable8[[#This Row],[Servicing Spread]])</f>
        <v>1.0263037120360501</v>
      </c>
      <c r="M102" s="16">
        <f>CurrentMtgRatesDataTable8[[#This Row],[Servicing Spread Non-Zero]]-L101</f>
        <v>0</v>
      </c>
      <c r="N102" s="16">
        <f>IF(J101&lt;&gt;0,CurrentMtgRatesDataTable8[[#This Row],[Rate]]-C101,N101)</f>
        <v>6.4999999999999947E-2</v>
      </c>
    </row>
    <row r="103" spans="1:14" s="9" customFormat="1">
      <c r="A103" s="8" t="s">
        <v>38</v>
      </c>
      <c r="B103" s="11">
        <v>2.5120707644049798</v>
      </c>
      <c r="C103" s="13">
        <v>3.585</v>
      </c>
      <c r="D103" s="14">
        <f t="shared" si="7"/>
        <v>7</v>
      </c>
      <c r="E103" s="14">
        <f t="shared" si="8"/>
        <v>0.2</v>
      </c>
      <c r="F103" s="14">
        <f t="shared" si="9"/>
        <v>5</v>
      </c>
      <c r="G103" s="14">
        <f t="shared" si="10"/>
        <v>2.6131741190678781</v>
      </c>
      <c r="H103" s="14">
        <f t="shared" si="11"/>
        <v>1</v>
      </c>
      <c r="I103" s="14">
        <f t="shared" si="12"/>
        <v>1</v>
      </c>
      <c r="J103" s="14">
        <f t="shared" si="13"/>
        <v>2.6131741190678781</v>
      </c>
      <c r="K103" s="15">
        <f>IF(CurrentMtgRatesDataTable8[[#This Row],[WA CC]]&lt;&gt;0,C102-CurrentMtgRatesDataTable8[[#This Row],[WA CC]],0)</f>
        <v>0.97182588093212185</v>
      </c>
      <c r="L103" s="16">
        <f>IF(CurrentMtgRatesDataTable8[[#This Row],[Servicing Spread]]&lt;=0,L102,CurrentMtgRatesDataTable8[[#This Row],[Servicing Spread]])</f>
        <v>0.97182588093212185</v>
      </c>
      <c r="M103" s="16">
        <f>CurrentMtgRatesDataTable8[[#This Row],[Servicing Spread Non-Zero]]-L102</f>
        <v>-5.4477831103928231E-2</v>
      </c>
      <c r="N103" s="16">
        <f>IF(J102&lt;&gt;0,CurrentMtgRatesDataTable8[[#This Row],[Rate]]-C102,N102)</f>
        <v>6.4999999999999947E-2</v>
      </c>
    </row>
    <row r="104" spans="1:14" s="9" customFormat="1">
      <c r="A104" s="8" t="s">
        <v>606</v>
      </c>
      <c r="B104" s="11">
        <v>2.4447051610431401</v>
      </c>
      <c r="C104" s="13">
        <v>3.4899999999999998</v>
      </c>
      <c r="D104" s="14">
        <f t="shared" si="7"/>
        <v>1</v>
      </c>
      <c r="E104" s="14">
        <f t="shared" si="8"/>
        <v>0.2</v>
      </c>
      <c r="F104" s="14">
        <f t="shared" si="9"/>
        <v>1</v>
      </c>
      <c r="G104" s="14">
        <f t="shared" si="10"/>
        <v>0.48894103220862806</v>
      </c>
      <c r="H104" s="14">
        <f t="shared" si="11"/>
        <v>0.2</v>
      </c>
      <c r="I104" s="14">
        <f t="shared" si="12"/>
        <v>0</v>
      </c>
      <c r="J104" s="14">
        <f t="shared" si="13"/>
        <v>0</v>
      </c>
      <c r="K104" s="15">
        <f>IF(CurrentMtgRatesDataTable8[[#This Row],[WA CC]]&lt;&gt;0,C103-CurrentMtgRatesDataTable8[[#This Row],[WA CC]],0)</f>
        <v>0</v>
      </c>
      <c r="L104" s="16">
        <f>IF(CurrentMtgRatesDataTable8[[#This Row],[Servicing Spread]]&lt;=0,L103,CurrentMtgRatesDataTable8[[#This Row],[Servicing Spread]])</f>
        <v>0.97182588093212185</v>
      </c>
      <c r="M104" s="16">
        <f>CurrentMtgRatesDataTable8[[#This Row],[Servicing Spread Non-Zero]]-L103</f>
        <v>0</v>
      </c>
      <c r="N104" s="16">
        <f>IF(J103&lt;&gt;0,CurrentMtgRatesDataTable8[[#This Row],[Rate]]-C103,N103)</f>
        <v>-9.5000000000000195E-2</v>
      </c>
    </row>
    <row r="105" spans="1:14" s="9" customFormat="1">
      <c r="A105" s="8" t="s">
        <v>461</v>
      </c>
      <c r="B105" s="11">
        <v>2.4760934642707801</v>
      </c>
      <c r="C105" s="13">
        <v>3.4899999999999998</v>
      </c>
      <c r="D105" s="14">
        <f t="shared" si="7"/>
        <v>2</v>
      </c>
      <c r="E105" s="14">
        <f t="shared" si="8"/>
        <v>0.2</v>
      </c>
      <c r="F105" s="14">
        <f t="shared" si="9"/>
        <v>2</v>
      </c>
      <c r="G105" s="14">
        <f t="shared" si="10"/>
        <v>0.98415972506278404</v>
      </c>
      <c r="H105" s="14">
        <f t="shared" si="11"/>
        <v>0.4</v>
      </c>
      <c r="I105" s="14">
        <f t="shared" si="12"/>
        <v>0</v>
      </c>
      <c r="J105" s="14">
        <f t="shared" si="13"/>
        <v>0</v>
      </c>
      <c r="K105" s="15">
        <f>IF(CurrentMtgRatesDataTable8[[#This Row],[WA CC]]&lt;&gt;0,C104-CurrentMtgRatesDataTable8[[#This Row],[WA CC]],0)</f>
        <v>0</v>
      </c>
      <c r="L105" s="16">
        <f>IF(CurrentMtgRatesDataTable8[[#This Row],[Servicing Spread]]&lt;=0,L104,CurrentMtgRatesDataTable8[[#This Row],[Servicing Spread]])</f>
        <v>0.97182588093212185</v>
      </c>
      <c r="M105" s="16">
        <f>CurrentMtgRatesDataTable8[[#This Row],[Servicing Spread Non-Zero]]-L104</f>
        <v>0</v>
      </c>
      <c r="N105" s="16">
        <f>IF(J104&lt;&gt;0,CurrentMtgRatesDataTable8[[#This Row],[Rate]]-C104,N104)</f>
        <v>-9.5000000000000195E-2</v>
      </c>
    </row>
    <row r="106" spans="1:14" s="9" customFormat="1">
      <c r="A106" s="8" t="s">
        <v>328</v>
      </c>
      <c r="B106" s="11">
        <v>2.4407526300903402</v>
      </c>
      <c r="C106" s="13">
        <v>3.4899999999999998</v>
      </c>
      <c r="D106" s="14">
        <f t="shared" si="7"/>
        <v>5</v>
      </c>
      <c r="E106" s="14">
        <f t="shared" si="8"/>
        <v>0.2</v>
      </c>
      <c r="F106" s="14">
        <f t="shared" si="9"/>
        <v>3</v>
      </c>
      <c r="G106" s="14">
        <f t="shared" si="10"/>
        <v>1.4723102510808521</v>
      </c>
      <c r="H106" s="14">
        <f t="shared" si="11"/>
        <v>0.60000000000000009</v>
      </c>
      <c r="I106" s="14">
        <f t="shared" si="12"/>
        <v>0</v>
      </c>
      <c r="J106" s="14">
        <f t="shared" si="13"/>
        <v>0</v>
      </c>
      <c r="K106" s="15">
        <f>IF(CurrentMtgRatesDataTable8[[#This Row],[WA CC]]&lt;&gt;0,C105-CurrentMtgRatesDataTable8[[#This Row],[WA CC]],0)</f>
        <v>0</v>
      </c>
      <c r="L106" s="16">
        <f>IF(CurrentMtgRatesDataTable8[[#This Row],[Servicing Spread]]&lt;=0,L105,CurrentMtgRatesDataTable8[[#This Row],[Servicing Spread]])</f>
        <v>0.97182588093212185</v>
      </c>
      <c r="M106" s="16">
        <f>CurrentMtgRatesDataTable8[[#This Row],[Servicing Spread Non-Zero]]-L105</f>
        <v>0</v>
      </c>
      <c r="N106" s="16">
        <f>IF(J105&lt;&gt;0,CurrentMtgRatesDataTable8[[#This Row],[Rate]]-C105,N105)</f>
        <v>-9.5000000000000195E-2</v>
      </c>
    </row>
    <row r="107" spans="1:14" s="9" customFormat="1">
      <c r="A107" s="8" t="s">
        <v>185</v>
      </c>
      <c r="B107" s="11">
        <v>2.4110384199427202</v>
      </c>
      <c r="C107" s="13">
        <v>3.4899999999999998</v>
      </c>
      <c r="D107" s="14">
        <f t="shared" si="7"/>
        <v>6</v>
      </c>
      <c r="E107" s="14">
        <f t="shared" si="8"/>
        <v>0.2</v>
      </c>
      <c r="F107" s="14">
        <f t="shared" si="9"/>
        <v>4</v>
      </c>
      <c r="G107" s="14">
        <f t="shared" si="10"/>
        <v>1.9545179350693962</v>
      </c>
      <c r="H107" s="14">
        <f t="shared" si="11"/>
        <v>0.8</v>
      </c>
      <c r="I107" s="14">
        <f t="shared" si="12"/>
        <v>0</v>
      </c>
      <c r="J107" s="14">
        <f t="shared" si="13"/>
        <v>0</v>
      </c>
      <c r="K107" s="15">
        <f>IF(CurrentMtgRatesDataTable8[[#This Row],[WA CC]]&lt;&gt;0,C106-CurrentMtgRatesDataTable8[[#This Row],[WA CC]],0)</f>
        <v>0</v>
      </c>
      <c r="L107" s="16">
        <f>IF(CurrentMtgRatesDataTable8[[#This Row],[Servicing Spread]]&lt;=0,L106,CurrentMtgRatesDataTable8[[#This Row],[Servicing Spread]])</f>
        <v>0.97182588093212185</v>
      </c>
      <c r="M107" s="16">
        <f>CurrentMtgRatesDataTable8[[#This Row],[Servicing Spread Non-Zero]]-L106</f>
        <v>0</v>
      </c>
      <c r="N107" s="16">
        <f>IF(J106&lt;&gt;0,CurrentMtgRatesDataTable8[[#This Row],[Rate]]-C106,N106)</f>
        <v>-9.5000000000000195E-2</v>
      </c>
    </row>
    <row r="108" spans="1:14" s="9" customFormat="1">
      <c r="A108" s="8" t="s">
        <v>39</v>
      </c>
      <c r="B108" s="11">
        <v>2.4687840450515499</v>
      </c>
      <c r="C108" s="13">
        <v>3.4899999999999998</v>
      </c>
      <c r="D108" s="14">
        <f t="shared" si="7"/>
        <v>7</v>
      </c>
      <c r="E108" s="14">
        <f t="shared" si="8"/>
        <v>0.2</v>
      </c>
      <c r="F108" s="14">
        <f t="shared" si="9"/>
        <v>5</v>
      </c>
      <c r="G108" s="14">
        <f t="shared" si="10"/>
        <v>2.4482747440797064</v>
      </c>
      <c r="H108" s="14">
        <f t="shared" si="11"/>
        <v>1</v>
      </c>
      <c r="I108" s="14">
        <f t="shared" si="12"/>
        <v>1</v>
      </c>
      <c r="J108" s="14">
        <f t="shared" si="13"/>
        <v>2.4482747440797064</v>
      </c>
      <c r="K108" s="15">
        <f>IF(CurrentMtgRatesDataTable8[[#This Row],[WA CC]]&lt;&gt;0,C107-CurrentMtgRatesDataTable8[[#This Row],[WA CC]],0)</f>
        <v>1.0417252559202934</v>
      </c>
      <c r="L108" s="16">
        <f>IF(CurrentMtgRatesDataTable8[[#This Row],[Servicing Spread]]&lt;=0,L107,CurrentMtgRatesDataTable8[[#This Row],[Servicing Spread]])</f>
        <v>1.0417252559202934</v>
      </c>
      <c r="M108" s="16">
        <f>CurrentMtgRatesDataTable8[[#This Row],[Servicing Spread Non-Zero]]-L107</f>
        <v>6.9899374988171559E-2</v>
      </c>
      <c r="N108" s="16">
        <f>IF(J107&lt;&gt;0,CurrentMtgRatesDataTable8[[#This Row],[Rate]]-C107,N107)</f>
        <v>-9.5000000000000195E-2</v>
      </c>
    </row>
    <row r="109" spans="1:14" s="9" customFormat="1">
      <c r="A109" s="8" t="s">
        <v>607</v>
      </c>
      <c r="B109" s="11">
        <v>2.4337082726962702</v>
      </c>
      <c r="C109" s="13">
        <v>3.4749999999999996</v>
      </c>
      <c r="D109" s="14">
        <f t="shared" si="7"/>
        <v>1</v>
      </c>
      <c r="E109" s="14">
        <f t="shared" si="8"/>
        <v>0.2</v>
      </c>
      <c r="F109" s="14">
        <f t="shared" si="9"/>
        <v>1</v>
      </c>
      <c r="G109" s="14">
        <f t="shared" si="10"/>
        <v>0.48674165453925405</v>
      </c>
      <c r="H109" s="14">
        <f t="shared" si="11"/>
        <v>0.2</v>
      </c>
      <c r="I109" s="14">
        <f t="shared" si="12"/>
        <v>0</v>
      </c>
      <c r="J109" s="14">
        <f t="shared" si="13"/>
        <v>0</v>
      </c>
      <c r="K109" s="15">
        <f>IF(CurrentMtgRatesDataTable8[[#This Row],[WA CC]]&lt;&gt;0,C108-CurrentMtgRatesDataTable8[[#This Row],[WA CC]],0)</f>
        <v>0</v>
      </c>
      <c r="L109" s="16">
        <f>IF(CurrentMtgRatesDataTable8[[#This Row],[Servicing Spread]]&lt;=0,L108,CurrentMtgRatesDataTable8[[#This Row],[Servicing Spread]])</f>
        <v>1.0417252559202934</v>
      </c>
      <c r="M109" s="16">
        <f>CurrentMtgRatesDataTable8[[#This Row],[Servicing Spread Non-Zero]]-L108</f>
        <v>0</v>
      </c>
      <c r="N109" s="16">
        <f>IF(J108&lt;&gt;0,CurrentMtgRatesDataTable8[[#This Row],[Rate]]-C108,N108)</f>
        <v>-1.5000000000000124E-2</v>
      </c>
    </row>
    <row r="110" spans="1:14" s="9" customFormat="1">
      <c r="A110" s="8" t="s">
        <v>462</v>
      </c>
      <c r="B110" s="11">
        <v>2.3689486742097801</v>
      </c>
      <c r="C110" s="13">
        <v>3.4749999999999996</v>
      </c>
      <c r="D110" s="14">
        <f t="shared" si="7"/>
        <v>2</v>
      </c>
      <c r="E110" s="14">
        <f t="shared" si="8"/>
        <v>0.2</v>
      </c>
      <c r="F110" s="14">
        <f t="shared" si="9"/>
        <v>2</v>
      </c>
      <c r="G110" s="14">
        <f t="shared" si="10"/>
        <v>0.96053138938121008</v>
      </c>
      <c r="H110" s="14">
        <f t="shared" si="11"/>
        <v>0.4</v>
      </c>
      <c r="I110" s="14">
        <f t="shared" si="12"/>
        <v>0</v>
      </c>
      <c r="J110" s="14">
        <f t="shared" si="13"/>
        <v>0</v>
      </c>
      <c r="K110" s="15">
        <f>IF(CurrentMtgRatesDataTable8[[#This Row],[WA CC]]&lt;&gt;0,C109-CurrentMtgRatesDataTable8[[#This Row],[WA CC]],0)</f>
        <v>0</v>
      </c>
      <c r="L110" s="16">
        <f>IF(CurrentMtgRatesDataTable8[[#This Row],[Servicing Spread]]&lt;=0,L109,CurrentMtgRatesDataTable8[[#This Row],[Servicing Spread]])</f>
        <v>1.0417252559202934</v>
      </c>
      <c r="M110" s="16">
        <f>CurrentMtgRatesDataTable8[[#This Row],[Servicing Spread Non-Zero]]-L109</f>
        <v>0</v>
      </c>
      <c r="N110" s="16">
        <f>IF(J109&lt;&gt;0,CurrentMtgRatesDataTable8[[#This Row],[Rate]]-C109,N109)</f>
        <v>-1.5000000000000124E-2</v>
      </c>
    </row>
    <row r="111" spans="1:14" s="9" customFormat="1">
      <c r="A111" s="8" t="s">
        <v>186</v>
      </c>
      <c r="B111" s="11">
        <v>2.3841669341916099</v>
      </c>
      <c r="C111" s="13">
        <v>3.4749999999999996</v>
      </c>
      <c r="D111" s="14">
        <f t="shared" si="7"/>
        <v>6</v>
      </c>
      <c r="E111" s="14">
        <f t="shared" si="8"/>
        <v>0.2</v>
      </c>
      <c r="F111" s="14">
        <f t="shared" si="9"/>
        <v>3</v>
      </c>
      <c r="G111" s="14">
        <f t="shared" si="10"/>
        <v>1.4373647762195321</v>
      </c>
      <c r="H111" s="14">
        <f t="shared" si="11"/>
        <v>0.60000000000000009</v>
      </c>
      <c r="I111" s="14">
        <f t="shared" si="12"/>
        <v>0</v>
      </c>
      <c r="J111" s="14">
        <f t="shared" si="13"/>
        <v>0</v>
      </c>
      <c r="K111" s="15">
        <f>IF(CurrentMtgRatesDataTable8[[#This Row],[WA CC]]&lt;&gt;0,C110-CurrentMtgRatesDataTable8[[#This Row],[WA CC]],0)</f>
        <v>0</v>
      </c>
      <c r="L111" s="16">
        <f>IF(CurrentMtgRatesDataTable8[[#This Row],[Servicing Spread]]&lt;=0,L110,CurrentMtgRatesDataTable8[[#This Row],[Servicing Spread]])</f>
        <v>1.0417252559202934</v>
      </c>
      <c r="M111" s="16">
        <f>CurrentMtgRatesDataTable8[[#This Row],[Servicing Spread Non-Zero]]-L110</f>
        <v>0</v>
      </c>
      <c r="N111" s="16">
        <f>IF(J110&lt;&gt;0,CurrentMtgRatesDataTable8[[#This Row],[Rate]]-C110,N110)</f>
        <v>-1.5000000000000124E-2</v>
      </c>
    </row>
    <row r="112" spans="1:14" s="9" customFormat="1">
      <c r="A112" s="8" t="s">
        <v>40</v>
      </c>
      <c r="B112" s="11">
        <v>2.39527607095176</v>
      </c>
      <c r="C112" s="13">
        <v>3.4749999999999996</v>
      </c>
      <c r="D112" s="14">
        <f t="shared" si="7"/>
        <v>7</v>
      </c>
      <c r="E112" s="14">
        <f t="shared" si="8"/>
        <v>0.2</v>
      </c>
      <c r="F112" s="14">
        <f t="shared" si="9"/>
        <v>4</v>
      </c>
      <c r="G112" s="14">
        <f t="shared" si="10"/>
        <v>1.9164199904098842</v>
      </c>
      <c r="H112" s="14">
        <f t="shared" si="11"/>
        <v>0.8</v>
      </c>
      <c r="I112" s="14">
        <f t="shared" si="12"/>
        <v>1</v>
      </c>
      <c r="J112" s="14">
        <f t="shared" si="13"/>
        <v>2.395524988012355</v>
      </c>
      <c r="K112" s="15">
        <f>IF(CurrentMtgRatesDataTable8[[#This Row],[WA CC]]&lt;&gt;0,C111-CurrentMtgRatesDataTable8[[#This Row],[WA CC]],0)</f>
        <v>1.0794750119876446</v>
      </c>
      <c r="L112" s="16">
        <f>IF(CurrentMtgRatesDataTable8[[#This Row],[Servicing Spread]]&lt;=0,L111,CurrentMtgRatesDataTable8[[#This Row],[Servicing Spread]])</f>
        <v>1.0794750119876446</v>
      </c>
      <c r="M112" s="16">
        <f>CurrentMtgRatesDataTable8[[#This Row],[Servicing Spread Non-Zero]]-L111</f>
        <v>3.7749756067351203E-2</v>
      </c>
      <c r="N112" s="16">
        <f>IF(J111&lt;&gt;0,CurrentMtgRatesDataTable8[[#This Row],[Rate]]-C111,N111)</f>
        <v>-1.5000000000000124E-2</v>
      </c>
    </row>
    <row r="113" spans="1:14" s="9" customFormat="1">
      <c r="A113" s="8" t="s">
        <v>608</v>
      </c>
      <c r="B113" s="11">
        <v>2.4560721347491201</v>
      </c>
      <c r="C113" s="13">
        <v>3.4499999999999997</v>
      </c>
      <c r="D113" s="14">
        <f t="shared" si="7"/>
        <v>1</v>
      </c>
      <c r="E113" s="14">
        <f t="shared" si="8"/>
        <v>0.2</v>
      </c>
      <c r="F113" s="14">
        <f t="shared" si="9"/>
        <v>1</v>
      </c>
      <c r="G113" s="14">
        <f t="shared" si="10"/>
        <v>0.49121442694982403</v>
      </c>
      <c r="H113" s="14">
        <f t="shared" si="11"/>
        <v>0.2</v>
      </c>
      <c r="I113" s="14">
        <f t="shared" si="12"/>
        <v>0</v>
      </c>
      <c r="J113" s="14">
        <f t="shared" si="13"/>
        <v>0</v>
      </c>
      <c r="K113" s="15">
        <f>IF(CurrentMtgRatesDataTable8[[#This Row],[WA CC]]&lt;&gt;0,C112-CurrentMtgRatesDataTable8[[#This Row],[WA CC]],0)</f>
        <v>0</v>
      </c>
      <c r="L113" s="16">
        <f>IF(CurrentMtgRatesDataTable8[[#This Row],[Servicing Spread]]&lt;=0,L112,CurrentMtgRatesDataTable8[[#This Row],[Servicing Spread]])</f>
        <v>1.0794750119876446</v>
      </c>
      <c r="M113" s="16">
        <f>CurrentMtgRatesDataTable8[[#This Row],[Servicing Spread Non-Zero]]-L112</f>
        <v>0</v>
      </c>
      <c r="N113" s="16">
        <f>IF(J112&lt;&gt;0,CurrentMtgRatesDataTable8[[#This Row],[Rate]]-C112,N112)</f>
        <v>-2.4999999999999911E-2</v>
      </c>
    </row>
    <row r="114" spans="1:14" s="9" customFormat="1">
      <c r="A114" s="8" t="s">
        <v>463</v>
      </c>
      <c r="B114" s="11">
        <v>2.3738371878590399</v>
      </c>
      <c r="C114" s="13">
        <v>3.4499999999999997</v>
      </c>
      <c r="D114" s="14">
        <f t="shared" si="7"/>
        <v>2</v>
      </c>
      <c r="E114" s="14">
        <f t="shared" si="8"/>
        <v>0.2</v>
      </c>
      <c r="F114" s="14">
        <f t="shared" si="9"/>
        <v>2</v>
      </c>
      <c r="G114" s="14">
        <f t="shared" si="10"/>
        <v>0.96598186452163204</v>
      </c>
      <c r="H114" s="14">
        <f t="shared" si="11"/>
        <v>0.4</v>
      </c>
      <c r="I114" s="14">
        <f t="shared" si="12"/>
        <v>0</v>
      </c>
      <c r="J114" s="14">
        <f t="shared" si="13"/>
        <v>0</v>
      </c>
      <c r="K114" s="15">
        <f>IF(CurrentMtgRatesDataTable8[[#This Row],[WA CC]]&lt;&gt;0,C113-CurrentMtgRatesDataTable8[[#This Row],[WA CC]],0)</f>
        <v>0</v>
      </c>
      <c r="L114" s="16">
        <f>IF(CurrentMtgRatesDataTable8[[#This Row],[Servicing Spread]]&lt;=0,L113,CurrentMtgRatesDataTable8[[#This Row],[Servicing Spread]])</f>
        <v>1.0794750119876446</v>
      </c>
      <c r="M114" s="16">
        <f>CurrentMtgRatesDataTable8[[#This Row],[Servicing Spread Non-Zero]]-L113</f>
        <v>0</v>
      </c>
      <c r="N114" s="16">
        <f>IF(J113&lt;&gt;0,CurrentMtgRatesDataTable8[[#This Row],[Rate]]-C113,N113)</f>
        <v>-2.4999999999999911E-2</v>
      </c>
    </row>
    <row r="115" spans="1:14" s="9" customFormat="1">
      <c r="A115" s="8" t="s">
        <v>329</v>
      </c>
      <c r="B115" s="11">
        <v>2.3778465565534201</v>
      </c>
      <c r="C115" s="13">
        <v>3.4499999999999997</v>
      </c>
      <c r="D115" s="14">
        <f t="shared" si="7"/>
        <v>5</v>
      </c>
      <c r="E115" s="14">
        <f t="shared" si="8"/>
        <v>0.2</v>
      </c>
      <c r="F115" s="14">
        <f t="shared" si="9"/>
        <v>3</v>
      </c>
      <c r="G115" s="14">
        <f t="shared" si="10"/>
        <v>1.4415511758323161</v>
      </c>
      <c r="H115" s="14">
        <f t="shared" si="11"/>
        <v>0.60000000000000009</v>
      </c>
      <c r="I115" s="14">
        <f t="shared" si="12"/>
        <v>0</v>
      </c>
      <c r="J115" s="14">
        <f t="shared" si="13"/>
        <v>0</v>
      </c>
      <c r="K115" s="15">
        <f>IF(CurrentMtgRatesDataTable8[[#This Row],[WA CC]]&lt;&gt;0,C114-CurrentMtgRatesDataTable8[[#This Row],[WA CC]],0)</f>
        <v>0</v>
      </c>
      <c r="L115" s="16">
        <f>IF(CurrentMtgRatesDataTable8[[#This Row],[Servicing Spread]]&lt;=0,L114,CurrentMtgRatesDataTable8[[#This Row],[Servicing Spread]])</f>
        <v>1.0794750119876446</v>
      </c>
      <c r="M115" s="16">
        <f>CurrentMtgRatesDataTable8[[#This Row],[Servicing Spread Non-Zero]]-L114</f>
        <v>0</v>
      </c>
      <c r="N115" s="16">
        <f>IF(J114&lt;&gt;0,CurrentMtgRatesDataTable8[[#This Row],[Rate]]-C114,N114)</f>
        <v>-2.4999999999999911E-2</v>
      </c>
    </row>
    <row r="116" spans="1:14" s="9" customFormat="1">
      <c r="A116" s="8" t="s">
        <v>187</v>
      </c>
      <c r="B116" s="11">
        <v>2.3937114953982901</v>
      </c>
      <c r="C116" s="13">
        <v>3.4499999999999997</v>
      </c>
      <c r="D116" s="14">
        <f t="shared" si="7"/>
        <v>6</v>
      </c>
      <c r="E116" s="14">
        <f t="shared" si="8"/>
        <v>0.2</v>
      </c>
      <c r="F116" s="14">
        <f t="shared" si="9"/>
        <v>4</v>
      </c>
      <c r="G116" s="14">
        <f t="shared" si="10"/>
        <v>1.9202934749119742</v>
      </c>
      <c r="H116" s="14">
        <f t="shared" si="11"/>
        <v>0.8</v>
      </c>
      <c r="I116" s="14">
        <f t="shared" si="12"/>
        <v>0</v>
      </c>
      <c r="J116" s="14">
        <f t="shared" si="13"/>
        <v>0</v>
      </c>
      <c r="K116" s="15">
        <f>IF(CurrentMtgRatesDataTable8[[#This Row],[WA CC]]&lt;&gt;0,C115-CurrentMtgRatesDataTable8[[#This Row],[WA CC]],0)</f>
        <v>0</v>
      </c>
      <c r="L116" s="16">
        <f>IF(CurrentMtgRatesDataTable8[[#This Row],[Servicing Spread]]&lt;=0,L115,CurrentMtgRatesDataTable8[[#This Row],[Servicing Spread]])</f>
        <v>1.0794750119876446</v>
      </c>
      <c r="M116" s="16">
        <f>CurrentMtgRatesDataTable8[[#This Row],[Servicing Spread Non-Zero]]-L115</f>
        <v>0</v>
      </c>
      <c r="N116" s="16">
        <f>IF(J115&lt;&gt;0,CurrentMtgRatesDataTable8[[#This Row],[Rate]]-C115,N115)</f>
        <v>-2.4999999999999911E-2</v>
      </c>
    </row>
    <row r="117" spans="1:14" s="9" customFormat="1">
      <c r="A117" s="8" t="s">
        <v>41</v>
      </c>
      <c r="B117" s="11">
        <v>2.4292166245487601</v>
      </c>
      <c r="C117" s="13">
        <v>3.4499999999999997</v>
      </c>
      <c r="D117" s="14">
        <f t="shared" si="7"/>
        <v>7</v>
      </c>
      <c r="E117" s="14">
        <f t="shared" si="8"/>
        <v>0.2</v>
      </c>
      <c r="F117" s="14">
        <f t="shared" si="9"/>
        <v>5</v>
      </c>
      <c r="G117" s="14">
        <f t="shared" si="10"/>
        <v>2.4061367998217262</v>
      </c>
      <c r="H117" s="14">
        <f t="shared" si="11"/>
        <v>1</v>
      </c>
      <c r="I117" s="14">
        <f t="shared" si="12"/>
        <v>1</v>
      </c>
      <c r="J117" s="14">
        <f t="shared" si="13"/>
        <v>2.4061367998217262</v>
      </c>
      <c r="K117" s="15">
        <f>IF(CurrentMtgRatesDataTable8[[#This Row],[WA CC]]&lt;&gt;0,C116-CurrentMtgRatesDataTable8[[#This Row],[WA CC]],0)</f>
        <v>1.0438632001782735</v>
      </c>
      <c r="L117" s="16">
        <f>IF(CurrentMtgRatesDataTable8[[#This Row],[Servicing Spread]]&lt;=0,L116,CurrentMtgRatesDataTable8[[#This Row],[Servicing Spread]])</f>
        <v>1.0438632001782735</v>
      </c>
      <c r="M117" s="16">
        <f>CurrentMtgRatesDataTable8[[#This Row],[Servicing Spread Non-Zero]]-L116</f>
        <v>-3.5611811809371119E-2</v>
      </c>
      <c r="N117" s="16">
        <f>IF(J116&lt;&gt;0,CurrentMtgRatesDataTable8[[#This Row],[Rate]]-C116,N116)</f>
        <v>-2.4999999999999911E-2</v>
      </c>
    </row>
    <row r="118" spans="1:14" s="9" customFormat="1">
      <c r="A118" s="8" t="s">
        <v>609</v>
      </c>
      <c r="B118" s="11">
        <v>2.2060134697218898</v>
      </c>
      <c r="C118" s="13">
        <v>3.39</v>
      </c>
      <c r="D118" s="14">
        <f t="shared" si="7"/>
        <v>1</v>
      </c>
      <c r="E118" s="14">
        <f t="shared" si="8"/>
        <v>0.2</v>
      </c>
      <c r="F118" s="14">
        <f t="shared" si="9"/>
        <v>1</v>
      </c>
      <c r="G118" s="14">
        <f t="shared" si="10"/>
        <v>0.441202693944378</v>
      </c>
      <c r="H118" s="14">
        <f t="shared" si="11"/>
        <v>0.2</v>
      </c>
      <c r="I118" s="14">
        <f t="shared" si="12"/>
        <v>0</v>
      </c>
      <c r="J118" s="14">
        <f t="shared" si="13"/>
        <v>0</v>
      </c>
      <c r="K118" s="15">
        <f>IF(CurrentMtgRatesDataTable8[[#This Row],[WA CC]]&lt;&gt;0,C117-CurrentMtgRatesDataTable8[[#This Row],[WA CC]],0)</f>
        <v>0</v>
      </c>
      <c r="L118" s="16">
        <f>IF(CurrentMtgRatesDataTable8[[#This Row],[Servicing Spread]]&lt;=0,L117,CurrentMtgRatesDataTable8[[#This Row],[Servicing Spread]])</f>
        <v>1.0438632001782735</v>
      </c>
      <c r="M118" s="16">
        <f>CurrentMtgRatesDataTable8[[#This Row],[Servicing Spread Non-Zero]]-L117</f>
        <v>0</v>
      </c>
      <c r="N118" s="16">
        <f>IF(J117&lt;&gt;0,CurrentMtgRatesDataTable8[[#This Row],[Rate]]-C117,N117)</f>
        <v>-5.9999999999999609E-2</v>
      </c>
    </row>
    <row r="119" spans="1:14" s="9" customFormat="1">
      <c r="A119" s="8" t="s">
        <v>464</v>
      </c>
      <c r="B119" s="11">
        <v>2.2680491660278101</v>
      </c>
      <c r="C119" s="13">
        <v>3.39</v>
      </c>
      <c r="D119" s="14">
        <f t="shared" si="7"/>
        <v>2</v>
      </c>
      <c r="E119" s="14">
        <f t="shared" si="8"/>
        <v>0.2</v>
      </c>
      <c r="F119" s="14">
        <f t="shared" si="9"/>
        <v>2</v>
      </c>
      <c r="G119" s="14">
        <f t="shared" si="10"/>
        <v>0.89481252714994008</v>
      </c>
      <c r="H119" s="14">
        <f t="shared" si="11"/>
        <v>0.4</v>
      </c>
      <c r="I119" s="14">
        <f t="shared" si="12"/>
        <v>0</v>
      </c>
      <c r="J119" s="14">
        <f t="shared" si="13"/>
        <v>0</v>
      </c>
      <c r="K119" s="15">
        <f>IF(CurrentMtgRatesDataTable8[[#This Row],[WA CC]]&lt;&gt;0,C118-CurrentMtgRatesDataTable8[[#This Row],[WA CC]],0)</f>
        <v>0</v>
      </c>
      <c r="L119" s="16">
        <f>IF(CurrentMtgRatesDataTable8[[#This Row],[Servicing Spread]]&lt;=0,L118,CurrentMtgRatesDataTable8[[#This Row],[Servicing Spread]])</f>
        <v>1.0438632001782735</v>
      </c>
      <c r="M119" s="16">
        <f>CurrentMtgRatesDataTable8[[#This Row],[Servicing Spread Non-Zero]]-L118</f>
        <v>0</v>
      </c>
      <c r="N119" s="16">
        <f>IF(J118&lt;&gt;0,CurrentMtgRatesDataTable8[[#This Row],[Rate]]-C118,N118)</f>
        <v>-5.9999999999999609E-2</v>
      </c>
    </row>
    <row r="120" spans="1:14" s="9" customFormat="1">
      <c r="A120" s="8" t="s">
        <v>330</v>
      </c>
      <c r="B120" s="11">
        <v>2.2811650726171102</v>
      </c>
      <c r="C120" s="13">
        <v>3.39</v>
      </c>
      <c r="D120" s="14">
        <f t="shared" si="7"/>
        <v>5</v>
      </c>
      <c r="E120" s="14">
        <f t="shared" si="8"/>
        <v>0.2</v>
      </c>
      <c r="F120" s="14">
        <f t="shared" si="9"/>
        <v>3</v>
      </c>
      <c r="G120" s="14">
        <f t="shared" si="10"/>
        <v>1.3510455416733622</v>
      </c>
      <c r="H120" s="14">
        <f t="shared" si="11"/>
        <v>0.60000000000000009</v>
      </c>
      <c r="I120" s="14">
        <f t="shared" si="12"/>
        <v>0</v>
      </c>
      <c r="J120" s="14">
        <f t="shared" si="13"/>
        <v>0</v>
      </c>
      <c r="K120" s="15">
        <f>IF(CurrentMtgRatesDataTable8[[#This Row],[WA CC]]&lt;&gt;0,C119-CurrentMtgRatesDataTable8[[#This Row],[WA CC]],0)</f>
        <v>0</v>
      </c>
      <c r="L120" s="16">
        <f>IF(CurrentMtgRatesDataTable8[[#This Row],[Servicing Spread]]&lt;=0,L119,CurrentMtgRatesDataTable8[[#This Row],[Servicing Spread]])</f>
        <v>1.0438632001782735</v>
      </c>
      <c r="M120" s="16">
        <f>CurrentMtgRatesDataTable8[[#This Row],[Servicing Spread Non-Zero]]-L119</f>
        <v>0</v>
      </c>
      <c r="N120" s="16">
        <f>IF(J119&lt;&gt;0,CurrentMtgRatesDataTable8[[#This Row],[Rate]]-C119,N119)</f>
        <v>-5.9999999999999609E-2</v>
      </c>
    </row>
    <row r="121" spans="1:14" s="9" customFormat="1">
      <c r="A121" s="8" t="s">
        <v>188</v>
      </c>
      <c r="B121" s="11">
        <v>2.2693986193058602</v>
      </c>
      <c r="C121" s="13">
        <v>3.39</v>
      </c>
      <c r="D121" s="14">
        <f t="shared" si="7"/>
        <v>6</v>
      </c>
      <c r="E121" s="14">
        <f t="shared" si="8"/>
        <v>0.2</v>
      </c>
      <c r="F121" s="14">
        <f t="shared" si="9"/>
        <v>4</v>
      </c>
      <c r="G121" s="14">
        <f t="shared" si="10"/>
        <v>1.8049252655345343</v>
      </c>
      <c r="H121" s="14">
        <f t="shared" si="11"/>
        <v>0.8</v>
      </c>
      <c r="I121" s="14">
        <f t="shared" si="12"/>
        <v>0</v>
      </c>
      <c r="J121" s="14">
        <f t="shared" si="13"/>
        <v>0</v>
      </c>
      <c r="K121" s="15">
        <f>IF(CurrentMtgRatesDataTable8[[#This Row],[WA CC]]&lt;&gt;0,C120-CurrentMtgRatesDataTable8[[#This Row],[WA CC]],0)</f>
        <v>0</v>
      </c>
      <c r="L121" s="16">
        <f>IF(CurrentMtgRatesDataTable8[[#This Row],[Servicing Spread]]&lt;=0,L120,CurrentMtgRatesDataTable8[[#This Row],[Servicing Spread]])</f>
        <v>1.0438632001782735</v>
      </c>
      <c r="M121" s="16">
        <f>CurrentMtgRatesDataTable8[[#This Row],[Servicing Spread Non-Zero]]-L120</f>
        <v>0</v>
      </c>
      <c r="N121" s="16">
        <f>IF(J120&lt;&gt;0,CurrentMtgRatesDataTable8[[#This Row],[Rate]]-C120,N120)</f>
        <v>-5.9999999999999609E-2</v>
      </c>
    </row>
    <row r="122" spans="1:14" s="9" customFormat="1">
      <c r="A122" s="8" t="s">
        <v>42</v>
      </c>
      <c r="B122" s="11">
        <v>2.2108565855724298</v>
      </c>
      <c r="C122" s="13">
        <v>3.39</v>
      </c>
      <c r="D122" s="14">
        <f t="shared" si="7"/>
        <v>7</v>
      </c>
      <c r="E122" s="14">
        <f t="shared" si="8"/>
        <v>0.2</v>
      </c>
      <c r="F122" s="14">
        <f t="shared" si="9"/>
        <v>5</v>
      </c>
      <c r="G122" s="14">
        <f t="shared" si="10"/>
        <v>2.2470965826490201</v>
      </c>
      <c r="H122" s="14">
        <f t="shared" si="11"/>
        <v>1</v>
      </c>
      <c r="I122" s="14">
        <f t="shared" si="12"/>
        <v>1</v>
      </c>
      <c r="J122" s="14">
        <f t="shared" si="13"/>
        <v>2.2470965826490201</v>
      </c>
      <c r="K122" s="15">
        <f>IF(CurrentMtgRatesDataTable8[[#This Row],[WA CC]]&lt;&gt;0,C121-CurrentMtgRatesDataTable8[[#This Row],[WA CC]],0)</f>
        <v>1.14290341735098</v>
      </c>
      <c r="L122" s="16">
        <f>IF(CurrentMtgRatesDataTable8[[#This Row],[Servicing Spread]]&lt;=0,L121,CurrentMtgRatesDataTable8[[#This Row],[Servicing Spread]])</f>
        <v>1.14290341735098</v>
      </c>
      <c r="M122" s="16">
        <f>CurrentMtgRatesDataTable8[[#This Row],[Servicing Spread Non-Zero]]-L121</f>
        <v>9.9040217172706502E-2</v>
      </c>
      <c r="N122" s="16">
        <f>IF(J121&lt;&gt;0,CurrentMtgRatesDataTable8[[#This Row],[Rate]]-C121,N121)</f>
        <v>-5.9999999999999609E-2</v>
      </c>
    </row>
    <row r="123" spans="1:14" s="9" customFormat="1">
      <c r="A123" s="8" t="s">
        <v>610</v>
      </c>
      <c r="B123" s="11">
        <v>2.1699341948075102</v>
      </c>
      <c r="C123" s="13">
        <v>3.3</v>
      </c>
      <c r="D123" s="14">
        <f t="shared" si="7"/>
        <v>1</v>
      </c>
      <c r="E123" s="14">
        <f t="shared" si="8"/>
        <v>0.2</v>
      </c>
      <c r="F123" s="14">
        <f t="shared" si="9"/>
        <v>1</v>
      </c>
      <c r="G123" s="14">
        <f t="shared" si="10"/>
        <v>0.43398683896150203</v>
      </c>
      <c r="H123" s="14">
        <f t="shared" si="11"/>
        <v>0.2</v>
      </c>
      <c r="I123" s="14">
        <f t="shared" si="12"/>
        <v>0</v>
      </c>
      <c r="J123" s="14">
        <f t="shared" si="13"/>
        <v>0</v>
      </c>
      <c r="K123" s="15">
        <f>IF(CurrentMtgRatesDataTable8[[#This Row],[WA CC]]&lt;&gt;0,C122-CurrentMtgRatesDataTable8[[#This Row],[WA CC]],0)</f>
        <v>0</v>
      </c>
      <c r="L123" s="16">
        <f>IF(CurrentMtgRatesDataTable8[[#This Row],[Servicing Spread]]&lt;=0,L122,CurrentMtgRatesDataTable8[[#This Row],[Servicing Spread]])</f>
        <v>1.14290341735098</v>
      </c>
      <c r="M123" s="16">
        <f>CurrentMtgRatesDataTable8[[#This Row],[Servicing Spread Non-Zero]]-L122</f>
        <v>0</v>
      </c>
      <c r="N123" s="16">
        <f>IF(J122&lt;&gt;0,CurrentMtgRatesDataTable8[[#This Row],[Rate]]-C122,N122)</f>
        <v>-9.0000000000000302E-2</v>
      </c>
    </row>
    <row r="124" spans="1:14" s="9" customFormat="1">
      <c r="A124" s="8" t="s">
        <v>465</v>
      </c>
      <c r="B124" s="11">
        <v>2.0967004826224001</v>
      </c>
      <c r="C124" s="13">
        <v>3.3</v>
      </c>
      <c r="D124" s="14">
        <f t="shared" si="7"/>
        <v>2</v>
      </c>
      <c r="E124" s="14">
        <f t="shared" si="8"/>
        <v>0.2</v>
      </c>
      <c r="F124" s="14">
        <f t="shared" si="9"/>
        <v>2</v>
      </c>
      <c r="G124" s="14">
        <f t="shared" si="10"/>
        <v>0.85332693548598204</v>
      </c>
      <c r="H124" s="14">
        <f t="shared" si="11"/>
        <v>0.4</v>
      </c>
      <c r="I124" s="14">
        <f t="shared" si="12"/>
        <v>0</v>
      </c>
      <c r="J124" s="14">
        <f t="shared" si="13"/>
        <v>0</v>
      </c>
      <c r="K124" s="15">
        <f>IF(CurrentMtgRatesDataTable8[[#This Row],[WA CC]]&lt;&gt;0,C123-CurrentMtgRatesDataTable8[[#This Row],[WA CC]],0)</f>
        <v>0</v>
      </c>
      <c r="L124" s="16">
        <f>IF(CurrentMtgRatesDataTable8[[#This Row],[Servicing Spread]]&lt;=0,L123,CurrentMtgRatesDataTable8[[#This Row],[Servicing Spread]])</f>
        <v>1.14290341735098</v>
      </c>
      <c r="M124" s="16">
        <f>CurrentMtgRatesDataTable8[[#This Row],[Servicing Spread Non-Zero]]-L123</f>
        <v>0</v>
      </c>
      <c r="N124" s="16">
        <f>IF(J123&lt;&gt;0,CurrentMtgRatesDataTable8[[#This Row],[Rate]]-C123,N123)</f>
        <v>-9.0000000000000302E-2</v>
      </c>
    </row>
    <row r="125" spans="1:14" s="9" customFormat="1">
      <c r="A125" s="8" t="s">
        <v>331</v>
      </c>
      <c r="B125" s="11">
        <v>2.0433470771670201</v>
      </c>
      <c r="C125" s="13">
        <v>3.3</v>
      </c>
      <c r="D125" s="14">
        <f t="shared" si="7"/>
        <v>5</v>
      </c>
      <c r="E125" s="14">
        <f t="shared" si="8"/>
        <v>0.2</v>
      </c>
      <c r="F125" s="14">
        <f t="shared" si="9"/>
        <v>3</v>
      </c>
      <c r="G125" s="14">
        <f t="shared" si="10"/>
        <v>1.2619963509193861</v>
      </c>
      <c r="H125" s="14">
        <f t="shared" si="11"/>
        <v>0.60000000000000009</v>
      </c>
      <c r="I125" s="14">
        <f t="shared" si="12"/>
        <v>0</v>
      </c>
      <c r="J125" s="14">
        <f t="shared" si="13"/>
        <v>0</v>
      </c>
      <c r="K125" s="15">
        <f>IF(CurrentMtgRatesDataTable8[[#This Row],[WA CC]]&lt;&gt;0,C124-CurrentMtgRatesDataTable8[[#This Row],[WA CC]],0)</f>
        <v>0</v>
      </c>
      <c r="L125" s="16">
        <f>IF(CurrentMtgRatesDataTable8[[#This Row],[Servicing Spread]]&lt;=0,L124,CurrentMtgRatesDataTable8[[#This Row],[Servicing Spread]])</f>
        <v>1.14290341735098</v>
      </c>
      <c r="M125" s="16">
        <f>CurrentMtgRatesDataTable8[[#This Row],[Servicing Spread Non-Zero]]-L124</f>
        <v>0</v>
      </c>
      <c r="N125" s="16">
        <f>IF(J124&lt;&gt;0,CurrentMtgRatesDataTable8[[#This Row],[Rate]]-C124,N124)</f>
        <v>-9.0000000000000302E-2</v>
      </c>
    </row>
    <row r="126" spans="1:14" s="9" customFormat="1">
      <c r="A126" s="8" t="s">
        <v>189</v>
      </c>
      <c r="B126" s="11">
        <v>1.9795562323798399</v>
      </c>
      <c r="C126" s="13">
        <v>3.3</v>
      </c>
      <c r="D126" s="14">
        <f t="shared" si="7"/>
        <v>6</v>
      </c>
      <c r="E126" s="14">
        <f t="shared" si="8"/>
        <v>0.2</v>
      </c>
      <c r="F126" s="14">
        <f t="shared" si="9"/>
        <v>4</v>
      </c>
      <c r="G126" s="14">
        <f t="shared" si="10"/>
        <v>1.6579075973953541</v>
      </c>
      <c r="H126" s="14">
        <f t="shared" si="11"/>
        <v>0.8</v>
      </c>
      <c r="I126" s="14">
        <f t="shared" si="12"/>
        <v>0</v>
      </c>
      <c r="J126" s="14">
        <f t="shared" si="13"/>
        <v>0</v>
      </c>
      <c r="K126" s="15">
        <f>IF(CurrentMtgRatesDataTable8[[#This Row],[WA CC]]&lt;&gt;0,C125-CurrentMtgRatesDataTable8[[#This Row],[WA CC]],0)</f>
        <v>0</v>
      </c>
      <c r="L126" s="16">
        <f>IF(CurrentMtgRatesDataTable8[[#This Row],[Servicing Spread]]&lt;=0,L125,CurrentMtgRatesDataTable8[[#This Row],[Servicing Spread]])</f>
        <v>1.14290341735098</v>
      </c>
      <c r="M126" s="16">
        <f>CurrentMtgRatesDataTable8[[#This Row],[Servicing Spread Non-Zero]]-L125</f>
        <v>0</v>
      </c>
      <c r="N126" s="16">
        <f>IF(J125&lt;&gt;0,CurrentMtgRatesDataTable8[[#This Row],[Rate]]-C125,N125)</f>
        <v>-9.0000000000000302E-2</v>
      </c>
    </row>
    <row r="127" spans="1:14" s="9" customFormat="1">
      <c r="A127" s="8" t="s">
        <v>43</v>
      </c>
      <c r="B127" s="11">
        <v>1.9736635579989501</v>
      </c>
      <c r="C127" s="13">
        <v>3.3</v>
      </c>
      <c r="D127" s="14">
        <f t="shared" si="7"/>
        <v>7</v>
      </c>
      <c r="E127" s="14">
        <f t="shared" si="8"/>
        <v>0.2</v>
      </c>
      <c r="F127" s="14">
        <f t="shared" si="9"/>
        <v>5</v>
      </c>
      <c r="G127" s="14">
        <f t="shared" si="10"/>
        <v>2.0526403089951444</v>
      </c>
      <c r="H127" s="14">
        <f t="shared" si="11"/>
        <v>1</v>
      </c>
      <c r="I127" s="14">
        <f t="shared" si="12"/>
        <v>1</v>
      </c>
      <c r="J127" s="14">
        <f t="shared" si="13"/>
        <v>2.0526403089951444</v>
      </c>
      <c r="K127" s="15">
        <f>IF(CurrentMtgRatesDataTable8[[#This Row],[WA CC]]&lt;&gt;0,C126-CurrentMtgRatesDataTable8[[#This Row],[WA CC]],0)</f>
        <v>1.2473596910048554</v>
      </c>
      <c r="L127" s="16">
        <f>IF(CurrentMtgRatesDataTable8[[#This Row],[Servicing Spread]]&lt;=0,L126,CurrentMtgRatesDataTable8[[#This Row],[Servicing Spread]])</f>
        <v>1.2473596910048554</v>
      </c>
      <c r="M127" s="16">
        <f>CurrentMtgRatesDataTable8[[#This Row],[Servicing Spread Non-Zero]]-L126</f>
        <v>0.10445627365387544</v>
      </c>
      <c r="N127" s="16">
        <f>IF(J126&lt;&gt;0,CurrentMtgRatesDataTable8[[#This Row],[Rate]]-C126,N126)</f>
        <v>-9.0000000000000302E-2</v>
      </c>
    </row>
    <row r="128" spans="1:14" s="9" customFormat="1">
      <c r="A128" s="8" t="s">
        <v>611</v>
      </c>
      <c r="B128" s="11">
        <v>2.0509749333657501</v>
      </c>
      <c r="C128" s="13">
        <v>3.26</v>
      </c>
      <c r="D128" s="14">
        <f t="shared" si="7"/>
        <v>1</v>
      </c>
      <c r="E128" s="14">
        <f t="shared" si="8"/>
        <v>0.2</v>
      </c>
      <c r="F128" s="14">
        <f t="shared" si="9"/>
        <v>1</v>
      </c>
      <c r="G128" s="14">
        <f t="shared" si="10"/>
        <v>0.41019498667315002</v>
      </c>
      <c r="H128" s="14">
        <f t="shared" si="11"/>
        <v>0.2</v>
      </c>
      <c r="I128" s="14">
        <f t="shared" si="12"/>
        <v>0</v>
      </c>
      <c r="J128" s="14">
        <f t="shared" si="13"/>
        <v>0</v>
      </c>
      <c r="K128" s="15">
        <f>IF(CurrentMtgRatesDataTable8[[#This Row],[WA CC]]&lt;&gt;0,C127-CurrentMtgRatesDataTable8[[#This Row],[WA CC]],0)</f>
        <v>0</v>
      </c>
      <c r="L128" s="16">
        <f>IF(CurrentMtgRatesDataTable8[[#This Row],[Servicing Spread]]&lt;=0,L127,CurrentMtgRatesDataTable8[[#This Row],[Servicing Spread]])</f>
        <v>1.2473596910048554</v>
      </c>
      <c r="M128" s="16">
        <f>CurrentMtgRatesDataTable8[[#This Row],[Servicing Spread Non-Zero]]-L127</f>
        <v>0</v>
      </c>
      <c r="N128" s="16">
        <f>IF(J127&lt;&gt;0,CurrentMtgRatesDataTable8[[#This Row],[Rate]]-C127,N127)</f>
        <v>-4.0000000000000036E-2</v>
      </c>
    </row>
    <row r="129" spans="1:14" s="9" customFormat="1">
      <c r="A129" s="8" t="s">
        <v>466</v>
      </c>
      <c r="B129" s="11">
        <v>2.0399140401394802</v>
      </c>
      <c r="C129" s="13">
        <v>3.26</v>
      </c>
      <c r="D129" s="14">
        <f t="shared" si="7"/>
        <v>2</v>
      </c>
      <c r="E129" s="14">
        <f t="shared" si="8"/>
        <v>0.2</v>
      </c>
      <c r="F129" s="14">
        <f t="shared" si="9"/>
        <v>2</v>
      </c>
      <c r="G129" s="14">
        <f t="shared" si="10"/>
        <v>0.81817779470104601</v>
      </c>
      <c r="H129" s="14">
        <f t="shared" si="11"/>
        <v>0.4</v>
      </c>
      <c r="I129" s="14">
        <f t="shared" si="12"/>
        <v>0</v>
      </c>
      <c r="J129" s="14">
        <f t="shared" si="13"/>
        <v>0</v>
      </c>
      <c r="K129" s="15">
        <f>IF(CurrentMtgRatesDataTable8[[#This Row],[WA CC]]&lt;&gt;0,C128-CurrentMtgRatesDataTable8[[#This Row],[WA CC]],0)</f>
        <v>0</v>
      </c>
      <c r="L129" s="16">
        <f>IF(CurrentMtgRatesDataTable8[[#This Row],[Servicing Spread]]&lt;=0,L128,CurrentMtgRatesDataTable8[[#This Row],[Servicing Spread]])</f>
        <v>1.2473596910048554</v>
      </c>
      <c r="M129" s="16">
        <f>CurrentMtgRatesDataTable8[[#This Row],[Servicing Spread Non-Zero]]-L128</f>
        <v>0</v>
      </c>
      <c r="N129" s="16">
        <f>IF(J128&lt;&gt;0,CurrentMtgRatesDataTable8[[#This Row],[Rate]]-C128,N128)</f>
        <v>-4.0000000000000036E-2</v>
      </c>
    </row>
    <row r="130" spans="1:14" s="9" customFormat="1">
      <c r="A130" s="8" t="s">
        <v>332</v>
      </c>
      <c r="B130" s="11">
        <v>1.9791061697796299</v>
      </c>
      <c r="C130" s="13">
        <v>3.26</v>
      </c>
      <c r="D130" s="14">
        <f t="shared" si="7"/>
        <v>5</v>
      </c>
      <c r="E130" s="14">
        <f t="shared" si="8"/>
        <v>0.2</v>
      </c>
      <c r="F130" s="14">
        <f t="shared" si="9"/>
        <v>3</v>
      </c>
      <c r="G130" s="14">
        <f t="shared" si="10"/>
        <v>1.213999028656972</v>
      </c>
      <c r="H130" s="14">
        <f t="shared" si="11"/>
        <v>0.60000000000000009</v>
      </c>
      <c r="I130" s="14">
        <f t="shared" si="12"/>
        <v>0</v>
      </c>
      <c r="J130" s="14">
        <f t="shared" si="13"/>
        <v>0</v>
      </c>
      <c r="K130" s="15">
        <f>IF(CurrentMtgRatesDataTable8[[#This Row],[WA CC]]&lt;&gt;0,C129-CurrentMtgRatesDataTable8[[#This Row],[WA CC]],0)</f>
        <v>0</v>
      </c>
      <c r="L130" s="16">
        <f>IF(CurrentMtgRatesDataTable8[[#This Row],[Servicing Spread]]&lt;=0,L129,CurrentMtgRatesDataTable8[[#This Row],[Servicing Spread]])</f>
        <v>1.2473596910048554</v>
      </c>
      <c r="M130" s="16">
        <f>CurrentMtgRatesDataTable8[[#This Row],[Servicing Spread Non-Zero]]-L129</f>
        <v>0</v>
      </c>
      <c r="N130" s="16">
        <f>IF(J129&lt;&gt;0,CurrentMtgRatesDataTable8[[#This Row],[Rate]]-C129,N129)</f>
        <v>-4.0000000000000036E-2</v>
      </c>
    </row>
    <row r="131" spans="1:14" s="9" customFormat="1">
      <c r="A131" s="8" t="s">
        <v>190</v>
      </c>
      <c r="B131" s="11">
        <v>1.89926870046304</v>
      </c>
      <c r="C131" s="13">
        <v>3.26</v>
      </c>
      <c r="D131" s="14">
        <f t="shared" si="7"/>
        <v>6</v>
      </c>
      <c r="E131" s="14">
        <f t="shared" si="8"/>
        <v>0.2</v>
      </c>
      <c r="F131" s="14">
        <f t="shared" si="9"/>
        <v>4</v>
      </c>
      <c r="G131" s="14">
        <f t="shared" si="10"/>
        <v>1.59385276874958</v>
      </c>
      <c r="H131" s="14">
        <f t="shared" si="11"/>
        <v>0.8</v>
      </c>
      <c r="I131" s="14">
        <f t="shared" si="12"/>
        <v>0</v>
      </c>
      <c r="J131" s="14">
        <f t="shared" si="13"/>
        <v>0</v>
      </c>
      <c r="K131" s="15">
        <f>IF(CurrentMtgRatesDataTable8[[#This Row],[WA CC]]&lt;&gt;0,C130-CurrentMtgRatesDataTable8[[#This Row],[WA CC]],0)</f>
        <v>0</v>
      </c>
      <c r="L131" s="16">
        <f>IF(CurrentMtgRatesDataTable8[[#This Row],[Servicing Spread]]&lt;=0,L130,CurrentMtgRatesDataTable8[[#This Row],[Servicing Spread]])</f>
        <v>1.2473596910048554</v>
      </c>
      <c r="M131" s="16">
        <f>CurrentMtgRatesDataTable8[[#This Row],[Servicing Spread Non-Zero]]-L130</f>
        <v>0</v>
      </c>
      <c r="N131" s="16">
        <f>IF(J130&lt;&gt;0,CurrentMtgRatesDataTable8[[#This Row],[Rate]]-C130,N130)</f>
        <v>-4.0000000000000036E-2</v>
      </c>
    </row>
    <row r="132" spans="1:14" s="9" customFormat="1">
      <c r="A132" s="8" t="s">
        <v>44</v>
      </c>
      <c r="B132" s="11">
        <v>1.9744446236261499</v>
      </c>
      <c r="C132" s="13">
        <v>3.26</v>
      </c>
      <c r="D132" s="14">
        <f t="shared" si="7"/>
        <v>7</v>
      </c>
      <c r="E132" s="14">
        <f t="shared" si="8"/>
        <v>0.2</v>
      </c>
      <c r="F132" s="14">
        <f t="shared" si="9"/>
        <v>5</v>
      </c>
      <c r="G132" s="14">
        <f t="shared" si="10"/>
        <v>1.9887416934748101</v>
      </c>
      <c r="H132" s="14">
        <f t="shared" si="11"/>
        <v>1</v>
      </c>
      <c r="I132" s="14">
        <f t="shared" si="12"/>
        <v>1</v>
      </c>
      <c r="J132" s="14">
        <f t="shared" si="13"/>
        <v>1.9887416934748101</v>
      </c>
      <c r="K132" s="15">
        <f>IF(CurrentMtgRatesDataTable8[[#This Row],[WA CC]]&lt;&gt;0,C131-CurrentMtgRatesDataTable8[[#This Row],[WA CC]],0)</f>
        <v>1.2712583065251897</v>
      </c>
      <c r="L132" s="16">
        <f>IF(CurrentMtgRatesDataTable8[[#This Row],[Servicing Spread]]&lt;=0,L131,CurrentMtgRatesDataTable8[[#This Row],[Servicing Spread]])</f>
        <v>1.2712583065251897</v>
      </c>
      <c r="M132" s="16">
        <f>CurrentMtgRatesDataTable8[[#This Row],[Servicing Spread Non-Zero]]-L131</f>
        <v>2.3898615520334232E-2</v>
      </c>
      <c r="N132" s="16">
        <f>IF(J131&lt;&gt;0,CurrentMtgRatesDataTable8[[#This Row],[Rate]]-C131,N131)</f>
        <v>-4.0000000000000036E-2</v>
      </c>
    </row>
    <row r="133" spans="1:14" s="9" customFormat="1">
      <c r="A133" s="8" t="s">
        <v>612</v>
      </c>
      <c r="B133" s="11">
        <v>2.0658821659188802</v>
      </c>
      <c r="C133" s="13">
        <v>3.3149999999999999</v>
      </c>
      <c r="D133" s="14">
        <f t="shared" ref="D133:D196" si="14">WEEKDAY(A133,14)</f>
        <v>1</v>
      </c>
      <c r="E133" s="14">
        <f t="shared" ref="E133:E196" si="15">VLOOKUP(D133,Q$5:R$11,2,FALSE)</f>
        <v>0.2</v>
      </c>
      <c r="F133" s="14">
        <f t="shared" ref="F133:F196" si="16">IF(AND(D133&gt;D132,F132&lt;6),F132+1,1)</f>
        <v>1</v>
      </c>
      <c r="G133" s="14">
        <f t="shared" ref="G133:G196" si="17">IF(F133&gt;F132,G132+B133*E133,B133*E133)</f>
        <v>0.41317643318377606</v>
      </c>
      <c r="H133" s="14">
        <f t="shared" ref="H133:H196" si="18">IF(AND(F133&lt;6,F133&gt;F132),E133+H132,E133)</f>
        <v>0.2</v>
      </c>
      <c r="I133" s="14">
        <f t="shared" ref="I133:I196" si="19">IF(F133&gt;F134,1,0)</f>
        <v>0</v>
      </c>
      <c r="J133" s="14">
        <f t="shared" ref="J133:J196" si="20">IF(F133&gt;F134,G133/H133,0)</f>
        <v>0</v>
      </c>
      <c r="K133" s="15">
        <f>IF(CurrentMtgRatesDataTable8[[#This Row],[WA CC]]&lt;&gt;0,C132-CurrentMtgRatesDataTable8[[#This Row],[WA CC]],0)</f>
        <v>0</v>
      </c>
      <c r="L133" s="16">
        <f>IF(CurrentMtgRatesDataTable8[[#This Row],[Servicing Spread]]&lt;=0,L132,CurrentMtgRatesDataTable8[[#This Row],[Servicing Spread]])</f>
        <v>1.2712583065251897</v>
      </c>
      <c r="M133" s="16">
        <f>CurrentMtgRatesDataTable8[[#This Row],[Servicing Spread Non-Zero]]-L132</f>
        <v>0</v>
      </c>
      <c r="N133" s="16">
        <f>IF(J132&lt;&gt;0,CurrentMtgRatesDataTable8[[#This Row],[Rate]]-C132,N132)</f>
        <v>5.500000000000016E-2</v>
      </c>
    </row>
    <row r="134" spans="1:14" s="9" customFormat="1">
      <c r="A134" s="8" t="s">
        <v>467</v>
      </c>
      <c r="B134" s="11">
        <v>2.0999165140206202</v>
      </c>
      <c r="C134" s="13">
        <v>3.3149999999999999</v>
      </c>
      <c r="D134" s="14">
        <f t="shared" si="14"/>
        <v>2</v>
      </c>
      <c r="E134" s="14">
        <f t="shared" si="15"/>
        <v>0.2</v>
      </c>
      <c r="F134" s="14">
        <f t="shared" si="16"/>
        <v>2</v>
      </c>
      <c r="G134" s="14">
        <f t="shared" si="17"/>
        <v>0.83315973598790016</v>
      </c>
      <c r="H134" s="14">
        <f t="shared" si="18"/>
        <v>0.4</v>
      </c>
      <c r="I134" s="14">
        <f t="shared" si="19"/>
        <v>0</v>
      </c>
      <c r="J134" s="14">
        <f t="shared" si="20"/>
        <v>0</v>
      </c>
      <c r="K134" s="15">
        <f>IF(CurrentMtgRatesDataTable8[[#This Row],[WA CC]]&lt;&gt;0,C133-CurrentMtgRatesDataTable8[[#This Row],[WA CC]],0)</f>
        <v>0</v>
      </c>
      <c r="L134" s="16">
        <f>IF(CurrentMtgRatesDataTable8[[#This Row],[Servicing Spread]]&lt;=0,L133,CurrentMtgRatesDataTable8[[#This Row],[Servicing Spread]])</f>
        <v>1.2712583065251897</v>
      </c>
      <c r="M134" s="16">
        <f>CurrentMtgRatesDataTable8[[#This Row],[Servicing Spread Non-Zero]]-L133</f>
        <v>0</v>
      </c>
      <c r="N134" s="16">
        <f>IF(J133&lt;&gt;0,CurrentMtgRatesDataTable8[[#This Row],[Rate]]-C133,N133)</f>
        <v>5.500000000000016E-2</v>
      </c>
    </row>
    <row r="135" spans="1:14" s="9" customFormat="1">
      <c r="A135" s="8" t="s">
        <v>191</v>
      </c>
      <c r="B135" s="11">
        <v>2.1121992044017102</v>
      </c>
      <c r="C135" s="13">
        <v>3.3149999999999999</v>
      </c>
      <c r="D135" s="14">
        <f t="shared" si="14"/>
        <v>6</v>
      </c>
      <c r="E135" s="14">
        <f t="shared" si="15"/>
        <v>0.2</v>
      </c>
      <c r="F135" s="14">
        <f t="shared" si="16"/>
        <v>3</v>
      </c>
      <c r="G135" s="14">
        <f t="shared" si="17"/>
        <v>1.2555995768682422</v>
      </c>
      <c r="H135" s="14">
        <f t="shared" si="18"/>
        <v>0.60000000000000009</v>
      </c>
      <c r="I135" s="14">
        <f t="shared" si="19"/>
        <v>0</v>
      </c>
      <c r="J135" s="14">
        <f t="shared" si="20"/>
        <v>0</v>
      </c>
      <c r="K135" s="15">
        <f>IF(CurrentMtgRatesDataTable8[[#This Row],[WA CC]]&lt;&gt;0,C134-CurrentMtgRatesDataTable8[[#This Row],[WA CC]],0)</f>
        <v>0</v>
      </c>
      <c r="L135" s="16">
        <f>IF(CurrentMtgRatesDataTable8[[#This Row],[Servicing Spread]]&lt;=0,L134,CurrentMtgRatesDataTable8[[#This Row],[Servicing Spread]])</f>
        <v>1.2712583065251897</v>
      </c>
      <c r="M135" s="16">
        <f>CurrentMtgRatesDataTable8[[#This Row],[Servicing Spread Non-Zero]]-L134</f>
        <v>0</v>
      </c>
      <c r="N135" s="16">
        <f>IF(J134&lt;&gt;0,CurrentMtgRatesDataTable8[[#This Row],[Rate]]-C134,N134)</f>
        <v>5.500000000000016E-2</v>
      </c>
    </row>
    <row r="136" spans="1:14" s="9" customFormat="1">
      <c r="A136" s="8" t="s">
        <v>45</v>
      </c>
      <c r="B136" s="11">
        <v>2.0566984028863402</v>
      </c>
      <c r="C136" s="13">
        <v>3.3149999999999999</v>
      </c>
      <c r="D136" s="14">
        <f t="shared" si="14"/>
        <v>7</v>
      </c>
      <c r="E136" s="14">
        <f t="shared" si="15"/>
        <v>0.2</v>
      </c>
      <c r="F136" s="14">
        <f t="shared" si="16"/>
        <v>4</v>
      </c>
      <c r="G136" s="14">
        <f t="shared" si="17"/>
        <v>1.6669392574455102</v>
      </c>
      <c r="H136" s="14">
        <f t="shared" si="18"/>
        <v>0.8</v>
      </c>
      <c r="I136" s="14">
        <f t="shared" si="19"/>
        <v>1</v>
      </c>
      <c r="J136" s="14">
        <f t="shared" si="20"/>
        <v>2.0836740718068878</v>
      </c>
      <c r="K136" s="15">
        <f>IF(CurrentMtgRatesDataTable8[[#This Row],[WA CC]]&lt;&gt;0,C135-CurrentMtgRatesDataTable8[[#This Row],[WA CC]],0)</f>
        <v>1.2313259281931122</v>
      </c>
      <c r="L136" s="16">
        <f>IF(CurrentMtgRatesDataTable8[[#This Row],[Servicing Spread]]&lt;=0,L135,CurrentMtgRatesDataTable8[[#This Row],[Servicing Spread]])</f>
        <v>1.2313259281931122</v>
      </c>
      <c r="M136" s="16">
        <f>CurrentMtgRatesDataTable8[[#This Row],[Servicing Spread Non-Zero]]-L135</f>
        <v>-3.9932378332077523E-2</v>
      </c>
      <c r="N136" s="16">
        <f>IF(J135&lt;&gt;0,CurrentMtgRatesDataTable8[[#This Row],[Rate]]-C135,N135)</f>
        <v>5.500000000000016E-2</v>
      </c>
    </row>
    <row r="137" spans="1:14" s="9" customFormat="1">
      <c r="A137" s="8" t="s">
        <v>613</v>
      </c>
      <c r="B137" s="11">
        <v>2.0188150642087299</v>
      </c>
      <c r="C137" s="13">
        <v>3.2949999999999999</v>
      </c>
      <c r="D137" s="14">
        <f t="shared" si="14"/>
        <v>1</v>
      </c>
      <c r="E137" s="14">
        <f t="shared" si="15"/>
        <v>0.2</v>
      </c>
      <c r="F137" s="14">
        <f t="shared" si="16"/>
        <v>1</v>
      </c>
      <c r="G137" s="14">
        <f t="shared" si="17"/>
        <v>0.40376301284174598</v>
      </c>
      <c r="H137" s="14">
        <f t="shared" si="18"/>
        <v>0.2</v>
      </c>
      <c r="I137" s="14">
        <f t="shared" si="19"/>
        <v>0</v>
      </c>
      <c r="J137" s="14">
        <f t="shared" si="20"/>
        <v>0</v>
      </c>
      <c r="K137" s="15">
        <f>IF(CurrentMtgRatesDataTable8[[#This Row],[WA CC]]&lt;&gt;0,C136-CurrentMtgRatesDataTable8[[#This Row],[WA CC]],0)</f>
        <v>0</v>
      </c>
      <c r="L137" s="16">
        <f>IF(CurrentMtgRatesDataTable8[[#This Row],[Servicing Spread]]&lt;=0,L136,CurrentMtgRatesDataTable8[[#This Row],[Servicing Spread]])</f>
        <v>1.2313259281931122</v>
      </c>
      <c r="M137" s="16">
        <f>CurrentMtgRatesDataTable8[[#This Row],[Servicing Spread Non-Zero]]-L136</f>
        <v>0</v>
      </c>
      <c r="N137" s="16">
        <f>IF(J136&lt;&gt;0,CurrentMtgRatesDataTable8[[#This Row],[Rate]]-C136,N136)</f>
        <v>-2.0000000000000018E-2</v>
      </c>
    </row>
    <row r="138" spans="1:14" s="9" customFormat="1">
      <c r="A138" s="8" t="s">
        <v>468</v>
      </c>
      <c r="B138" s="11">
        <v>2.0148705784973</v>
      </c>
      <c r="C138" s="13">
        <v>3.2949999999999999</v>
      </c>
      <c r="D138" s="14">
        <f t="shared" si="14"/>
        <v>2</v>
      </c>
      <c r="E138" s="14">
        <f t="shared" si="15"/>
        <v>0.2</v>
      </c>
      <c r="F138" s="14">
        <f t="shared" si="16"/>
        <v>2</v>
      </c>
      <c r="G138" s="14">
        <f t="shared" si="17"/>
        <v>0.80673712854120594</v>
      </c>
      <c r="H138" s="14">
        <f t="shared" si="18"/>
        <v>0.4</v>
      </c>
      <c r="I138" s="14">
        <f t="shared" si="19"/>
        <v>0</v>
      </c>
      <c r="J138" s="14">
        <f t="shared" si="20"/>
        <v>0</v>
      </c>
      <c r="K138" s="15">
        <f>IF(CurrentMtgRatesDataTable8[[#This Row],[WA CC]]&lt;&gt;0,C137-CurrentMtgRatesDataTable8[[#This Row],[WA CC]],0)</f>
        <v>0</v>
      </c>
      <c r="L138" s="16">
        <f>IF(CurrentMtgRatesDataTable8[[#This Row],[Servicing Spread]]&lt;=0,L137,CurrentMtgRatesDataTable8[[#This Row],[Servicing Spread]])</f>
        <v>1.2313259281931122</v>
      </c>
      <c r="M138" s="16">
        <f>CurrentMtgRatesDataTable8[[#This Row],[Servicing Spread Non-Zero]]-L137</f>
        <v>0</v>
      </c>
      <c r="N138" s="16">
        <f>IF(J137&lt;&gt;0,CurrentMtgRatesDataTable8[[#This Row],[Rate]]-C137,N137)</f>
        <v>-2.0000000000000018E-2</v>
      </c>
    </row>
    <row r="139" spans="1:14" s="9" customFormat="1">
      <c r="A139" s="8" t="s">
        <v>333</v>
      </c>
      <c r="B139" s="11">
        <v>2.0433983497425001</v>
      </c>
      <c r="C139" s="13">
        <v>3.2949999999999999</v>
      </c>
      <c r="D139" s="14">
        <f t="shared" si="14"/>
        <v>5</v>
      </c>
      <c r="E139" s="14">
        <f t="shared" si="15"/>
        <v>0.2</v>
      </c>
      <c r="F139" s="14">
        <f t="shared" si="16"/>
        <v>3</v>
      </c>
      <c r="G139" s="14">
        <f t="shared" si="17"/>
        <v>1.215416798489706</v>
      </c>
      <c r="H139" s="14">
        <f t="shared" si="18"/>
        <v>0.60000000000000009</v>
      </c>
      <c r="I139" s="14">
        <f t="shared" si="19"/>
        <v>0</v>
      </c>
      <c r="J139" s="14">
        <f t="shared" si="20"/>
        <v>0</v>
      </c>
      <c r="K139" s="15">
        <f>IF(CurrentMtgRatesDataTable8[[#This Row],[WA CC]]&lt;&gt;0,C138-CurrentMtgRatesDataTable8[[#This Row],[WA CC]],0)</f>
        <v>0</v>
      </c>
      <c r="L139" s="16">
        <f>IF(CurrentMtgRatesDataTable8[[#This Row],[Servicing Spread]]&lt;=0,L138,CurrentMtgRatesDataTable8[[#This Row],[Servicing Spread]])</f>
        <v>1.2313259281931122</v>
      </c>
      <c r="M139" s="16">
        <f>CurrentMtgRatesDataTable8[[#This Row],[Servicing Spread Non-Zero]]-L138</f>
        <v>0</v>
      </c>
      <c r="N139" s="16">
        <f>IF(J138&lt;&gt;0,CurrentMtgRatesDataTable8[[#This Row],[Rate]]-C138,N138)</f>
        <v>-2.0000000000000018E-2</v>
      </c>
    </row>
    <row r="140" spans="1:14" s="9" customFormat="1">
      <c r="A140" s="8" t="s">
        <v>192</v>
      </c>
      <c r="B140" s="11">
        <v>2.0903131154582399</v>
      </c>
      <c r="C140" s="13">
        <v>3.2949999999999999</v>
      </c>
      <c r="D140" s="14">
        <f t="shared" si="14"/>
        <v>6</v>
      </c>
      <c r="E140" s="14">
        <f t="shared" si="15"/>
        <v>0.2</v>
      </c>
      <c r="F140" s="14">
        <f t="shared" si="16"/>
        <v>4</v>
      </c>
      <c r="G140" s="14">
        <f t="shared" si="17"/>
        <v>1.633479421581354</v>
      </c>
      <c r="H140" s="14">
        <f t="shared" si="18"/>
        <v>0.8</v>
      </c>
      <c r="I140" s="14">
        <f t="shared" si="19"/>
        <v>0</v>
      </c>
      <c r="J140" s="14">
        <f t="shared" si="20"/>
        <v>0</v>
      </c>
      <c r="K140" s="15">
        <f>IF(CurrentMtgRatesDataTable8[[#This Row],[WA CC]]&lt;&gt;0,C139-CurrentMtgRatesDataTable8[[#This Row],[WA CC]],0)</f>
        <v>0</v>
      </c>
      <c r="L140" s="16">
        <f>IF(CurrentMtgRatesDataTable8[[#This Row],[Servicing Spread]]&lt;=0,L139,CurrentMtgRatesDataTable8[[#This Row],[Servicing Spread]])</f>
        <v>1.2313259281931122</v>
      </c>
      <c r="M140" s="16">
        <f>CurrentMtgRatesDataTable8[[#This Row],[Servicing Spread Non-Zero]]-L139</f>
        <v>0</v>
      </c>
      <c r="N140" s="16">
        <f>IF(J139&lt;&gt;0,CurrentMtgRatesDataTable8[[#This Row],[Rate]]-C139,N139)</f>
        <v>-2.0000000000000018E-2</v>
      </c>
    </row>
    <row r="141" spans="1:14" s="9" customFormat="1">
      <c r="A141" s="8" t="s">
        <v>46</v>
      </c>
      <c r="B141" s="11">
        <v>2.1999397264302898</v>
      </c>
      <c r="C141" s="13">
        <v>3.2949999999999999</v>
      </c>
      <c r="D141" s="14">
        <f t="shared" si="14"/>
        <v>7</v>
      </c>
      <c r="E141" s="14">
        <f t="shared" si="15"/>
        <v>0.2</v>
      </c>
      <c r="F141" s="14">
        <f t="shared" si="16"/>
        <v>5</v>
      </c>
      <c r="G141" s="14">
        <f t="shared" si="17"/>
        <v>2.073467366867412</v>
      </c>
      <c r="H141" s="14">
        <f t="shared" si="18"/>
        <v>1</v>
      </c>
      <c r="I141" s="14">
        <f t="shared" si="19"/>
        <v>1</v>
      </c>
      <c r="J141" s="14">
        <f t="shared" si="20"/>
        <v>2.073467366867412</v>
      </c>
      <c r="K141" s="15">
        <f>IF(CurrentMtgRatesDataTable8[[#This Row],[WA CC]]&lt;&gt;0,C140-CurrentMtgRatesDataTable8[[#This Row],[WA CC]],0)</f>
        <v>1.221532633132588</v>
      </c>
      <c r="L141" s="16">
        <f>IF(CurrentMtgRatesDataTable8[[#This Row],[Servicing Spread]]&lt;=0,L140,CurrentMtgRatesDataTable8[[#This Row],[Servicing Spread]])</f>
        <v>1.221532633132588</v>
      </c>
      <c r="M141" s="16">
        <f>CurrentMtgRatesDataTable8[[#This Row],[Servicing Spread Non-Zero]]-L140</f>
        <v>-9.7932950605241764E-3</v>
      </c>
      <c r="N141" s="16">
        <f>IF(J140&lt;&gt;0,CurrentMtgRatesDataTable8[[#This Row],[Rate]]-C140,N140)</f>
        <v>-2.0000000000000018E-2</v>
      </c>
    </row>
    <row r="142" spans="1:14" s="9" customFormat="1">
      <c r="A142" s="8" t="s">
        <v>614</v>
      </c>
      <c r="B142" s="11">
        <v>2.23804060063864</v>
      </c>
      <c r="C142" s="13">
        <v>3.335</v>
      </c>
      <c r="D142" s="14">
        <f t="shared" si="14"/>
        <v>1</v>
      </c>
      <c r="E142" s="14">
        <f t="shared" si="15"/>
        <v>0.2</v>
      </c>
      <c r="F142" s="14">
        <f t="shared" si="16"/>
        <v>1</v>
      </c>
      <c r="G142" s="14">
        <f t="shared" si="17"/>
        <v>0.44760812012772799</v>
      </c>
      <c r="H142" s="14">
        <f t="shared" si="18"/>
        <v>0.2</v>
      </c>
      <c r="I142" s="14">
        <f t="shared" si="19"/>
        <v>0</v>
      </c>
      <c r="J142" s="14">
        <f t="shared" si="20"/>
        <v>0</v>
      </c>
      <c r="K142" s="15">
        <f>IF(CurrentMtgRatesDataTable8[[#This Row],[WA CC]]&lt;&gt;0,C141-CurrentMtgRatesDataTable8[[#This Row],[WA CC]],0)</f>
        <v>0</v>
      </c>
      <c r="L142" s="16">
        <f>IF(CurrentMtgRatesDataTable8[[#This Row],[Servicing Spread]]&lt;=0,L141,CurrentMtgRatesDataTable8[[#This Row],[Servicing Spread]])</f>
        <v>1.221532633132588</v>
      </c>
      <c r="M142" s="16">
        <f>CurrentMtgRatesDataTable8[[#This Row],[Servicing Spread Non-Zero]]-L141</f>
        <v>0</v>
      </c>
      <c r="N142" s="16">
        <f>IF(J141&lt;&gt;0,CurrentMtgRatesDataTable8[[#This Row],[Rate]]-C141,N141)</f>
        <v>4.0000000000000036E-2</v>
      </c>
    </row>
    <row r="143" spans="1:14" s="9" customFormat="1">
      <c r="A143" s="8" t="s">
        <v>469</v>
      </c>
      <c r="B143" s="11">
        <v>2.17149064090427</v>
      </c>
      <c r="C143" s="13">
        <v>3.335</v>
      </c>
      <c r="D143" s="14">
        <f t="shared" si="14"/>
        <v>2</v>
      </c>
      <c r="E143" s="14">
        <f t="shared" si="15"/>
        <v>0.2</v>
      </c>
      <c r="F143" s="14">
        <f t="shared" si="16"/>
        <v>2</v>
      </c>
      <c r="G143" s="14">
        <f t="shared" si="17"/>
        <v>0.881906248308582</v>
      </c>
      <c r="H143" s="14">
        <f t="shared" si="18"/>
        <v>0.4</v>
      </c>
      <c r="I143" s="14">
        <f t="shared" si="19"/>
        <v>0</v>
      </c>
      <c r="J143" s="14">
        <f t="shared" si="20"/>
        <v>0</v>
      </c>
      <c r="K143" s="15">
        <f>IF(CurrentMtgRatesDataTable8[[#This Row],[WA CC]]&lt;&gt;0,C142-CurrentMtgRatesDataTable8[[#This Row],[WA CC]],0)</f>
        <v>0</v>
      </c>
      <c r="L143" s="16">
        <f>IF(CurrentMtgRatesDataTable8[[#This Row],[Servicing Spread]]&lt;=0,L142,CurrentMtgRatesDataTable8[[#This Row],[Servicing Spread]])</f>
        <v>1.221532633132588</v>
      </c>
      <c r="M143" s="16">
        <f>CurrentMtgRatesDataTable8[[#This Row],[Servicing Spread Non-Zero]]-L142</f>
        <v>0</v>
      </c>
      <c r="N143" s="16">
        <f>IF(J142&lt;&gt;0,CurrentMtgRatesDataTable8[[#This Row],[Rate]]-C142,N142)</f>
        <v>4.0000000000000036E-2</v>
      </c>
    </row>
    <row r="144" spans="1:14" s="9" customFormat="1">
      <c r="A144" s="8" t="s">
        <v>334</v>
      </c>
      <c r="B144" s="11">
        <v>2.2048003727510999</v>
      </c>
      <c r="C144" s="13">
        <v>3.335</v>
      </c>
      <c r="D144" s="14">
        <f t="shared" si="14"/>
        <v>5</v>
      </c>
      <c r="E144" s="14">
        <f t="shared" si="15"/>
        <v>0.2</v>
      </c>
      <c r="F144" s="14">
        <f t="shared" si="16"/>
        <v>3</v>
      </c>
      <c r="G144" s="14">
        <f t="shared" si="17"/>
        <v>1.322866322858802</v>
      </c>
      <c r="H144" s="14">
        <f t="shared" si="18"/>
        <v>0.60000000000000009</v>
      </c>
      <c r="I144" s="14">
        <f t="shared" si="19"/>
        <v>0</v>
      </c>
      <c r="J144" s="14">
        <f t="shared" si="20"/>
        <v>0</v>
      </c>
      <c r="K144" s="15">
        <f>IF(CurrentMtgRatesDataTable8[[#This Row],[WA CC]]&lt;&gt;0,C143-CurrentMtgRatesDataTable8[[#This Row],[WA CC]],0)</f>
        <v>0</v>
      </c>
      <c r="L144" s="16">
        <f>IF(CurrentMtgRatesDataTable8[[#This Row],[Servicing Spread]]&lt;=0,L143,CurrentMtgRatesDataTable8[[#This Row],[Servicing Spread]])</f>
        <v>1.221532633132588</v>
      </c>
      <c r="M144" s="16">
        <f>CurrentMtgRatesDataTable8[[#This Row],[Servicing Spread Non-Zero]]-L143</f>
        <v>0</v>
      </c>
      <c r="N144" s="16">
        <f>IF(J143&lt;&gt;0,CurrentMtgRatesDataTable8[[#This Row],[Rate]]-C143,N143)</f>
        <v>4.0000000000000036E-2</v>
      </c>
    </row>
    <row r="145" spans="1:14" s="9" customFormat="1">
      <c r="A145" s="8" t="s">
        <v>193</v>
      </c>
      <c r="B145" s="11">
        <v>2.1883122196514102</v>
      </c>
      <c r="C145" s="13">
        <v>3.335</v>
      </c>
      <c r="D145" s="14">
        <f t="shared" si="14"/>
        <v>6</v>
      </c>
      <c r="E145" s="14">
        <f t="shared" si="15"/>
        <v>0.2</v>
      </c>
      <c r="F145" s="14">
        <f t="shared" si="16"/>
        <v>4</v>
      </c>
      <c r="G145" s="14">
        <f t="shared" si="17"/>
        <v>1.7605287667890841</v>
      </c>
      <c r="H145" s="14">
        <f t="shared" si="18"/>
        <v>0.8</v>
      </c>
      <c r="I145" s="14">
        <f t="shared" si="19"/>
        <v>0</v>
      </c>
      <c r="J145" s="14">
        <f t="shared" si="20"/>
        <v>0</v>
      </c>
      <c r="K145" s="15">
        <f>IF(CurrentMtgRatesDataTable8[[#This Row],[WA CC]]&lt;&gt;0,C144-CurrentMtgRatesDataTable8[[#This Row],[WA CC]],0)</f>
        <v>0</v>
      </c>
      <c r="L145" s="16">
        <f>IF(CurrentMtgRatesDataTable8[[#This Row],[Servicing Spread]]&lt;=0,L144,CurrentMtgRatesDataTable8[[#This Row],[Servicing Spread]])</f>
        <v>1.221532633132588</v>
      </c>
      <c r="M145" s="16">
        <f>CurrentMtgRatesDataTable8[[#This Row],[Servicing Spread Non-Zero]]-L144</f>
        <v>0</v>
      </c>
      <c r="N145" s="16">
        <f>IF(J144&lt;&gt;0,CurrentMtgRatesDataTable8[[#This Row],[Rate]]-C144,N144)</f>
        <v>4.0000000000000036E-2</v>
      </c>
    </row>
    <row r="146" spans="1:14" s="9" customFormat="1">
      <c r="A146" s="8" t="s">
        <v>47</v>
      </c>
      <c r="B146" s="11">
        <v>2.2250151290701798</v>
      </c>
      <c r="C146" s="13">
        <v>3.335</v>
      </c>
      <c r="D146" s="14">
        <f t="shared" si="14"/>
        <v>7</v>
      </c>
      <c r="E146" s="14">
        <f t="shared" si="15"/>
        <v>0.2</v>
      </c>
      <c r="F146" s="14">
        <f t="shared" si="16"/>
        <v>5</v>
      </c>
      <c r="G146" s="14">
        <f t="shared" si="17"/>
        <v>2.2055317926031202</v>
      </c>
      <c r="H146" s="14">
        <f t="shared" si="18"/>
        <v>1</v>
      </c>
      <c r="I146" s="14">
        <f t="shared" si="19"/>
        <v>1</v>
      </c>
      <c r="J146" s="14">
        <f t="shared" si="20"/>
        <v>2.2055317926031202</v>
      </c>
      <c r="K146" s="15">
        <f>IF(CurrentMtgRatesDataTable8[[#This Row],[WA CC]]&lt;&gt;0,C145-CurrentMtgRatesDataTable8[[#This Row],[WA CC]],0)</f>
        <v>1.1294682073968798</v>
      </c>
      <c r="L146" s="16">
        <f>IF(CurrentMtgRatesDataTable8[[#This Row],[Servicing Spread]]&lt;=0,L145,CurrentMtgRatesDataTable8[[#This Row],[Servicing Spread]])</f>
        <v>1.1294682073968798</v>
      </c>
      <c r="M146" s="16">
        <f>CurrentMtgRatesDataTable8[[#This Row],[Servicing Spread Non-Zero]]-L145</f>
        <v>-9.2064425735708166E-2</v>
      </c>
      <c r="N146" s="16">
        <f>IF(J145&lt;&gt;0,CurrentMtgRatesDataTable8[[#This Row],[Rate]]-C145,N145)</f>
        <v>4.0000000000000036E-2</v>
      </c>
    </row>
    <row r="147" spans="1:14" s="9" customFormat="1">
      <c r="A147" s="8" t="s">
        <v>615</v>
      </c>
      <c r="B147" s="11">
        <v>2.2775343256732099</v>
      </c>
      <c r="C147" s="13">
        <v>3.3149999999999999</v>
      </c>
      <c r="D147" s="14">
        <f t="shared" si="14"/>
        <v>1</v>
      </c>
      <c r="E147" s="14">
        <f t="shared" si="15"/>
        <v>0.2</v>
      </c>
      <c r="F147" s="14">
        <f t="shared" si="16"/>
        <v>1</v>
      </c>
      <c r="G147" s="14">
        <f t="shared" si="17"/>
        <v>0.455506865134642</v>
      </c>
      <c r="H147" s="14">
        <f t="shared" si="18"/>
        <v>0.2</v>
      </c>
      <c r="I147" s="14">
        <f t="shared" si="19"/>
        <v>0</v>
      </c>
      <c r="J147" s="14">
        <f t="shared" si="20"/>
        <v>0</v>
      </c>
      <c r="K147" s="15">
        <f>IF(CurrentMtgRatesDataTable8[[#This Row],[WA CC]]&lt;&gt;0,C146-CurrentMtgRatesDataTable8[[#This Row],[WA CC]],0)</f>
        <v>0</v>
      </c>
      <c r="L147" s="16">
        <f>IF(CurrentMtgRatesDataTable8[[#This Row],[Servicing Spread]]&lt;=0,L146,CurrentMtgRatesDataTable8[[#This Row],[Servicing Spread]])</f>
        <v>1.1294682073968798</v>
      </c>
      <c r="M147" s="16">
        <f>CurrentMtgRatesDataTable8[[#This Row],[Servicing Spread Non-Zero]]-L146</f>
        <v>0</v>
      </c>
      <c r="N147" s="16">
        <f>IF(J146&lt;&gt;0,CurrentMtgRatesDataTable8[[#This Row],[Rate]]-C146,N146)</f>
        <v>-2.0000000000000018E-2</v>
      </c>
    </row>
    <row r="148" spans="1:14" s="9" customFormat="1">
      <c r="A148" s="8" t="s">
        <v>470</v>
      </c>
      <c r="B148" s="11">
        <v>2.2062412812927401</v>
      </c>
      <c r="C148" s="13">
        <v>3.3149999999999999</v>
      </c>
      <c r="D148" s="14">
        <f t="shared" si="14"/>
        <v>2</v>
      </c>
      <c r="E148" s="14">
        <f t="shared" si="15"/>
        <v>0.2</v>
      </c>
      <c r="F148" s="14">
        <f t="shared" si="16"/>
        <v>2</v>
      </c>
      <c r="G148" s="14">
        <f t="shared" si="17"/>
        <v>0.89675512139319002</v>
      </c>
      <c r="H148" s="14">
        <f t="shared" si="18"/>
        <v>0.4</v>
      </c>
      <c r="I148" s="14">
        <f t="shared" si="19"/>
        <v>0</v>
      </c>
      <c r="J148" s="14">
        <f t="shared" si="20"/>
        <v>0</v>
      </c>
      <c r="K148" s="15">
        <f>IF(CurrentMtgRatesDataTable8[[#This Row],[WA CC]]&lt;&gt;0,C147-CurrentMtgRatesDataTable8[[#This Row],[WA CC]],0)</f>
        <v>0</v>
      </c>
      <c r="L148" s="16">
        <f>IF(CurrentMtgRatesDataTable8[[#This Row],[Servicing Spread]]&lt;=0,L147,CurrentMtgRatesDataTable8[[#This Row],[Servicing Spread]])</f>
        <v>1.1294682073968798</v>
      </c>
      <c r="M148" s="16">
        <f>CurrentMtgRatesDataTable8[[#This Row],[Servicing Spread Non-Zero]]-L147</f>
        <v>0</v>
      </c>
      <c r="N148" s="16">
        <f>IF(J147&lt;&gt;0,CurrentMtgRatesDataTable8[[#This Row],[Rate]]-C147,N147)</f>
        <v>-2.0000000000000018E-2</v>
      </c>
    </row>
    <row r="149" spans="1:14" s="9" customFormat="1">
      <c r="A149" s="8" t="s">
        <v>335</v>
      </c>
      <c r="B149" s="11">
        <v>2.1758632003490601</v>
      </c>
      <c r="C149" s="13">
        <v>3.3149999999999999</v>
      </c>
      <c r="D149" s="14">
        <f t="shared" si="14"/>
        <v>5</v>
      </c>
      <c r="E149" s="14">
        <f t="shared" si="15"/>
        <v>0.2</v>
      </c>
      <c r="F149" s="14">
        <f t="shared" si="16"/>
        <v>3</v>
      </c>
      <c r="G149" s="14">
        <f t="shared" si="17"/>
        <v>1.3319277614630021</v>
      </c>
      <c r="H149" s="14">
        <f t="shared" si="18"/>
        <v>0.60000000000000009</v>
      </c>
      <c r="I149" s="14">
        <f t="shared" si="19"/>
        <v>0</v>
      </c>
      <c r="J149" s="14">
        <f t="shared" si="20"/>
        <v>0</v>
      </c>
      <c r="K149" s="15">
        <f>IF(CurrentMtgRatesDataTable8[[#This Row],[WA CC]]&lt;&gt;0,C148-CurrentMtgRatesDataTable8[[#This Row],[WA CC]],0)</f>
        <v>0</v>
      </c>
      <c r="L149" s="16">
        <f>IF(CurrentMtgRatesDataTable8[[#This Row],[Servicing Spread]]&lt;=0,L148,CurrentMtgRatesDataTable8[[#This Row],[Servicing Spread]])</f>
        <v>1.1294682073968798</v>
      </c>
      <c r="M149" s="16">
        <f>CurrentMtgRatesDataTable8[[#This Row],[Servicing Spread Non-Zero]]-L148</f>
        <v>0</v>
      </c>
      <c r="N149" s="16">
        <f>IF(J148&lt;&gt;0,CurrentMtgRatesDataTable8[[#This Row],[Rate]]-C148,N148)</f>
        <v>-2.0000000000000018E-2</v>
      </c>
    </row>
    <row r="150" spans="1:14" s="9" customFormat="1">
      <c r="A150" s="8" t="s">
        <v>48</v>
      </c>
      <c r="B150" s="11">
        <v>2.1423497452898399</v>
      </c>
      <c r="C150" s="13">
        <v>3.3149999999999999</v>
      </c>
      <c r="D150" s="14">
        <f t="shared" si="14"/>
        <v>7</v>
      </c>
      <c r="E150" s="14">
        <f t="shared" si="15"/>
        <v>0.2</v>
      </c>
      <c r="F150" s="14">
        <f t="shared" si="16"/>
        <v>4</v>
      </c>
      <c r="G150" s="14">
        <f t="shared" si="17"/>
        <v>1.76039771052097</v>
      </c>
      <c r="H150" s="14">
        <f t="shared" si="18"/>
        <v>0.8</v>
      </c>
      <c r="I150" s="14">
        <f t="shared" si="19"/>
        <v>1</v>
      </c>
      <c r="J150" s="14">
        <f t="shared" si="20"/>
        <v>2.2004971381512126</v>
      </c>
      <c r="K150" s="15">
        <f>IF(CurrentMtgRatesDataTable8[[#This Row],[WA CC]]&lt;&gt;0,C149-CurrentMtgRatesDataTable8[[#This Row],[WA CC]],0)</f>
        <v>1.1145028618487873</v>
      </c>
      <c r="L150" s="16">
        <f>IF(CurrentMtgRatesDataTable8[[#This Row],[Servicing Spread]]&lt;=0,L149,CurrentMtgRatesDataTable8[[#This Row],[Servicing Spread]])</f>
        <v>1.1145028618487873</v>
      </c>
      <c r="M150" s="16">
        <f>CurrentMtgRatesDataTable8[[#This Row],[Servicing Spread Non-Zero]]-L149</f>
        <v>-1.4965345548092479E-2</v>
      </c>
      <c r="N150" s="16">
        <f>IF(J149&lt;&gt;0,CurrentMtgRatesDataTable8[[#This Row],[Rate]]-C149,N149)</f>
        <v>-2.0000000000000018E-2</v>
      </c>
    </row>
    <row r="151" spans="1:14" s="9" customFormat="1">
      <c r="A151" s="8" t="s">
        <v>616</v>
      </c>
      <c r="B151" s="11">
        <v>2.2324289694544102</v>
      </c>
      <c r="C151" s="13">
        <v>3.3249999999999997</v>
      </c>
      <c r="D151" s="14">
        <f t="shared" si="14"/>
        <v>1</v>
      </c>
      <c r="E151" s="14">
        <f t="shared" si="15"/>
        <v>0.2</v>
      </c>
      <c r="F151" s="14">
        <f t="shared" si="16"/>
        <v>1</v>
      </c>
      <c r="G151" s="14">
        <f t="shared" si="17"/>
        <v>0.44648579389088205</v>
      </c>
      <c r="H151" s="14">
        <f t="shared" si="18"/>
        <v>0.2</v>
      </c>
      <c r="I151" s="14">
        <f t="shared" si="19"/>
        <v>0</v>
      </c>
      <c r="J151" s="14">
        <f t="shared" si="20"/>
        <v>0</v>
      </c>
      <c r="K151" s="15">
        <f>IF(CurrentMtgRatesDataTable8[[#This Row],[WA CC]]&lt;&gt;0,C150-CurrentMtgRatesDataTable8[[#This Row],[WA CC]],0)</f>
        <v>0</v>
      </c>
      <c r="L151" s="16">
        <f>IF(CurrentMtgRatesDataTable8[[#This Row],[Servicing Spread]]&lt;=0,L150,CurrentMtgRatesDataTable8[[#This Row],[Servicing Spread]])</f>
        <v>1.1145028618487873</v>
      </c>
      <c r="M151" s="16">
        <f>CurrentMtgRatesDataTable8[[#This Row],[Servicing Spread Non-Zero]]-L150</f>
        <v>0</v>
      </c>
      <c r="N151" s="16">
        <f>IF(J150&lt;&gt;0,CurrentMtgRatesDataTable8[[#This Row],[Rate]]-C150,N150)</f>
        <v>9.9999999999997868E-3</v>
      </c>
    </row>
    <row r="152" spans="1:14">
      <c r="A152" s="8" t="s">
        <v>471</v>
      </c>
      <c r="B152" s="11">
        <v>2.1949310629738199</v>
      </c>
      <c r="C152" s="13">
        <v>3.3249999999999997</v>
      </c>
      <c r="D152" s="14">
        <f t="shared" si="14"/>
        <v>2</v>
      </c>
      <c r="E152" s="14">
        <f t="shared" si="15"/>
        <v>0.2</v>
      </c>
      <c r="F152" s="14">
        <f t="shared" si="16"/>
        <v>2</v>
      </c>
      <c r="G152" s="14">
        <f t="shared" si="17"/>
        <v>0.88547200648564606</v>
      </c>
      <c r="H152" s="14">
        <f t="shared" si="18"/>
        <v>0.4</v>
      </c>
      <c r="I152" s="14">
        <f t="shared" si="19"/>
        <v>0</v>
      </c>
      <c r="J152" s="14">
        <f t="shared" si="20"/>
        <v>0</v>
      </c>
      <c r="K152" s="15">
        <f>IF(CurrentMtgRatesDataTable8[[#This Row],[WA CC]]&lt;&gt;0,C151-CurrentMtgRatesDataTable8[[#This Row],[WA CC]],0)</f>
        <v>0</v>
      </c>
      <c r="L152" s="16">
        <f>IF(CurrentMtgRatesDataTable8[[#This Row],[Servicing Spread]]&lt;=0,L151,CurrentMtgRatesDataTable8[[#This Row],[Servicing Spread]])</f>
        <v>1.1145028618487873</v>
      </c>
      <c r="M152" s="16">
        <f>CurrentMtgRatesDataTable8[[#This Row],[Servicing Spread Non-Zero]]-L151</f>
        <v>0</v>
      </c>
      <c r="N152" s="16">
        <f>IF(J151&lt;&gt;0,CurrentMtgRatesDataTable8[[#This Row],[Rate]]-C151,N151)</f>
        <v>9.9999999999997868E-3</v>
      </c>
    </row>
    <row r="153" spans="1:14">
      <c r="A153" s="8" t="s">
        <v>336</v>
      </c>
      <c r="B153" s="11">
        <v>2.1479421519661601</v>
      </c>
      <c r="C153" s="13">
        <v>3.3249999999999997</v>
      </c>
      <c r="D153" s="14">
        <f t="shared" si="14"/>
        <v>5</v>
      </c>
      <c r="E153" s="14">
        <f t="shared" si="15"/>
        <v>0.2</v>
      </c>
      <c r="F153" s="14">
        <f t="shared" si="16"/>
        <v>3</v>
      </c>
      <c r="G153" s="14">
        <f t="shared" si="17"/>
        <v>1.3150604368788781</v>
      </c>
      <c r="H153" s="14">
        <f t="shared" si="18"/>
        <v>0.60000000000000009</v>
      </c>
      <c r="I153" s="14">
        <f t="shared" si="19"/>
        <v>0</v>
      </c>
      <c r="J153" s="14">
        <f t="shared" si="20"/>
        <v>0</v>
      </c>
      <c r="K153" s="15">
        <f>IF(CurrentMtgRatesDataTable8[[#This Row],[WA CC]]&lt;&gt;0,C152-CurrentMtgRatesDataTable8[[#This Row],[WA CC]],0)</f>
        <v>0</v>
      </c>
      <c r="L153" s="16">
        <f>IF(CurrentMtgRatesDataTable8[[#This Row],[Servicing Spread]]&lt;=0,L152,CurrentMtgRatesDataTable8[[#This Row],[Servicing Spread]])</f>
        <v>1.1145028618487873</v>
      </c>
      <c r="M153" s="16">
        <f>CurrentMtgRatesDataTable8[[#This Row],[Servicing Spread Non-Zero]]-L152</f>
        <v>0</v>
      </c>
      <c r="N153" s="16">
        <f>IF(J152&lt;&gt;0,CurrentMtgRatesDataTable8[[#This Row],[Rate]]-C152,N152)</f>
        <v>9.9999999999997868E-3</v>
      </c>
    </row>
    <row r="154" spans="1:14">
      <c r="A154" s="8" t="s">
        <v>194</v>
      </c>
      <c r="B154" s="11">
        <v>2.2488911274377399</v>
      </c>
      <c r="C154" s="13">
        <v>3.3249999999999997</v>
      </c>
      <c r="D154" s="14">
        <f t="shared" si="14"/>
        <v>6</v>
      </c>
      <c r="E154" s="14">
        <f t="shared" si="15"/>
        <v>0.2</v>
      </c>
      <c r="F154" s="14">
        <f t="shared" si="16"/>
        <v>4</v>
      </c>
      <c r="G154" s="14">
        <f t="shared" si="17"/>
        <v>1.7648386623664261</v>
      </c>
      <c r="H154" s="14">
        <f t="shared" si="18"/>
        <v>0.8</v>
      </c>
      <c r="I154" s="14">
        <f t="shared" si="19"/>
        <v>0</v>
      </c>
      <c r="J154" s="14">
        <f t="shared" si="20"/>
        <v>0</v>
      </c>
      <c r="K154" s="15">
        <f>IF(CurrentMtgRatesDataTable8[[#This Row],[WA CC]]&lt;&gt;0,C153-CurrentMtgRatesDataTable8[[#This Row],[WA CC]],0)</f>
        <v>0</v>
      </c>
      <c r="L154" s="16">
        <f>IF(CurrentMtgRatesDataTable8[[#This Row],[Servicing Spread]]&lt;=0,L153,CurrentMtgRatesDataTable8[[#This Row],[Servicing Spread]])</f>
        <v>1.1145028618487873</v>
      </c>
      <c r="M154" s="16">
        <f>CurrentMtgRatesDataTable8[[#This Row],[Servicing Spread Non-Zero]]-L153</f>
        <v>0</v>
      </c>
      <c r="N154" s="16">
        <f>IF(J153&lt;&gt;0,CurrentMtgRatesDataTable8[[#This Row],[Rate]]-C153,N153)</f>
        <v>9.9999999999997868E-3</v>
      </c>
    </row>
    <row r="155" spans="1:14">
      <c r="A155" s="8" t="s">
        <v>49</v>
      </c>
      <c r="B155" s="11">
        <v>2.0919724577728598</v>
      </c>
      <c r="C155" s="13">
        <v>3.3249999999999997</v>
      </c>
      <c r="D155" s="14">
        <f t="shared" si="14"/>
        <v>7</v>
      </c>
      <c r="E155" s="14">
        <f t="shared" si="15"/>
        <v>0.2</v>
      </c>
      <c r="F155" s="14">
        <f t="shared" si="16"/>
        <v>5</v>
      </c>
      <c r="G155" s="14">
        <f t="shared" si="17"/>
        <v>2.1832331539209981</v>
      </c>
      <c r="H155" s="14">
        <f t="shared" si="18"/>
        <v>1</v>
      </c>
      <c r="I155" s="14">
        <f t="shared" si="19"/>
        <v>1</v>
      </c>
      <c r="J155" s="14">
        <f t="shared" si="20"/>
        <v>2.1832331539209981</v>
      </c>
      <c r="K155" s="15">
        <f>IF(CurrentMtgRatesDataTable8[[#This Row],[WA CC]]&lt;&gt;0,C154-CurrentMtgRatesDataTable8[[#This Row],[WA CC]],0)</f>
        <v>1.1417668460790016</v>
      </c>
      <c r="L155" s="16">
        <f>IF(CurrentMtgRatesDataTable8[[#This Row],[Servicing Spread]]&lt;=0,L154,CurrentMtgRatesDataTable8[[#This Row],[Servicing Spread]])</f>
        <v>1.1417668460790016</v>
      </c>
      <c r="M155" s="16">
        <f>CurrentMtgRatesDataTable8[[#This Row],[Servicing Spread Non-Zero]]-L154</f>
        <v>2.7263984230214255E-2</v>
      </c>
      <c r="N155" s="16">
        <f>IF(J154&lt;&gt;0,CurrentMtgRatesDataTable8[[#This Row],[Rate]]-C154,N154)</f>
        <v>9.9999999999997868E-3</v>
      </c>
    </row>
    <row r="156" spans="1:14">
      <c r="A156" s="8" t="s">
        <v>617</v>
      </c>
      <c r="B156" s="11">
        <v>2.04956432037537</v>
      </c>
      <c r="C156" s="13">
        <v>3.2649999999999997</v>
      </c>
      <c r="D156" s="14">
        <f t="shared" si="14"/>
        <v>1</v>
      </c>
      <c r="E156" s="14">
        <f t="shared" si="15"/>
        <v>0.2</v>
      </c>
      <c r="F156" s="14">
        <f t="shared" si="16"/>
        <v>1</v>
      </c>
      <c r="G156" s="14">
        <f t="shared" si="17"/>
        <v>0.40991286407507399</v>
      </c>
      <c r="H156" s="14">
        <f t="shared" si="18"/>
        <v>0.2</v>
      </c>
      <c r="I156" s="14">
        <f t="shared" si="19"/>
        <v>0</v>
      </c>
      <c r="J156" s="14">
        <f t="shared" si="20"/>
        <v>0</v>
      </c>
      <c r="K156" s="15">
        <f>IF(CurrentMtgRatesDataTable8[[#This Row],[WA CC]]&lt;&gt;0,C155-CurrentMtgRatesDataTable8[[#This Row],[WA CC]],0)</f>
        <v>0</v>
      </c>
      <c r="L156" s="16">
        <f>IF(CurrentMtgRatesDataTable8[[#This Row],[Servicing Spread]]&lt;=0,L155,CurrentMtgRatesDataTable8[[#This Row],[Servicing Spread]])</f>
        <v>1.1417668460790016</v>
      </c>
      <c r="M156" s="16">
        <f>CurrentMtgRatesDataTable8[[#This Row],[Servicing Spread Non-Zero]]-L155</f>
        <v>0</v>
      </c>
      <c r="N156" s="16">
        <f>IF(J155&lt;&gt;0,CurrentMtgRatesDataTable8[[#This Row],[Rate]]-C155,N155)</f>
        <v>-6.0000000000000053E-2</v>
      </c>
    </row>
    <row r="157" spans="1:14">
      <c r="A157" s="8" t="s">
        <v>472</v>
      </c>
      <c r="B157" s="11">
        <v>2.0595956654124499</v>
      </c>
      <c r="C157" s="13">
        <v>3.2649999999999997</v>
      </c>
      <c r="D157" s="14">
        <f t="shared" si="14"/>
        <v>2</v>
      </c>
      <c r="E157" s="14">
        <f t="shared" si="15"/>
        <v>0.2</v>
      </c>
      <c r="F157" s="14">
        <f t="shared" si="16"/>
        <v>2</v>
      </c>
      <c r="G157" s="14">
        <f t="shared" si="17"/>
        <v>0.82183199715756405</v>
      </c>
      <c r="H157" s="14">
        <f t="shared" si="18"/>
        <v>0.4</v>
      </c>
      <c r="I157" s="14">
        <f t="shared" si="19"/>
        <v>0</v>
      </c>
      <c r="J157" s="14">
        <f t="shared" si="20"/>
        <v>0</v>
      </c>
      <c r="K157" s="15">
        <f>IF(CurrentMtgRatesDataTable8[[#This Row],[WA CC]]&lt;&gt;0,C156-CurrentMtgRatesDataTable8[[#This Row],[WA CC]],0)</f>
        <v>0</v>
      </c>
      <c r="L157" s="16">
        <f>IF(CurrentMtgRatesDataTable8[[#This Row],[Servicing Spread]]&lt;=0,L156,CurrentMtgRatesDataTable8[[#This Row],[Servicing Spread]])</f>
        <v>1.1417668460790016</v>
      </c>
      <c r="M157" s="16">
        <f>CurrentMtgRatesDataTable8[[#This Row],[Servicing Spread Non-Zero]]-L156</f>
        <v>0</v>
      </c>
      <c r="N157" s="16">
        <f>IF(J156&lt;&gt;0,CurrentMtgRatesDataTable8[[#This Row],[Rate]]-C156,N156)</f>
        <v>-6.0000000000000053E-2</v>
      </c>
    </row>
    <row r="158" spans="1:14">
      <c r="A158" s="8" t="s">
        <v>195</v>
      </c>
      <c r="B158" s="11">
        <v>2.0829778986268401</v>
      </c>
      <c r="C158" s="13">
        <v>3.2649999999999997</v>
      </c>
      <c r="D158" s="14">
        <f t="shared" si="14"/>
        <v>6</v>
      </c>
      <c r="E158" s="14">
        <f t="shared" si="15"/>
        <v>0.2</v>
      </c>
      <c r="F158" s="14">
        <f t="shared" si="16"/>
        <v>3</v>
      </c>
      <c r="G158" s="14">
        <f t="shared" si="17"/>
        <v>1.238427576882932</v>
      </c>
      <c r="H158" s="14">
        <f t="shared" si="18"/>
        <v>0.60000000000000009</v>
      </c>
      <c r="I158" s="14">
        <f t="shared" si="19"/>
        <v>0</v>
      </c>
      <c r="J158" s="14">
        <f t="shared" si="20"/>
        <v>0</v>
      </c>
      <c r="K158" s="15">
        <f>IF(CurrentMtgRatesDataTable8[[#This Row],[WA CC]]&lt;&gt;0,C157-CurrentMtgRatesDataTable8[[#This Row],[WA CC]],0)</f>
        <v>0</v>
      </c>
      <c r="L158" s="16">
        <f>IF(CurrentMtgRatesDataTable8[[#This Row],[Servicing Spread]]&lt;=0,L157,CurrentMtgRatesDataTable8[[#This Row],[Servicing Spread]])</f>
        <v>1.1417668460790016</v>
      </c>
      <c r="M158" s="16">
        <f>CurrentMtgRatesDataTable8[[#This Row],[Servicing Spread Non-Zero]]-L157</f>
        <v>0</v>
      </c>
      <c r="N158" s="16">
        <f>IF(J157&lt;&gt;0,CurrentMtgRatesDataTable8[[#This Row],[Rate]]-C157,N157)</f>
        <v>-6.0000000000000053E-2</v>
      </c>
    </row>
    <row r="159" spans="1:14">
      <c r="A159" s="8" t="s">
        <v>50</v>
      </c>
      <c r="B159" s="11">
        <v>2.1343540804519301</v>
      </c>
      <c r="C159" s="13">
        <v>3.2649999999999997</v>
      </c>
      <c r="D159" s="14">
        <f t="shared" si="14"/>
        <v>7</v>
      </c>
      <c r="E159" s="14">
        <f t="shared" si="15"/>
        <v>0.2</v>
      </c>
      <c r="F159" s="14">
        <f t="shared" si="16"/>
        <v>4</v>
      </c>
      <c r="G159" s="14">
        <f t="shared" si="17"/>
        <v>1.6652983929733181</v>
      </c>
      <c r="H159" s="14">
        <f t="shared" si="18"/>
        <v>0.8</v>
      </c>
      <c r="I159" s="14">
        <f t="shared" si="19"/>
        <v>1</v>
      </c>
      <c r="J159" s="14">
        <f t="shared" si="20"/>
        <v>2.0816229912166473</v>
      </c>
      <c r="K159" s="15">
        <f>IF(CurrentMtgRatesDataTable8[[#This Row],[WA CC]]&lt;&gt;0,C158-CurrentMtgRatesDataTable8[[#This Row],[WA CC]],0)</f>
        <v>1.1833770087833524</v>
      </c>
      <c r="L159" s="16">
        <f>IF(CurrentMtgRatesDataTable8[[#This Row],[Servicing Spread]]&lt;=0,L158,CurrentMtgRatesDataTable8[[#This Row],[Servicing Spread]])</f>
        <v>1.1833770087833524</v>
      </c>
      <c r="M159" s="16">
        <f>CurrentMtgRatesDataTable8[[#This Row],[Servicing Spread Non-Zero]]-L158</f>
        <v>4.1610162704350806E-2</v>
      </c>
      <c r="N159" s="16">
        <f>IF(J158&lt;&gt;0,CurrentMtgRatesDataTable8[[#This Row],[Rate]]-C158,N158)</f>
        <v>-6.0000000000000053E-2</v>
      </c>
    </row>
    <row r="160" spans="1:14">
      <c r="A160" s="8" t="s">
        <v>473</v>
      </c>
      <c r="B160" s="11">
        <v>2.0923386430292501</v>
      </c>
      <c r="C160" s="13">
        <v>3.2349999999999999</v>
      </c>
      <c r="D160" s="14">
        <f t="shared" si="14"/>
        <v>1</v>
      </c>
      <c r="E160" s="14">
        <f t="shared" si="15"/>
        <v>0.2</v>
      </c>
      <c r="F160" s="14">
        <f t="shared" si="16"/>
        <v>1</v>
      </c>
      <c r="G160" s="14">
        <f t="shared" si="17"/>
        <v>0.41846772860585002</v>
      </c>
      <c r="H160" s="14">
        <f t="shared" si="18"/>
        <v>0.2</v>
      </c>
      <c r="I160" s="14">
        <f t="shared" si="19"/>
        <v>0</v>
      </c>
      <c r="J160" s="14">
        <f t="shared" si="20"/>
        <v>0</v>
      </c>
      <c r="K160" s="15">
        <f>IF(CurrentMtgRatesDataTable8[[#This Row],[WA CC]]&lt;&gt;0,C159-CurrentMtgRatesDataTable8[[#This Row],[WA CC]],0)</f>
        <v>0</v>
      </c>
      <c r="L160" s="16">
        <f>IF(CurrentMtgRatesDataTable8[[#This Row],[Servicing Spread]]&lt;=0,L159,CurrentMtgRatesDataTable8[[#This Row],[Servicing Spread]])</f>
        <v>1.1833770087833524</v>
      </c>
      <c r="M160" s="16">
        <f>CurrentMtgRatesDataTable8[[#This Row],[Servicing Spread Non-Zero]]-L159</f>
        <v>0</v>
      </c>
      <c r="N160" s="16">
        <f>IF(J159&lt;&gt;0,CurrentMtgRatesDataTable8[[#This Row],[Rate]]-C159,N159)</f>
        <v>-2.9999999999999805E-2</v>
      </c>
    </row>
    <row r="161" spans="1:14">
      <c r="A161" s="8" t="s">
        <v>435</v>
      </c>
      <c r="B161" s="11">
        <v>2.0361071292777302</v>
      </c>
      <c r="C161" s="13">
        <v>3.2349999999999999</v>
      </c>
      <c r="D161" s="14">
        <f t="shared" si="14"/>
        <v>2</v>
      </c>
      <c r="E161" s="14">
        <f t="shared" si="15"/>
        <v>0.2</v>
      </c>
      <c r="F161" s="14">
        <f t="shared" si="16"/>
        <v>2</v>
      </c>
      <c r="G161" s="14">
        <f t="shared" si="17"/>
        <v>0.82568915446139601</v>
      </c>
      <c r="H161" s="14">
        <f t="shared" si="18"/>
        <v>0.4</v>
      </c>
      <c r="I161" s="14">
        <f t="shared" si="19"/>
        <v>0</v>
      </c>
      <c r="J161" s="14">
        <f t="shared" si="20"/>
        <v>0</v>
      </c>
      <c r="K161" s="15">
        <f>IF(CurrentMtgRatesDataTable8[[#This Row],[WA CC]]&lt;&gt;0,C160-CurrentMtgRatesDataTable8[[#This Row],[WA CC]],0)</f>
        <v>0</v>
      </c>
      <c r="L161" s="16">
        <f>IF(CurrentMtgRatesDataTable8[[#This Row],[Servicing Spread]]&lt;=0,L160,CurrentMtgRatesDataTable8[[#This Row],[Servicing Spread]])</f>
        <v>1.1833770087833524</v>
      </c>
      <c r="M161" s="16">
        <f>CurrentMtgRatesDataTable8[[#This Row],[Servicing Spread Non-Zero]]-L160</f>
        <v>0</v>
      </c>
      <c r="N161" s="16">
        <f>IF(J160&lt;&gt;0,CurrentMtgRatesDataTable8[[#This Row],[Rate]]-C160,N160)</f>
        <v>-2.9999999999999805E-2</v>
      </c>
    </row>
    <row r="162" spans="1:14">
      <c r="A162" s="8" t="s">
        <v>196</v>
      </c>
      <c r="B162" s="11">
        <v>2.0699676944682599</v>
      </c>
      <c r="C162" s="13">
        <v>3.2349999999999999</v>
      </c>
      <c r="D162" s="14">
        <f t="shared" si="14"/>
        <v>5</v>
      </c>
      <c r="E162" s="14">
        <f t="shared" si="15"/>
        <v>0.2</v>
      </c>
      <c r="F162" s="14">
        <f t="shared" si="16"/>
        <v>3</v>
      </c>
      <c r="G162" s="14">
        <f t="shared" si="17"/>
        <v>1.239682693355048</v>
      </c>
      <c r="H162" s="14">
        <f t="shared" si="18"/>
        <v>0.60000000000000009</v>
      </c>
      <c r="I162" s="14">
        <f t="shared" si="19"/>
        <v>0</v>
      </c>
      <c r="J162" s="14">
        <f t="shared" si="20"/>
        <v>0</v>
      </c>
      <c r="K162" s="15">
        <f>IF(CurrentMtgRatesDataTable8[[#This Row],[WA CC]]&lt;&gt;0,C161-CurrentMtgRatesDataTable8[[#This Row],[WA CC]],0)</f>
        <v>0</v>
      </c>
      <c r="L162" s="16">
        <f>IF(CurrentMtgRatesDataTable8[[#This Row],[Servicing Spread]]&lt;=0,L161,CurrentMtgRatesDataTable8[[#This Row],[Servicing Spread]])</f>
        <v>1.1833770087833524</v>
      </c>
      <c r="M162" s="16">
        <f>CurrentMtgRatesDataTable8[[#This Row],[Servicing Spread Non-Zero]]-L161</f>
        <v>0</v>
      </c>
      <c r="N162" s="16">
        <f>IF(J161&lt;&gt;0,CurrentMtgRatesDataTable8[[#This Row],[Rate]]-C161,N161)</f>
        <v>-2.9999999999999805E-2</v>
      </c>
    </row>
    <row r="163" spans="1:14">
      <c r="A163" s="8" t="s">
        <v>51</v>
      </c>
      <c r="B163" s="11">
        <v>2.1420411801194499</v>
      </c>
      <c r="C163" s="13">
        <v>3.2349999999999999</v>
      </c>
      <c r="D163" s="14">
        <f t="shared" si="14"/>
        <v>6</v>
      </c>
      <c r="E163" s="14">
        <f t="shared" si="15"/>
        <v>0.2</v>
      </c>
      <c r="F163" s="14">
        <f t="shared" si="16"/>
        <v>4</v>
      </c>
      <c r="G163" s="14">
        <f t="shared" si="17"/>
        <v>1.6680909293789381</v>
      </c>
      <c r="H163" s="14">
        <f t="shared" si="18"/>
        <v>0.8</v>
      </c>
      <c r="I163" s="14">
        <f t="shared" si="19"/>
        <v>0</v>
      </c>
      <c r="J163" s="14">
        <f t="shared" si="20"/>
        <v>0</v>
      </c>
      <c r="K163" s="15">
        <f>IF(CurrentMtgRatesDataTable8[[#This Row],[WA CC]]&lt;&gt;0,C162-CurrentMtgRatesDataTable8[[#This Row],[WA CC]],0)</f>
        <v>0</v>
      </c>
      <c r="L163" s="16">
        <f>IF(CurrentMtgRatesDataTable8[[#This Row],[Servicing Spread]]&lt;=0,L162,CurrentMtgRatesDataTable8[[#This Row],[Servicing Spread]])</f>
        <v>1.1833770087833524</v>
      </c>
      <c r="M163" s="16">
        <f>CurrentMtgRatesDataTable8[[#This Row],[Servicing Spread Non-Zero]]-L162</f>
        <v>0</v>
      </c>
      <c r="N163" s="16">
        <f>IF(J162&lt;&gt;0,CurrentMtgRatesDataTable8[[#This Row],[Rate]]-C162,N162)</f>
        <v>-2.9999999999999805E-2</v>
      </c>
    </row>
    <row r="164" spans="1:14">
      <c r="A164" s="8" t="s">
        <v>981</v>
      </c>
      <c r="B164" s="11">
        <v>2.1925425327534098</v>
      </c>
      <c r="C164" s="13">
        <v>3.2349999999999999</v>
      </c>
      <c r="D164" s="14">
        <f t="shared" si="14"/>
        <v>7</v>
      </c>
      <c r="E164" s="14">
        <f t="shared" si="15"/>
        <v>0.2</v>
      </c>
      <c r="F164" s="14">
        <f t="shared" si="16"/>
        <v>5</v>
      </c>
      <c r="G164" s="14">
        <f t="shared" si="17"/>
        <v>2.1065994359296201</v>
      </c>
      <c r="H164" s="14">
        <f t="shared" si="18"/>
        <v>1</v>
      </c>
      <c r="I164" s="14">
        <f t="shared" si="19"/>
        <v>1</v>
      </c>
      <c r="J164" s="14">
        <f t="shared" si="20"/>
        <v>2.1065994359296201</v>
      </c>
      <c r="K164" s="15">
        <f>IF(CurrentMtgRatesDataTable8[[#This Row],[WA CC]]&lt;&gt;0,C163-CurrentMtgRatesDataTable8[[#This Row],[WA CC]],0)</f>
        <v>1.1284005640703798</v>
      </c>
      <c r="L164" s="16">
        <f>IF(CurrentMtgRatesDataTable8[[#This Row],[Servicing Spread]]&lt;=0,L163,CurrentMtgRatesDataTable8[[#This Row],[Servicing Spread]])</f>
        <v>1.1284005640703798</v>
      </c>
      <c r="M164" s="16">
        <f>CurrentMtgRatesDataTable8[[#This Row],[Servicing Spread Non-Zero]]-L163</f>
        <v>-5.4976444712972583E-2</v>
      </c>
      <c r="N164" s="16">
        <f>IF(J163&lt;&gt;0,CurrentMtgRatesDataTable8[[#This Row],[Rate]]-C163,N163)</f>
        <v>-2.9999999999999805E-2</v>
      </c>
    </row>
    <row r="165" spans="1:14">
      <c r="A165" s="8" t="s">
        <v>474</v>
      </c>
      <c r="B165" s="11">
        <v>2.2012643194611901</v>
      </c>
      <c r="C165" s="13">
        <v>3.27</v>
      </c>
      <c r="D165" s="14">
        <f t="shared" si="14"/>
        <v>2</v>
      </c>
      <c r="E165" s="14">
        <f t="shared" si="15"/>
        <v>0.2</v>
      </c>
      <c r="F165" s="14">
        <f t="shared" si="16"/>
        <v>1</v>
      </c>
      <c r="G165" s="14">
        <f t="shared" si="17"/>
        <v>0.44025286389223806</v>
      </c>
      <c r="H165" s="14">
        <f t="shared" si="18"/>
        <v>0.2</v>
      </c>
      <c r="I165" s="14">
        <f t="shared" si="19"/>
        <v>0</v>
      </c>
      <c r="J165" s="14">
        <f t="shared" si="20"/>
        <v>0</v>
      </c>
      <c r="K165" s="15">
        <f>IF(CurrentMtgRatesDataTable8[[#This Row],[WA CC]]&lt;&gt;0,C164-CurrentMtgRatesDataTable8[[#This Row],[WA CC]],0)</f>
        <v>0</v>
      </c>
      <c r="L165" s="16">
        <f>IF(CurrentMtgRatesDataTable8[[#This Row],[Servicing Spread]]&lt;=0,L164,CurrentMtgRatesDataTable8[[#This Row],[Servicing Spread]])</f>
        <v>1.1284005640703798</v>
      </c>
      <c r="M165" s="16">
        <f>CurrentMtgRatesDataTable8[[#This Row],[Servicing Spread Non-Zero]]-L164</f>
        <v>0</v>
      </c>
      <c r="N165" s="16">
        <f>IF(J164&lt;&gt;0,CurrentMtgRatesDataTable8[[#This Row],[Rate]]-C164,N164)</f>
        <v>3.5000000000000142E-2</v>
      </c>
    </row>
    <row r="166" spans="1:14">
      <c r="A166" s="8" t="s">
        <v>337</v>
      </c>
      <c r="B166" s="11">
        <v>2.1328988734204701</v>
      </c>
      <c r="C166" s="13">
        <v>3.27</v>
      </c>
      <c r="D166" s="14">
        <f t="shared" si="14"/>
        <v>5</v>
      </c>
      <c r="E166" s="14">
        <f t="shared" si="15"/>
        <v>0.2</v>
      </c>
      <c r="F166" s="14">
        <f t="shared" si="16"/>
        <v>2</v>
      </c>
      <c r="G166" s="14">
        <f t="shared" si="17"/>
        <v>0.86683263857633208</v>
      </c>
      <c r="H166" s="14">
        <f t="shared" si="18"/>
        <v>0.4</v>
      </c>
      <c r="I166" s="14">
        <f t="shared" si="19"/>
        <v>0</v>
      </c>
      <c r="J166" s="14">
        <f t="shared" si="20"/>
        <v>0</v>
      </c>
      <c r="K166" s="15">
        <f>IF(CurrentMtgRatesDataTable8[[#This Row],[WA CC]]&lt;&gt;0,C165-CurrentMtgRatesDataTable8[[#This Row],[WA CC]],0)</f>
        <v>0</v>
      </c>
      <c r="L166" s="16">
        <f>IF(CurrentMtgRatesDataTable8[[#This Row],[Servicing Spread]]&lt;=0,L165,CurrentMtgRatesDataTable8[[#This Row],[Servicing Spread]])</f>
        <v>1.1284005640703798</v>
      </c>
      <c r="M166" s="16">
        <f>CurrentMtgRatesDataTable8[[#This Row],[Servicing Spread Non-Zero]]-L165</f>
        <v>0</v>
      </c>
      <c r="N166" s="16">
        <f>IF(J165&lt;&gt;0,CurrentMtgRatesDataTable8[[#This Row],[Rate]]-C165,N165)</f>
        <v>3.5000000000000142E-2</v>
      </c>
    </row>
    <row r="167" spans="1:14">
      <c r="A167" s="8" t="s">
        <v>197</v>
      </c>
      <c r="B167" s="11">
        <v>2.0440489527996202</v>
      </c>
      <c r="C167" s="13">
        <v>3.27</v>
      </c>
      <c r="D167" s="14">
        <f t="shared" si="14"/>
        <v>6</v>
      </c>
      <c r="E167" s="14">
        <f t="shared" si="15"/>
        <v>0.2</v>
      </c>
      <c r="F167" s="14">
        <f t="shared" si="16"/>
        <v>3</v>
      </c>
      <c r="G167" s="14">
        <f t="shared" si="17"/>
        <v>1.2756424291362563</v>
      </c>
      <c r="H167" s="14">
        <f t="shared" si="18"/>
        <v>0.60000000000000009</v>
      </c>
      <c r="I167" s="14">
        <f t="shared" si="19"/>
        <v>0</v>
      </c>
      <c r="J167" s="14">
        <f t="shared" si="20"/>
        <v>0</v>
      </c>
      <c r="K167" s="15">
        <f>IF(CurrentMtgRatesDataTable8[[#This Row],[WA CC]]&lt;&gt;0,C166-CurrentMtgRatesDataTable8[[#This Row],[WA CC]],0)</f>
        <v>0</v>
      </c>
      <c r="L167" s="16">
        <f>IF(CurrentMtgRatesDataTable8[[#This Row],[Servicing Spread]]&lt;=0,L166,CurrentMtgRatesDataTable8[[#This Row],[Servicing Spread]])</f>
        <v>1.1284005640703798</v>
      </c>
      <c r="M167" s="16">
        <f>CurrentMtgRatesDataTable8[[#This Row],[Servicing Spread Non-Zero]]-L166</f>
        <v>0</v>
      </c>
      <c r="N167" s="16">
        <f>IF(J166&lt;&gt;0,CurrentMtgRatesDataTable8[[#This Row],[Rate]]-C166,N166)</f>
        <v>3.5000000000000142E-2</v>
      </c>
    </row>
    <row r="168" spans="1:14">
      <c r="A168" s="8" t="s">
        <v>52</v>
      </c>
      <c r="B168" s="11">
        <v>2.0509742576327699</v>
      </c>
      <c r="C168" s="13">
        <v>3.27</v>
      </c>
      <c r="D168" s="14">
        <f t="shared" si="14"/>
        <v>7</v>
      </c>
      <c r="E168" s="14">
        <f t="shared" si="15"/>
        <v>0.2</v>
      </c>
      <c r="F168" s="14">
        <f t="shared" si="16"/>
        <v>4</v>
      </c>
      <c r="G168" s="14">
        <f t="shared" si="17"/>
        <v>1.6858372806628101</v>
      </c>
      <c r="H168" s="14">
        <f t="shared" si="18"/>
        <v>0.8</v>
      </c>
      <c r="I168" s="14">
        <f t="shared" si="19"/>
        <v>1</v>
      </c>
      <c r="J168" s="14">
        <f t="shared" si="20"/>
        <v>2.1072966008285126</v>
      </c>
      <c r="K168" s="15">
        <f>IF(CurrentMtgRatesDataTable8[[#This Row],[WA CC]]&lt;&gt;0,C167-CurrentMtgRatesDataTable8[[#This Row],[WA CC]],0)</f>
        <v>1.1627033991714875</v>
      </c>
      <c r="L168" s="16">
        <f>IF(CurrentMtgRatesDataTable8[[#This Row],[Servicing Spread]]&lt;=0,L167,CurrentMtgRatesDataTable8[[#This Row],[Servicing Spread]])</f>
        <v>1.1627033991714875</v>
      </c>
      <c r="M168" s="16">
        <f>CurrentMtgRatesDataTable8[[#This Row],[Servicing Spread Non-Zero]]-L167</f>
        <v>3.4302835101107654E-2</v>
      </c>
      <c r="N168" s="16">
        <f>IF(J167&lt;&gt;0,CurrentMtgRatesDataTable8[[#This Row],[Rate]]-C167,N167)</f>
        <v>3.5000000000000142E-2</v>
      </c>
    </row>
    <row r="169" spans="1:14">
      <c r="A169" s="8" t="s">
        <v>618</v>
      </c>
      <c r="B169" s="11">
        <v>2.0724438614292899</v>
      </c>
      <c r="C169" s="13">
        <v>3.2649999999999997</v>
      </c>
      <c r="D169" s="14">
        <f t="shared" si="14"/>
        <v>1</v>
      </c>
      <c r="E169" s="14">
        <f t="shared" si="15"/>
        <v>0.2</v>
      </c>
      <c r="F169" s="14">
        <f t="shared" si="16"/>
        <v>1</v>
      </c>
      <c r="G169" s="14">
        <f t="shared" si="17"/>
        <v>0.41448877228585801</v>
      </c>
      <c r="H169" s="14">
        <f t="shared" si="18"/>
        <v>0.2</v>
      </c>
      <c r="I169" s="14">
        <f t="shared" si="19"/>
        <v>0</v>
      </c>
      <c r="J169" s="14">
        <f t="shared" si="20"/>
        <v>0</v>
      </c>
      <c r="K169" s="15">
        <f>IF(CurrentMtgRatesDataTable8[[#This Row],[WA CC]]&lt;&gt;0,C168-CurrentMtgRatesDataTable8[[#This Row],[WA CC]],0)</f>
        <v>0</v>
      </c>
      <c r="L169" s="16">
        <f>IF(CurrentMtgRatesDataTable8[[#This Row],[Servicing Spread]]&lt;=0,L168,CurrentMtgRatesDataTable8[[#This Row],[Servicing Spread]])</f>
        <v>1.1627033991714875</v>
      </c>
      <c r="M169" s="16">
        <f>CurrentMtgRatesDataTable8[[#This Row],[Servicing Spread Non-Zero]]-L168</f>
        <v>0</v>
      </c>
      <c r="N169" s="16">
        <f>IF(J168&lt;&gt;0,CurrentMtgRatesDataTable8[[#This Row],[Rate]]-C168,N168)</f>
        <v>-5.0000000000003375E-3</v>
      </c>
    </row>
    <row r="170" spans="1:14">
      <c r="A170" s="8" t="s">
        <v>475</v>
      </c>
      <c r="B170" s="11">
        <v>2.0725335490580301</v>
      </c>
      <c r="C170" s="13">
        <v>3.2649999999999997</v>
      </c>
      <c r="D170" s="14">
        <f t="shared" si="14"/>
        <v>2</v>
      </c>
      <c r="E170" s="14">
        <f t="shared" si="15"/>
        <v>0.2</v>
      </c>
      <c r="F170" s="14">
        <f t="shared" si="16"/>
        <v>2</v>
      </c>
      <c r="G170" s="14">
        <f t="shared" si="17"/>
        <v>0.8289954820974641</v>
      </c>
      <c r="H170" s="14">
        <f t="shared" si="18"/>
        <v>0.4</v>
      </c>
      <c r="I170" s="14">
        <f t="shared" si="19"/>
        <v>0</v>
      </c>
      <c r="J170" s="14">
        <f t="shared" si="20"/>
        <v>0</v>
      </c>
      <c r="K170" s="15">
        <f>IF(CurrentMtgRatesDataTable8[[#This Row],[WA CC]]&lt;&gt;0,C169-CurrentMtgRatesDataTable8[[#This Row],[WA CC]],0)</f>
        <v>0</v>
      </c>
      <c r="L170" s="16">
        <f>IF(CurrentMtgRatesDataTable8[[#This Row],[Servicing Spread]]&lt;=0,L169,CurrentMtgRatesDataTable8[[#This Row],[Servicing Spread]])</f>
        <v>1.1627033991714875</v>
      </c>
      <c r="M170" s="16">
        <f>CurrentMtgRatesDataTable8[[#This Row],[Servicing Spread Non-Zero]]-L169</f>
        <v>0</v>
      </c>
      <c r="N170" s="16">
        <f>IF(J169&lt;&gt;0,CurrentMtgRatesDataTable8[[#This Row],[Rate]]-C169,N169)</f>
        <v>-5.0000000000003375E-3</v>
      </c>
    </row>
    <row r="171" spans="1:14">
      <c r="A171" s="8" t="s">
        <v>338</v>
      </c>
      <c r="B171" s="11">
        <v>2.0862225711456399</v>
      </c>
      <c r="C171" s="13">
        <v>3.2649999999999997</v>
      </c>
      <c r="D171" s="14">
        <f t="shared" si="14"/>
        <v>5</v>
      </c>
      <c r="E171" s="14">
        <f t="shared" si="15"/>
        <v>0.2</v>
      </c>
      <c r="F171" s="14">
        <f t="shared" si="16"/>
        <v>3</v>
      </c>
      <c r="G171" s="14">
        <f t="shared" si="17"/>
        <v>1.246239996326592</v>
      </c>
      <c r="H171" s="14">
        <f t="shared" si="18"/>
        <v>0.60000000000000009</v>
      </c>
      <c r="I171" s="14">
        <f t="shared" si="19"/>
        <v>0</v>
      </c>
      <c r="J171" s="14">
        <f t="shared" si="20"/>
        <v>0</v>
      </c>
      <c r="K171" s="15">
        <f>IF(CurrentMtgRatesDataTable8[[#This Row],[WA CC]]&lt;&gt;0,C170-CurrentMtgRatesDataTable8[[#This Row],[WA CC]],0)</f>
        <v>0</v>
      </c>
      <c r="L171" s="16">
        <f>IF(CurrentMtgRatesDataTable8[[#This Row],[Servicing Spread]]&lt;=0,L170,CurrentMtgRatesDataTable8[[#This Row],[Servicing Spread]])</f>
        <v>1.1627033991714875</v>
      </c>
      <c r="M171" s="16">
        <f>CurrentMtgRatesDataTable8[[#This Row],[Servicing Spread Non-Zero]]-L170</f>
        <v>0</v>
      </c>
      <c r="N171" s="16">
        <f>IF(J170&lt;&gt;0,CurrentMtgRatesDataTable8[[#This Row],[Rate]]-C170,N170)</f>
        <v>-5.0000000000003375E-3</v>
      </c>
    </row>
    <row r="172" spans="1:14">
      <c r="A172" s="8" t="s">
        <v>198</v>
      </c>
      <c r="B172" s="11">
        <v>2.0678302367394399</v>
      </c>
      <c r="C172" s="13">
        <v>3.2649999999999997</v>
      </c>
      <c r="D172" s="14">
        <f t="shared" si="14"/>
        <v>6</v>
      </c>
      <c r="E172" s="14">
        <f t="shared" si="15"/>
        <v>0.2</v>
      </c>
      <c r="F172" s="14">
        <f t="shared" si="16"/>
        <v>4</v>
      </c>
      <c r="G172" s="14">
        <f t="shared" si="17"/>
        <v>1.6598060436744799</v>
      </c>
      <c r="H172" s="14">
        <f t="shared" si="18"/>
        <v>0.8</v>
      </c>
      <c r="I172" s="14">
        <f t="shared" si="19"/>
        <v>0</v>
      </c>
      <c r="J172" s="14">
        <f t="shared" si="20"/>
        <v>0</v>
      </c>
      <c r="K172" s="15">
        <f>IF(CurrentMtgRatesDataTable8[[#This Row],[WA CC]]&lt;&gt;0,C171-CurrentMtgRatesDataTable8[[#This Row],[WA CC]],0)</f>
        <v>0</v>
      </c>
      <c r="L172" s="16">
        <f>IF(CurrentMtgRatesDataTable8[[#This Row],[Servicing Spread]]&lt;=0,L171,CurrentMtgRatesDataTable8[[#This Row],[Servicing Spread]])</f>
        <v>1.1627033991714875</v>
      </c>
      <c r="M172" s="16">
        <f>CurrentMtgRatesDataTable8[[#This Row],[Servicing Spread Non-Zero]]-L171</f>
        <v>0</v>
      </c>
      <c r="N172" s="16">
        <f>IF(J171&lt;&gt;0,CurrentMtgRatesDataTable8[[#This Row],[Rate]]-C171,N171)</f>
        <v>-5.0000000000003375E-3</v>
      </c>
    </row>
    <row r="173" spans="1:14">
      <c r="A173" s="8" t="s">
        <v>53</v>
      </c>
      <c r="B173" s="11">
        <v>2.0799414922025399</v>
      </c>
      <c r="C173" s="13">
        <v>3.2649999999999997</v>
      </c>
      <c r="D173" s="14">
        <f t="shared" si="14"/>
        <v>7</v>
      </c>
      <c r="E173" s="14">
        <f t="shared" si="15"/>
        <v>0.2</v>
      </c>
      <c r="F173" s="14">
        <f t="shared" si="16"/>
        <v>5</v>
      </c>
      <c r="G173" s="14">
        <f t="shared" si="17"/>
        <v>2.075794342114988</v>
      </c>
      <c r="H173" s="14">
        <f t="shared" si="18"/>
        <v>1</v>
      </c>
      <c r="I173" s="14">
        <f t="shared" si="19"/>
        <v>1</v>
      </c>
      <c r="J173" s="14">
        <f t="shared" si="20"/>
        <v>2.075794342114988</v>
      </c>
      <c r="K173" s="15">
        <f>IF(CurrentMtgRatesDataTable8[[#This Row],[WA CC]]&lt;&gt;0,C172-CurrentMtgRatesDataTable8[[#This Row],[WA CC]],0)</f>
        <v>1.1892056578850116</v>
      </c>
      <c r="L173" s="16">
        <f>IF(CurrentMtgRatesDataTable8[[#This Row],[Servicing Spread]]&lt;=0,L172,CurrentMtgRatesDataTable8[[#This Row],[Servicing Spread]])</f>
        <v>1.1892056578850116</v>
      </c>
      <c r="M173" s="16">
        <f>CurrentMtgRatesDataTable8[[#This Row],[Servicing Spread Non-Zero]]-L172</f>
        <v>2.6502258713524185E-2</v>
      </c>
      <c r="N173" s="16">
        <f>IF(J172&lt;&gt;0,CurrentMtgRatesDataTable8[[#This Row],[Rate]]-C172,N172)</f>
        <v>-5.0000000000003375E-3</v>
      </c>
    </row>
    <row r="174" spans="1:14">
      <c r="A174" s="8" t="s">
        <v>619</v>
      </c>
      <c r="B174" s="11">
        <v>2.1082736282319798</v>
      </c>
      <c r="C174" s="13">
        <v>3.2449999999999997</v>
      </c>
      <c r="D174" s="14">
        <f t="shared" si="14"/>
        <v>1</v>
      </c>
      <c r="E174" s="14">
        <f t="shared" si="15"/>
        <v>0.2</v>
      </c>
      <c r="F174" s="14">
        <f t="shared" si="16"/>
        <v>1</v>
      </c>
      <c r="G174" s="14">
        <f t="shared" si="17"/>
        <v>0.421654725646396</v>
      </c>
      <c r="H174" s="14">
        <f t="shared" si="18"/>
        <v>0.2</v>
      </c>
      <c r="I174" s="14">
        <f t="shared" si="19"/>
        <v>0</v>
      </c>
      <c r="J174" s="14">
        <f t="shared" si="20"/>
        <v>0</v>
      </c>
      <c r="K174" s="15">
        <f>IF(CurrentMtgRatesDataTable8[[#This Row],[WA CC]]&lt;&gt;0,C173-CurrentMtgRatesDataTable8[[#This Row],[WA CC]],0)</f>
        <v>0</v>
      </c>
      <c r="L174" s="16">
        <f>IF(CurrentMtgRatesDataTable8[[#This Row],[Servicing Spread]]&lt;=0,L173,CurrentMtgRatesDataTable8[[#This Row],[Servicing Spread]])</f>
        <v>1.1892056578850116</v>
      </c>
      <c r="M174" s="16">
        <f>CurrentMtgRatesDataTable8[[#This Row],[Servicing Spread Non-Zero]]-L173</f>
        <v>0</v>
      </c>
      <c r="N174" s="16">
        <f>IF(J173&lt;&gt;0,CurrentMtgRatesDataTable8[[#This Row],[Rate]]-C173,N173)</f>
        <v>-2.0000000000000018E-2</v>
      </c>
    </row>
    <row r="175" spans="1:14">
      <c r="A175" s="8" t="s">
        <v>476</v>
      </c>
      <c r="B175" s="11">
        <v>2.1663327490122799</v>
      </c>
      <c r="C175" s="13">
        <v>3.2449999999999997</v>
      </c>
      <c r="D175" s="14">
        <f t="shared" si="14"/>
        <v>2</v>
      </c>
      <c r="E175" s="14">
        <f t="shared" si="15"/>
        <v>0.2</v>
      </c>
      <c r="F175" s="14">
        <f t="shared" si="16"/>
        <v>2</v>
      </c>
      <c r="G175" s="14">
        <f t="shared" si="17"/>
        <v>0.85492127544885199</v>
      </c>
      <c r="H175" s="14">
        <f t="shared" si="18"/>
        <v>0.4</v>
      </c>
      <c r="I175" s="14">
        <f t="shared" si="19"/>
        <v>0</v>
      </c>
      <c r="J175" s="14">
        <f t="shared" si="20"/>
        <v>0</v>
      </c>
      <c r="K175" s="15">
        <f>IF(CurrentMtgRatesDataTable8[[#This Row],[WA CC]]&lt;&gt;0,C174-CurrentMtgRatesDataTable8[[#This Row],[WA CC]],0)</f>
        <v>0</v>
      </c>
      <c r="L175" s="16">
        <f>IF(CurrentMtgRatesDataTable8[[#This Row],[Servicing Spread]]&lt;=0,L174,CurrentMtgRatesDataTable8[[#This Row],[Servicing Spread]])</f>
        <v>1.1892056578850116</v>
      </c>
      <c r="M175" s="16">
        <f>CurrentMtgRatesDataTable8[[#This Row],[Servicing Spread Non-Zero]]-L174</f>
        <v>0</v>
      </c>
      <c r="N175" s="16">
        <f>IF(J174&lt;&gt;0,CurrentMtgRatesDataTable8[[#This Row],[Rate]]-C174,N174)</f>
        <v>-2.0000000000000018E-2</v>
      </c>
    </row>
    <row r="176" spans="1:14">
      <c r="A176" s="8" t="s">
        <v>339</v>
      </c>
      <c r="B176" s="11">
        <v>2.1263199579473602</v>
      </c>
      <c r="C176" s="13">
        <v>3.2449999999999997</v>
      </c>
      <c r="D176" s="14">
        <f t="shared" si="14"/>
        <v>5</v>
      </c>
      <c r="E176" s="14">
        <f t="shared" si="15"/>
        <v>0.2</v>
      </c>
      <c r="F176" s="14">
        <f t="shared" si="16"/>
        <v>3</v>
      </c>
      <c r="G176" s="14">
        <f t="shared" si="17"/>
        <v>1.280185267038324</v>
      </c>
      <c r="H176" s="14">
        <f t="shared" si="18"/>
        <v>0.60000000000000009</v>
      </c>
      <c r="I176" s="14">
        <f t="shared" si="19"/>
        <v>0</v>
      </c>
      <c r="J176" s="14">
        <f t="shared" si="20"/>
        <v>0</v>
      </c>
      <c r="K176" s="15">
        <f>IF(CurrentMtgRatesDataTable8[[#This Row],[WA CC]]&lt;&gt;0,C175-CurrentMtgRatesDataTable8[[#This Row],[WA CC]],0)</f>
        <v>0</v>
      </c>
      <c r="L176" s="16">
        <f>IF(CurrentMtgRatesDataTable8[[#This Row],[Servicing Spread]]&lt;=0,L175,CurrentMtgRatesDataTable8[[#This Row],[Servicing Spread]])</f>
        <v>1.1892056578850116</v>
      </c>
      <c r="M176" s="16">
        <f>CurrentMtgRatesDataTable8[[#This Row],[Servicing Spread Non-Zero]]-L175</f>
        <v>0</v>
      </c>
      <c r="N176" s="16">
        <f>IF(J175&lt;&gt;0,CurrentMtgRatesDataTable8[[#This Row],[Rate]]-C175,N175)</f>
        <v>-2.0000000000000018E-2</v>
      </c>
    </row>
    <row r="177" spans="1:14">
      <c r="A177" s="8" t="s">
        <v>199</v>
      </c>
      <c r="B177" s="11">
        <v>2.1257047070821802</v>
      </c>
      <c r="C177" s="13">
        <v>3.2449999999999997</v>
      </c>
      <c r="D177" s="14">
        <f t="shared" si="14"/>
        <v>6</v>
      </c>
      <c r="E177" s="14">
        <f t="shared" si="15"/>
        <v>0.2</v>
      </c>
      <c r="F177" s="14">
        <f t="shared" si="16"/>
        <v>4</v>
      </c>
      <c r="G177" s="14">
        <f t="shared" si="17"/>
        <v>1.70532620845476</v>
      </c>
      <c r="H177" s="14">
        <f t="shared" si="18"/>
        <v>0.8</v>
      </c>
      <c r="I177" s="14">
        <f t="shared" si="19"/>
        <v>0</v>
      </c>
      <c r="J177" s="14">
        <f t="shared" si="20"/>
        <v>0</v>
      </c>
      <c r="K177" s="15">
        <f>IF(CurrentMtgRatesDataTable8[[#This Row],[WA CC]]&lt;&gt;0,C176-CurrentMtgRatesDataTable8[[#This Row],[WA CC]],0)</f>
        <v>0</v>
      </c>
      <c r="L177" s="16">
        <f>IF(CurrentMtgRatesDataTable8[[#This Row],[Servicing Spread]]&lt;=0,L176,CurrentMtgRatesDataTable8[[#This Row],[Servicing Spread]])</f>
        <v>1.1892056578850116</v>
      </c>
      <c r="M177" s="16">
        <f>CurrentMtgRatesDataTable8[[#This Row],[Servicing Spread Non-Zero]]-L176</f>
        <v>0</v>
      </c>
      <c r="N177" s="16">
        <f>IF(J176&lt;&gt;0,CurrentMtgRatesDataTable8[[#This Row],[Rate]]-C176,N176)</f>
        <v>-2.0000000000000018E-2</v>
      </c>
    </row>
    <row r="178" spans="1:14">
      <c r="A178" s="8" t="s">
        <v>54</v>
      </c>
      <c r="B178" s="11">
        <v>2.1698452448822598</v>
      </c>
      <c r="C178" s="13">
        <v>3.2449999999999997</v>
      </c>
      <c r="D178" s="14">
        <f t="shared" si="14"/>
        <v>7</v>
      </c>
      <c r="E178" s="14">
        <f t="shared" si="15"/>
        <v>0.2</v>
      </c>
      <c r="F178" s="14">
        <f t="shared" si="16"/>
        <v>5</v>
      </c>
      <c r="G178" s="14">
        <f t="shared" si="17"/>
        <v>2.1392952574312121</v>
      </c>
      <c r="H178" s="14">
        <f t="shared" si="18"/>
        <v>1</v>
      </c>
      <c r="I178" s="14">
        <f t="shared" si="19"/>
        <v>1</v>
      </c>
      <c r="J178" s="14">
        <f t="shared" si="20"/>
        <v>2.1392952574312121</v>
      </c>
      <c r="K178" s="15">
        <f>IF(CurrentMtgRatesDataTable8[[#This Row],[WA CC]]&lt;&gt;0,C177-CurrentMtgRatesDataTable8[[#This Row],[WA CC]],0)</f>
        <v>1.1057047425687876</v>
      </c>
      <c r="L178" s="16">
        <f>IF(CurrentMtgRatesDataTable8[[#This Row],[Servicing Spread]]&lt;=0,L177,CurrentMtgRatesDataTable8[[#This Row],[Servicing Spread]])</f>
        <v>1.1057047425687876</v>
      </c>
      <c r="M178" s="16">
        <f>CurrentMtgRatesDataTable8[[#This Row],[Servicing Spread Non-Zero]]-L177</f>
        <v>-8.3500915316224056E-2</v>
      </c>
      <c r="N178" s="16">
        <f>IF(J177&lt;&gt;0,CurrentMtgRatesDataTable8[[#This Row],[Rate]]-C177,N177)</f>
        <v>-2.0000000000000018E-2</v>
      </c>
    </row>
    <row r="179" spans="1:14">
      <c r="A179" s="8" t="s">
        <v>620</v>
      </c>
      <c r="B179" s="11">
        <v>2.17954329599754</v>
      </c>
      <c r="C179" s="13">
        <v>3.2949999999999999</v>
      </c>
      <c r="D179" s="14">
        <f t="shared" si="14"/>
        <v>1</v>
      </c>
      <c r="E179" s="14">
        <f t="shared" si="15"/>
        <v>0.2</v>
      </c>
      <c r="F179" s="14">
        <f t="shared" si="16"/>
        <v>1</v>
      </c>
      <c r="G179" s="14">
        <f t="shared" si="17"/>
        <v>0.43590865919950805</v>
      </c>
      <c r="H179" s="14">
        <f t="shared" si="18"/>
        <v>0.2</v>
      </c>
      <c r="I179" s="14">
        <f t="shared" si="19"/>
        <v>0</v>
      </c>
      <c r="J179" s="14">
        <f t="shared" si="20"/>
        <v>0</v>
      </c>
      <c r="K179" s="15">
        <f>IF(CurrentMtgRatesDataTable8[[#This Row],[WA CC]]&lt;&gt;0,C178-CurrentMtgRatesDataTable8[[#This Row],[WA CC]],0)</f>
        <v>0</v>
      </c>
      <c r="L179" s="16">
        <f>IF(CurrentMtgRatesDataTable8[[#This Row],[Servicing Spread]]&lt;=0,L178,CurrentMtgRatesDataTable8[[#This Row],[Servicing Spread]])</f>
        <v>1.1057047425687876</v>
      </c>
      <c r="M179" s="16">
        <f>CurrentMtgRatesDataTable8[[#This Row],[Servicing Spread Non-Zero]]-L178</f>
        <v>0</v>
      </c>
      <c r="N179" s="16">
        <f>IF(J178&lt;&gt;0,CurrentMtgRatesDataTable8[[#This Row],[Rate]]-C178,N178)</f>
        <v>5.0000000000000266E-2</v>
      </c>
    </row>
    <row r="180" spans="1:14">
      <c r="A180" s="8" t="s">
        <v>477</v>
      </c>
      <c r="B180" s="11">
        <v>2.1747058079367898</v>
      </c>
      <c r="C180" s="13">
        <v>3.2949999999999999</v>
      </c>
      <c r="D180" s="14">
        <f t="shared" si="14"/>
        <v>2</v>
      </c>
      <c r="E180" s="14">
        <f t="shared" si="15"/>
        <v>0.2</v>
      </c>
      <c r="F180" s="14">
        <f t="shared" si="16"/>
        <v>2</v>
      </c>
      <c r="G180" s="14">
        <f t="shared" si="17"/>
        <v>0.87084982078686601</v>
      </c>
      <c r="H180" s="14">
        <f t="shared" si="18"/>
        <v>0.4</v>
      </c>
      <c r="I180" s="14">
        <f t="shared" si="19"/>
        <v>0</v>
      </c>
      <c r="J180" s="14">
        <f t="shared" si="20"/>
        <v>0</v>
      </c>
      <c r="K180" s="15">
        <f>IF(CurrentMtgRatesDataTable8[[#This Row],[WA CC]]&lt;&gt;0,C179-CurrentMtgRatesDataTable8[[#This Row],[WA CC]],0)</f>
        <v>0</v>
      </c>
      <c r="L180" s="16">
        <f>IF(CurrentMtgRatesDataTable8[[#This Row],[Servicing Spread]]&lt;=0,L179,CurrentMtgRatesDataTable8[[#This Row],[Servicing Spread]])</f>
        <v>1.1057047425687876</v>
      </c>
      <c r="M180" s="16">
        <f>CurrentMtgRatesDataTable8[[#This Row],[Servicing Spread Non-Zero]]-L179</f>
        <v>0</v>
      </c>
      <c r="N180" s="16">
        <f>IF(J179&lt;&gt;0,CurrentMtgRatesDataTable8[[#This Row],[Rate]]-C179,N179)</f>
        <v>5.0000000000000266E-2</v>
      </c>
    </row>
    <row r="181" spans="1:14">
      <c r="A181" s="8" t="s">
        <v>340</v>
      </c>
      <c r="B181" s="11">
        <v>2.1860869431888501</v>
      </c>
      <c r="C181" s="13">
        <v>3.2949999999999999</v>
      </c>
      <c r="D181" s="14">
        <f t="shared" si="14"/>
        <v>5</v>
      </c>
      <c r="E181" s="14">
        <f t="shared" si="15"/>
        <v>0.2</v>
      </c>
      <c r="F181" s="14">
        <f t="shared" si="16"/>
        <v>3</v>
      </c>
      <c r="G181" s="14">
        <f t="shared" si="17"/>
        <v>1.3080672094246362</v>
      </c>
      <c r="H181" s="14">
        <f t="shared" si="18"/>
        <v>0.60000000000000009</v>
      </c>
      <c r="I181" s="14">
        <f t="shared" si="19"/>
        <v>0</v>
      </c>
      <c r="J181" s="14">
        <f t="shared" si="20"/>
        <v>0</v>
      </c>
      <c r="K181" s="15">
        <f>IF(CurrentMtgRatesDataTable8[[#This Row],[WA CC]]&lt;&gt;0,C180-CurrentMtgRatesDataTable8[[#This Row],[WA CC]],0)</f>
        <v>0</v>
      </c>
      <c r="L181" s="16">
        <f>IF(CurrentMtgRatesDataTable8[[#This Row],[Servicing Spread]]&lt;=0,L180,CurrentMtgRatesDataTable8[[#This Row],[Servicing Spread]])</f>
        <v>1.1057047425687876</v>
      </c>
      <c r="M181" s="16">
        <f>CurrentMtgRatesDataTable8[[#This Row],[Servicing Spread Non-Zero]]-L180</f>
        <v>0</v>
      </c>
      <c r="N181" s="16">
        <f>IF(J180&lt;&gt;0,CurrentMtgRatesDataTable8[[#This Row],[Rate]]-C180,N180)</f>
        <v>5.0000000000000266E-2</v>
      </c>
    </row>
    <row r="182" spans="1:14">
      <c r="A182" s="8" t="s">
        <v>200</v>
      </c>
      <c r="B182" s="11">
        <v>2.2549632116225702</v>
      </c>
      <c r="C182" s="13">
        <v>3.2949999999999999</v>
      </c>
      <c r="D182" s="14">
        <f t="shared" si="14"/>
        <v>6</v>
      </c>
      <c r="E182" s="14">
        <f t="shared" si="15"/>
        <v>0.2</v>
      </c>
      <c r="F182" s="14">
        <f t="shared" si="16"/>
        <v>4</v>
      </c>
      <c r="G182" s="14">
        <f t="shared" si="17"/>
        <v>1.7590598517491502</v>
      </c>
      <c r="H182" s="14">
        <f t="shared" si="18"/>
        <v>0.8</v>
      </c>
      <c r="I182" s="14">
        <f t="shared" si="19"/>
        <v>0</v>
      </c>
      <c r="J182" s="14">
        <f t="shared" si="20"/>
        <v>0</v>
      </c>
      <c r="K182" s="15">
        <f>IF(CurrentMtgRatesDataTable8[[#This Row],[WA CC]]&lt;&gt;0,C181-CurrentMtgRatesDataTable8[[#This Row],[WA CC]],0)</f>
        <v>0</v>
      </c>
      <c r="L182" s="16">
        <f>IF(CurrentMtgRatesDataTable8[[#This Row],[Servicing Spread]]&lt;=0,L181,CurrentMtgRatesDataTable8[[#This Row],[Servicing Spread]])</f>
        <v>1.1057047425687876</v>
      </c>
      <c r="M182" s="16">
        <f>CurrentMtgRatesDataTable8[[#This Row],[Servicing Spread Non-Zero]]-L181</f>
        <v>0</v>
      </c>
      <c r="N182" s="16">
        <f>IF(J181&lt;&gt;0,CurrentMtgRatesDataTable8[[#This Row],[Rate]]-C181,N181)</f>
        <v>5.0000000000000266E-2</v>
      </c>
    </row>
    <row r="183" spans="1:14">
      <c r="A183" s="8" t="s">
        <v>55</v>
      </c>
      <c r="B183" s="11">
        <v>2.20825796099597</v>
      </c>
      <c r="C183" s="13">
        <v>3.2949999999999999</v>
      </c>
      <c r="D183" s="14">
        <f t="shared" si="14"/>
        <v>7</v>
      </c>
      <c r="E183" s="14">
        <f t="shared" si="15"/>
        <v>0.2</v>
      </c>
      <c r="F183" s="14">
        <f t="shared" si="16"/>
        <v>5</v>
      </c>
      <c r="G183" s="14">
        <f t="shared" si="17"/>
        <v>2.2007114439483444</v>
      </c>
      <c r="H183" s="14">
        <f t="shared" si="18"/>
        <v>1</v>
      </c>
      <c r="I183" s="14">
        <f t="shared" si="19"/>
        <v>1</v>
      </c>
      <c r="J183" s="14">
        <f t="shared" si="20"/>
        <v>2.2007114439483444</v>
      </c>
      <c r="K183" s="15">
        <f>IF(CurrentMtgRatesDataTable8[[#This Row],[WA CC]]&lt;&gt;0,C182-CurrentMtgRatesDataTable8[[#This Row],[WA CC]],0)</f>
        <v>1.0942885560516555</v>
      </c>
      <c r="L183" s="16">
        <f>IF(CurrentMtgRatesDataTable8[[#This Row],[Servicing Spread]]&lt;=0,L182,CurrentMtgRatesDataTable8[[#This Row],[Servicing Spread]])</f>
        <v>1.0942885560516555</v>
      </c>
      <c r="M183" s="16">
        <f>CurrentMtgRatesDataTable8[[#This Row],[Servicing Spread Non-Zero]]-L182</f>
        <v>-1.1416186517132054E-2</v>
      </c>
      <c r="N183" s="16">
        <f>IF(J182&lt;&gt;0,CurrentMtgRatesDataTable8[[#This Row],[Rate]]-C182,N182)</f>
        <v>5.0000000000000266E-2</v>
      </c>
    </row>
    <row r="184" spans="1:14">
      <c r="A184" s="8" t="s">
        <v>621</v>
      </c>
      <c r="B184" s="11">
        <v>2.18927927513684</v>
      </c>
      <c r="C184" s="13">
        <v>3.2749999999999999</v>
      </c>
      <c r="D184" s="14">
        <f t="shared" si="14"/>
        <v>1</v>
      </c>
      <c r="E184" s="14">
        <f t="shared" si="15"/>
        <v>0.2</v>
      </c>
      <c r="F184" s="14">
        <f t="shared" si="16"/>
        <v>1</v>
      </c>
      <c r="G184" s="14">
        <f t="shared" si="17"/>
        <v>0.43785585502736801</v>
      </c>
      <c r="H184" s="14">
        <f t="shared" si="18"/>
        <v>0.2</v>
      </c>
      <c r="I184" s="14">
        <f t="shared" si="19"/>
        <v>0</v>
      </c>
      <c r="J184" s="14">
        <f t="shared" si="20"/>
        <v>0</v>
      </c>
      <c r="K184" s="15">
        <f>IF(CurrentMtgRatesDataTable8[[#This Row],[WA CC]]&lt;&gt;0,C183-CurrentMtgRatesDataTable8[[#This Row],[WA CC]],0)</f>
        <v>0</v>
      </c>
      <c r="L184" s="16">
        <f>IF(CurrentMtgRatesDataTable8[[#This Row],[Servicing Spread]]&lt;=0,L183,CurrentMtgRatesDataTable8[[#This Row],[Servicing Spread]])</f>
        <v>1.0942885560516555</v>
      </c>
      <c r="M184" s="16">
        <f>CurrentMtgRatesDataTable8[[#This Row],[Servicing Spread Non-Zero]]-L183</f>
        <v>0</v>
      </c>
      <c r="N184" s="16">
        <f>IF(J183&lt;&gt;0,CurrentMtgRatesDataTable8[[#This Row],[Rate]]-C183,N183)</f>
        <v>-2.0000000000000018E-2</v>
      </c>
    </row>
    <row r="185" spans="1:14">
      <c r="A185" s="8" t="s">
        <v>478</v>
      </c>
      <c r="B185" s="11">
        <v>2.14957407921754</v>
      </c>
      <c r="C185" s="13">
        <v>3.2749999999999999</v>
      </c>
      <c r="D185" s="14">
        <f t="shared" si="14"/>
        <v>2</v>
      </c>
      <c r="E185" s="14">
        <f t="shared" si="15"/>
        <v>0.2</v>
      </c>
      <c r="F185" s="14">
        <f t="shared" si="16"/>
        <v>2</v>
      </c>
      <c r="G185" s="14">
        <f t="shared" si="17"/>
        <v>0.867770670870876</v>
      </c>
      <c r="H185" s="14">
        <f t="shared" si="18"/>
        <v>0.4</v>
      </c>
      <c r="I185" s="14">
        <f t="shared" si="19"/>
        <v>0</v>
      </c>
      <c r="J185" s="14">
        <f t="shared" si="20"/>
        <v>0</v>
      </c>
      <c r="K185" s="15">
        <f>IF(CurrentMtgRatesDataTable8[[#This Row],[WA CC]]&lt;&gt;0,C184-CurrentMtgRatesDataTable8[[#This Row],[WA CC]],0)</f>
        <v>0</v>
      </c>
      <c r="L185" s="16">
        <f>IF(CurrentMtgRatesDataTable8[[#This Row],[Servicing Spread]]&lt;=0,L184,CurrentMtgRatesDataTable8[[#This Row],[Servicing Spread]])</f>
        <v>1.0942885560516555</v>
      </c>
      <c r="M185" s="16">
        <f>CurrentMtgRatesDataTable8[[#This Row],[Servicing Spread Non-Zero]]-L184</f>
        <v>0</v>
      </c>
      <c r="N185" s="16">
        <f>IF(J184&lt;&gt;0,CurrentMtgRatesDataTable8[[#This Row],[Rate]]-C184,N184)</f>
        <v>-2.0000000000000018E-2</v>
      </c>
    </row>
    <row r="186" spans="1:14">
      <c r="A186" s="8" t="s">
        <v>341</v>
      </c>
      <c r="B186" s="11">
        <v>2.1781660184228402</v>
      </c>
      <c r="C186" s="13">
        <v>3.2749999999999999</v>
      </c>
      <c r="D186" s="14">
        <f t="shared" si="14"/>
        <v>5</v>
      </c>
      <c r="E186" s="14">
        <f t="shared" si="15"/>
        <v>0.2</v>
      </c>
      <c r="F186" s="14">
        <f t="shared" si="16"/>
        <v>3</v>
      </c>
      <c r="G186" s="14">
        <f t="shared" si="17"/>
        <v>1.3034038745554439</v>
      </c>
      <c r="H186" s="14">
        <f t="shared" si="18"/>
        <v>0.60000000000000009</v>
      </c>
      <c r="I186" s="14">
        <f t="shared" si="19"/>
        <v>0</v>
      </c>
      <c r="J186" s="14">
        <f t="shared" si="20"/>
        <v>0</v>
      </c>
      <c r="K186" s="15">
        <f>IF(CurrentMtgRatesDataTable8[[#This Row],[WA CC]]&lt;&gt;0,C185-CurrentMtgRatesDataTable8[[#This Row],[WA CC]],0)</f>
        <v>0</v>
      </c>
      <c r="L186" s="16">
        <f>IF(CurrentMtgRatesDataTable8[[#This Row],[Servicing Spread]]&lt;=0,L185,CurrentMtgRatesDataTable8[[#This Row],[Servicing Spread]])</f>
        <v>1.0942885560516555</v>
      </c>
      <c r="M186" s="16">
        <f>CurrentMtgRatesDataTable8[[#This Row],[Servicing Spread Non-Zero]]-L185</f>
        <v>0</v>
      </c>
      <c r="N186" s="16">
        <f>IF(J185&lt;&gt;0,CurrentMtgRatesDataTable8[[#This Row],[Rate]]-C185,N185)</f>
        <v>-2.0000000000000018E-2</v>
      </c>
    </row>
    <row r="187" spans="1:14">
      <c r="A187" s="8" t="s">
        <v>56</v>
      </c>
      <c r="B187" s="11">
        <v>2.1575085514306598</v>
      </c>
      <c r="C187" s="13">
        <v>3.2749999999999999</v>
      </c>
      <c r="D187" s="14">
        <f t="shared" si="14"/>
        <v>7</v>
      </c>
      <c r="E187" s="14">
        <f t="shared" si="15"/>
        <v>0.2</v>
      </c>
      <c r="F187" s="14">
        <f t="shared" si="16"/>
        <v>4</v>
      </c>
      <c r="G187" s="14">
        <f t="shared" si="17"/>
        <v>1.734905584841576</v>
      </c>
      <c r="H187" s="14">
        <f t="shared" si="18"/>
        <v>0.8</v>
      </c>
      <c r="I187" s="14">
        <f t="shared" si="19"/>
        <v>1</v>
      </c>
      <c r="J187" s="14">
        <f t="shared" si="20"/>
        <v>2.1686319810519699</v>
      </c>
      <c r="K187" s="15">
        <f>IF(CurrentMtgRatesDataTable8[[#This Row],[WA CC]]&lt;&gt;0,C186-CurrentMtgRatesDataTable8[[#This Row],[WA CC]],0)</f>
        <v>1.1063680189480301</v>
      </c>
      <c r="L187" s="16">
        <f>IF(CurrentMtgRatesDataTable8[[#This Row],[Servicing Spread]]&lt;=0,L186,CurrentMtgRatesDataTable8[[#This Row],[Servicing Spread]])</f>
        <v>1.1063680189480301</v>
      </c>
      <c r="M187" s="16">
        <f>CurrentMtgRatesDataTable8[[#This Row],[Servicing Spread Non-Zero]]-L186</f>
        <v>1.2079462896374515E-2</v>
      </c>
      <c r="N187" s="16">
        <f>IF(J186&lt;&gt;0,CurrentMtgRatesDataTable8[[#This Row],[Rate]]-C186,N186)</f>
        <v>-2.0000000000000018E-2</v>
      </c>
    </row>
    <row r="188" spans="1:14">
      <c r="A188" s="8" t="s">
        <v>622</v>
      </c>
      <c r="B188" s="11">
        <v>2.12227766952706</v>
      </c>
      <c r="C188" s="13">
        <v>3.2649999999999997</v>
      </c>
      <c r="D188" s="14">
        <f t="shared" si="14"/>
        <v>1</v>
      </c>
      <c r="E188" s="14">
        <f t="shared" si="15"/>
        <v>0.2</v>
      </c>
      <c r="F188" s="14">
        <f t="shared" si="16"/>
        <v>1</v>
      </c>
      <c r="G188" s="14">
        <f t="shared" si="17"/>
        <v>0.42445553390541202</v>
      </c>
      <c r="H188" s="14">
        <f t="shared" si="18"/>
        <v>0.2</v>
      </c>
      <c r="I188" s="14">
        <f t="shared" si="19"/>
        <v>0</v>
      </c>
      <c r="J188" s="14">
        <f t="shared" si="20"/>
        <v>0</v>
      </c>
      <c r="K188" s="15">
        <f>IF(CurrentMtgRatesDataTable8[[#This Row],[WA CC]]&lt;&gt;0,C187-CurrentMtgRatesDataTable8[[#This Row],[WA CC]],0)</f>
        <v>0</v>
      </c>
      <c r="L188" s="16">
        <f>IF(CurrentMtgRatesDataTable8[[#This Row],[Servicing Spread]]&lt;=0,L187,CurrentMtgRatesDataTable8[[#This Row],[Servicing Spread]])</f>
        <v>1.1063680189480301</v>
      </c>
      <c r="M188" s="16">
        <f>CurrentMtgRatesDataTable8[[#This Row],[Servicing Spread Non-Zero]]-L187</f>
        <v>0</v>
      </c>
      <c r="N188" s="16">
        <f>IF(J187&lt;&gt;0,CurrentMtgRatesDataTable8[[#This Row],[Rate]]-C187,N187)</f>
        <v>-1.0000000000000231E-2</v>
      </c>
    </row>
    <row r="189" spans="1:14">
      <c r="A189" s="8" t="s">
        <v>479</v>
      </c>
      <c r="B189" s="11">
        <v>2.1401763219910399</v>
      </c>
      <c r="C189" s="13">
        <v>3.2649999999999997</v>
      </c>
      <c r="D189" s="14">
        <f t="shared" si="14"/>
        <v>2</v>
      </c>
      <c r="E189" s="14">
        <f t="shared" si="15"/>
        <v>0.2</v>
      </c>
      <c r="F189" s="14">
        <f t="shared" si="16"/>
        <v>2</v>
      </c>
      <c r="G189" s="14">
        <f t="shared" si="17"/>
        <v>0.85249079830362007</v>
      </c>
      <c r="H189" s="14">
        <f t="shared" si="18"/>
        <v>0.4</v>
      </c>
      <c r="I189" s="14">
        <f t="shared" si="19"/>
        <v>0</v>
      </c>
      <c r="J189" s="14">
        <f t="shared" si="20"/>
        <v>0</v>
      </c>
      <c r="K189" s="15">
        <f>IF(CurrentMtgRatesDataTable8[[#This Row],[WA CC]]&lt;&gt;0,C188-CurrentMtgRatesDataTable8[[#This Row],[WA CC]],0)</f>
        <v>0</v>
      </c>
      <c r="L189" s="16">
        <f>IF(CurrentMtgRatesDataTable8[[#This Row],[Servicing Spread]]&lt;=0,L188,CurrentMtgRatesDataTable8[[#This Row],[Servicing Spread]])</f>
        <v>1.1063680189480301</v>
      </c>
      <c r="M189" s="16">
        <f>CurrentMtgRatesDataTable8[[#This Row],[Servicing Spread Non-Zero]]-L188</f>
        <v>0</v>
      </c>
      <c r="N189" s="16">
        <f>IF(J188&lt;&gt;0,CurrentMtgRatesDataTable8[[#This Row],[Rate]]-C188,N188)</f>
        <v>-1.0000000000000231E-2</v>
      </c>
    </row>
    <row r="190" spans="1:14">
      <c r="A190" s="8" t="s">
        <v>342</v>
      </c>
      <c r="B190" s="11">
        <v>2.1517307112587098</v>
      </c>
      <c r="C190" s="13">
        <v>3.2649999999999997</v>
      </c>
      <c r="D190" s="14">
        <f t="shared" si="14"/>
        <v>5</v>
      </c>
      <c r="E190" s="14">
        <f t="shared" si="15"/>
        <v>0.2</v>
      </c>
      <c r="F190" s="14">
        <f t="shared" si="16"/>
        <v>3</v>
      </c>
      <c r="G190" s="14">
        <f t="shared" si="17"/>
        <v>1.2828369405553621</v>
      </c>
      <c r="H190" s="14">
        <f t="shared" si="18"/>
        <v>0.60000000000000009</v>
      </c>
      <c r="I190" s="14">
        <f t="shared" si="19"/>
        <v>0</v>
      </c>
      <c r="J190" s="14">
        <f t="shared" si="20"/>
        <v>0</v>
      </c>
      <c r="K190" s="15">
        <f>IF(CurrentMtgRatesDataTable8[[#This Row],[WA CC]]&lt;&gt;0,C189-CurrentMtgRatesDataTable8[[#This Row],[WA CC]],0)</f>
        <v>0</v>
      </c>
      <c r="L190" s="16">
        <f>IF(CurrentMtgRatesDataTable8[[#This Row],[Servicing Spread]]&lt;=0,L189,CurrentMtgRatesDataTable8[[#This Row],[Servicing Spread]])</f>
        <v>1.1063680189480301</v>
      </c>
      <c r="M190" s="16">
        <f>CurrentMtgRatesDataTable8[[#This Row],[Servicing Spread Non-Zero]]-L189</f>
        <v>0</v>
      </c>
      <c r="N190" s="16">
        <f>IF(J189&lt;&gt;0,CurrentMtgRatesDataTable8[[#This Row],[Rate]]-C189,N189)</f>
        <v>-1.0000000000000231E-2</v>
      </c>
    </row>
    <row r="191" spans="1:14">
      <c r="A191" s="8" t="s">
        <v>57</v>
      </c>
      <c r="B191" s="11">
        <v>2.2179772298988301</v>
      </c>
      <c r="C191" s="13">
        <v>3.2649999999999997</v>
      </c>
      <c r="D191" s="14">
        <f t="shared" si="14"/>
        <v>7</v>
      </c>
      <c r="E191" s="14">
        <f t="shared" si="15"/>
        <v>0.2</v>
      </c>
      <c r="F191" s="14">
        <f t="shared" si="16"/>
        <v>4</v>
      </c>
      <c r="G191" s="14">
        <f t="shared" si="17"/>
        <v>1.7264323865351281</v>
      </c>
      <c r="H191" s="14">
        <f t="shared" si="18"/>
        <v>0.8</v>
      </c>
      <c r="I191" s="14">
        <f t="shared" si="19"/>
        <v>1</v>
      </c>
      <c r="J191" s="14">
        <f t="shared" si="20"/>
        <v>2.15804048316891</v>
      </c>
      <c r="K191" s="15">
        <f>IF(CurrentMtgRatesDataTable8[[#This Row],[WA CC]]&lt;&gt;0,C190-CurrentMtgRatesDataTable8[[#This Row],[WA CC]],0)</f>
        <v>1.1069595168310897</v>
      </c>
      <c r="L191" s="16">
        <f>IF(CurrentMtgRatesDataTable8[[#This Row],[Servicing Spread]]&lt;=0,L190,CurrentMtgRatesDataTable8[[#This Row],[Servicing Spread]])</f>
        <v>1.1069595168310897</v>
      </c>
      <c r="M191" s="16">
        <f>CurrentMtgRatesDataTable8[[#This Row],[Servicing Spread Non-Zero]]-L190</f>
        <v>5.9149788305967732E-4</v>
      </c>
      <c r="N191" s="16">
        <f>IF(J190&lt;&gt;0,CurrentMtgRatesDataTable8[[#This Row],[Rate]]-C190,N190)</f>
        <v>-1.0000000000000231E-2</v>
      </c>
    </row>
    <row r="192" spans="1:14">
      <c r="A192" s="8" t="s">
        <v>623</v>
      </c>
      <c r="B192" s="11">
        <v>2.33893527316877</v>
      </c>
      <c r="C192" s="13">
        <v>3.3249999999999997</v>
      </c>
      <c r="D192" s="14">
        <f t="shared" si="14"/>
        <v>1</v>
      </c>
      <c r="E192" s="14">
        <f t="shared" si="15"/>
        <v>0.2</v>
      </c>
      <c r="F192" s="14">
        <f t="shared" si="16"/>
        <v>1</v>
      </c>
      <c r="G192" s="14">
        <f t="shared" si="17"/>
        <v>0.46778705463375403</v>
      </c>
      <c r="H192" s="14">
        <f t="shared" si="18"/>
        <v>0.2</v>
      </c>
      <c r="I192" s="14">
        <f t="shared" si="19"/>
        <v>0</v>
      </c>
      <c r="J192" s="14">
        <f t="shared" si="20"/>
        <v>0</v>
      </c>
      <c r="K192" s="15">
        <f>IF(CurrentMtgRatesDataTable8[[#This Row],[WA CC]]&lt;&gt;0,C191-CurrentMtgRatesDataTable8[[#This Row],[WA CC]],0)</f>
        <v>0</v>
      </c>
      <c r="L192" s="16">
        <f>IF(CurrentMtgRatesDataTable8[[#This Row],[Servicing Spread]]&lt;=0,L191,CurrentMtgRatesDataTable8[[#This Row],[Servicing Spread]])</f>
        <v>1.1069595168310897</v>
      </c>
      <c r="M192" s="16">
        <f>CurrentMtgRatesDataTable8[[#This Row],[Servicing Spread Non-Zero]]-L191</f>
        <v>0</v>
      </c>
      <c r="N192" s="16">
        <f>IF(J191&lt;&gt;0,CurrentMtgRatesDataTable8[[#This Row],[Rate]]-C191,N191)</f>
        <v>6.0000000000000053E-2</v>
      </c>
    </row>
    <row r="193" spans="1:14">
      <c r="A193" s="8" t="s">
        <v>480</v>
      </c>
      <c r="B193" s="11">
        <v>2.3583903097049501</v>
      </c>
      <c r="C193" s="13">
        <v>3.3249999999999997</v>
      </c>
      <c r="D193" s="14">
        <f t="shared" si="14"/>
        <v>2</v>
      </c>
      <c r="E193" s="14">
        <f t="shared" si="15"/>
        <v>0.2</v>
      </c>
      <c r="F193" s="14">
        <f t="shared" si="16"/>
        <v>2</v>
      </c>
      <c r="G193" s="14">
        <f t="shared" si="17"/>
        <v>0.93946511657474407</v>
      </c>
      <c r="H193" s="14">
        <f t="shared" si="18"/>
        <v>0.4</v>
      </c>
      <c r="I193" s="14">
        <f t="shared" si="19"/>
        <v>0</v>
      </c>
      <c r="J193" s="14">
        <f t="shared" si="20"/>
        <v>0</v>
      </c>
      <c r="K193" s="15">
        <f>IF(CurrentMtgRatesDataTable8[[#This Row],[WA CC]]&lt;&gt;0,C192-CurrentMtgRatesDataTable8[[#This Row],[WA CC]],0)</f>
        <v>0</v>
      </c>
      <c r="L193" s="16">
        <f>IF(CurrentMtgRatesDataTable8[[#This Row],[Servicing Spread]]&lt;=0,L192,CurrentMtgRatesDataTable8[[#This Row],[Servicing Spread]])</f>
        <v>1.1069595168310897</v>
      </c>
      <c r="M193" s="16">
        <f>CurrentMtgRatesDataTable8[[#This Row],[Servicing Spread Non-Zero]]-L192</f>
        <v>0</v>
      </c>
      <c r="N193" s="16">
        <f>IF(J192&lt;&gt;0,CurrentMtgRatesDataTable8[[#This Row],[Rate]]-C192,N192)</f>
        <v>6.0000000000000053E-2</v>
      </c>
    </row>
    <row r="194" spans="1:14">
      <c r="A194" s="8" t="s">
        <v>343</v>
      </c>
      <c r="B194" s="11">
        <v>2.3132421541265802</v>
      </c>
      <c r="C194" s="13">
        <v>3.3249999999999997</v>
      </c>
      <c r="D194" s="14">
        <f t="shared" si="14"/>
        <v>5</v>
      </c>
      <c r="E194" s="14">
        <f t="shared" si="15"/>
        <v>0.2</v>
      </c>
      <c r="F194" s="14">
        <f t="shared" si="16"/>
        <v>3</v>
      </c>
      <c r="G194" s="14">
        <f t="shared" si="17"/>
        <v>1.4021135474000601</v>
      </c>
      <c r="H194" s="14">
        <f t="shared" si="18"/>
        <v>0.60000000000000009</v>
      </c>
      <c r="I194" s="14">
        <f t="shared" si="19"/>
        <v>0</v>
      </c>
      <c r="J194" s="14">
        <f t="shared" si="20"/>
        <v>0</v>
      </c>
      <c r="K194" s="15">
        <f>IF(CurrentMtgRatesDataTable8[[#This Row],[WA CC]]&lt;&gt;0,C193-CurrentMtgRatesDataTable8[[#This Row],[WA CC]],0)</f>
        <v>0</v>
      </c>
      <c r="L194" s="16">
        <f>IF(CurrentMtgRatesDataTable8[[#This Row],[Servicing Spread]]&lt;=0,L193,CurrentMtgRatesDataTable8[[#This Row],[Servicing Spread]])</f>
        <v>1.1069595168310897</v>
      </c>
      <c r="M194" s="16">
        <f>CurrentMtgRatesDataTable8[[#This Row],[Servicing Spread Non-Zero]]-L193</f>
        <v>0</v>
      </c>
      <c r="N194" s="16">
        <f>IF(J193&lt;&gt;0,CurrentMtgRatesDataTable8[[#This Row],[Rate]]-C193,N193)</f>
        <v>6.0000000000000053E-2</v>
      </c>
    </row>
    <row r="195" spans="1:14">
      <c r="A195" s="8" t="s">
        <v>201</v>
      </c>
      <c r="B195" s="11">
        <v>2.2872202205924901</v>
      </c>
      <c r="C195" s="13">
        <v>3.3249999999999997</v>
      </c>
      <c r="D195" s="14">
        <f t="shared" si="14"/>
        <v>6</v>
      </c>
      <c r="E195" s="14">
        <f t="shared" si="15"/>
        <v>0.2</v>
      </c>
      <c r="F195" s="14">
        <f t="shared" si="16"/>
        <v>4</v>
      </c>
      <c r="G195" s="14">
        <f t="shared" si="17"/>
        <v>1.8595575915185583</v>
      </c>
      <c r="H195" s="14">
        <f t="shared" si="18"/>
        <v>0.8</v>
      </c>
      <c r="I195" s="14">
        <f t="shared" si="19"/>
        <v>0</v>
      </c>
      <c r="J195" s="14">
        <f t="shared" si="20"/>
        <v>0</v>
      </c>
      <c r="K195" s="15">
        <f>IF(CurrentMtgRatesDataTable8[[#This Row],[WA CC]]&lt;&gt;0,C194-CurrentMtgRatesDataTable8[[#This Row],[WA CC]],0)</f>
        <v>0</v>
      </c>
      <c r="L195" s="16">
        <f>IF(CurrentMtgRatesDataTable8[[#This Row],[Servicing Spread]]&lt;=0,L194,CurrentMtgRatesDataTable8[[#This Row],[Servicing Spread]])</f>
        <v>1.1069595168310897</v>
      </c>
      <c r="M195" s="16">
        <f>CurrentMtgRatesDataTable8[[#This Row],[Servicing Spread Non-Zero]]-L194</f>
        <v>0</v>
      </c>
      <c r="N195" s="16">
        <f>IF(J194&lt;&gt;0,CurrentMtgRatesDataTable8[[#This Row],[Rate]]-C194,N194)</f>
        <v>6.0000000000000053E-2</v>
      </c>
    </row>
    <row r="196" spans="1:14">
      <c r="A196" s="8" t="s">
        <v>58</v>
      </c>
      <c r="B196" s="11">
        <v>2.2542377381479901</v>
      </c>
      <c r="C196" s="13">
        <v>3.3249999999999997</v>
      </c>
      <c r="D196" s="14">
        <f t="shared" si="14"/>
        <v>7</v>
      </c>
      <c r="E196" s="14">
        <f t="shared" si="15"/>
        <v>0.2</v>
      </c>
      <c r="F196" s="14">
        <f t="shared" si="16"/>
        <v>5</v>
      </c>
      <c r="G196" s="14">
        <f t="shared" si="17"/>
        <v>2.3104051391481564</v>
      </c>
      <c r="H196" s="14">
        <f t="shared" si="18"/>
        <v>1</v>
      </c>
      <c r="I196" s="14">
        <f t="shared" si="19"/>
        <v>1</v>
      </c>
      <c r="J196" s="14">
        <f t="shared" si="20"/>
        <v>2.3104051391481564</v>
      </c>
      <c r="K196" s="15">
        <f>IF(CurrentMtgRatesDataTable8[[#This Row],[WA CC]]&lt;&gt;0,C195-CurrentMtgRatesDataTable8[[#This Row],[WA CC]],0)</f>
        <v>1.0145948608518434</v>
      </c>
      <c r="L196" s="16">
        <f>IF(CurrentMtgRatesDataTable8[[#This Row],[Servicing Spread]]&lt;=0,L195,CurrentMtgRatesDataTable8[[#This Row],[Servicing Spread]])</f>
        <v>1.0145948608518434</v>
      </c>
      <c r="M196" s="16">
        <f>CurrentMtgRatesDataTable8[[#This Row],[Servicing Spread Non-Zero]]-L195</f>
        <v>-9.2364655979246368E-2</v>
      </c>
      <c r="N196" s="16">
        <f>IF(J195&lt;&gt;0,CurrentMtgRatesDataTable8[[#This Row],[Rate]]-C195,N195)</f>
        <v>6.0000000000000053E-2</v>
      </c>
    </row>
    <row r="197" spans="1:14">
      <c r="A197" s="8" t="s">
        <v>624</v>
      </c>
      <c r="B197" s="11">
        <v>2.3058062237430601</v>
      </c>
      <c r="C197" s="13">
        <v>3.3049999999999997</v>
      </c>
      <c r="D197" s="14">
        <f t="shared" ref="D197:D260" si="21">WEEKDAY(A197,14)</f>
        <v>1</v>
      </c>
      <c r="E197" s="14">
        <f t="shared" ref="E197:E260" si="22">VLOOKUP(D197,Q$5:R$11,2,FALSE)</f>
        <v>0.2</v>
      </c>
      <c r="F197" s="14">
        <f t="shared" ref="F197:F260" si="23">IF(AND(D197&gt;D196,F196&lt;6),F196+1,1)</f>
        <v>1</v>
      </c>
      <c r="G197" s="14">
        <f t="shared" ref="G197:G260" si="24">IF(F197&gt;F196,G196+B197*E197,B197*E197)</f>
        <v>0.46116124474861203</v>
      </c>
      <c r="H197" s="14">
        <f t="shared" ref="H197:H260" si="25">IF(AND(F197&lt;6,F197&gt;F196),E197+H196,E197)</f>
        <v>0.2</v>
      </c>
      <c r="I197" s="14">
        <f t="shared" ref="I197:I260" si="26">IF(F197&gt;F198,1,0)</f>
        <v>0</v>
      </c>
      <c r="J197" s="14">
        <f t="shared" ref="J197:J260" si="27">IF(F197&gt;F198,G197/H197,0)</f>
        <v>0</v>
      </c>
      <c r="K197" s="15">
        <f>IF(CurrentMtgRatesDataTable8[[#This Row],[WA CC]]&lt;&gt;0,C196-CurrentMtgRatesDataTable8[[#This Row],[WA CC]],0)</f>
        <v>0</v>
      </c>
      <c r="L197" s="16">
        <f>IF(CurrentMtgRatesDataTable8[[#This Row],[Servicing Spread]]&lt;=0,L196,CurrentMtgRatesDataTable8[[#This Row],[Servicing Spread]])</f>
        <v>1.0145948608518434</v>
      </c>
      <c r="M197" s="16">
        <f>CurrentMtgRatesDataTable8[[#This Row],[Servicing Spread Non-Zero]]-L196</f>
        <v>0</v>
      </c>
      <c r="N197" s="16">
        <f>IF(J196&lt;&gt;0,CurrentMtgRatesDataTable8[[#This Row],[Rate]]-C196,N196)</f>
        <v>-2.0000000000000018E-2</v>
      </c>
    </row>
    <row r="198" spans="1:14">
      <c r="A198" s="8" t="s">
        <v>481</v>
      </c>
      <c r="B198" s="11">
        <v>2.2816853967186499</v>
      </c>
      <c r="C198" s="13">
        <v>3.3049999999999997</v>
      </c>
      <c r="D198" s="14">
        <f t="shared" si="21"/>
        <v>2</v>
      </c>
      <c r="E198" s="14">
        <f t="shared" si="22"/>
        <v>0.2</v>
      </c>
      <c r="F198" s="14">
        <f t="shared" si="23"/>
        <v>2</v>
      </c>
      <c r="G198" s="14">
        <f t="shared" si="24"/>
        <v>0.917498324092342</v>
      </c>
      <c r="H198" s="14">
        <f t="shared" si="25"/>
        <v>0.4</v>
      </c>
      <c r="I198" s="14">
        <f t="shared" si="26"/>
        <v>0</v>
      </c>
      <c r="J198" s="14">
        <f t="shared" si="27"/>
        <v>0</v>
      </c>
      <c r="K198" s="15">
        <f>IF(CurrentMtgRatesDataTable8[[#This Row],[WA CC]]&lt;&gt;0,C197-CurrentMtgRatesDataTable8[[#This Row],[WA CC]],0)</f>
        <v>0</v>
      </c>
      <c r="L198" s="16">
        <f>IF(CurrentMtgRatesDataTable8[[#This Row],[Servicing Spread]]&lt;=0,L197,CurrentMtgRatesDataTable8[[#This Row],[Servicing Spread]])</f>
        <v>1.0145948608518434</v>
      </c>
      <c r="M198" s="16">
        <f>CurrentMtgRatesDataTable8[[#This Row],[Servicing Spread Non-Zero]]-L197</f>
        <v>0</v>
      </c>
      <c r="N198" s="16">
        <f>IF(J197&lt;&gt;0,CurrentMtgRatesDataTable8[[#This Row],[Rate]]-C197,N197)</f>
        <v>-2.0000000000000018E-2</v>
      </c>
    </row>
    <row r="199" spans="1:14">
      <c r="A199" s="8" t="s">
        <v>344</v>
      </c>
      <c r="B199" s="11">
        <v>2.2784009909774001</v>
      </c>
      <c r="C199" s="13">
        <v>3.3049999999999997</v>
      </c>
      <c r="D199" s="14">
        <f t="shared" si="21"/>
        <v>5</v>
      </c>
      <c r="E199" s="14">
        <f t="shared" si="22"/>
        <v>0.2</v>
      </c>
      <c r="F199" s="14">
        <f t="shared" si="23"/>
        <v>3</v>
      </c>
      <c r="G199" s="14">
        <f t="shared" si="24"/>
        <v>1.3731785222878221</v>
      </c>
      <c r="H199" s="14">
        <f t="shared" si="25"/>
        <v>0.60000000000000009</v>
      </c>
      <c r="I199" s="14">
        <f t="shared" si="26"/>
        <v>0</v>
      </c>
      <c r="J199" s="14">
        <f t="shared" si="27"/>
        <v>0</v>
      </c>
      <c r="K199" s="15">
        <f>IF(CurrentMtgRatesDataTable8[[#This Row],[WA CC]]&lt;&gt;0,C198-CurrentMtgRatesDataTable8[[#This Row],[WA CC]],0)</f>
        <v>0</v>
      </c>
      <c r="L199" s="16">
        <f>IF(CurrentMtgRatesDataTable8[[#This Row],[Servicing Spread]]&lt;=0,L198,CurrentMtgRatesDataTable8[[#This Row],[Servicing Spread]])</f>
        <v>1.0145948608518434</v>
      </c>
      <c r="M199" s="16">
        <f>CurrentMtgRatesDataTable8[[#This Row],[Servicing Spread Non-Zero]]-L198</f>
        <v>0</v>
      </c>
      <c r="N199" s="16">
        <f>IF(J198&lt;&gt;0,CurrentMtgRatesDataTable8[[#This Row],[Rate]]-C198,N198)</f>
        <v>-2.0000000000000018E-2</v>
      </c>
    </row>
    <row r="200" spans="1:14">
      <c r="A200" s="8" t="s">
        <v>202</v>
      </c>
      <c r="B200" s="11">
        <v>2.2938425272831502</v>
      </c>
      <c r="C200" s="13">
        <v>3.3049999999999997</v>
      </c>
      <c r="D200" s="14">
        <f t="shared" si="21"/>
        <v>6</v>
      </c>
      <c r="E200" s="14">
        <f t="shared" si="22"/>
        <v>0.2</v>
      </c>
      <c r="F200" s="14">
        <f t="shared" si="23"/>
        <v>4</v>
      </c>
      <c r="G200" s="14">
        <f t="shared" si="24"/>
        <v>1.8319470277444521</v>
      </c>
      <c r="H200" s="14">
        <f t="shared" si="25"/>
        <v>0.8</v>
      </c>
      <c r="I200" s="14">
        <f t="shared" si="26"/>
        <v>0</v>
      </c>
      <c r="J200" s="14">
        <f t="shared" si="27"/>
        <v>0</v>
      </c>
      <c r="K200" s="15">
        <f>IF(CurrentMtgRatesDataTable8[[#This Row],[WA CC]]&lt;&gt;0,C199-CurrentMtgRatesDataTable8[[#This Row],[WA CC]],0)</f>
        <v>0</v>
      </c>
      <c r="L200" s="16">
        <f>IF(CurrentMtgRatesDataTable8[[#This Row],[Servicing Spread]]&lt;=0,L199,CurrentMtgRatesDataTable8[[#This Row],[Servicing Spread]])</f>
        <v>1.0145948608518434</v>
      </c>
      <c r="M200" s="16">
        <f>CurrentMtgRatesDataTable8[[#This Row],[Servicing Spread Non-Zero]]-L199</f>
        <v>0</v>
      </c>
      <c r="N200" s="16">
        <f>IF(J199&lt;&gt;0,CurrentMtgRatesDataTable8[[#This Row],[Rate]]-C199,N199)</f>
        <v>-2.0000000000000018E-2</v>
      </c>
    </row>
    <row r="201" spans="1:14">
      <c r="A201" s="8" t="s">
        <v>59</v>
      </c>
      <c r="B201" s="11">
        <v>2.2944098288443899</v>
      </c>
      <c r="C201" s="13">
        <v>3.3049999999999997</v>
      </c>
      <c r="D201" s="14">
        <f t="shared" si="21"/>
        <v>7</v>
      </c>
      <c r="E201" s="14">
        <f t="shared" si="22"/>
        <v>0.2</v>
      </c>
      <c r="F201" s="14">
        <f t="shared" si="23"/>
        <v>5</v>
      </c>
      <c r="G201" s="14">
        <f t="shared" si="24"/>
        <v>2.2908289935133301</v>
      </c>
      <c r="H201" s="14">
        <f t="shared" si="25"/>
        <v>1</v>
      </c>
      <c r="I201" s="14">
        <f t="shared" si="26"/>
        <v>1</v>
      </c>
      <c r="J201" s="14">
        <f t="shared" si="27"/>
        <v>2.2908289935133301</v>
      </c>
      <c r="K201" s="15">
        <f>IF(CurrentMtgRatesDataTable8[[#This Row],[WA CC]]&lt;&gt;0,C200-CurrentMtgRatesDataTable8[[#This Row],[WA CC]],0)</f>
        <v>1.0141710064866696</v>
      </c>
      <c r="L201" s="16">
        <f>IF(CurrentMtgRatesDataTable8[[#This Row],[Servicing Spread]]&lt;=0,L200,CurrentMtgRatesDataTable8[[#This Row],[Servicing Spread]])</f>
        <v>1.0141710064866696</v>
      </c>
      <c r="M201" s="16">
        <f>CurrentMtgRatesDataTable8[[#This Row],[Servicing Spread Non-Zero]]-L200</f>
        <v>-4.2385436517378139E-4</v>
      </c>
      <c r="N201" s="16">
        <f>IF(J200&lt;&gt;0,CurrentMtgRatesDataTable8[[#This Row],[Rate]]-C200,N200)</f>
        <v>-2.0000000000000018E-2</v>
      </c>
    </row>
    <row r="202" spans="1:14">
      <c r="A202" s="8" t="s">
        <v>625</v>
      </c>
      <c r="B202" s="11">
        <v>2.3689111618910199</v>
      </c>
      <c r="C202" s="13">
        <v>3.3449999999999998</v>
      </c>
      <c r="D202" s="14">
        <f t="shared" si="21"/>
        <v>1</v>
      </c>
      <c r="E202" s="14">
        <f t="shared" si="22"/>
        <v>0.2</v>
      </c>
      <c r="F202" s="14">
        <f t="shared" si="23"/>
        <v>1</v>
      </c>
      <c r="G202" s="14">
        <f t="shared" si="24"/>
        <v>0.47378223237820399</v>
      </c>
      <c r="H202" s="14">
        <f t="shared" si="25"/>
        <v>0.2</v>
      </c>
      <c r="I202" s="14">
        <f t="shared" si="26"/>
        <v>0</v>
      </c>
      <c r="J202" s="14">
        <f t="shared" si="27"/>
        <v>0</v>
      </c>
      <c r="K202" s="15">
        <f>IF(CurrentMtgRatesDataTable8[[#This Row],[WA CC]]&lt;&gt;0,C201-CurrentMtgRatesDataTable8[[#This Row],[WA CC]],0)</f>
        <v>0</v>
      </c>
      <c r="L202" s="16">
        <f>IF(CurrentMtgRatesDataTable8[[#This Row],[Servicing Spread]]&lt;=0,L201,CurrentMtgRatesDataTable8[[#This Row],[Servicing Spread]])</f>
        <v>1.0141710064866696</v>
      </c>
      <c r="M202" s="16">
        <f>CurrentMtgRatesDataTable8[[#This Row],[Servicing Spread Non-Zero]]-L201</f>
        <v>0</v>
      </c>
      <c r="N202" s="16">
        <f>IF(J201&lt;&gt;0,CurrentMtgRatesDataTable8[[#This Row],[Rate]]-C201,N201)</f>
        <v>4.0000000000000036E-2</v>
      </c>
    </row>
    <row r="203" spans="1:14">
      <c r="A203" s="8" t="s">
        <v>482</v>
      </c>
      <c r="B203" s="11">
        <v>2.3502791672529901</v>
      </c>
      <c r="C203" s="13">
        <v>3.3449999999999998</v>
      </c>
      <c r="D203" s="14">
        <f t="shared" si="21"/>
        <v>2</v>
      </c>
      <c r="E203" s="14">
        <f t="shared" si="22"/>
        <v>0.2</v>
      </c>
      <c r="F203" s="14">
        <f t="shared" si="23"/>
        <v>2</v>
      </c>
      <c r="G203" s="14">
        <f t="shared" si="24"/>
        <v>0.94383806582880203</v>
      </c>
      <c r="H203" s="14">
        <f t="shared" si="25"/>
        <v>0.4</v>
      </c>
      <c r="I203" s="14">
        <f t="shared" si="26"/>
        <v>0</v>
      </c>
      <c r="J203" s="14">
        <f t="shared" si="27"/>
        <v>0</v>
      </c>
      <c r="K203" s="15">
        <f>IF(CurrentMtgRatesDataTable8[[#This Row],[WA CC]]&lt;&gt;0,C202-CurrentMtgRatesDataTable8[[#This Row],[WA CC]],0)</f>
        <v>0</v>
      </c>
      <c r="L203" s="16">
        <f>IF(CurrentMtgRatesDataTable8[[#This Row],[Servicing Spread]]&lt;=0,L202,CurrentMtgRatesDataTable8[[#This Row],[Servicing Spread]])</f>
        <v>1.0141710064866696</v>
      </c>
      <c r="M203" s="16">
        <f>CurrentMtgRatesDataTable8[[#This Row],[Servicing Spread Non-Zero]]-L202</f>
        <v>0</v>
      </c>
      <c r="N203" s="16">
        <f>IF(J202&lt;&gt;0,CurrentMtgRatesDataTable8[[#This Row],[Rate]]-C202,N202)</f>
        <v>4.0000000000000036E-2</v>
      </c>
    </row>
    <row r="204" spans="1:14">
      <c r="A204" s="8" t="s">
        <v>203</v>
      </c>
      <c r="B204" s="11">
        <v>2.35220774246172</v>
      </c>
      <c r="C204" s="13">
        <v>3.3449999999999998</v>
      </c>
      <c r="D204" s="14">
        <f t="shared" si="21"/>
        <v>6</v>
      </c>
      <c r="E204" s="14">
        <f t="shared" si="22"/>
        <v>0.2</v>
      </c>
      <c r="F204" s="14">
        <f t="shared" si="23"/>
        <v>3</v>
      </c>
      <c r="G204" s="14">
        <f t="shared" si="24"/>
        <v>1.414279614321146</v>
      </c>
      <c r="H204" s="14">
        <f t="shared" si="25"/>
        <v>0.60000000000000009</v>
      </c>
      <c r="I204" s="14">
        <f t="shared" si="26"/>
        <v>0</v>
      </c>
      <c r="J204" s="14">
        <f t="shared" si="27"/>
        <v>0</v>
      </c>
      <c r="K204" s="15">
        <f>IF(CurrentMtgRatesDataTable8[[#This Row],[WA CC]]&lt;&gt;0,C203-CurrentMtgRatesDataTable8[[#This Row],[WA CC]],0)</f>
        <v>0</v>
      </c>
      <c r="L204" s="16">
        <f>IF(CurrentMtgRatesDataTable8[[#This Row],[Servicing Spread]]&lt;=0,L203,CurrentMtgRatesDataTable8[[#This Row],[Servicing Spread]])</f>
        <v>1.0141710064866696</v>
      </c>
      <c r="M204" s="16">
        <f>CurrentMtgRatesDataTable8[[#This Row],[Servicing Spread Non-Zero]]-L203</f>
        <v>0</v>
      </c>
      <c r="N204" s="16">
        <f>IF(J203&lt;&gt;0,CurrentMtgRatesDataTable8[[#This Row],[Rate]]-C203,N203)</f>
        <v>4.0000000000000036E-2</v>
      </c>
    </row>
    <row r="205" spans="1:14">
      <c r="A205" s="8" t="s">
        <v>60</v>
      </c>
      <c r="B205" s="11">
        <v>2.3433125325998301</v>
      </c>
      <c r="C205" s="13">
        <v>3.3449999999999998</v>
      </c>
      <c r="D205" s="14">
        <f t="shared" si="21"/>
        <v>7</v>
      </c>
      <c r="E205" s="14">
        <f t="shared" si="22"/>
        <v>0.2</v>
      </c>
      <c r="F205" s="14">
        <f t="shared" si="23"/>
        <v>4</v>
      </c>
      <c r="G205" s="14">
        <f t="shared" si="24"/>
        <v>1.8829421208411121</v>
      </c>
      <c r="H205" s="14">
        <f t="shared" si="25"/>
        <v>0.8</v>
      </c>
      <c r="I205" s="14">
        <f t="shared" si="26"/>
        <v>1</v>
      </c>
      <c r="J205" s="14">
        <f t="shared" si="27"/>
        <v>2.3536776510513899</v>
      </c>
      <c r="K205" s="15">
        <f>IF(CurrentMtgRatesDataTable8[[#This Row],[WA CC]]&lt;&gt;0,C204-CurrentMtgRatesDataTable8[[#This Row],[WA CC]],0)</f>
        <v>0.99132234894860982</v>
      </c>
      <c r="L205" s="16">
        <f>IF(CurrentMtgRatesDataTable8[[#This Row],[Servicing Spread]]&lt;=0,L204,CurrentMtgRatesDataTable8[[#This Row],[Servicing Spread]])</f>
        <v>0.99132234894860982</v>
      </c>
      <c r="M205" s="16">
        <f>CurrentMtgRatesDataTable8[[#This Row],[Servicing Spread Non-Zero]]-L204</f>
        <v>-2.2848657538059758E-2</v>
      </c>
      <c r="N205" s="16">
        <f>IF(J204&lt;&gt;0,CurrentMtgRatesDataTable8[[#This Row],[Rate]]-C204,N204)</f>
        <v>4.0000000000000036E-2</v>
      </c>
    </row>
    <row r="206" spans="1:14">
      <c r="A206" s="8" t="s">
        <v>626</v>
      </c>
      <c r="B206" s="11">
        <v>2.3674188938348699</v>
      </c>
      <c r="C206" s="13">
        <v>3.4549999999999996</v>
      </c>
      <c r="D206" s="14">
        <f t="shared" si="21"/>
        <v>1</v>
      </c>
      <c r="E206" s="14">
        <f t="shared" si="22"/>
        <v>0.2</v>
      </c>
      <c r="F206" s="14">
        <f t="shared" si="23"/>
        <v>1</v>
      </c>
      <c r="G206" s="14">
        <f t="shared" si="24"/>
        <v>0.47348377876697401</v>
      </c>
      <c r="H206" s="14">
        <f t="shared" si="25"/>
        <v>0.2</v>
      </c>
      <c r="I206" s="14">
        <f t="shared" si="26"/>
        <v>0</v>
      </c>
      <c r="J206" s="14">
        <f t="shared" si="27"/>
        <v>0</v>
      </c>
      <c r="K206" s="15">
        <f>IF(CurrentMtgRatesDataTable8[[#This Row],[WA CC]]&lt;&gt;0,C205-CurrentMtgRatesDataTable8[[#This Row],[WA CC]],0)</f>
        <v>0</v>
      </c>
      <c r="L206" s="16">
        <f>IF(CurrentMtgRatesDataTable8[[#This Row],[Servicing Spread]]&lt;=0,L205,CurrentMtgRatesDataTable8[[#This Row],[Servicing Spread]])</f>
        <v>0.99132234894860982</v>
      </c>
      <c r="M206" s="16">
        <f>CurrentMtgRatesDataTable8[[#This Row],[Servicing Spread Non-Zero]]-L205</f>
        <v>0</v>
      </c>
      <c r="N206" s="16">
        <f>IF(J205&lt;&gt;0,CurrentMtgRatesDataTable8[[#This Row],[Rate]]-C205,N205)</f>
        <v>0.10999999999999988</v>
      </c>
    </row>
    <row r="207" spans="1:14">
      <c r="A207" s="8" t="s">
        <v>483</v>
      </c>
      <c r="B207" s="11">
        <v>2.50531849536197</v>
      </c>
      <c r="C207" s="13">
        <v>3.4549999999999996</v>
      </c>
      <c r="D207" s="14">
        <f t="shared" si="21"/>
        <v>2</v>
      </c>
      <c r="E207" s="14">
        <f t="shared" si="22"/>
        <v>0.2</v>
      </c>
      <c r="F207" s="14">
        <f t="shared" si="23"/>
        <v>2</v>
      </c>
      <c r="G207" s="14">
        <f t="shared" si="24"/>
        <v>0.97454747783936801</v>
      </c>
      <c r="H207" s="14">
        <f t="shared" si="25"/>
        <v>0.4</v>
      </c>
      <c r="I207" s="14">
        <f t="shared" si="26"/>
        <v>0</v>
      </c>
      <c r="J207" s="14">
        <f t="shared" si="27"/>
        <v>0</v>
      </c>
      <c r="K207" s="15">
        <f>IF(CurrentMtgRatesDataTable8[[#This Row],[WA CC]]&lt;&gt;0,C206-CurrentMtgRatesDataTable8[[#This Row],[WA CC]],0)</f>
        <v>0</v>
      </c>
      <c r="L207" s="16">
        <f>IF(CurrentMtgRatesDataTable8[[#This Row],[Servicing Spread]]&lt;=0,L206,CurrentMtgRatesDataTable8[[#This Row],[Servicing Spread]])</f>
        <v>0.99132234894860982</v>
      </c>
      <c r="M207" s="16">
        <f>CurrentMtgRatesDataTable8[[#This Row],[Servicing Spread Non-Zero]]-L206</f>
        <v>0</v>
      </c>
      <c r="N207" s="16">
        <f>IF(J206&lt;&gt;0,CurrentMtgRatesDataTable8[[#This Row],[Rate]]-C206,N206)</f>
        <v>0.10999999999999988</v>
      </c>
    </row>
    <row r="208" spans="1:14">
      <c r="A208" s="8" t="s">
        <v>345</v>
      </c>
      <c r="B208" s="11">
        <v>2.5393282304868099</v>
      </c>
      <c r="C208" s="13">
        <v>3.4549999999999996</v>
      </c>
      <c r="D208" s="14">
        <f t="shared" si="21"/>
        <v>5</v>
      </c>
      <c r="E208" s="14">
        <f t="shared" si="22"/>
        <v>0.2</v>
      </c>
      <c r="F208" s="14">
        <f t="shared" si="23"/>
        <v>3</v>
      </c>
      <c r="G208" s="14">
        <f t="shared" si="24"/>
        <v>1.48241312393673</v>
      </c>
      <c r="H208" s="14">
        <f t="shared" si="25"/>
        <v>0.60000000000000009</v>
      </c>
      <c r="I208" s="14">
        <f t="shared" si="26"/>
        <v>0</v>
      </c>
      <c r="J208" s="14">
        <f t="shared" si="27"/>
        <v>0</v>
      </c>
      <c r="K208" s="15">
        <f>IF(CurrentMtgRatesDataTable8[[#This Row],[WA CC]]&lt;&gt;0,C207-CurrentMtgRatesDataTable8[[#This Row],[WA CC]],0)</f>
        <v>0</v>
      </c>
      <c r="L208" s="16">
        <f>IF(CurrentMtgRatesDataTable8[[#This Row],[Servicing Spread]]&lt;=0,L207,CurrentMtgRatesDataTable8[[#This Row],[Servicing Spread]])</f>
        <v>0.99132234894860982</v>
      </c>
      <c r="M208" s="16">
        <f>CurrentMtgRatesDataTable8[[#This Row],[Servicing Spread Non-Zero]]-L207</f>
        <v>0</v>
      </c>
      <c r="N208" s="16">
        <f>IF(J207&lt;&gt;0,CurrentMtgRatesDataTable8[[#This Row],[Rate]]-C207,N207)</f>
        <v>0.10999999999999988</v>
      </c>
    </row>
    <row r="209" spans="1:14">
      <c r="A209" s="8" t="s">
        <v>204</v>
      </c>
      <c r="B209" s="11">
        <v>2.5598092537420398</v>
      </c>
      <c r="C209" s="13">
        <v>3.4549999999999996</v>
      </c>
      <c r="D209" s="14">
        <f t="shared" si="21"/>
        <v>6</v>
      </c>
      <c r="E209" s="14">
        <f t="shared" si="22"/>
        <v>0.2</v>
      </c>
      <c r="F209" s="14">
        <f t="shared" si="23"/>
        <v>4</v>
      </c>
      <c r="G209" s="14">
        <f t="shared" si="24"/>
        <v>1.994374974685138</v>
      </c>
      <c r="H209" s="14">
        <f t="shared" si="25"/>
        <v>0.8</v>
      </c>
      <c r="I209" s="14">
        <f t="shared" si="26"/>
        <v>0</v>
      </c>
      <c r="J209" s="14">
        <f t="shared" si="27"/>
        <v>0</v>
      </c>
      <c r="K209" s="15">
        <f>IF(CurrentMtgRatesDataTable8[[#This Row],[WA CC]]&lt;&gt;0,C208-CurrentMtgRatesDataTable8[[#This Row],[WA CC]],0)</f>
        <v>0</v>
      </c>
      <c r="L209" s="16">
        <f>IF(CurrentMtgRatesDataTable8[[#This Row],[Servicing Spread]]&lt;=0,L208,CurrentMtgRatesDataTable8[[#This Row],[Servicing Spread]])</f>
        <v>0.99132234894860982</v>
      </c>
      <c r="M209" s="16">
        <f>CurrentMtgRatesDataTable8[[#This Row],[Servicing Spread Non-Zero]]-L208</f>
        <v>0</v>
      </c>
      <c r="N209" s="16">
        <f>IF(J208&lt;&gt;0,CurrentMtgRatesDataTable8[[#This Row],[Rate]]-C208,N208)</f>
        <v>0.10999999999999988</v>
      </c>
    </row>
    <row r="210" spans="1:14">
      <c r="A210" s="8" t="s">
        <v>61</v>
      </c>
      <c r="B210" s="11">
        <v>2.5772925233697599</v>
      </c>
      <c r="C210" s="13">
        <v>3.4549999999999996</v>
      </c>
      <c r="D210" s="14">
        <f t="shared" si="21"/>
        <v>7</v>
      </c>
      <c r="E210" s="14">
        <f t="shared" si="22"/>
        <v>0.2</v>
      </c>
      <c r="F210" s="14">
        <f t="shared" si="23"/>
        <v>5</v>
      </c>
      <c r="G210" s="14">
        <f t="shared" si="24"/>
        <v>2.5098334793590902</v>
      </c>
      <c r="H210" s="14">
        <f t="shared" si="25"/>
        <v>1</v>
      </c>
      <c r="I210" s="14">
        <f t="shared" si="26"/>
        <v>1</v>
      </c>
      <c r="J210" s="14">
        <f t="shared" si="27"/>
        <v>2.5098334793590902</v>
      </c>
      <c r="K210" s="15">
        <f>IF(CurrentMtgRatesDataTable8[[#This Row],[WA CC]]&lt;&gt;0,C209-CurrentMtgRatesDataTable8[[#This Row],[WA CC]],0)</f>
        <v>0.94516652064090945</v>
      </c>
      <c r="L210" s="16">
        <f>IF(CurrentMtgRatesDataTable8[[#This Row],[Servicing Spread]]&lt;=0,L209,CurrentMtgRatesDataTable8[[#This Row],[Servicing Spread]])</f>
        <v>0.94516652064090945</v>
      </c>
      <c r="M210" s="16">
        <f>CurrentMtgRatesDataTable8[[#This Row],[Servicing Spread Non-Zero]]-L209</f>
        <v>-4.6155828307700375E-2</v>
      </c>
      <c r="N210" s="16">
        <f>IF(J209&lt;&gt;0,CurrentMtgRatesDataTable8[[#This Row],[Rate]]-C209,N209)</f>
        <v>0.10999999999999988</v>
      </c>
    </row>
    <row r="211" spans="1:14">
      <c r="A211" s="8" t="s">
        <v>627</v>
      </c>
      <c r="B211" s="11">
        <v>2.57376759097352</v>
      </c>
      <c r="C211" s="13">
        <v>3.48</v>
      </c>
      <c r="D211" s="14">
        <f t="shared" si="21"/>
        <v>1</v>
      </c>
      <c r="E211" s="14">
        <f t="shared" si="22"/>
        <v>0.2</v>
      </c>
      <c r="F211" s="14">
        <f t="shared" si="23"/>
        <v>1</v>
      </c>
      <c r="G211" s="14">
        <f t="shared" si="24"/>
        <v>0.51475351819470405</v>
      </c>
      <c r="H211" s="14">
        <f t="shared" si="25"/>
        <v>0.2</v>
      </c>
      <c r="I211" s="14">
        <f t="shared" si="26"/>
        <v>0</v>
      </c>
      <c r="J211" s="14">
        <f t="shared" si="27"/>
        <v>0</v>
      </c>
      <c r="K211" s="15">
        <f>IF(CurrentMtgRatesDataTable8[[#This Row],[WA CC]]&lt;&gt;0,C210-CurrentMtgRatesDataTable8[[#This Row],[WA CC]],0)</f>
        <v>0</v>
      </c>
      <c r="L211" s="16">
        <f>IF(CurrentMtgRatesDataTable8[[#This Row],[Servicing Spread]]&lt;=0,L210,CurrentMtgRatesDataTable8[[#This Row],[Servicing Spread]])</f>
        <v>0.94516652064090945</v>
      </c>
      <c r="M211" s="16">
        <f>CurrentMtgRatesDataTable8[[#This Row],[Servicing Spread Non-Zero]]-L210</f>
        <v>0</v>
      </c>
      <c r="N211" s="16">
        <f>IF(J210&lt;&gt;0,CurrentMtgRatesDataTable8[[#This Row],[Rate]]-C210,N210)</f>
        <v>2.5000000000000355E-2</v>
      </c>
    </row>
    <row r="212" spans="1:14">
      <c r="A212" s="8" t="s">
        <v>484</v>
      </c>
      <c r="B212" s="11">
        <v>2.5914055356862402</v>
      </c>
      <c r="C212" s="13">
        <v>3.48</v>
      </c>
      <c r="D212" s="14">
        <f t="shared" si="21"/>
        <v>2</v>
      </c>
      <c r="E212" s="14">
        <f t="shared" si="22"/>
        <v>0.2</v>
      </c>
      <c r="F212" s="14">
        <f t="shared" si="23"/>
        <v>2</v>
      </c>
      <c r="G212" s="14">
        <f t="shared" si="24"/>
        <v>1.0330346253319522</v>
      </c>
      <c r="H212" s="14">
        <f t="shared" si="25"/>
        <v>0.4</v>
      </c>
      <c r="I212" s="14">
        <f t="shared" si="26"/>
        <v>0</v>
      </c>
      <c r="J212" s="14">
        <f t="shared" si="27"/>
        <v>0</v>
      </c>
      <c r="K212" s="15">
        <f>IF(CurrentMtgRatesDataTable8[[#This Row],[WA CC]]&lt;&gt;0,C211-CurrentMtgRatesDataTable8[[#This Row],[WA CC]],0)</f>
        <v>0</v>
      </c>
      <c r="L212" s="16">
        <f>IF(CurrentMtgRatesDataTable8[[#This Row],[Servicing Spread]]&lt;=0,L211,CurrentMtgRatesDataTable8[[#This Row],[Servicing Spread]])</f>
        <v>0.94516652064090945</v>
      </c>
      <c r="M212" s="16">
        <f>CurrentMtgRatesDataTable8[[#This Row],[Servicing Spread Non-Zero]]-L211</f>
        <v>0</v>
      </c>
      <c r="N212" s="16">
        <f>IF(J211&lt;&gt;0,CurrentMtgRatesDataTable8[[#This Row],[Rate]]-C211,N211)</f>
        <v>2.5000000000000355E-2</v>
      </c>
    </row>
    <row r="213" spans="1:14">
      <c r="A213" s="8" t="s">
        <v>346</v>
      </c>
      <c r="B213" s="11">
        <v>2.5556270132589098</v>
      </c>
      <c r="C213" s="13">
        <v>3.48</v>
      </c>
      <c r="D213" s="14">
        <f t="shared" si="21"/>
        <v>5</v>
      </c>
      <c r="E213" s="14">
        <f t="shared" si="22"/>
        <v>0.2</v>
      </c>
      <c r="F213" s="14">
        <f t="shared" si="23"/>
        <v>3</v>
      </c>
      <c r="G213" s="14">
        <f t="shared" si="24"/>
        <v>1.5441600279837342</v>
      </c>
      <c r="H213" s="14">
        <f t="shared" si="25"/>
        <v>0.60000000000000009</v>
      </c>
      <c r="I213" s="14">
        <f t="shared" si="26"/>
        <v>0</v>
      </c>
      <c r="J213" s="14">
        <f t="shared" si="27"/>
        <v>0</v>
      </c>
      <c r="K213" s="15">
        <f>IF(CurrentMtgRatesDataTable8[[#This Row],[WA CC]]&lt;&gt;0,C212-CurrentMtgRatesDataTable8[[#This Row],[WA CC]],0)</f>
        <v>0</v>
      </c>
      <c r="L213" s="16">
        <f>IF(CurrentMtgRatesDataTable8[[#This Row],[Servicing Spread]]&lt;=0,L212,CurrentMtgRatesDataTable8[[#This Row],[Servicing Spread]])</f>
        <v>0.94516652064090945</v>
      </c>
      <c r="M213" s="16">
        <f>CurrentMtgRatesDataTable8[[#This Row],[Servicing Spread Non-Zero]]-L212</f>
        <v>0</v>
      </c>
      <c r="N213" s="16">
        <f>IF(J212&lt;&gt;0,CurrentMtgRatesDataTable8[[#This Row],[Rate]]-C212,N212)</f>
        <v>2.5000000000000355E-2</v>
      </c>
    </row>
    <row r="214" spans="1:14">
      <c r="A214" s="8" t="s">
        <v>205</v>
      </c>
      <c r="B214" s="11">
        <v>2.6005196496782901</v>
      </c>
      <c r="C214" s="13">
        <v>3.48</v>
      </c>
      <c r="D214" s="14">
        <f t="shared" si="21"/>
        <v>6</v>
      </c>
      <c r="E214" s="14">
        <f t="shared" si="22"/>
        <v>0.2</v>
      </c>
      <c r="F214" s="14">
        <f t="shared" si="23"/>
        <v>4</v>
      </c>
      <c r="G214" s="14">
        <f t="shared" si="24"/>
        <v>2.0642639579193922</v>
      </c>
      <c r="H214" s="14">
        <f t="shared" si="25"/>
        <v>0.8</v>
      </c>
      <c r="I214" s="14">
        <f t="shared" si="26"/>
        <v>0</v>
      </c>
      <c r="J214" s="14">
        <f t="shared" si="27"/>
        <v>0</v>
      </c>
      <c r="K214" s="15">
        <f>IF(CurrentMtgRatesDataTable8[[#This Row],[WA CC]]&lt;&gt;0,C213-CurrentMtgRatesDataTable8[[#This Row],[WA CC]],0)</f>
        <v>0</v>
      </c>
      <c r="L214" s="16">
        <f>IF(CurrentMtgRatesDataTable8[[#This Row],[Servicing Spread]]&lt;=0,L213,CurrentMtgRatesDataTable8[[#This Row],[Servicing Spread]])</f>
        <v>0.94516652064090945</v>
      </c>
      <c r="M214" s="16">
        <f>CurrentMtgRatesDataTable8[[#This Row],[Servicing Spread Non-Zero]]-L213</f>
        <v>0</v>
      </c>
      <c r="N214" s="16">
        <f>IF(J213&lt;&gt;0,CurrentMtgRatesDataTable8[[#This Row],[Rate]]-C213,N213)</f>
        <v>2.5000000000000355E-2</v>
      </c>
    </row>
    <row r="215" spans="1:14">
      <c r="A215" s="8" t="s">
        <v>62</v>
      </c>
      <c r="B215" s="11">
        <v>2.55943207517402</v>
      </c>
      <c r="C215" s="13">
        <v>3.48</v>
      </c>
      <c r="D215" s="14">
        <f t="shared" si="21"/>
        <v>7</v>
      </c>
      <c r="E215" s="14">
        <f t="shared" si="22"/>
        <v>0.2</v>
      </c>
      <c r="F215" s="14">
        <f t="shared" si="23"/>
        <v>5</v>
      </c>
      <c r="G215" s="14">
        <f t="shared" si="24"/>
        <v>2.5761503729541961</v>
      </c>
      <c r="H215" s="14">
        <f t="shared" si="25"/>
        <v>1</v>
      </c>
      <c r="I215" s="14">
        <f t="shared" si="26"/>
        <v>1</v>
      </c>
      <c r="J215" s="14">
        <f t="shared" si="27"/>
        <v>2.5761503729541961</v>
      </c>
      <c r="K215" s="15">
        <f>IF(CurrentMtgRatesDataTable8[[#This Row],[WA CC]]&lt;&gt;0,C214-CurrentMtgRatesDataTable8[[#This Row],[WA CC]],0)</f>
        <v>0.90384962704580385</v>
      </c>
      <c r="L215" s="16">
        <f>IF(CurrentMtgRatesDataTable8[[#This Row],[Servicing Spread]]&lt;=0,L214,CurrentMtgRatesDataTable8[[#This Row],[Servicing Spread]])</f>
        <v>0.90384962704580385</v>
      </c>
      <c r="M215" s="16">
        <f>CurrentMtgRatesDataTable8[[#This Row],[Servicing Spread Non-Zero]]-L214</f>
        <v>-4.1316893595105597E-2</v>
      </c>
      <c r="N215" s="16">
        <f>IF(J214&lt;&gt;0,CurrentMtgRatesDataTable8[[#This Row],[Rate]]-C214,N214)</f>
        <v>2.5000000000000355E-2</v>
      </c>
    </row>
    <row r="216" spans="1:14">
      <c r="A216" s="8" t="s">
        <v>628</v>
      </c>
      <c r="B216" s="11">
        <v>2.5513624904448799</v>
      </c>
      <c r="C216" s="13">
        <v>3.48</v>
      </c>
      <c r="D216" s="14">
        <f t="shared" si="21"/>
        <v>1</v>
      </c>
      <c r="E216" s="14">
        <f t="shared" si="22"/>
        <v>0.2</v>
      </c>
      <c r="F216" s="14">
        <f t="shared" si="23"/>
        <v>1</v>
      </c>
      <c r="G216" s="14">
        <f t="shared" si="24"/>
        <v>0.51027249808897601</v>
      </c>
      <c r="H216" s="14">
        <f t="shared" si="25"/>
        <v>0.2</v>
      </c>
      <c r="I216" s="14">
        <f t="shared" si="26"/>
        <v>0</v>
      </c>
      <c r="J216" s="14">
        <f t="shared" si="27"/>
        <v>0</v>
      </c>
      <c r="K216" s="15">
        <f>IF(CurrentMtgRatesDataTable8[[#This Row],[WA CC]]&lt;&gt;0,C215-CurrentMtgRatesDataTable8[[#This Row],[WA CC]],0)</f>
        <v>0</v>
      </c>
      <c r="L216" s="16">
        <f>IF(CurrentMtgRatesDataTable8[[#This Row],[Servicing Spread]]&lt;=0,L215,CurrentMtgRatesDataTable8[[#This Row],[Servicing Spread]])</f>
        <v>0.90384962704580385</v>
      </c>
      <c r="M216" s="16">
        <f>CurrentMtgRatesDataTable8[[#This Row],[Servicing Spread Non-Zero]]-L215</f>
        <v>0</v>
      </c>
      <c r="N216" s="16">
        <f>IF(J215&lt;&gt;0,CurrentMtgRatesDataTable8[[#This Row],[Rate]]-C215,N215)</f>
        <v>0</v>
      </c>
    </row>
    <row r="217" spans="1:14">
      <c r="A217" s="8" t="s">
        <v>485</v>
      </c>
      <c r="B217" s="11">
        <v>2.5731755488249699</v>
      </c>
      <c r="C217" s="13">
        <v>3.48</v>
      </c>
      <c r="D217" s="14">
        <f t="shared" si="21"/>
        <v>2</v>
      </c>
      <c r="E217" s="14">
        <f t="shared" si="22"/>
        <v>0.2</v>
      </c>
      <c r="F217" s="14">
        <f t="shared" si="23"/>
        <v>2</v>
      </c>
      <c r="G217" s="14">
        <f t="shared" si="24"/>
        <v>1.0249076078539701</v>
      </c>
      <c r="H217" s="14">
        <f t="shared" si="25"/>
        <v>0.4</v>
      </c>
      <c r="I217" s="14">
        <f t="shared" si="26"/>
        <v>0</v>
      </c>
      <c r="J217" s="14">
        <f t="shared" si="27"/>
        <v>0</v>
      </c>
      <c r="K217" s="15">
        <f>IF(CurrentMtgRatesDataTable8[[#This Row],[WA CC]]&lt;&gt;0,C216-CurrentMtgRatesDataTable8[[#This Row],[WA CC]],0)</f>
        <v>0</v>
      </c>
      <c r="L217" s="16">
        <f>IF(CurrentMtgRatesDataTable8[[#This Row],[Servicing Spread]]&lt;=0,L216,CurrentMtgRatesDataTable8[[#This Row],[Servicing Spread]])</f>
        <v>0.90384962704580385</v>
      </c>
      <c r="M217" s="16">
        <f>CurrentMtgRatesDataTable8[[#This Row],[Servicing Spread Non-Zero]]-L216</f>
        <v>0</v>
      </c>
      <c r="N217" s="16">
        <f>IF(J216&lt;&gt;0,CurrentMtgRatesDataTable8[[#This Row],[Rate]]-C216,N216)</f>
        <v>0</v>
      </c>
    </row>
    <row r="218" spans="1:14">
      <c r="A218" s="8" t="s">
        <v>347</v>
      </c>
      <c r="B218" s="11">
        <v>2.56530846465939</v>
      </c>
      <c r="C218" s="13">
        <v>3.48</v>
      </c>
      <c r="D218" s="14">
        <f t="shared" si="21"/>
        <v>5</v>
      </c>
      <c r="E218" s="14">
        <f t="shared" si="22"/>
        <v>0.2</v>
      </c>
      <c r="F218" s="14">
        <f t="shared" si="23"/>
        <v>3</v>
      </c>
      <c r="G218" s="14">
        <f t="shared" si="24"/>
        <v>1.5379693007858481</v>
      </c>
      <c r="H218" s="14">
        <f t="shared" si="25"/>
        <v>0.60000000000000009</v>
      </c>
      <c r="I218" s="14">
        <f t="shared" si="26"/>
        <v>0</v>
      </c>
      <c r="J218" s="14">
        <f t="shared" si="27"/>
        <v>0</v>
      </c>
      <c r="K218" s="15">
        <f>IF(CurrentMtgRatesDataTable8[[#This Row],[WA CC]]&lt;&gt;0,C217-CurrentMtgRatesDataTable8[[#This Row],[WA CC]],0)</f>
        <v>0</v>
      </c>
      <c r="L218" s="16">
        <f>IF(CurrentMtgRatesDataTable8[[#This Row],[Servicing Spread]]&lt;=0,L217,CurrentMtgRatesDataTable8[[#This Row],[Servicing Spread]])</f>
        <v>0.90384962704580385</v>
      </c>
      <c r="M218" s="16">
        <f>CurrentMtgRatesDataTable8[[#This Row],[Servicing Spread Non-Zero]]-L217</f>
        <v>0</v>
      </c>
      <c r="N218" s="16">
        <f>IF(J217&lt;&gt;0,CurrentMtgRatesDataTable8[[#This Row],[Rate]]-C217,N217)</f>
        <v>0</v>
      </c>
    </row>
    <row r="219" spans="1:14">
      <c r="A219" s="8" t="s">
        <v>206</v>
      </c>
      <c r="B219" s="11">
        <v>2.6070118411689598</v>
      </c>
      <c r="C219" s="13">
        <v>3.48</v>
      </c>
      <c r="D219" s="14">
        <f t="shared" si="21"/>
        <v>6</v>
      </c>
      <c r="E219" s="14">
        <f t="shared" si="22"/>
        <v>0.2</v>
      </c>
      <c r="F219" s="14">
        <f t="shared" si="23"/>
        <v>4</v>
      </c>
      <c r="G219" s="14">
        <f t="shared" si="24"/>
        <v>2.0593716690196402</v>
      </c>
      <c r="H219" s="14">
        <f t="shared" si="25"/>
        <v>0.8</v>
      </c>
      <c r="I219" s="14">
        <f t="shared" si="26"/>
        <v>0</v>
      </c>
      <c r="J219" s="14">
        <f t="shared" si="27"/>
        <v>0</v>
      </c>
      <c r="K219" s="15">
        <f>IF(CurrentMtgRatesDataTable8[[#This Row],[WA CC]]&lt;&gt;0,C218-CurrentMtgRatesDataTable8[[#This Row],[WA CC]],0)</f>
        <v>0</v>
      </c>
      <c r="L219" s="16">
        <f>IF(CurrentMtgRatesDataTable8[[#This Row],[Servicing Spread]]&lt;=0,L218,CurrentMtgRatesDataTable8[[#This Row],[Servicing Spread]])</f>
        <v>0.90384962704580385</v>
      </c>
      <c r="M219" s="16">
        <f>CurrentMtgRatesDataTable8[[#This Row],[Servicing Spread Non-Zero]]-L218</f>
        <v>0</v>
      </c>
      <c r="N219" s="16">
        <f>IF(J218&lt;&gt;0,CurrentMtgRatesDataTable8[[#This Row],[Rate]]-C218,N218)</f>
        <v>0</v>
      </c>
    </row>
    <row r="220" spans="1:14">
      <c r="A220" s="8" t="s">
        <v>63</v>
      </c>
      <c r="B220" s="11">
        <v>2.6537197373142098</v>
      </c>
      <c r="C220" s="13">
        <v>3.48</v>
      </c>
      <c r="D220" s="14">
        <f t="shared" si="21"/>
        <v>7</v>
      </c>
      <c r="E220" s="14">
        <f t="shared" si="22"/>
        <v>0.2</v>
      </c>
      <c r="F220" s="14">
        <f t="shared" si="23"/>
        <v>5</v>
      </c>
      <c r="G220" s="14">
        <f t="shared" si="24"/>
        <v>2.5901156164824823</v>
      </c>
      <c r="H220" s="14">
        <f t="shared" si="25"/>
        <v>1</v>
      </c>
      <c r="I220" s="14">
        <f t="shared" si="26"/>
        <v>1</v>
      </c>
      <c r="J220" s="14">
        <f t="shared" si="27"/>
        <v>2.5901156164824823</v>
      </c>
      <c r="K220" s="15">
        <f>IF(CurrentMtgRatesDataTable8[[#This Row],[WA CC]]&lt;&gt;0,C219-CurrentMtgRatesDataTable8[[#This Row],[WA CC]],0)</f>
        <v>0.88988438351751764</v>
      </c>
      <c r="L220" s="16">
        <f>IF(CurrentMtgRatesDataTable8[[#This Row],[Servicing Spread]]&lt;=0,L219,CurrentMtgRatesDataTable8[[#This Row],[Servicing Spread]])</f>
        <v>0.88988438351751764</v>
      </c>
      <c r="M220" s="16">
        <f>CurrentMtgRatesDataTable8[[#This Row],[Servicing Spread Non-Zero]]-L219</f>
        <v>-1.3965243528286209E-2</v>
      </c>
      <c r="N220" s="16">
        <f>IF(J219&lt;&gt;0,CurrentMtgRatesDataTable8[[#This Row],[Rate]]-C219,N219)</f>
        <v>0</v>
      </c>
    </row>
    <row r="221" spans="1:14">
      <c r="A221" s="8" t="s">
        <v>629</v>
      </c>
      <c r="B221" s="11">
        <v>2.6085491789438602</v>
      </c>
      <c r="C221" s="13">
        <v>3.5100000000000002</v>
      </c>
      <c r="D221" s="14">
        <f t="shared" si="21"/>
        <v>1</v>
      </c>
      <c r="E221" s="14">
        <f t="shared" si="22"/>
        <v>0.2</v>
      </c>
      <c r="F221" s="14">
        <f t="shared" si="23"/>
        <v>1</v>
      </c>
      <c r="G221" s="14">
        <f t="shared" si="24"/>
        <v>0.52170983578877206</v>
      </c>
      <c r="H221" s="14">
        <f t="shared" si="25"/>
        <v>0.2</v>
      </c>
      <c r="I221" s="14">
        <f t="shared" si="26"/>
        <v>0</v>
      </c>
      <c r="J221" s="14">
        <f t="shared" si="27"/>
        <v>0</v>
      </c>
      <c r="K221" s="15">
        <f>IF(CurrentMtgRatesDataTable8[[#This Row],[WA CC]]&lt;&gt;0,C220-CurrentMtgRatesDataTable8[[#This Row],[WA CC]],0)</f>
        <v>0</v>
      </c>
      <c r="L221" s="16">
        <f>IF(CurrentMtgRatesDataTable8[[#This Row],[Servicing Spread]]&lt;=0,L220,CurrentMtgRatesDataTable8[[#This Row],[Servicing Spread]])</f>
        <v>0.88988438351751764</v>
      </c>
      <c r="M221" s="16">
        <f>CurrentMtgRatesDataTable8[[#This Row],[Servicing Spread Non-Zero]]-L220</f>
        <v>0</v>
      </c>
      <c r="N221" s="16">
        <f>IF(J220&lt;&gt;0,CurrentMtgRatesDataTable8[[#This Row],[Rate]]-C220,N220)</f>
        <v>3.0000000000000249E-2</v>
      </c>
    </row>
    <row r="222" spans="1:14">
      <c r="A222" s="8" t="s">
        <v>486</v>
      </c>
      <c r="B222" s="11">
        <v>2.6207856725732901</v>
      </c>
      <c r="C222" s="13">
        <v>3.5100000000000002</v>
      </c>
      <c r="D222" s="14">
        <f t="shared" si="21"/>
        <v>2</v>
      </c>
      <c r="E222" s="14">
        <f t="shared" si="22"/>
        <v>0.2</v>
      </c>
      <c r="F222" s="14">
        <f t="shared" si="23"/>
        <v>2</v>
      </c>
      <c r="G222" s="14">
        <f t="shared" si="24"/>
        <v>1.0458669703034302</v>
      </c>
      <c r="H222" s="14">
        <f t="shared" si="25"/>
        <v>0.4</v>
      </c>
      <c r="I222" s="14">
        <f t="shared" si="26"/>
        <v>0</v>
      </c>
      <c r="J222" s="14">
        <f t="shared" si="27"/>
        <v>0</v>
      </c>
      <c r="K222" s="15">
        <f>IF(CurrentMtgRatesDataTable8[[#This Row],[WA CC]]&lt;&gt;0,C221-CurrentMtgRatesDataTable8[[#This Row],[WA CC]],0)</f>
        <v>0</v>
      </c>
      <c r="L222" s="16">
        <f>IF(CurrentMtgRatesDataTable8[[#This Row],[Servicing Spread]]&lt;=0,L221,CurrentMtgRatesDataTable8[[#This Row],[Servicing Spread]])</f>
        <v>0.88988438351751764</v>
      </c>
      <c r="M222" s="16">
        <f>CurrentMtgRatesDataTable8[[#This Row],[Servicing Spread Non-Zero]]-L221</f>
        <v>0</v>
      </c>
      <c r="N222" s="16">
        <f>IF(J221&lt;&gt;0,CurrentMtgRatesDataTable8[[#This Row],[Rate]]-C221,N221)</f>
        <v>3.0000000000000249E-2</v>
      </c>
    </row>
    <row r="223" spans="1:14">
      <c r="A223" s="8" t="s">
        <v>207</v>
      </c>
      <c r="B223" s="11">
        <v>2.6380211947179002</v>
      </c>
      <c r="C223" s="13">
        <v>3.5100000000000002</v>
      </c>
      <c r="D223" s="14">
        <f t="shared" si="21"/>
        <v>6</v>
      </c>
      <c r="E223" s="14">
        <f t="shared" si="22"/>
        <v>0.2</v>
      </c>
      <c r="F223" s="14">
        <f t="shared" si="23"/>
        <v>3</v>
      </c>
      <c r="G223" s="14">
        <f t="shared" si="24"/>
        <v>1.5734712092470104</v>
      </c>
      <c r="H223" s="14">
        <f t="shared" si="25"/>
        <v>0.60000000000000009</v>
      </c>
      <c r="I223" s="14">
        <f t="shared" si="26"/>
        <v>0</v>
      </c>
      <c r="J223" s="14">
        <f t="shared" si="27"/>
        <v>0</v>
      </c>
      <c r="K223" s="15">
        <f>IF(CurrentMtgRatesDataTable8[[#This Row],[WA CC]]&lt;&gt;0,C222-CurrentMtgRatesDataTable8[[#This Row],[WA CC]],0)</f>
        <v>0</v>
      </c>
      <c r="L223" s="16">
        <f>IF(CurrentMtgRatesDataTable8[[#This Row],[Servicing Spread]]&lt;=0,L222,CurrentMtgRatesDataTable8[[#This Row],[Servicing Spread]])</f>
        <v>0.88988438351751764</v>
      </c>
      <c r="M223" s="16">
        <f>CurrentMtgRatesDataTable8[[#This Row],[Servicing Spread Non-Zero]]-L222</f>
        <v>0</v>
      </c>
      <c r="N223" s="16">
        <f>IF(J222&lt;&gt;0,CurrentMtgRatesDataTable8[[#This Row],[Rate]]-C222,N222)</f>
        <v>3.0000000000000249E-2</v>
      </c>
    </row>
    <row r="224" spans="1:14">
      <c r="A224" s="8" t="s">
        <v>64</v>
      </c>
      <c r="B224" s="11">
        <v>2.63796949913782</v>
      </c>
      <c r="C224" s="13">
        <v>3.5100000000000002</v>
      </c>
      <c r="D224" s="14">
        <f t="shared" si="21"/>
        <v>7</v>
      </c>
      <c r="E224" s="14">
        <f t="shared" si="22"/>
        <v>0.2</v>
      </c>
      <c r="F224" s="14">
        <f t="shared" si="23"/>
        <v>4</v>
      </c>
      <c r="G224" s="14">
        <f t="shared" si="24"/>
        <v>2.1010651090745744</v>
      </c>
      <c r="H224" s="14">
        <f t="shared" si="25"/>
        <v>0.8</v>
      </c>
      <c r="I224" s="14">
        <f t="shared" si="26"/>
        <v>1</v>
      </c>
      <c r="J224" s="14">
        <f t="shared" si="27"/>
        <v>2.6263313863432178</v>
      </c>
      <c r="K224" s="15">
        <f>IF(CurrentMtgRatesDataTable8[[#This Row],[WA CC]]&lt;&gt;0,C223-CurrentMtgRatesDataTable8[[#This Row],[WA CC]],0)</f>
        <v>0.8836686136567824</v>
      </c>
      <c r="L224" s="16">
        <f>IF(CurrentMtgRatesDataTable8[[#This Row],[Servicing Spread]]&lt;=0,L223,CurrentMtgRatesDataTable8[[#This Row],[Servicing Spread]])</f>
        <v>0.8836686136567824</v>
      </c>
      <c r="M224" s="16">
        <f>CurrentMtgRatesDataTable8[[#This Row],[Servicing Spread Non-Zero]]-L223</f>
        <v>-6.215769860735243E-3</v>
      </c>
      <c r="N224" s="16">
        <f>IF(J223&lt;&gt;0,CurrentMtgRatesDataTable8[[#This Row],[Rate]]-C223,N223)</f>
        <v>3.0000000000000249E-2</v>
      </c>
    </row>
    <row r="225" spans="1:14">
      <c r="A225" s="8" t="s">
        <v>630</v>
      </c>
      <c r="B225" s="11">
        <v>2.6257405351132901</v>
      </c>
      <c r="C225" s="13">
        <v>3.46</v>
      </c>
      <c r="D225" s="14">
        <f t="shared" si="21"/>
        <v>1</v>
      </c>
      <c r="E225" s="14">
        <f t="shared" si="22"/>
        <v>0.2</v>
      </c>
      <c r="F225" s="14">
        <f t="shared" si="23"/>
        <v>1</v>
      </c>
      <c r="G225" s="14">
        <f t="shared" si="24"/>
        <v>0.52514810702265802</v>
      </c>
      <c r="H225" s="14">
        <f t="shared" si="25"/>
        <v>0.2</v>
      </c>
      <c r="I225" s="14">
        <f t="shared" si="26"/>
        <v>0</v>
      </c>
      <c r="J225" s="14">
        <f t="shared" si="27"/>
        <v>0</v>
      </c>
      <c r="K225" s="15">
        <f>IF(CurrentMtgRatesDataTable8[[#This Row],[WA CC]]&lt;&gt;0,C224-CurrentMtgRatesDataTable8[[#This Row],[WA CC]],0)</f>
        <v>0</v>
      </c>
      <c r="L225" s="16">
        <f>IF(CurrentMtgRatesDataTable8[[#This Row],[Servicing Spread]]&lt;=0,L224,CurrentMtgRatesDataTable8[[#This Row],[Servicing Spread]])</f>
        <v>0.8836686136567824</v>
      </c>
      <c r="M225" s="16">
        <f>CurrentMtgRatesDataTable8[[#This Row],[Servicing Spread Non-Zero]]-L224</f>
        <v>0</v>
      </c>
      <c r="N225" s="16">
        <f>IF(J224&lt;&gt;0,CurrentMtgRatesDataTable8[[#This Row],[Rate]]-C224,N224)</f>
        <v>-5.0000000000000266E-2</v>
      </c>
    </row>
    <row r="226" spans="1:14">
      <c r="A226" s="8" t="s">
        <v>487</v>
      </c>
      <c r="B226" s="11">
        <v>2.6251399034844098</v>
      </c>
      <c r="C226" s="13">
        <v>3.46</v>
      </c>
      <c r="D226" s="14">
        <f t="shared" si="21"/>
        <v>2</v>
      </c>
      <c r="E226" s="14">
        <f t="shared" si="22"/>
        <v>0.2</v>
      </c>
      <c r="F226" s="14">
        <f t="shared" si="23"/>
        <v>2</v>
      </c>
      <c r="G226" s="14">
        <f t="shared" si="24"/>
        <v>1.0501760877195401</v>
      </c>
      <c r="H226" s="14">
        <f t="shared" si="25"/>
        <v>0.4</v>
      </c>
      <c r="I226" s="14">
        <f t="shared" si="26"/>
        <v>0</v>
      </c>
      <c r="J226" s="14">
        <f t="shared" si="27"/>
        <v>0</v>
      </c>
      <c r="K226" s="15">
        <f>IF(CurrentMtgRatesDataTable8[[#This Row],[WA CC]]&lt;&gt;0,C225-CurrentMtgRatesDataTable8[[#This Row],[WA CC]],0)</f>
        <v>0</v>
      </c>
      <c r="L226" s="16">
        <f>IF(CurrentMtgRatesDataTable8[[#This Row],[Servicing Spread]]&lt;=0,L225,CurrentMtgRatesDataTable8[[#This Row],[Servicing Spread]])</f>
        <v>0.8836686136567824</v>
      </c>
      <c r="M226" s="16">
        <f>CurrentMtgRatesDataTable8[[#This Row],[Servicing Spread Non-Zero]]-L225</f>
        <v>0</v>
      </c>
      <c r="N226" s="16">
        <f>IF(J225&lt;&gt;0,CurrentMtgRatesDataTable8[[#This Row],[Rate]]-C225,N225)</f>
        <v>-5.0000000000000266E-2</v>
      </c>
    </row>
    <row r="227" spans="1:14">
      <c r="A227" s="8" t="s">
        <v>348</v>
      </c>
      <c r="B227" s="11">
        <v>2.5578588429933502</v>
      </c>
      <c r="C227" s="13">
        <v>3.46</v>
      </c>
      <c r="D227" s="14">
        <f t="shared" si="21"/>
        <v>5</v>
      </c>
      <c r="E227" s="14">
        <f t="shared" si="22"/>
        <v>0.2</v>
      </c>
      <c r="F227" s="14">
        <f t="shared" si="23"/>
        <v>3</v>
      </c>
      <c r="G227" s="14">
        <f t="shared" si="24"/>
        <v>1.5617478563182101</v>
      </c>
      <c r="H227" s="14">
        <f t="shared" si="25"/>
        <v>0.60000000000000009</v>
      </c>
      <c r="I227" s="14">
        <f t="shared" si="26"/>
        <v>0</v>
      </c>
      <c r="J227" s="14">
        <f t="shared" si="27"/>
        <v>0</v>
      </c>
      <c r="K227" s="15">
        <f>IF(CurrentMtgRatesDataTable8[[#This Row],[WA CC]]&lt;&gt;0,C226-CurrentMtgRatesDataTable8[[#This Row],[WA CC]],0)</f>
        <v>0</v>
      </c>
      <c r="L227" s="16">
        <f>IF(CurrentMtgRatesDataTable8[[#This Row],[Servicing Spread]]&lt;=0,L226,CurrentMtgRatesDataTable8[[#This Row],[Servicing Spread]])</f>
        <v>0.8836686136567824</v>
      </c>
      <c r="M227" s="16">
        <f>CurrentMtgRatesDataTable8[[#This Row],[Servicing Spread Non-Zero]]-L226</f>
        <v>0</v>
      </c>
      <c r="N227" s="16">
        <f>IF(J226&lt;&gt;0,CurrentMtgRatesDataTable8[[#This Row],[Rate]]-C226,N226)</f>
        <v>-5.0000000000000266E-2</v>
      </c>
    </row>
    <row r="228" spans="1:14">
      <c r="A228" s="8" t="s">
        <v>208</v>
      </c>
      <c r="B228" s="11">
        <v>2.5389569445759999</v>
      </c>
      <c r="C228" s="13">
        <v>3.46</v>
      </c>
      <c r="D228" s="14">
        <f t="shared" si="21"/>
        <v>6</v>
      </c>
      <c r="E228" s="14">
        <f t="shared" si="22"/>
        <v>0.2</v>
      </c>
      <c r="F228" s="14">
        <f t="shared" si="23"/>
        <v>4</v>
      </c>
      <c r="G228" s="14">
        <f t="shared" si="24"/>
        <v>2.0695392452334103</v>
      </c>
      <c r="H228" s="14">
        <f t="shared" si="25"/>
        <v>0.8</v>
      </c>
      <c r="I228" s="14">
        <f t="shared" si="26"/>
        <v>0</v>
      </c>
      <c r="J228" s="14">
        <f t="shared" si="27"/>
        <v>0</v>
      </c>
      <c r="K228" s="15">
        <f>IF(CurrentMtgRatesDataTable8[[#This Row],[WA CC]]&lt;&gt;0,C227-CurrentMtgRatesDataTable8[[#This Row],[WA CC]],0)</f>
        <v>0</v>
      </c>
      <c r="L228" s="16">
        <f>IF(CurrentMtgRatesDataTable8[[#This Row],[Servicing Spread]]&lt;=0,L227,CurrentMtgRatesDataTable8[[#This Row],[Servicing Spread]])</f>
        <v>0.8836686136567824</v>
      </c>
      <c r="M228" s="16">
        <f>CurrentMtgRatesDataTable8[[#This Row],[Servicing Spread Non-Zero]]-L227</f>
        <v>0</v>
      </c>
      <c r="N228" s="16">
        <f>IF(J227&lt;&gt;0,CurrentMtgRatesDataTable8[[#This Row],[Rate]]-C227,N227)</f>
        <v>-5.0000000000000266E-2</v>
      </c>
    </row>
    <row r="229" spans="1:14">
      <c r="A229" s="8" t="s">
        <v>65</v>
      </c>
      <c r="B229" s="11">
        <v>2.5732198821136101</v>
      </c>
      <c r="C229" s="13">
        <v>3.46</v>
      </c>
      <c r="D229" s="14">
        <f t="shared" si="21"/>
        <v>7</v>
      </c>
      <c r="E229" s="14">
        <f t="shared" si="22"/>
        <v>0.2</v>
      </c>
      <c r="F229" s="14">
        <f t="shared" si="23"/>
        <v>5</v>
      </c>
      <c r="G229" s="14">
        <f t="shared" si="24"/>
        <v>2.5841832216561325</v>
      </c>
      <c r="H229" s="14">
        <f t="shared" si="25"/>
        <v>1</v>
      </c>
      <c r="I229" s="14">
        <f t="shared" si="26"/>
        <v>1</v>
      </c>
      <c r="J229" s="14">
        <f t="shared" si="27"/>
        <v>2.5841832216561325</v>
      </c>
      <c r="K229" s="15">
        <f>IF(CurrentMtgRatesDataTable8[[#This Row],[WA CC]]&lt;&gt;0,C228-CurrentMtgRatesDataTable8[[#This Row],[WA CC]],0)</f>
        <v>0.87581677834386751</v>
      </c>
      <c r="L229" s="16">
        <f>IF(CurrentMtgRatesDataTable8[[#This Row],[Servicing Spread]]&lt;=0,L228,CurrentMtgRatesDataTable8[[#This Row],[Servicing Spread]])</f>
        <v>0.87581677834386751</v>
      </c>
      <c r="M229" s="16">
        <f>CurrentMtgRatesDataTable8[[#This Row],[Servicing Spread Non-Zero]]-L228</f>
        <v>-7.8518353129148899E-3</v>
      </c>
      <c r="N229" s="16">
        <f>IF(J228&lt;&gt;0,CurrentMtgRatesDataTable8[[#This Row],[Rate]]-C228,N228)</f>
        <v>-5.0000000000000266E-2</v>
      </c>
    </row>
    <row r="230" spans="1:14">
      <c r="A230" s="8" t="s">
        <v>631</v>
      </c>
      <c r="B230" s="11">
        <v>2.5448374323223399</v>
      </c>
      <c r="C230" s="13">
        <v>3.4449999999999998</v>
      </c>
      <c r="D230" s="14">
        <f t="shared" si="21"/>
        <v>1</v>
      </c>
      <c r="E230" s="14">
        <f t="shared" si="22"/>
        <v>0.2</v>
      </c>
      <c r="F230" s="14">
        <f t="shared" si="23"/>
        <v>1</v>
      </c>
      <c r="G230" s="14">
        <f t="shared" si="24"/>
        <v>0.50896748646446799</v>
      </c>
      <c r="H230" s="14">
        <f t="shared" si="25"/>
        <v>0.2</v>
      </c>
      <c r="I230" s="14">
        <f t="shared" si="26"/>
        <v>0</v>
      </c>
      <c r="J230" s="14">
        <f t="shared" si="27"/>
        <v>0</v>
      </c>
      <c r="K230" s="15">
        <f>IF(CurrentMtgRatesDataTable8[[#This Row],[WA CC]]&lt;&gt;0,C229-CurrentMtgRatesDataTable8[[#This Row],[WA CC]],0)</f>
        <v>0</v>
      </c>
      <c r="L230" s="16">
        <f>IF(CurrentMtgRatesDataTable8[[#This Row],[Servicing Spread]]&lt;=0,L229,CurrentMtgRatesDataTable8[[#This Row],[Servicing Spread]])</f>
        <v>0.87581677834386751</v>
      </c>
      <c r="M230" s="16">
        <f>CurrentMtgRatesDataTable8[[#This Row],[Servicing Spread Non-Zero]]-L229</f>
        <v>0</v>
      </c>
      <c r="N230" s="16">
        <f>IF(J229&lt;&gt;0,CurrentMtgRatesDataTable8[[#This Row],[Rate]]-C229,N229)</f>
        <v>-1.5000000000000124E-2</v>
      </c>
    </row>
    <row r="231" spans="1:14">
      <c r="A231" s="8" t="s">
        <v>488</v>
      </c>
      <c r="B231" s="11">
        <v>2.5299300395983999</v>
      </c>
      <c r="C231" s="13">
        <v>3.4449999999999998</v>
      </c>
      <c r="D231" s="14">
        <f t="shared" si="21"/>
        <v>2</v>
      </c>
      <c r="E231" s="14">
        <f t="shared" si="22"/>
        <v>0.2</v>
      </c>
      <c r="F231" s="14">
        <f t="shared" si="23"/>
        <v>2</v>
      </c>
      <c r="G231" s="14">
        <f t="shared" si="24"/>
        <v>1.0149534943841481</v>
      </c>
      <c r="H231" s="14">
        <f t="shared" si="25"/>
        <v>0.4</v>
      </c>
      <c r="I231" s="14">
        <f t="shared" si="26"/>
        <v>0</v>
      </c>
      <c r="J231" s="14">
        <f t="shared" si="27"/>
        <v>0</v>
      </c>
      <c r="K231" s="15">
        <f>IF(CurrentMtgRatesDataTable8[[#This Row],[WA CC]]&lt;&gt;0,C230-CurrentMtgRatesDataTable8[[#This Row],[WA CC]],0)</f>
        <v>0</v>
      </c>
      <c r="L231" s="16">
        <f>IF(CurrentMtgRatesDataTable8[[#This Row],[Servicing Spread]]&lt;=0,L230,CurrentMtgRatesDataTable8[[#This Row],[Servicing Spread]])</f>
        <v>0.87581677834386751</v>
      </c>
      <c r="M231" s="16">
        <f>CurrentMtgRatesDataTable8[[#This Row],[Servicing Spread Non-Zero]]-L230</f>
        <v>0</v>
      </c>
      <c r="N231" s="16">
        <f>IF(J230&lt;&gt;0,CurrentMtgRatesDataTable8[[#This Row],[Rate]]-C230,N230)</f>
        <v>-1.5000000000000124E-2</v>
      </c>
    </row>
    <row r="232" spans="1:14">
      <c r="A232" s="8" t="s">
        <v>349</v>
      </c>
      <c r="B232" s="11">
        <v>2.5457760046441602</v>
      </c>
      <c r="C232" s="13">
        <v>3.4449999999999998</v>
      </c>
      <c r="D232" s="14">
        <f t="shared" si="21"/>
        <v>5</v>
      </c>
      <c r="E232" s="14">
        <f t="shared" si="22"/>
        <v>0.2</v>
      </c>
      <c r="F232" s="14">
        <f t="shared" si="23"/>
        <v>3</v>
      </c>
      <c r="G232" s="14">
        <f t="shared" si="24"/>
        <v>1.5241086953129801</v>
      </c>
      <c r="H232" s="14">
        <f t="shared" si="25"/>
        <v>0.60000000000000009</v>
      </c>
      <c r="I232" s="14">
        <f t="shared" si="26"/>
        <v>0</v>
      </c>
      <c r="J232" s="14">
        <f t="shared" si="27"/>
        <v>0</v>
      </c>
      <c r="K232" s="15">
        <f>IF(CurrentMtgRatesDataTable8[[#This Row],[WA CC]]&lt;&gt;0,C231-CurrentMtgRatesDataTable8[[#This Row],[WA CC]],0)</f>
        <v>0</v>
      </c>
      <c r="L232" s="16">
        <f>IF(CurrentMtgRatesDataTable8[[#This Row],[Servicing Spread]]&lt;=0,L231,CurrentMtgRatesDataTable8[[#This Row],[Servicing Spread]])</f>
        <v>0.87581677834386751</v>
      </c>
      <c r="M232" s="16">
        <f>CurrentMtgRatesDataTable8[[#This Row],[Servicing Spread Non-Zero]]-L231</f>
        <v>0</v>
      </c>
      <c r="N232" s="16">
        <f>IF(J231&lt;&gt;0,CurrentMtgRatesDataTable8[[#This Row],[Rate]]-C231,N231)</f>
        <v>-1.5000000000000124E-2</v>
      </c>
    </row>
    <row r="233" spans="1:14">
      <c r="A233" s="8" t="s">
        <v>209</v>
      </c>
      <c r="B233" s="11">
        <v>2.56075645776348</v>
      </c>
      <c r="C233" s="13">
        <v>3.4449999999999998</v>
      </c>
      <c r="D233" s="14">
        <f t="shared" si="21"/>
        <v>6</v>
      </c>
      <c r="E233" s="14">
        <f t="shared" si="22"/>
        <v>0.2</v>
      </c>
      <c r="F233" s="14">
        <f t="shared" si="23"/>
        <v>4</v>
      </c>
      <c r="G233" s="14">
        <f t="shared" si="24"/>
        <v>2.0362599868656761</v>
      </c>
      <c r="H233" s="14">
        <f t="shared" si="25"/>
        <v>0.8</v>
      </c>
      <c r="I233" s="14">
        <f t="shared" si="26"/>
        <v>0</v>
      </c>
      <c r="J233" s="14">
        <f t="shared" si="27"/>
        <v>0</v>
      </c>
      <c r="K233" s="15">
        <f>IF(CurrentMtgRatesDataTable8[[#This Row],[WA CC]]&lt;&gt;0,C232-CurrentMtgRatesDataTable8[[#This Row],[WA CC]],0)</f>
        <v>0</v>
      </c>
      <c r="L233" s="16">
        <f>IF(CurrentMtgRatesDataTable8[[#This Row],[Servicing Spread]]&lt;=0,L232,CurrentMtgRatesDataTable8[[#This Row],[Servicing Spread]])</f>
        <v>0.87581677834386751</v>
      </c>
      <c r="M233" s="16">
        <f>CurrentMtgRatesDataTable8[[#This Row],[Servicing Spread Non-Zero]]-L232</f>
        <v>0</v>
      </c>
      <c r="N233" s="16">
        <f>IF(J232&lt;&gt;0,CurrentMtgRatesDataTable8[[#This Row],[Rate]]-C232,N232)</f>
        <v>-1.5000000000000124E-2</v>
      </c>
    </row>
    <row r="234" spans="1:14">
      <c r="A234" s="8" t="s">
        <v>66</v>
      </c>
      <c r="B234" s="11">
        <v>2.6125524232747801</v>
      </c>
      <c r="C234" s="13">
        <v>3.4449999999999998</v>
      </c>
      <c r="D234" s="14">
        <f t="shared" si="21"/>
        <v>7</v>
      </c>
      <c r="E234" s="14">
        <f t="shared" si="22"/>
        <v>0.2</v>
      </c>
      <c r="F234" s="14">
        <f t="shared" si="23"/>
        <v>5</v>
      </c>
      <c r="G234" s="14">
        <f t="shared" si="24"/>
        <v>2.5587704715206323</v>
      </c>
      <c r="H234" s="14">
        <f t="shared" si="25"/>
        <v>1</v>
      </c>
      <c r="I234" s="14">
        <f t="shared" si="26"/>
        <v>1</v>
      </c>
      <c r="J234" s="14">
        <f t="shared" si="27"/>
        <v>2.5587704715206323</v>
      </c>
      <c r="K234" s="15">
        <f>IF(CurrentMtgRatesDataTable8[[#This Row],[WA CC]]&lt;&gt;0,C233-CurrentMtgRatesDataTable8[[#This Row],[WA CC]],0)</f>
        <v>0.88622952847936753</v>
      </c>
      <c r="L234" s="16">
        <f>IF(CurrentMtgRatesDataTable8[[#This Row],[Servicing Spread]]&lt;=0,L233,CurrentMtgRatesDataTable8[[#This Row],[Servicing Spread]])</f>
        <v>0.88622952847936753</v>
      </c>
      <c r="M234" s="16">
        <f>CurrentMtgRatesDataTable8[[#This Row],[Servicing Spread Non-Zero]]-L233</f>
        <v>1.0412750135500026E-2</v>
      </c>
      <c r="N234" s="16">
        <f>IF(J233&lt;&gt;0,CurrentMtgRatesDataTable8[[#This Row],[Rate]]-C233,N233)</f>
        <v>-1.5000000000000124E-2</v>
      </c>
    </row>
    <row r="235" spans="1:14">
      <c r="A235" s="8" t="s">
        <v>632</v>
      </c>
      <c r="B235" s="11">
        <v>2.6733074908689098</v>
      </c>
      <c r="C235" s="13">
        <v>3.58</v>
      </c>
      <c r="D235" s="14">
        <f t="shared" si="21"/>
        <v>1</v>
      </c>
      <c r="E235" s="14">
        <f t="shared" si="22"/>
        <v>0.2</v>
      </c>
      <c r="F235" s="14">
        <f t="shared" si="23"/>
        <v>1</v>
      </c>
      <c r="G235" s="14">
        <f t="shared" si="24"/>
        <v>0.53466149817378195</v>
      </c>
      <c r="H235" s="14">
        <f t="shared" si="25"/>
        <v>0.2</v>
      </c>
      <c r="I235" s="14">
        <f t="shared" si="26"/>
        <v>0</v>
      </c>
      <c r="J235" s="14">
        <f t="shared" si="27"/>
        <v>0</v>
      </c>
      <c r="K235" s="15">
        <f>IF(CurrentMtgRatesDataTable8[[#This Row],[WA CC]]&lt;&gt;0,C234-CurrentMtgRatesDataTable8[[#This Row],[WA CC]],0)</f>
        <v>0</v>
      </c>
      <c r="L235" s="16">
        <f>IF(CurrentMtgRatesDataTable8[[#This Row],[Servicing Spread]]&lt;=0,L234,CurrentMtgRatesDataTable8[[#This Row],[Servicing Spread]])</f>
        <v>0.88622952847936753</v>
      </c>
      <c r="M235" s="16">
        <f>CurrentMtgRatesDataTable8[[#This Row],[Servicing Spread Non-Zero]]-L234</f>
        <v>0</v>
      </c>
      <c r="N235" s="16">
        <f>IF(J234&lt;&gt;0,CurrentMtgRatesDataTable8[[#This Row],[Rate]]-C234,N234)</f>
        <v>0.13500000000000023</v>
      </c>
    </row>
    <row r="236" spans="1:14">
      <c r="A236" s="8" t="s">
        <v>489</v>
      </c>
      <c r="B236" s="11">
        <v>2.7519155244705402</v>
      </c>
      <c r="C236" s="13">
        <v>3.58</v>
      </c>
      <c r="D236" s="14">
        <f t="shared" si="21"/>
        <v>2</v>
      </c>
      <c r="E236" s="14">
        <f t="shared" si="22"/>
        <v>0.2</v>
      </c>
      <c r="F236" s="14">
        <f t="shared" si="23"/>
        <v>2</v>
      </c>
      <c r="G236" s="14">
        <f t="shared" si="24"/>
        <v>1.08504460306789</v>
      </c>
      <c r="H236" s="14">
        <f t="shared" si="25"/>
        <v>0.4</v>
      </c>
      <c r="I236" s="14">
        <f t="shared" si="26"/>
        <v>0</v>
      </c>
      <c r="J236" s="14">
        <f t="shared" si="27"/>
        <v>0</v>
      </c>
      <c r="K236" s="15">
        <f>IF(CurrentMtgRatesDataTable8[[#This Row],[WA CC]]&lt;&gt;0,C235-CurrentMtgRatesDataTable8[[#This Row],[WA CC]],0)</f>
        <v>0</v>
      </c>
      <c r="L236" s="16">
        <f>IF(CurrentMtgRatesDataTable8[[#This Row],[Servicing Spread]]&lt;=0,L235,CurrentMtgRatesDataTable8[[#This Row],[Servicing Spread]])</f>
        <v>0.88622952847936753</v>
      </c>
      <c r="M236" s="16">
        <f>CurrentMtgRatesDataTable8[[#This Row],[Servicing Spread Non-Zero]]-L235</f>
        <v>0</v>
      </c>
      <c r="N236" s="16">
        <f>IF(J235&lt;&gt;0,CurrentMtgRatesDataTable8[[#This Row],[Rate]]-C235,N235)</f>
        <v>0.13500000000000023</v>
      </c>
    </row>
    <row r="237" spans="1:14">
      <c r="A237" s="8" t="s">
        <v>350</v>
      </c>
      <c r="B237" s="11">
        <v>2.7399845789483299</v>
      </c>
      <c r="C237" s="13">
        <v>3.58</v>
      </c>
      <c r="D237" s="14">
        <f t="shared" si="21"/>
        <v>5</v>
      </c>
      <c r="E237" s="14">
        <f t="shared" si="22"/>
        <v>0.2</v>
      </c>
      <c r="F237" s="14">
        <f t="shared" si="23"/>
        <v>3</v>
      </c>
      <c r="G237" s="14">
        <f t="shared" si="24"/>
        <v>1.633041518857556</v>
      </c>
      <c r="H237" s="14">
        <f t="shared" si="25"/>
        <v>0.60000000000000009</v>
      </c>
      <c r="I237" s="14">
        <f t="shared" si="26"/>
        <v>0</v>
      </c>
      <c r="J237" s="14">
        <f t="shared" si="27"/>
        <v>0</v>
      </c>
      <c r="K237" s="15">
        <f>IF(CurrentMtgRatesDataTable8[[#This Row],[WA CC]]&lt;&gt;0,C236-CurrentMtgRatesDataTable8[[#This Row],[WA CC]],0)</f>
        <v>0</v>
      </c>
      <c r="L237" s="16">
        <f>IF(CurrentMtgRatesDataTable8[[#This Row],[Servicing Spread]]&lt;=0,L236,CurrentMtgRatesDataTable8[[#This Row],[Servicing Spread]])</f>
        <v>0.88622952847936753</v>
      </c>
      <c r="M237" s="16">
        <f>CurrentMtgRatesDataTable8[[#This Row],[Servicing Spread Non-Zero]]-L236</f>
        <v>0</v>
      </c>
      <c r="N237" s="16">
        <f>IF(J236&lt;&gt;0,CurrentMtgRatesDataTable8[[#This Row],[Rate]]-C236,N236)</f>
        <v>0.13500000000000023</v>
      </c>
    </row>
    <row r="238" spans="1:14">
      <c r="A238" s="8" t="s">
        <v>210</v>
      </c>
      <c r="B238" s="11">
        <v>2.7064552884836801</v>
      </c>
      <c r="C238" s="13">
        <v>3.58</v>
      </c>
      <c r="D238" s="14">
        <f t="shared" si="21"/>
        <v>6</v>
      </c>
      <c r="E238" s="14">
        <f t="shared" si="22"/>
        <v>0.2</v>
      </c>
      <c r="F238" s="14">
        <f t="shared" si="23"/>
        <v>4</v>
      </c>
      <c r="G238" s="14">
        <f t="shared" si="24"/>
        <v>2.174332576554292</v>
      </c>
      <c r="H238" s="14">
        <f t="shared" si="25"/>
        <v>0.8</v>
      </c>
      <c r="I238" s="14">
        <f t="shared" si="26"/>
        <v>0</v>
      </c>
      <c r="J238" s="14">
        <f t="shared" si="27"/>
        <v>0</v>
      </c>
      <c r="K238" s="15">
        <f>IF(CurrentMtgRatesDataTable8[[#This Row],[WA CC]]&lt;&gt;0,C237-CurrentMtgRatesDataTable8[[#This Row],[WA CC]],0)</f>
        <v>0</v>
      </c>
      <c r="L238" s="16">
        <f>IF(CurrentMtgRatesDataTable8[[#This Row],[Servicing Spread]]&lt;=0,L237,CurrentMtgRatesDataTable8[[#This Row],[Servicing Spread]])</f>
        <v>0.88622952847936753</v>
      </c>
      <c r="M238" s="16">
        <f>CurrentMtgRatesDataTable8[[#This Row],[Servicing Spread Non-Zero]]-L237</f>
        <v>0</v>
      </c>
      <c r="N238" s="16">
        <f>IF(J237&lt;&gt;0,CurrentMtgRatesDataTable8[[#This Row],[Rate]]-C237,N237)</f>
        <v>0.13500000000000023</v>
      </c>
    </row>
    <row r="239" spans="1:14">
      <c r="A239" s="8" t="s">
        <v>67</v>
      </c>
      <c r="B239" s="11">
        <v>2.70043867478531</v>
      </c>
      <c r="C239" s="13">
        <v>3.58</v>
      </c>
      <c r="D239" s="14">
        <f t="shared" si="21"/>
        <v>7</v>
      </c>
      <c r="E239" s="14">
        <f t="shared" si="22"/>
        <v>0.2</v>
      </c>
      <c r="F239" s="14">
        <f t="shared" si="23"/>
        <v>5</v>
      </c>
      <c r="G239" s="14">
        <f t="shared" si="24"/>
        <v>2.7144203115113541</v>
      </c>
      <c r="H239" s="14">
        <f t="shared" si="25"/>
        <v>1</v>
      </c>
      <c r="I239" s="14">
        <f t="shared" si="26"/>
        <v>1</v>
      </c>
      <c r="J239" s="14">
        <f t="shared" si="27"/>
        <v>2.7144203115113541</v>
      </c>
      <c r="K239" s="15">
        <f>IF(CurrentMtgRatesDataTable8[[#This Row],[WA CC]]&lt;&gt;0,C238-CurrentMtgRatesDataTable8[[#This Row],[WA CC]],0)</f>
        <v>0.86557968848864597</v>
      </c>
      <c r="L239" s="16">
        <f>IF(CurrentMtgRatesDataTable8[[#This Row],[Servicing Spread]]&lt;=0,L238,CurrentMtgRatesDataTable8[[#This Row],[Servicing Spread]])</f>
        <v>0.86557968848864597</v>
      </c>
      <c r="M239" s="16">
        <f>CurrentMtgRatesDataTable8[[#This Row],[Servicing Spread Non-Zero]]-L238</f>
        <v>-2.0649839990721564E-2</v>
      </c>
      <c r="N239" s="16">
        <f>IF(J238&lt;&gt;0,CurrentMtgRatesDataTable8[[#This Row],[Rate]]-C238,N238)</f>
        <v>0.13500000000000023</v>
      </c>
    </row>
    <row r="240" spans="1:14">
      <c r="A240" s="8" t="s">
        <v>633</v>
      </c>
      <c r="B240" s="11">
        <v>2.7054585787984</v>
      </c>
      <c r="C240" s="13">
        <v>3.49</v>
      </c>
      <c r="D240" s="14">
        <f t="shared" si="21"/>
        <v>1</v>
      </c>
      <c r="E240" s="14">
        <f t="shared" si="22"/>
        <v>0.2</v>
      </c>
      <c r="F240" s="14">
        <f t="shared" si="23"/>
        <v>1</v>
      </c>
      <c r="G240" s="14">
        <f t="shared" si="24"/>
        <v>0.54109171575968007</v>
      </c>
      <c r="H240" s="14">
        <f t="shared" si="25"/>
        <v>0.2</v>
      </c>
      <c r="I240" s="14">
        <f t="shared" si="26"/>
        <v>0</v>
      </c>
      <c r="J240" s="14">
        <f t="shared" si="27"/>
        <v>0</v>
      </c>
      <c r="K240" s="15">
        <f>IF(CurrentMtgRatesDataTable8[[#This Row],[WA CC]]&lt;&gt;0,C239-CurrentMtgRatesDataTable8[[#This Row],[WA CC]],0)</f>
        <v>0</v>
      </c>
      <c r="L240" s="16">
        <f>IF(CurrentMtgRatesDataTable8[[#This Row],[Servicing Spread]]&lt;=0,L239,CurrentMtgRatesDataTable8[[#This Row],[Servicing Spread]])</f>
        <v>0.86557968848864597</v>
      </c>
      <c r="M240" s="16">
        <f>CurrentMtgRatesDataTable8[[#This Row],[Servicing Spread Non-Zero]]-L239</f>
        <v>0</v>
      </c>
      <c r="N240" s="16">
        <f>IF(J239&lt;&gt;0,CurrentMtgRatesDataTable8[[#This Row],[Rate]]-C239,N239)</f>
        <v>-8.9999999999999858E-2</v>
      </c>
    </row>
    <row r="241" spans="1:14">
      <c r="A241" s="8" t="s">
        <v>490</v>
      </c>
      <c r="B241" s="11">
        <v>2.6643363272696798</v>
      </c>
      <c r="C241" s="13">
        <v>3.49</v>
      </c>
      <c r="D241" s="14">
        <f t="shared" si="21"/>
        <v>2</v>
      </c>
      <c r="E241" s="14">
        <f t="shared" si="22"/>
        <v>0.2</v>
      </c>
      <c r="F241" s="14">
        <f t="shared" si="23"/>
        <v>2</v>
      </c>
      <c r="G241" s="14">
        <f t="shared" si="24"/>
        <v>1.0739589812136161</v>
      </c>
      <c r="H241" s="14">
        <f t="shared" si="25"/>
        <v>0.4</v>
      </c>
      <c r="I241" s="14">
        <f t="shared" si="26"/>
        <v>0</v>
      </c>
      <c r="J241" s="14">
        <f t="shared" si="27"/>
        <v>0</v>
      </c>
      <c r="K241" s="15">
        <f>IF(CurrentMtgRatesDataTable8[[#This Row],[WA CC]]&lt;&gt;0,C240-CurrentMtgRatesDataTable8[[#This Row],[WA CC]],0)</f>
        <v>0</v>
      </c>
      <c r="L241" s="16">
        <f>IF(CurrentMtgRatesDataTable8[[#This Row],[Servicing Spread]]&lt;=0,L240,CurrentMtgRatesDataTable8[[#This Row],[Servicing Spread]])</f>
        <v>0.86557968848864597</v>
      </c>
      <c r="M241" s="16">
        <f>CurrentMtgRatesDataTable8[[#This Row],[Servicing Spread Non-Zero]]-L240</f>
        <v>0</v>
      </c>
      <c r="N241" s="16">
        <f>IF(J240&lt;&gt;0,CurrentMtgRatesDataTable8[[#This Row],[Rate]]-C240,N240)</f>
        <v>-8.9999999999999858E-2</v>
      </c>
    </row>
    <row r="242" spans="1:14">
      <c r="A242" s="8" t="s">
        <v>351</v>
      </c>
      <c r="B242" s="11">
        <v>2.6296268135310301</v>
      </c>
      <c r="C242" s="13">
        <v>3.49</v>
      </c>
      <c r="D242" s="14">
        <f t="shared" si="21"/>
        <v>5</v>
      </c>
      <c r="E242" s="14">
        <f t="shared" si="22"/>
        <v>0.2</v>
      </c>
      <c r="F242" s="14">
        <f t="shared" si="23"/>
        <v>3</v>
      </c>
      <c r="G242" s="14">
        <f t="shared" si="24"/>
        <v>1.5998843439198223</v>
      </c>
      <c r="H242" s="14">
        <f t="shared" si="25"/>
        <v>0.60000000000000009</v>
      </c>
      <c r="I242" s="14">
        <f t="shared" si="26"/>
        <v>0</v>
      </c>
      <c r="J242" s="14">
        <f t="shared" si="27"/>
        <v>0</v>
      </c>
      <c r="K242" s="15">
        <f>IF(CurrentMtgRatesDataTable8[[#This Row],[WA CC]]&lt;&gt;0,C241-CurrentMtgRatesDataTable8[[#This Row],[WA CC]],0)</f>
        <v>0</v>
      </c>
      <c r="L242" s="16">
        <f>IF(CurrentMtgRatesDataTable8[[#This Row],[Servicing Spread]]&lt;=0,L241,CurrentMtgRatesDataTable8[[#This Row],[Servicing Spread]])</f>
        <v>0.86557968848864597</v>
      </c>
      <c r="M242" s="16">
        <f>CurrentMtgRatesDataTable8[[#This Row],[Servicing Spread Non-Zero]]-L241</f>
        <v>0</v>
      </c>
      <c r="N242" s="16">
        <f>IF(J241&lt;&gt;0,CurrentMtgRatesDataTable8[[#This Row],[Rate]]-C241,N241)</f>
        <v>-8.9999999999999858E-2</v>
      </c>
    </row>
    <row r="243" spans="1:14">
      <c r="A243" s="8" t="s">
        <v>211</v>
      </c>
      <c r="B243" s="11">
        <v>2.6068633017671599</v>
      </c>
      <c r="C243" s="13">
        <v>3.49</v>
      </c>
      <c r="D243" s="14">
        <f t="shared" si="21"/>
        <v>6</v>
      </c>
      <c r="E243" s="14">
        <f t="shared" si="22"/>
        <v>0.2</v>
      </c>
      <c r="F243" s="14">
        <f t="shared" si="23"/>
        <v>4</v>
      </c>
      <c r="G243" s="14">
        <f t="shared" si="24"/>
        <v>2.1212570042732541</v>
      </c>
      <c r="H243" s="14">
        <f t="shared" si="25"/>
        <v>0.8</v>
      </c>
      <c r="I243" s="14">
        <f t="shared" si="26"/>
        <v>0</v>
      </c>
      <c r="J243" s="14">
        <f t="shared" si="27"/>
        <v>0</v>
      </c>
      <c r="K243" s="15">
        <f>IF(CurrentMtgRatesDataTable8[[#This Row],[WA CC]]&lt;&gt;0,C242-CurrentMtgRatesDataTable8[[#This Row],[WA CC]],0)</f>
        <v>0</v>
      </c>
      <c r="L243" s="16">
        <f>IF(CurrentMtgRatesDataTable8[[#This Row],[Servicing Spread]]&lt;=0,L242,CurrentMtgRatesDataTable8[[#This Row],[Servicing Spread]])</f>
        <v>0.86557968848864597</v>
      </c>
      <c r="M243" s="16">
        <f>CurrentMtgRatesDataTable8[[#This Row],[Servicing Spread Non-Zero]]-L242</f>
        <v>0</v>
      </c>
      <c r="N243" s="16">
        <f>IF(J242&lt;&gt;0,CurrentMtgRatesDataTable8[[#This Row],[Rate]]-C242,N242)</f>
        <v>-8.9999999999999858E-2</v>
      </c>
    </row>
    <row r="244" spans="1:14">
      <c r="A244" s="8" t="s">
        <v>68</v>
      </c>
      <c r="B244" s="11">
        <v>2.6469827013594598</v>
      </c>
      <c r="C244" s="13">
        <v>3.49</v>
      </c>
      <c r="D244" s="14">
        <f t="shared" si="21"/>
        <v>7</v>
      </c>
      <c r="E244" s="14">
        <f t="shared" si="22"/>
        <v>0.2</v>
      </c>
      <c r="F244" s="14">
        <f t="shared" si="23"/>
        <v>5</v>
      </c>
      <c r="G244" s="14">
        <f t="shared" si="24"/>
        <v>2.650653544545146</v>
      </c>
      <c r="H244" s="14">
        <f t="shared" si="25"/>
        <v>1</v>
      </c>
      <c r="I244" s="14">
        <f t="shared" si="26"/>
        <v>1</v>
      </c>
      <c r="J244" s="14">
        <f t="shared" si="27"/>
        <v>2.650653544545146</v>
      </c>
      <c r="K244" s="15">
        <f>IF(CurrentMtgRatesDataTable8[[#This Row],[WA CC]]&lt;&gt;0,C243-CurrentMtgRatesDataTable8[[#This Row],[WA CC]],0)</f>
        <v>0.8393464554548542</v>
      </c>
      <c r="L244" s="16">
        <f>IF(CurrentMtgRatesDataTable8[[#This Row],[Servicing Spread]]&lt;=0,L243,CurrentMtgRatesDataTable8[[#This Row],[Servicing Spread]])</f>
        <v>0.8393464554548542</v>
      </c>
      <c r="M244" s="16">
        <f>CurrentMtgRatesDataTable8[[#This Row],[Servicing Spread Non-Zero]]-L243</f>
        <v>-2.623323303379177E-2</v>
      </c>
      <c r="N244" s="16">
        <f>IF(J243&lt;&gt;0,CurrentMtgRatesDataTable8[[#This Row],[Rate]]-C243,N243)</f>
        <v>-8.9999999999999858E-2</v>
      </c>
    </row>
    <row r="245" spans="1:14">
      <c r="A245" s="8" t="s">
        <v>634</v>
      </c>
      <c r="B245" s="11">
        <v>2.6762749111600002</v>
      </c>
      <c r="C245" s="13">
        <v>3.52</v>
      </c>
      <c r="D245" s="14">
        <f t="shared" si="21"/>
        <v>1</v>
      </c>
      <c r="E245" s="14">
        <f t="shared" si="22"/>
        <v>0.2</v>
      </c>
      <c r="F245" s="14">
        <f t="shared" si="23"/>
        <v>1</v>
      </c>
      <c r="G245" s="14">
        <f t="shared" si="24"/>
        <v>0.53525498223200008</v>
      </c>
      <c r="H245" s="14">
        <f t="shared" si="25"/>
        <v>0.2</v>
      </c>
      <c r="I245" s="14">
        <f t="shared" si="26"/>
        <v>0</v>
      </c>
      <c r="J245" s="14">
        <f t="shared" si="27"/>
        <v>0</v>
      </c>
      <c r="K245" s="15">
        <f>IF(CurrentMtgRatesDataTable8[[#This Row],[WA CC]]&lt;&gt;0,C244-CurrentMtgRatesDataTable8[[#This Row],[WA CC]],0)</f>
        <v>0</v>
      </c>
      <c r="L245" s="16">
        <f>IF(CurrentMtgRatesDataTable8[[#This Row],[Servicing Spread]]&lt;=0,L244,CurrentMtgRatesDataTable8[[#This Row],[Servicing Spread]])</f>
        <v>0.8393464554548542</v>
      </c>
      <c r="M245" s="16">
        <f>CurrentMtgRatesDataTable8[[#This Row],[Servicing Spread Non-Zero]]-L244</f>
        <v>0</v>
      </c>
      <c r="N245" s="16">
        <f>IF(J244&lt;&gt;0,CurrentMtgRatesDataTable8[[#This Row],[Rate]]-C244,N244)</f>
        <v>2.9999999999999805E-2</v>
      </c>
    </row>
    <row r="246" spans="1:14">
      <c r="A246" s="8" t="s">
        <v>491</v>
      </c>
      <c r="B246" s="11">
        <v>2.6414844586182298</v>
      </c>
      <c r="C246" s="13">
        <v>3.52</v>
      </c>
      <c r="D246" s="14">
        <f t="shared" si="21"/>
        <v>2</v>
      </c>
      <c r="E246" s="14">
        <f t="shared" si="22"/>
        <v>0.2</v>
      </c>
      <c r="F246" s="14">
        <f t="shared" si="23"/>
        <v>2</v>
      </c>
      <c r="G246" s="14">
        <f t="shared" si="24"/>
        <v>1.063551873955646</v>
      </c>
      <c r="H246" s="14">
        <f t="shared" si="25"/>
        <v>0.4</v>
      </c>
      <c r="I246" s="14">
        <f t="shared" si="26"/>
        <v>0</v>
      </c>
      <c r="J246" s="14">
        <f t="shared" si="27"/>
        <v>0</v>
      </c>
      <c r="K246" s="15">
        <f>IF(CurrentMtgRatesDataTable8[[#This Row],[WA CC]]&lt;&gt;0,C245-CurrentMtgRatesDataTable8[[#This Row],[WA CC]],0)</f>
        <v>0</v>
      </c>
      <c r="L246" s="16">
        <f>IF(CurrentMtgRatesDataTable8[[#This Row],[Servicing Spread]]&lt;=0,L245,CurrentMtgRatesDataTable8[[#This Row],[Servicing Spread]])</f>
        <v>0.8393464554548542</v>
      </c>
      <c r="M246" s="16">
        <f>CurrentMtgRatesDataTable8[[#This Row],[Servicing Spread Non-Zero]]-L245</f>
        <v>0</v>
      </c>
      <c r="N246" s="16">
        <f>IF(J245&lt;&gt;0,CurrentMtgRatesDataTable8[[#This Row],[Rate]]-C245,N245)</f>
        <v>2.9999999999999805E-2</v>
      </c>
    </row>
    <row r="247" spans="1:14">
      <c r="A247" s="8" t="s">
        <v>352</v>
      </c>
      <c r="B247" s="11">
        <v>2.6394759315969498</v>
      </c>
      <c r="C247" s="13">
        <v>3.52</v>
      </c>
      <c r="D247" s="14">
        <f t="shared" si="21"/>
        <v>5</v>
      </c>
      <c r="E247" s="14">
        <f t="shared" si="22"/>
        <v>0.2</v>
      </c>
      <c r="F247" s="14">
        <f t="shared" si="23"/>
        <v>3</v>
      </c>
      <c r="G247" s="14">
        <f t="shared" si="24"/>
        <v>1.5914470602750361</v>
      </c>
      <c r="H247" s="14">
        <f t="shared" si="25"/>
        <v>0.60000000000000009</v>
      </c>
      <c r="I247" s="14">
        <f t="shared" si="26"/>
        <v>0</v>
      </c>
      <c r="J247" s="14">
        <f t="shared" si="27"/>
        <v>0</v>
      </c>
      <c r="K247" s="15">
        <f>IF(CurrentMtgRatesDataTable8[[#This Row],[WA CC]]&lt;&gt;0,C246-CurrentMtgRatesDataTable8[[#This Row],[WA CC]],0)</f>
        <v>0</v>
      </c>
      <c r="L247" s="16">
        <f>IF(CurrentMtgRatesDataTable8[[#This Row],[Servicing Spread]]&lt;=0,L246,CurrentMtgRatesDataTable8[[#This Row],[Servicing Spread]])</f>
        <v>0.8393464554548542</v>
      </c>
      <c r="M247" s="16">
        <f>CurrentMtgRatesDataTable8[[#This Row],[Servicing Spread Non-Zero]]-L246</f>
        <v>0</v>
      </c>
      <c r="N247" s="16">
        <f>IF(J246&lt;&gt;0,CurrentMtgRatesDataTable8[[#This Row],[Rate]]-C246,N246)</f>
        <v>2.9999999999999805E-2</v>
      </c>
    </row>
    <row r="248" spans="1:14">
      <c r="A248" s="8" t="s">
        <v>212</v>
      </c>
      <c r="B248" s="11">
        <v>2.6425583507311501</v>
      </c>
      <c r="C248" s="13">
        <v>3.52</v>
      </c>
      <c r="D248" s="14">
        <f t="shared" si="21"/>
        <v>6</v>
      </c>
      <c r="E248" s="14">
        <f t="shared" si="22"/>
        <v>0.2</v>
      </c>
      <c r="F248" s="14">
        <f t="shared" si="23"/>
        <v>4</v>
      </c>
      <c r="G248" s="14">
        <f t="shared" si="24"/>
        <v>2.1199587304212661</v>
      </c>
      <c r="H248" s="14">
        <f t="shared" si="25"/>
        <v>0.8</v>
      </c>
      <c r="I248" s="14">
        <f t="shared" si="26"/>
        <v>0</v>
      </c>
      <c r="J248" s="14">
        <f t="shared" si="27"/>
        <v>0</v>
      </c>
      <c r="K248" s="15">
        <f>IF(CurrentMtgRatesDataTable8[[#This Row],[WA CC]]&lt;&gt;0,C247-CurrentMtgRatesDataTable8[[#This Row],[WA CC]],0)</f>
        <v>0</v>
      </c>
      <c r="L248" s="16">
        <f>IF(CurrentMtgRatesDataTable8[[#This Row],[Servicing Spread]]&lt;=0,L247,CurrentMtgRatesDataTable8[[#This Row],[Servicing Spread]])</f>
        <v>0.8393464554548542</v>
      </c>
      <c r="M248" s="16">
        <f>CurrentMtgRatesDataTable8[[#This Row],[Servicing Spread Non-Zero]]-L247</f>
        <v>0</v>
      </c>
      <c r="N248" s="16">
        <f>IF(J247&lt;&gt;0,CurrentMtgRatesDataTable8[[#This Row],[Rate]]-C247,N247)</f>
        <v>2.9999999999999805E-2</v>
      </c>
    </row>
    <row r="249" spans="1:14">
      <c r="A249" s="8" t="s">
        <v>69</v>
      </c>
      <c r="B249" s="11">
        <v>2.6080685310037901</v>
      </c>
      <c r="C249" s="13">
        <v>3.52</v>
      </c>
      <c r="D249" s="14">
        <f t="shared" si="21"/>
        <v>7</v>
      </c>
      <c r="E249" s="14">
        <f t="shared" si="22"/>
        <v>0.2</v>
      </c>
      <c r="F249" s="14">
        <f t="shared" si="23"/>
        <v>5</v>
      </c>
      <c r="G249" s="14">
        <f t="shared" si="24"/>
        <v>2.6415724366220243</v>
      </c>
      <c r="H249" s="14">
        <f t="shared" si="25"/>
        <v>1</v>
      </c>
      <c r="I249" s="14">
        <f t="shared" si="26"/>
        <v>1</v>
      </c>
      <c r="J249" s="14">
        <f t="shared" si="27"/>
        <v>2.6415724366220243</v>
      </c>
      <c r="K249" s="15">
        <f>IF(CurrentMtgRatesDataTable8[[#This Row],[WA CC]]&lt;&gt;0,C248-CurrentMtgRatesDataTable8[[#This Row],[WA CC]],0)</f>
        <v>0.87842756337797567</v>
      </c>
      <c r="L249" s="16">
        <f>IF(CurrentMtgRatesDataTable8[[#This Row],[Servicing Spread]]&lt;=0,L248,CurrentMtgRatesDataTable8[[#This Row],[Servicing Spread]])</f>
        <v>0.87842756337797567</v>
      </c>
      <c r="M249" s="16">
        <f>CurrentMtgRatesDataTable8[[#This Row],[Servicing Spread Non-Zero]]-L248</f>
        <v>3.9081107923121472E-2</v>
      </c>
      <c r="N249" s="16">
        <f>IF(J248&lt;&gt;0,CurrentMtgRatesDataTable8[[#This Row],[Rate]]-C248,N248)</f>
        <v>2.9999999999999805E-2</v>
      </c>
    </row>
    <row r="250" spans="1:14">
      <c r="A250" s="8" t="s">
        <v>635</v>
      </c>
      <c r="B250" s="11">
        <v>2.6143335780898398</v>
      </c>
      <c r="C250" s="13">
        <v>3.49</v>
      </c>
      <c r="D250" s="14">
        <f t="shared" si="21"/>
        <v>1</v>
      </c>
      <c r="E250" s="14">
        <f t="shared" si="22"/>
        <v>0.2</v>
      </c>
      <c r="F250" s="14">
        <f t="shared" si="23"/>
        <v>1</v>
      </c>
      <c r="G250" s="14">
        <f t="shared" si="24"/>
        <v>0.52286671561796794</v>
      </c>
      <c r="H250" s="14">
        <f t="shared" si="25"/>
        <v>0.2</v>
      </c>
      <c r="I250" s="14">
        <f t="shared" si="26"/>
        <v>0</v>
      </c>
      <c r="J250" s="14">
        <f t="shared" si="27"/>
        <v>0</v>
      </c>
      <c r="K250" s="15">
        <f>IF(CurrentMtgRatesDataTable8[[#This Row],[WA CC]]&lt;&gt;0,C249-CurrentMtgRatesDataTable8[[#This Row],[WA CC]],0)</f>
        <v>0</v>
      </c>
      <c r="L250" s="16">
        <f>IF(CurrentMtgRatesDataTable8[[#This Row],[Servicing Spread]]&lt;=0,L249,CurrentMtgRatesDataTable8[[#This Row],[Servicing Spread]])</f>
        <v>0.87842756337797567</v>
      </c>
      <c r="M250" s="16">
        <f>CurrentMtgRatesDataTable8[[#This Row],[Servicing Spread Non-Zero]]-L249</f>
        <v>0</v>
      </c>
      <c r="N250" s="16">
        <f>IF(J249&lt;&gt;0,CurrentMtgRatesDataTable8[[#This Row],[Rate]]-C249,N249)</f>
        <v>-2.9999999999999805E-2</v>
      </c>
    </row>
    <row r="251" spans="1:14">
      <c r="A251" s="8" t="s">
        <v>353</v>
      </c>
      <c r="B251" s="11">
        <v>2.5951295555522802</v>
      </c>
      <c r="C251" s="13">
        <v>3.49</v>
      </c>
      <c r="D251" s="14">
        <f t="shared" si="21"/>
        <v>5</v>
      </c>
      <c r="E251" s="14">
        <f t="shared" si="22"/>
        <v>0.2</v>
      </c>
      <c r="F251" s="14">
        <f t="shared" si="23"/>
        <v>2</v>
      </c>
      <c r="G251" s="14">
        <f t="shared" si="24"/>
        <v>1.0418926267284241</v>
      </c>
      <c r="H251" s="14">
        <f t="shared" si="25"/>
        <v>0.4</v>
      </c>
      <c r="I251" s="14">
        <f t="shared" si="26"/>
        <v>0</v>
      </c>
      <c r="J251" s="14">
        <f t="shared" si="27"/>
        <v>0</v>
      </c>
      <c r="K251" s="15">
        <f>IF(CurrentMtgRatesDataTable8[[#This Row],[WA CC]]&lt;&gt;0,C250-CurrentMtgRatesDataTable8[[#This Row],[WA CC]],0)</f>
        <v>0</v>
      </c>
      <c r="L251" s="16">
        <f>IF(CurrentMtgRatesDataTable8[[#This Row],[Servicing Spread]]&lt;=0,L250,CurrentMtgRatesDataTable8[[#This Row],[Servicing Spread]])</f>
        <v>0.87842756337797567</v>
      </c>
      <c r="M251" s="16">
        <f>CurrentMtgRatesDataTable8[[#This Row],[Servicing Spread Non-Zero]]-L250</f>
        <v>0</v>
      </c>
      <c r="N251" s="16">
        <f>IF(J250&lt;&gt;0,CurrentMtgRatesDataTable8[[#This Row],[Rate]]-C250,N250)</f>
        <v>-2.9999999999999805E-2</v>
      </c>
    </row>
    <row r="252" spans="1:14">
      <c r="A252" s="8" t="s">
        <v>213</v>
      </c>
      <c r="B252" s="11">
        <v>2.6101991222676499</v>
      </c>
      <c r="C252" s="13">
        <v>3.49</v>
      </c>
      <c r="D252" s="14">
        <f t="shared" si="21"/>
        <v>6</v>
      </c>
      <c r="E252" s="14">
        <f t="shared" si="22"/>
        <v>0.2</v>
      </c>
      <c r="F252" s="14">
        <f t="shared" si="23"/>
        <v>3</v>
      </c>
      <c r="G252" s="14">
        <f t="shared" si="24"/>
        <v>1.5639324511819541</v>
      </c>
      <c r="H252" s="14">
        <f t="shared" si="25"/>
        <v>0.60000000000000009</v>
      </c>
      <c r="I252" s="14">
        <f t="shared" si="26"/>
        <v>0</v>
      </c>
      <c r="J252" s="14">
        <f t="shared" si="27"/>
        <v>0</v>
      </c>
      <c r="K252" s="15">
        <f>IF(CurrentMtgRatesDataTable8[[#This Row],[WA CC]]&lt;&gt;0,C251-CurrentMtgRatesDataTable8[[#This Row],[WA CC]],0)</f>
        <v>0</v>
      </c>
      <c r="L252" s="16">
        <f>IF(CurrentMtgRatesDataTable8[[#This Row],[Servicing Spread]]&lt;=0,L251,CurrentMtgRatesDataTable8[[#This Row],[Servicing Spread]])</f>
        <v>0.87842756337797567</v>
      </c>
      <c r="M252" s="16">
        <f>CurrentMtgRatesDataTable8[[#This Row],[Servicing Spread Non-Zero]]-L251</f>
        <v>0</v>
      </c>
      <c r="N252" s="16">
        <f>IF(J251&lt;&gt;0,CurrentMtgRatesDataTable8[[#This Row],[Rate]]-C251,N251)</f>
        <v>-2.9999999999999805E-2</v>
      </c>
    </row>
    <row r="253" spans="1:14">
      <c r="A253" s="8" t="s">
        <v>70</v>
      </c>
      <c r="B253" s="11">
        <v>2.5647186741288901</v>
      </c>
      <c r="C253" s="13">
        <v>3.49</v>
      </c>
      <c r="D253" s="14">
        <f t="shared" si="21"/>
        <v>7</v>
      </c>
      <c r="E253" s="14">
        <f t="shared" si="22"/>
        <v>0.2</v>
      </c>
      <c r="F253" s="14">
        <f t="shared" si="23"/>
        <v>4</v>
      </c>
      <c r="G253" s="14">
        <f t="shared" si="24"/>
        <v>2.0768761860077323</v>
      </c>
      <c r="H253" s="14">
        <f t="shared" si="25"/>
        <v>0.8</v>
      </c>
      <c r="I253" s="14">
        <f t="shared" si="26"/>
        <v>1</v>
      </c>
      <c r="J253" s="14">
        <f t="shared" si="27"/>
        <v>2.5960952325096653</v>
      </c>
      <c r="K253" s="15">
        <f>IF(CurrentMtgRatesDataTable8[[#This Row],[WA CC]]&lt;&gt;0,C252-CurrentMtgRatesDataTable8[[#This Row],[WA CC]],0)</f>
        <v>0.89390476749033487</v>
      </c>
      <c r="L253" s="16">
        <f>IF(CurrentMtgRatesDataTable8[[#This Row],[Servicing Spread]]&lt;=0,L252,CurrentMtgRatesDataTable8[[#This Row],[Servicing Spread]])</f>
        <v>0.89390476749033487</v>
      </c>
      <c r="M253" s="16">
        <f>CurrentMtgRatesDataTable8[[#This Row],[Servicing Spread Non-Zero]]-L252</f>
        <v>1.54772041123592E-2</v>
      </c>
      <c r="N253" s="16">
        <f>IF(J252&lt;&gt;0,CurrentMtgRatesDataTable8[[#This Row],[Rate]]-C252,N252)</f>
        <v>-2.9999999999999805E-2</v>
      </c>
    </row>
    <row r="254" spans="1:14">
      <c r="A254" s="8" t="s">
        <v>636</v>
      </c>
      <c r="B254" s="11">
        <v>2.4858730996264899</v>
      </c>
      <c r="C254" s="13">
        <v>3.3800000000000003</v>
      </c>
      <c r="D254" s="14">
        <f t="shared" si="21"/>
        <v>1</v>
      </c>
      <c r="E254" s="14">
        <f t="shared" si="22"/>
        <v>0.2</v>
      </c>
      <c r="F254" s="14">
        <f t="shared" si="23"/>
        <v>1</v>
      </c>
      <c r="G254" s="14">
        <f t="shared" si="24"/>
        <v>0.49717461992529799</v>
      </c>
      <c r="H254" s="14">
        <f t="shared" si="25"/>
        <v>0.2</v>
      </c>
      <c r="I254" s="14">
        <f t="shared" si="26"/>
        <v>0</v>
      </c>
      <c r="J254" s="14">
        <f t="shared" si="27"/>
        <v>0</v>
      </c>
      <c r="K254" s="15">
        <f>IF(CurrentMtgRatesDataTable8[[#This Row],[WA CC]]&lt;&gt;0,C253-CurrentMtgRatesDataTable8[[#This Row],[WA CC]],0)</f>
        <v>0</v>
      </c>
      <c r="L254" s="16">
        <f>IF(CurrentMtgRatesDataTable8[[#This Row],[Servicing Spread]]&lt;=0,L253,CurrentMtgRatesDataTable8[[#This Row],[Servicing Spread]])</f>
        <v>0.89390476749033487</v>
      </c>
      <c r="M254" s="16">
        <f>CurrentMtgRatesDataTable8[[#This Row],[Servicing Spread Non-Zero]]-L253</f>
        <v>0</v>
      </c>
      <c r="N254" s="16">
        <f>IF(J253&lt;&gt;0,CurrentMtgRatesDataTable8[[#This Row],[Rate]]-C253,N253)</f>
        <v>-0.10999999999999988</v>
      </c>
    </row>
    <row r="255" spans="1:14">
      <c r="A255" s="8" t="s">
        <v>492</v>
      </c>
      <c r="B255" s="11">
        <v>2.4173832768427301</v>
      </c>
      <c r="C255" s="13">
        <v>3.3800000000000003</v>
      </c>
      <c r="D255" s="14">
        <f t="shared" si="21"/>
        <v>2</v>
      </c>
      <c r="E255" s="14">
        <f t="shared" si="22"/>
        <v>0.2</v>
      </c>
      <c r="F255" s="14">
        <f t="shared" si="23"/>
        <v>2</v>
      </c>
      <c r="G255" s="14">
        <f t="shared" si="24"/>
        <v>0.9806512752938441</v>
      </c>
      <c r="H255" s="14">
        <f t="shared" si="25"/>
        <v>0.4</v>
      </c>
      <c r="I255" s="14">
        <f t="shared" si="26"/>
        <v>0</v>
      </c>
      <c r="J255" s="14">
        <f t="shared" si="27"/>
        <v>0</v>
      </c>
      <c r="K255" s="15">
        <f>IF(CurrentMtgRatesDataTable8[[#This Row],[WA CC]]&lt;&gt;0,C254-CurrentMtgRatesDataTable8[[#This Row],[WA CC]],0)</f>
        <v>0</v>
      </c>
      <c r="L255" s="16">
        <f>IF(CurrentMtgRatesDataTable8[[#This Row],[Servicing Spread]]&lt;=0,L254,CurrentMtgRatesDataTable8[[#This Row],[Servicing Spread]])</f>
        <v>0.89390476749033487</v>
      </c>
      <c r="M255" s="16">
        <f>CurrentMtgRatesDataTable8[[#This Row],[Servicing Spread Non-Zero]]-L254</f>
        <v>0</v>
      </c>
      <c r="N255" s="16">
        <f>IF(J254&lt;&gt;0,CurrentMtgRatesDataTable8[[#This Row],[Rate]]-C254,N254)</f>
        <v>-0.10999999999999988</v>
      </c>
    </row>
    <row r="256" spans="1:14">
      <c r="A256" s="8" t="s">
        <v>354</v>
      </c>
      <c r="B256" s="11">
        <v>2.4769497822755899</v>
      </c>
      <c r="C256" s="13">
        <v>3.3800000000000003</v>
      </c>
      <c r="D256" s="14">
        <f t="shared" si="21"/>
        <v>5</v>
      </c>
      <c r="E256" s="14">
        <f t="shared" si="22"/>
        <v>0.2</v>
      </c>
      <c r="F256" s="14">
        <f t="shared" si="23"/>
        <v>3</v>
      </c>
      <c r="G256" s="14">
        <f t="shared" si="24"/>
        <v>1.4760412317489622</v>
      </c>
      <c r="H256" s="14">
        <f t="shared" si="25"/>
        <v>0.60000000000000009</v>
      </c>
      <c r="I256" s="14">
        <f t="shared" si="26"/>
        <v>0</v>
      </c>
      <c r="J256" s="14">
        <f t="shared" si="27"/>
        <v>0</v>
      </c>
      <c r="K256" s="15">
        <f>IF(CurrentMtgRatesDataTable8[[#This Row],[WA CC]]&lt;&gt;0,C255-CurrentMtgRatesDataTable8[[#This Row],[WA CC]],0)</f>
        <v>0</v>
      </c>
      <c r="L256" s="16">
        <f>IF(CurrentMtgRatesDataTable8[[#This Row],[Servicing Spread]]&lt;=0,L255,CurrentMtgRatesDataTable8[[#This Row],[Servicing Spread]])</f>
        <v>0.89390476749033487</v>
      </c>
      <c r="M256" s="16">
        <f>CurrentMtgRatesDataTable8[[#This Row],[Servicing Spread Non-Zero]]-L255</f>
        <v>0</v>
      </c>
      <c r="N256" s="16">
        <f>IF(J255&lt;&gt;0,CurrentMtgRatesDataTable8[[#This Row],[Rate]]-C255,N255)</f>
        <v>-0.10999999999999988</v>
      </c>
    </row>
    <row r="257" spans="1:14">
      <c r="A257" s="8" t="s">
        <v>214</v>
      </c>
      <c r="B257" s="11">
        <v>2.4893778182677</v>
      </c>
      <c r="C257" s="13">
        <v>3.3800000000000003</v>
      </c>
      <c r="D257" s="14">
        <f t="shared" si="21"/>
        <v>6</v>
      </c>
      <c r="E257" s="14">
        <f t="shared" si="22"/>
        <v>0.2</v>
      </c>
      <c r="F257" s="14">
        <f t="shared" si="23"/>
        <v>4</v>
      </c>
      <c r="G257" s="14">
        <f t="shared" si="24"/>
        <v>1.9739167954025021</v>
      </c>
      <c r="H257" s="14">
        <f t="shared" si="25"/>
        <v>0.8</v>
      </c>
      <c r="I257" s="14">
        <f t="shared" si="26"/>
        <v>0</v>
      </c>
      <c r="J257" s="14">
        <f t="shared" si="27"/>
        <v>0</v>
      </c>
      <c r="K257" s="15">
        <f>IF(CurrentMtgRatesDataTable8[[#This Row],[WA CC]]&lt;&gt;0,C256-CurrentMtgRatesDataTable8[[#This Row],[WA CC]],0)</f>
        <v>0</v>
      </c>
      <c r="L257" s="16">
        <f>IF(CurrentMtgRatesDataTable8[[#This Row],[Servicing Spread]]&lt;=0,L256,CurrentMtgRatesDataTable8[[#This Row],[Servicing Spread]])</f>
        <v>0.89390476749033487</v>
      </c>
      <c r="M257" s="16">
        <f>CurrentMtgRatesDataTable8[[#This Row],[Servicing Spread Non-Zero]]-L256</f>
        <v>0</v>
      </c>
      <c r="N257" s="16">
        <f>IF(J256&lt;&gt;0,CurrentMtgRatesDataTable8[[#This Row],[Rate]]-C256,N256)</f>
        <v>-0.10999999999999988</v>
      </c>
    </row>
    <row r="258" spans="1:14">
      <c r="A258" s="8" t="s">
        <v>71</v>
      </c>
      <c r="B258" s="11">
        <v>2.54479183649527</v>
      </c>
      <c r="C258" s="13">
        <v>3.3800000000000003</v>
      </c>
      <c r="D258" s="14">
        <f t="shared" si="21"/>
        <v>7</v>
      </c>
      <c r="E258" s="14">
        <f t="shared" si="22"/>
        <v>0.2</v>
      </c>
      <c r="F258" s="14">
        <f t="shared" si="23"/>
        <v>5</v>
      </c>
      <c r="G258" s="14">
        <f t="shared" si="24"/>
        <v>2.4828751627015562</v>
      </c>
      <c r="H258" s="14">
        <f t="shared" si="25"/>
        <v>1</v>
      </c>
      <c r="I258" s="14">
        <f t="shared" si="26"/>
        <v>1</v>
      </c>
      <c r="J258" s="14">
        <f t="shared" si="27"/>
        <v>2.4828751627015562</v>
      </c>
      <c r="K258" s="15">
        <f>IF(CurrentMtgRatesDataTable8[[#This Row],[WA CC]]&lt;&gt;0,C257-CurrentMtgRatesDataTable8[[#This Row],[WA CC]],0)</f>
        <v>0.89712483729844417</v>
      </c>
      <c r="L258" s="16">
        <f>IF(CurrentMtgRatesDataTable8[[#This Row],[Servicing Spread]]&lt;=0,L257,CurrentMtgRatesDataTable8[[#This Row],[Servicing Spread]])</f>
        <v>0.89712483729844417</v>
      </c>
      <c r="M258" s="16">
        <f>CurrentMtgRatesDataTable8[[#This Row],[Servicing Spread Non-Zero]]-L257</f>
        <v>3.2200698081092938E-3</v>
      </c>
      <c r="N258" s="16">
        <f>IF(J257&lt;&gt;0,CurrentMtgRatesDataTable8[[#This Row],[Rate]]-C257,N257)</f>
        <v>-0.10999999999999988</v>
      </c>
    </row>
    <row r="259" spans="1:14">
      <c r="A259" s="8" t="s">
        <v>637</v>
      </c>
      <c r="B259" s="11">
        <v>2.5180760618821498</v>
      </c>
      <c r="C259" s="13">
        <v>3.335</v>
      </c>
      <c r="D259" s="14">
        <f t="shared" si="21"/>
        <v>1</v>
      </c>
      <c r="E259" s="14">
        <f t="shared" si="22"/>
        <v>0.2</v>
      </c>
      <c r="F259" s="14">
        <f t="shared" si="23"/>
        <v>1</v>
      </c>
      <c r="G259" s="14">
        <f t="shared" si="24"/>
        <v>0.50361521237643003</v>
      </c>
      <c r="H259" s="14">
        <f t="shared" si="25"/>
        <v>0.2</v>
      </c>
      <c r="I259" s="14">
        <f t="shared" si="26"/>
        <v>0</v>
      </c>
      <c r="J259" s="14">
        <f t="shared" si="27"/>
        <v>0</v>
      </c>
      <c r="K259" s="15">
        <f>IF(CurrentMtgRatesDataTable8[[#This Row],[WA CC]]&lt;&gt;0,C258-CurrentMtgRatesDataTable8[[#This Row],[WA CC]],0)</f>
        <v>0</v>
      </c>
      <c r="L259" s="16">
        <f>IF(CurrentMtgRatesDataTable8[[#This Row],[Servicing Spread]]&lt;=0,L258,CurrentMtgRatesDataTable8[[#This Row],[Servicing Spread]])</f>
        <v>0.89712483729844417</v>
      </c>
      <c r="M259" s="16">
        <f>CurrentMtgRatesDataTable8[[#This Row],[Servicing Spread Non-Zero]]-L258</f>
        <v>0</v>
      </c>
      <c r="N259" s="16">
        <f>IF(J258&lt;&gt;0,CurrentMtgRatesDataTable8[[#This Row],[Rate]]-C258,N258)</f>
        <v>-4.5000000000000373E-2</v>
      </c>
    </row>
    <row r="260" spans="1:14">
      <c r="A260" s="8" t="s">
        <v>493</v>
      </c>
      <c r="B260" s="11">
        <v>2.4532379481842601</v>
      </c>
      <c r="C260" s="13">
        <v>3.335</v>
      </c>
      <c r="D260" s="14">
        <f t="shared" si="21"/>
        <v>2</v>
      </c>
      <c r="E260" s="14">
        <f t="shared" si="22"/>
        <v>0.2</v>
      </c>
      <c r="F260" s="14">
        <f t="shared" si="23"/>
        <v>2</v>
      </c>
      <c r="G260" s="14">
        <f t="shared" si="24"/>
        <v>0.9942628020132821</v>
      </c>
      <c r="H260" s="14">
        <f t="shared" si="25"/>
        <v>0.4</v>
      </c>
      <c r="I260" s="14">
        <f t="shared" si="26"/>
        <v>0</v>
      </c>
      <c r="J260" s="14">
        <f t="shared" si="27"/>
        <v>0</v>
      </c>
      <c r="K260" s="15">
        <f>IF(CurrentMtgRatesDataTable8[[#This Row],[WA CC]]&lt;&gt;0,C259-CurrentMtgRatesDataTable8[[#This Row],[WA CC]],0)</f>
        <v>0</v>
      </c>
      <c r="L260" s="16">
        <f>IF(CurrentMtgRatesDataTable8[[#This Row],[Servicing Spread]]&lt;=0,L259,CurrentMtgRatesDataTable8[[#This Row],[Servicing Spread]])</f>
        <v>0.89712483729844417</v>
      </c>
      <c r="M260" s="16">
        <f>CurrentMtgRatesDataTable8[[#This Row],[Servicing Spread Non-Zero]]-L259</f>
        <v>0</v>
      </c>
      <c r="N260" s="16">
        <f>IF(J259&lt;&gt;0,CurrentMtgRatesDataTable8[[#This Row],[Rate]]-C259,N259)</f>
        <v>-4.5000000000000373E-2</v>
      </c>
    </row>
    <row r="261" spans="1:14">
      <c r="A261" s="8" t="s">
        <v>355</v>
      </c>
      <c r="B261" s="11">
        <v>2.4306597894947899</v>
      </c>
      <c r="C261" s="13">
        <v>3.335</v>
      </c>
      <c r="D261" s="14">
        <f t="shared" ref="D261:D324" si="28">WEEKDAY(A261,14)</f>
        <v>5</v>
      </c>
      <c r="E261" s="14">
        <f t="shared" ref="E261:E324" si="29">VLOOKUP(D261,Q$5:R$11,2,FALSE)</f>
        <v>0.2</v>
      </c>
      <c r="F261" s="14">
        <f t="shared" ref="F261:F324" si="30">IF(AND(D261&gt;D260,F260&lt;6),F260+1,1)</f>
        <v>3</v>
      </c>
      <c r="G261" s="14">
        <f t="shared" ref="G261:G324" si="31">IF(F261&gt;F260,G260+B261*E261,B261*E261)</f>
        <v>1.4803947599122402</v>
      </c>
      <c r="H261" s="14">
        <f t="shared" ref="H261:H324" si="32">IF(AND(F261&lt;6,F261&gt;F260),E261+H260,E261)</f>
        <v>0.60000000000000009</v>
      </c>
      <c r="I261" s="14">
        <f t="shared" ref="I261:I324" si="33">IF(F261&gt;F262,1,0)</f>
        <v>0</v>
      </c>
      <c r="J261" s="14">
        <f t="shared" ref="J261:J324" si="34">IF(F261&gt;F262,G261/H261,0)</f>
        <v>0</v>
      </c>
      <c r="K261" s="15">
        <f>IF(CurrentMtgRatesDataTable8[[#This Row],[WA CC]]&lt;&gt;0,C260-CurrentMtgRatesDataTable8[[#This Row],[WA CC]],0)</f>
        <v>0</v>
      </c>
      <c r="L261" s="16">
        <f>IF(CurrentMtgRatesDataTable8[[#This Row],[Servicing Spread]]&lt;=0,L260,CurrentMtgRatesDataTable8[[#This Row],[Servicing Spread]])</f>
        <v>0.89712483729844417</v>
      </c>
      <c r="M261" s="16">
        <f>CurrentMtgRatesDataTable8[[#This Row],[Servicing Spread Non-Zero]]-L260</f>
        <v>0</v>
      </c>
      <c r="N261" s="16">
        <f>IF(J260&lt;&gt;0,CurrentMtgRatesDataTable8[[#This Row],[Rate]]-C260,N260)</f>
        <v>-4.5000000000000373E-2</v>
      </c>
    </row>
    <row r="262" spans="1:14">
      <c r="A262" s="8" t="s">
        <v>215</v>
      </c>
      <c r="B262" s="11">
        <v>2.45465029105896</v>
      </c>
      <c r="C262" s="13">
        <v>3.335</v>
      </c>
      <c r="D262" s="14">
        <f t="shared" si="28"/>
        <v>6</v>
      </c>
      <c r="E262" s="14">
        <f t="shared" si="29"/>
        <v>0.2</v>
      </c>
      <c r="F262" s="14">
        <f t="shared" si="30"/>
        <v>4</v>
      </c>
      <c r="G262" s="14">
        <f t="shared" si="31"/>
        <v>1.9713248181240322</v>
      </c>
      <c r="H262" s="14">
        <f t="shared" si="32"/>
        <v>0.8</v>
      </c>
      <c r="I262" s="14">
        <f t="shared" si="33"/>
        <v>0</v>
      </c>
      <c r="J262" s="14">
        <f t="shared" si="34"/>
        <v>0</v>
      </c>
      <c r="K262" s="15">
        <f>IF(CurrentMtgRatesDataTable8[[#This Row],[WA CC]]&lt;&gt;0,C261-CurrentMtgRatesDataTable8[[#This Row],[WA CC]],0)</f>
        <v>0</v>
      </c>
      <c r="L262" s="16">
        <f>IF(CurrentMtgRatesDataTable8[[#This Row],[Servicing Spread]]&lt;=0,L261,CurrentMtgRatesDataTable8[[#This Row],[Servicing Spread]])</f>
        <v>0.89712483729844417</v>
      </c>
      <c r="M262" s="16">
        <f>CurrentMtgRatesDataTable8[[#This Row],[Servicing Spread Non-Zero]]-L261</f>
        <v>0</v>
      </c>
      <c r="N262" s="16">
        <f>IF(J261&lt;&gt;0,CurrentMtgRatesDataTable8[[#This Row],[Rate]]-C261,N261)</f>
        <v>-4.5000000000000373E-2</v>
      </c>
    </row>
    <row r="263" spans="1:14">
      <c r="A263" s="8" t="s">
        <v>72</v>
      </c>
      <c r="B263" s="11">
        <v>2.4500518771238999</v>
      </c>
      <c r="C263" s="13">
        <v>3.335</v>
      </c>
      <c r="D263" s="14">
        <f t="shared" si="28"/>
        <v>7</v>
      </c>
      <c r="E263" s="14">
        <f t="shared" si="29"/>
        <v>0.2</v>
      </c>
      <c r="F263" s="14">
        <f t="shared" si="30"/>
        <v>5</v>
      </c>
      <c r="G263" s="14">
        <f t="shared" si="31"/>
        <v>2.4613351935488121</v>
      </c>
      <c r="H263" s="14">
        <f t="shared" si="32"/>
        <v>1</v>
      </c>
      <c r="I263" s="14">
        <f t="shared" si="33"/>
        <v>1</v>
      </c>
      <c r="J263" s="14">
        <f t="shared" si="34"/>
        <v>2.4613351935488121</v>
      </c>
      <c r="K263" s="15">
        <f>IF(CurrentMtgRatesDataTable8[[#This Row],[WA CC]]&lt;&gt;0,C262-CurrentMtgRatesDataTable8[[#This Row],[WA CC]],0)</f>
        <v>0.87366480645118783</v>
      </c>
      <c r="L263" s="16">
        <f>IF(CurrentMtgRatesDataTable8[[#This Row],[Servicing Spread]]&lt;=0,L262,CurrentMtgRatesDataTable8[[#This Row],[Servicing Spread]])</f>
        <v>0.87366480645118783</v>
      </c>
      <c r="M263" s="16">
        <f>CurrentMtgRatesDataTable8[[#This Row],[Servicing Spread Non-Zero]]-L262</f>
        <v>-2.3460030847256341E-2</v>
      </c>
      <c r="N263" s="16">
        <f>IF(J262&lt;&gt;0,CurrentMtgRatesDataTable8[[#This Row],[Rate]]-C262,N262)</f>
        <v>-4.5000000000000373E-2</v>
      </c>
    </row>
    <row r="264" spans="1:14">
      <c r="A264" s="8" t="s">
        <v>638</v>
      </c>
      <c r="B264" s="11">
        <v>2.43192110209089</v>
      </c>
      <c r="C264" s="13">
        <v>3.35</v>
      </c>
      <c r="D264" s="14">
        <f t="shared" si="28"/>
        <v>1</v>
      </c>
      <c r="E264" s="14">
        <f t="shared" si="29"/>
        <v>0.2</v>
      </c>
      <c r="F264" s="14">
        <f t="shared" si="30"/>
        <v>1</v>
      </c>
      <c r="G264" s="14">
        <f t="shared" si="31"/>
        <v>0.48638422041817803</v>
      </c>
      <c r="H264" s="14">
        <f t="shared" si="32"/>
        <v>0.2</v>
      </c>
      <c r="I264" s="14">
        <f t="shared" si="33"/>
        <v>0</v>
      </c>
      <c r="J264" s="14">
        <f t="shared" si="34"/>
        <v>0</v>
      </c>
      <c r="K264" s="15">
        <f>IF(CurrentMtgRatesDataTable8[[#This Row],[WA CC]]&lt;&gt;0,C263-CurrentMtgRatesDataTable8[[#This Row],[WA CC]],0)</f>
        <v>0</v>
      </c>
      <c r="L264" s="16">
        <f>IF(CurrentMtgRatesDataTable8[[#This Row],[Servicing Spread]]&lt;=0,L263,CurrentMtgRatesDataTable8[[#This Row],[Servicing Spread]])</f>
        <v>0.87366480645118783</v>
      </c>
      <c r="M264" s="16">
        <f>CurrentMtgRatesDataTable8[[#This Row],[Servicing Spread Non-Zero]]-L263</f>
        <v>0</v>
      </c>
      <c r="N264" s="16">
        <f>IF(J263&lt;&gt;0,CurrentMtgRatesDataTable8[[#This Row],[Rate]]-C263,N263)</f>
        <v>1.5000000000000124E-2</v>
      </c>
    </row>
    <row r="265" spans="1:14">
      <c r="A265" s="8" t="s">
        <v>494</v>
      </c>
      <c r="B265" s="11">
        <v>2.4478292625910401</v>
      </c>
      <c r="C265" s="13">
        <v>3.35</v>
      </c>
      <c r="D265" s="14">
        <f t="shared" si="28"/>
        <v>2</v>
      </c>
      <c r="E265" s="14">
        <f t="shared" si="29"/>
        <v>0.2</v>
      </c>
      <c r="F265" s="14">
        <f t="shared" si="30"/>
        <v>2</v>
      </c>
      <c r="G265" s="14">
        <f t="shared" si="31"/>
        <v>0.97595007293638614</v>
      </c>
      <c r="H265" s="14">
        <f t="shared" si="32"/>
        <v>0.4</v>
      </c>
      <c r="I265" s="14">
        <f t="shared" si="33"/>
        <v>0</v>
      </c>
      <c r="J265" s="14">
        <f t="shared" si="34"/>
        <v>0</v>
      </c>
      <c r="K265" s="15">
        <f>IF(CurrentMtgRatesDataTable8[[#This Row],[WA CC]]&lt;&gt;0,C264-CurrentMtgRatesDataTable8[[#This Row],[WA CC]],0)</f>
        <v>0</v>
      </c>
      <c r="L265" s="16">
        <f>IF(CurrentMtgRatesDataTable8[[#This Row],[Servicing Spread]]&lt;=0,L264,CurrentMtgRatesDataTable8[[#This Row],[Servicing Spread]])</f>
        <v>0.87366480645118783</v>
      </c>
      <c r="M265" s="16">
        <f>CurrentMtgRatesDataTable8[[#This Row],[Servicing Spread Non-Zero]]-L264</f>
        <v>0</v>
      </c>
      <c r="N265" s="16">
        <f>IF(J264&lt;&gt;0,CurrentMtgRatesDataTable8[[#This Row],[Rate]]-C264,N264)</f>
        <v>1.5000000000000124E-2</v>
      </c>
    </row>
    <row r="266" spans="1:14">
      <c r="A266" s="8" t="s">
        <v>356</v>
      </c>
      <c r="B266" s="11">
        <v>2.4460987781161698</v>
      </c>
      <c r="C266" s="13">
        <v>3.35</v>
      </c>
      <c r="D266" s="14">
        <f t="shared" si="28"/>
        <v>5</v>
      </c>
      <c r="E266" s="14">
        <f t="shared" si="29"/>
        <v>0.2</v>
      </c>
      <c r="F266" s="14">
        <f t="shared" si="30"/>
        <v>3</v>
      </c>
      <c r="G266" s="14">
        <f t="shared" si="31"/>
        <v>1.4651698285596202</v>
      </c>
      <c r="H266" s="14">
        <f t="shared" si="32"/>
        <v>0.60000000000000009</v>
      </c>
      <c r="I266" s="14">
        <f t="shared" si="33"/>
        <v>0</v>
      </c>
      <c r="J266" s="14">
        <f t="shared" si="34"/>
        <v>0</v>
      </c>
      <c r="K266" s="15">
        <f>IF(CurrentMtgRatesDataTable8[[#This Row],[WA CC]]&lt;&gt;0,C265-CurrentMtgRatesDataTable8[[#This Row],[WA CC]],0)</f>
        <v>0</v>
      </c>
      <c r="L266" s="16">
        <f>IF(CurrentMtgRatesDataTable8[[#This Row],[Servicing Spread]]&lt;=0,L265,CurrentMtgRatesDataTable8[[#This Row],[Servicing Spread]])</f>
        <v>0.87366480645118783</v>
      </c>
      <c r="M266" s="16">
        <f>CurrentMtgRatesDataTable8[[#This Row],[Servicing Spread Non-Zero]]-L265</f>
        <v>0</v>
      </c>
      <c r="N266" s="16">
        <f>IF(J265&lt;&gt;0,CurrentMtgRatesDataTable8[[#This Row],[Rate]]-C265,N265)</f>
        <v>1.5000000000000124E-2</v>
      </c>
    </row>
    <row r="267" spans="1:14">
      <c r="A267" s="8" t="s">
        <v>216</v>
      </c>
      <c r="B267" s="11">
        <v>2.4375323431689502</v>
      </c>
      <c r="C267" s="13">
        <v>3.35</v>
      </c>
      <c r="D267" s="14">
        <f t="shared" si="28"/>
        <v>6</v>
      </c>
      <c r="E267" s="14">
        <f t="shared" si="29"/>
        <v>0.2</v>
      </c>
      <c r="F267" s="14">
        <f t="shared" si="30"/>
        <v>4</v>
      </c>
      <c r="G267" s="14">
        <f t="shared" si="31"/>
        <v>1.9526762971934102</v>
      </c>
      <c r="H267" s="14">
        <f t="shared" si="32"/>
        <v>0.8</v>
      </c>
      <c r="I267" s="14">
        <f t="shared" si="33"/>
        <v>0</v>
      </c>
      <c r="J267" s="14">
        <f t="shared" si="34"/>
        <v>0</v>
      </c>
      <c r="K267" s="15">
        <f>IF(CurrentMtgRatesDataTable8[[#This Row],[WA CC]]&lt;&gt;0,C266-CurrentMtgRatesDataTable8[[#This Row],[WA CC]],0)</f>
        <v>0</v>
      </c>
      <c r="L267" s="16">
        <f>IF(CurrentMtgRatesDataTable8[[#This Row],[Servicing Spread]]&lt;=0,L266,CurrentMtgRatesDataTable8[[#This Row],[Servicing Spread]])</f>
        <v>0.87366480645118783</v>
      </c>
      <c r="M267" s="16">
        <f>CurrentMtgRatesDataTable8[[#This Row],[Servicing Spread Non-Zero]]-L266</f>
        <v>0</v>
      </c>
      <c r="N267" s="16">
        <f>IF(J266&lt;&gt;0,CurrentMtgRatesDataTable8[[#This Row],[Rate]]-C266,N266)</f>
        <v>1.5000000000000124E-2</v>
      </c>
    </row>
    <row r="268" spans="1:14">
      <c r="A268" s="8" t="s">
        <v>73</v>
      </c>
      <c r="B268" s="11">
        <v>2.4323883653727401</v>
      </c>
      <c r="C268" s="13">
        <v>3.35</v>
      </c>
      <c r="D268" s="14">
        <f t="shared" si="28"/>
        <v>7</v>
      </c>
      <c r="E268" s="14">
        <f t="shared" si="29"/>
        <v>0.2</v>
      </c>
      <c r="F268" s="14">
        <f t="shared" si="30"/>
        <v>5</v>
      </c>
      <c r="G268" s="14">
        <f t="shared" si="31"/>
        <v>2.4391539702679581</v>
      </c>
      <c r="H268" s="14">
        <f t="shared" si="32"/>
        <v>1</v>
      </c>
      <c r="I268" s="14">
        <f t="shared" si="33"/>
        <v>1</v>
      </c>
      <c r="J268" s="14">
        <f t="shared" si="34"/>
        <v>2.4391539702679581</v>
      </c>
      <c r="K268" s="15">
        <f>IF(CurrentMtgRatesDataTable8[[#This Row],[WA CC]]&lt;&gt;0,C267-CurrentMtgRatesDataTable8[[#This Row],[WA CC]],0)</f>
        <v>0.91084602973204198</v>
      </c>
      <c r="L268" s="16">
        <f>IF(CurrentMtgRatesDataTable8[[#This Row],[Servicing Spread]]&lt;=0,L267,CurrentMtgRatesDataTable8[[#This Row],[Servicing Spread]])</f>
        <v>0.91084602973204198</v>
      </c>
      <c r="M268" s="16">
        <f>CurrentMtgRatesDataTable8[[#This Row],[Servicing Spread Non-Zero]]-L267</f>
        <v>3.7181223280854159E-2</v>
      </c>
      <c r="N268" s="16">
        <f>IF(J267&lt;&gt;0,CurrentMtgRatesDataTable8[[#This Row],[Rate]]-C267,N267)</f>
        <v>1.5000000000000124E-2</v>
      </c>
    </row>
    <row r="269" spans="1:14">
      <c r="A269" s="8" t="s">
        <v>639</v>
      </c>
      <c r="B269" s="11">
        <v>2.4323453281375</v>
      </c>
      <c r="C269" s="13">
        <v>3.2749999999999999</v>
      </c>
      <c r="D269" s="14">
        <f t="shared" si="28"/>
        <v>1</v>
      </c>
      <c r="E269" s="14">
        <f t="shared" si="29"/>
        <v>0.2</v>
      </c>
      <c r="F269" s="14">
        <f t="shared" si="30"/>
        <v>1</v>
      </c>
      <c r="G269" s="14">
        <f t="shared" si="31"/>
        <v>0.48646906562750003</v>
      </c>
      <c r="H269" s="14">
        <f t="shared" si="32"/>
        <v>0.2</v>
      </c>
      <c r="I269" s="14">
        <f t="shared" si="33"/>
        <v>0</v>
      </c>
      <c r="J269" s="14">
        <f t="shared" si="34"/>
        <v>0</v>
      </c>
      <c r="K269" s="15">
        <f>IF(CurrentMtgRatesDataTable8[[#This Row],[WA CC]]&lt;&gt;0,C268-CurrentMtgRatesDataTable8[[#This Row],[WA CC]],0)</f>
        <v>0</v>
      </c>
      <c r="L269" s="16">
        <f>IF(CurrentMtgRatesDataTable8[[#This Row],[Servicing Spread]]&lt;=0,L268,CurrentMtgRatesDataTable8[[#This Row],[Servicing Spread]])</f>
        <v>0.91084602973204198</v>
      </c>
      <c r="M269" s="16">
        <f>CurrentMtgRatesDataTable8[[#This Row],[Servicing Spread Non-Zero]]-L268</f>
        <v>0</v>
      </c>
      <c r="N269" s="16">
        <f>IF(J268&lt;&gt;0,CurrentMtgRatesDataTable8[[#This Row],[Rate]]-C268,N268)</f>
        <v>-7.5000000000000178E-2</v>
      </c>
    </row>
    <row r="270" spans="1:14">
      <c r="A270" s="8" t="s">
        <v>495</v>
      </c>
      <c r="B270" s="11">
        <v>2.3795080679074299</v>
      </c>
      <c r="C270" s="13">
        <v>3.2749999999999999</v>
      </c>
      <c r="D270" s="14">
        <f t="shared" si="28"/>
        <v>2</v>
      </c>
      <c r="E270" s="14">
        <f t="shared" si="29"/>
        <v>0.2</v>
      </c>
      <c r="F270" s="14">
        <f t="shared" si="30"/>
        <v>2</v>
      </c>
      <c r="G270" s="14">
        <f t="shared" si="31"/>
        <v>0.962370679208986</v>
      </c>
      <c r="H270" s="14">
        <f t="shared" si="32"/>
        <v>0.4</v>
      </c>
      <c r="I270" s="14">
        <f t="shared" si="33"/>
        <v>0</v>
      </c>
      <c r="J270" s="14">
        <f t="shared" si="34"/>
        <v>0</v>
      </c>
      <c r="K270" s="15">
        <f>IF(CurrentMtgRatesDataTable8[[#This Row],[WA CC]]&lt;&gt;0,C269-CurrentMtgRatesDataTable8[[#This Row],[WA CC]],0)</f>
        <v>0</v>
      </c>
      <c r="L270" s="16">
        <f>IF(CurrentMtgRatesDataTable8[[#This Row],[Servicing Spread]]&lt;=0,L269,CurrentMtgRatesDataTable8[[#This Row],[Servicing Spread]])</f>
        <v>0.91084602973204198</v>
      </c>
      <c r="M270" s="16">
        <f>CurrentMtgRatesDataTable8[[#This Row],[Servicing Spread Non-Zero]]-L269</f>
        <v>0</v>
      </c>
      <c r="N270" s="16">
        <f>IF(J269&lt;&gt;0,CurrentMtgRatesDataTable8[[#This Row],[Rate]]-C269,N269)</f>
        <v>-7.5000000000000178E-2</v>
      </c>
    </row>
    <row r="271" spans="1:14">
      <c r="A271" s="8" t="s">
        <v>357</v>
      </c>
      <c r="B271" s="11">
        <v>2.37447920783596</v>
      </c>
      <c r="C271" s="13">
        <v>3.2749999999999999</v>
      </c>
      <c r="D271" s="14">
        <f t="shared" si="28"/>
        <v>5</v>
      </c>
      <c r="E271" s="14">
        <f t="shared" si="29"/>
        <v>0.2</v>
      </c>
      <c r="F271" s="14">
        <f t="shared" si="30"/>
        <v>3</v>
      </c>
      <c r="G271" s="14">
        <f t="shared" si="31"/>
        <v>1.4372665207761779</v>
      </c>
      <c r="H271" s="14">
        <f t="shared" si="32"/>
        <v>0.60000000000000009</v>
      </c>
      <c r="I271" s="14">
        <f t="shared" si="33"/>
        <v>0</v>
      </c>
      <c r="J271" s="14">
        <f t="shared" si="34"/>
        <v>0</v>
      </c>
      <c r="K271" s="15">
        <f>IF(CurrentMtgRatesDataTable8[[#This Row],[WA CC]]&lt;&gt;0,C270-CurrentMtgRatesDataTable8[[#This Row],[WA CC]],0)</f>
        <v>0</v>
      </c>
      <c r="L271" s="16">
        <f>IF(CurrentMtgRatesDataTable8[[#This Row],[Servicing Spread]]&lt;=0,L270,CurrentMtgRatesDataTable8[[#This Row],[Servicing Spread]])</f>
        <v>0.91084602973204198</v>
      </c>
      <c r="M271" s="16">
        <f>CurrentMtgRatesDataTable8[[#This Row],[Servicing Spread Non-Zero]]-L270</f>
        <v>0</v>
      </c>
      <c r="N271" s="16">
        <f>IF(J270&lt;&gt;0,CurrentMtgRatesDataTable8[[#This Row],[Rate]]-C270,N270)</f>
        <v>-7.5000000000000178E-2</v>
      </c>
    </row>
    <row r="272" spans="1:14">
      <c r="A272" s="8" t="s">
        <v>217</v>
      </c>
      <c r="B272" s="11">
        <v>2.3535373905486399</v>
      </c>
      <c r="C272" s="13">
        <v>3.2749999999999999</v>
      </c>
      <c r="D272" s="14">
        <f t="shared" si="28"/>
        <v>6</v>
      </c>
      <c r="E272" s="14">
        <f t="shared" si="29"/>
        <v>0.2</v>
      </c>
      <c r="F272" s="14">
        <f t="shared" si="30"/>
        <v>4</v>
      </c>
      <c r="G272" s="14">
        <f t="shared" si="31"/>
        <v>1.9079739988859059</v>
      </c>
      <c r="H272" s="14">
        <f t="shared" si="32"/>
        <v>0.8</v>
      </c>
      <c r="I272" s="14">
        <f t="shared" si="33"/>
        <v>0</v>
      </c>
      <c r="J272" s="14">
        <f t="shared" si="34"/>
        <v>0</v>
      </c>
      <c r="K272" s="15">
        <f>IF(CurrentMtgRatesDataTable8[[#This Row],[WA CC]]&lt;&gt;0,C271-CurrentMtgRatesDataTable8[[#This Row],[WA CC]],0)</f>
        <v>0</v>
      </c>
      <c r="L272" s="16">
        <f>IF(CurrentMtgRatesDataTable8[[#This Row],[Servicing Spread]]&lt;=0,L271,CurrentMtgRatesDataTable8[[#This Row],[Servicing Spread]])</f>
        <v>0.91084602973204198</v>
      </c>
      <c r="M272" s="16">
        <f>CurrentMtgRatesDataTable8[[#This Row],[Servicing Spread Non-Zero]]-L271</f>
        <v>0</v>
      </c>
      <c r="N272" s="16">
        <f>IF(J271&lt;&gt;0,CurrentMtgRatesDataTable8[[#This Row],[Rate]]-C271,N271)</f>
        <v>-7.5000000000000178E-2</v>
      </c>
    </row>
    <row r="273" spans="1:14">
      <c r="A273" s="8" t="s">
        <v>74</v>
      </c>
      <c r="B273" s="11">
        <v>2.31035596660836</v>
      </c>
      <c r="C273" s="13">
        <v>3.2749999999999999</v>
      </c>
      <c r="D273" s="14">
        <f t="shared" si="28"/>
        <v>7</v>
      </c>
      <c r="E273" s="14">
        <f t="shared" si="29"/>
        <v>0.2</v>
      </c>
      <c r="F273" s="14">
        <f t="shared" si="30"/>
        <v>5</v>
      </c>
      <c r="G273" s="14">
        <f t="shared" si="31"/>
        <v>2.370045192207578</v>
      </c>
      <c r="H273" s="14">
        <f t="shared" si="32"/>
        <v>1</v>
      </c>
      <c r="I273" s="14">
        <f t="shared" si="33"/>
        <v>1</v>
      </c>
      <c r="J273" s="14">
        <f t="shared" si="34"/>
        <v>2.370045192207578</v>
      </c>
      <c r="K273" s="15">
        <f>IF(CurrentMtgRatesDataTable8[[#This Row],[WA CC]]&lt;&gt;0,C272-CurrentMtgRatesDataTable8[[#This Row],[WA CC]],0)</f>
        <v>0.90495480779242188</v>
      </c>
      <c r="L273" s="16">
        <f>IF(CurrentMtgRatesDataTable8[[#This Row],[Servicing Spread]]&lt;=0,L272,CurrentMtgRatesDataTable8[[#This Row],[Servicing Spread]])</f>
        <v>0.90495480779242188</v>
      </c>
      <c r="M273" s="16">
        <f>CurrentMtgRatesDataTable8[[#This Row],[Servicing Spread Non-Zero]]-L272</f>
        <v>-5.891221939620106E-3</v>
      </c>
      <c r="N273" s="16">
        <f>IF(J272&lt;&gt;0,CurrentMtgRatesDataTable8[[#This Row],[Rate]]-C272,N272)</f>
        <v>-7.5000000000000178E-2</v>
      </c>
    </row>
    <row r="274" spans="1:14">
      <c r="A274" s="8" t="s">
        <v>640</v>
      </c>
      <c r="B274" s="11">
        <v>2.3421036791460899</v>
      </c>
      <c r="C274" s="13">
        <v>3.3449999999999998</v>
      </c>
      <c r="D274" s="14">
        <f t="shared" si="28"/>
        <v>1</v>
      </c>
      <c r="E274" s="14">
        <f t="shared" si="29"/>
        <v>0.2</v>
      </c>
      <c r="F274" s="14">
        <f t="shared" si="30"/>
        <v>1</v>
      </c>
      <c r="G274" s="14">
        <f t="shared" si="31"/>
        <v>0.468420735829218</v>
      </c>
      <c r="H274" s="14">
        <f t="shared" si="32"/>
        <v>0.2</v>
      </c>
      <c r="I274" s="14">
        <f t="shared" si="33"/>
        <v>0</v>
      </c>
      <c r="J274" s="14">
        <f t="shared" si="34"/>
        <v>0</v>
      </c>
      <c r="K274" s="15">
        <f>IF(CurrentMtgRatesDataTable8[[#This Row],[WA CC]]&lt;&gt;0,C273-CurrentMtgRatesDataTable8[[#This Row],[WA CC]],0)</f>
        <v>0</v>
      </c>
      <c r="L274" s="16">
        <f>IF(CurrentMtgRatesDataTable8[[#This Row],[Servicing Spread]]&lt;=0,L273,CurrentMtgRatesDataTable8[[#This Row],[Servicing Spread]])</f>
        <v>0.90495480779242188</v>
      </c>
      <c r="M274" s="16">
        <f>CurrentMtgRatesDataTable8[[#This Row],[Servicing Spread Non-Zero]]-L273</f>
        <v>0</v>
      </c>
      <c r="N274" s="16">
        <f>IF(J273&lt;&gt;0,CurrentMtgRatesDataTable8[[#This Row],[Rate]]-C273,N273)</f>
        <v>6.999999999999984E-2</v>
      </c>
    </row>
    <row r="275" spans="1:14">
      <c r="A275" s="8" t="s">
        <v>496</v>
      </c>
      <c r="B275" s="11">
        <v>2.4561501214153099</v>
      </c>
      <c r="C275" s="13">
        <v>3.3449999999999998</v>
      </c>
      <c r="D275" s="14">
        <f t="shared" si="28"/>
        <v>2</v>
      </c>
      <c r="E275" s="14">
        <f t="shared" si="29"/>
        <v>0.2</v>
      </c>
      <c r="F275" s="14">
        <f t="shared" si="30"/>
        <v>2</v>
      </c>
      <c r="G275" s="14">
        <f t="shared" si="31"/>
        <v>0.95965076011228001</v>
      </c>
      <c r="H275" s="14">
        <f t="shared" si="32"/>
        <v>0.4</v>
      </c>
      <c r="I275" s="14">
        <f t="shared" si="33"/>
        <v>0</v>
      </c>
      <c r="J275" s="14">
        <f t="shared" si="34"/>
        <v>0</v>
      </c>
      <c r="K275" s="15">
        <f>IF(CurrentMtgRatesDataTable8[[#This Row],[WA CC]]&lt;&gt;0,C274-CurrentMtgRatesDataTable8[[#This Row],[WA CC]],0)</f>
        <v>0</v>
      </c>
      <c r="L275" s="16">
        <f>IF(CurrentMtgRatesDataTable8[[#This Row],[Servicing Spread]]&lt;=0,L274,CurrentMtgRatesDataTable8[[#This Row],[Servicing Spread]])</f>
        <v>0.90495480779242188</v>
      </c>
      <c r="M275" s="16">
        <f>CurrentMtgRatesDataTable8[[#This Row],[Servicing Spread Non-Zero]]-L274</f>
        <v>0</v>
      </c>
      <c r="N275" s="16">
        <f>IF(J274&lt;&gt;0,CurrentMtgRatesDataTable8[[#This Row],[Rate]]-C274,N274)</f>
        <v>6.999999999999984E-2</v>
      </c>
    </row>
    <row r="276" spans="1:14">
      <c r="A276" s="8" t="s">
        <v>358</v>
      </c>
      <c r="B276" s="11">
        <v>2.4724031733010898</v>
      </c>
      <c r="C276" s="13">
        <v>3.3449999999999998</v>
      </c>
      <c r="D276" s="14">
        <f t="shared" si="28"/>
        <v>5</v>
      </c>
      <c r="E276" s="14">
        <f t="shared" si="29"/>
        <v>0.2</v>
      </c>
      <c r="F276" s="14">
        <f t="shared" si="30"/>
        <v>3</v>
      </c>
      <c r="G276" s="14">
        <f t="shared" si="31"/>
        <v>1.4541313947724981</v>
      </c>
      <c r="H276" s="14">
        <f t="shared" si="32"/>
        <v>0.60000000000000009</v>
      </c>
      <c r="I276" s="14">
        <f t="shared" si="33"/>
        <v>0</v>
      </c>
      <c r="J276" s="14">
        <f t="shared" si="34"/>
        <v>0</v>
      </c>
      <c r="K276" s="15">
        <f>IF(CurrentMtgRatesDataTable8[[#This Row],[WA CC]]&lt;&gt;0,C275-CurrentMtgRatesDataTable8[[#This Row],[WA CC]],0)</f>
        <v>0</v>
      </c>
      <c r="L276" s="16">
        <f>IF(CurrentMtgRatesDataTable8[[#This Row],[Servicing Spread]]&lt;=0,L275,CurrentMtgRatesDataTable8[[#This Row],[Servicing Spread]])</f>
        <v>0.90495480779242188</v>
      </c>
      <c r="M276" s="16">
        <f>CurrentMtgRatesDataTable8[[#This Row],[Servicing Spread Non-Zero]]-L275</f>
        <v>0</v>
      </c>
      <c r="N276" s="16">
        <f>IF(J275&lt;&gt;0,CurrentMtgRatesDataTable8[[#This Row],[Rate]]-C275,N275)</f>
        <v>6.999999999999984E-2</v>
      </c>
    </row>
    <row r="277" spans="1:14">
      <c r="A277" s="8" t="s">
        <v>218</v>
      </c>
      <c r="B277" s="11">
        <v>2.48894298716524</v>
      </c>
      <c r="C277" s="13">
        <v>3.3449999999999998</v>
      </c>
      <c r="D277" s="14">
        <f t="shared" si="28"/>
        <v>6</v>
      </c>
      <c r="E277" s="14">
        <f t="shared" si="29"/>
        <v>0.2</v>
      </c>
      <c r="F277" s="14">
        <f t="shared" si="30"/>
        <v>4</v>
      </c>
      <c r="G277" s="14">
        <f t="shared" si="31"/>
        <v>1.9519199922055461</v>
      </c>
      <c r="H277" s="14">
        <f t="shared" si="32"/>
        <v>0.8</v>
      </c>
      <c r="I277" s="14">
        <f t="shared" si="33"/>
        <v>0</v>
      </c>
      <c r="J277" s="14">
        <f t="shared" si="34"/>
        <v>0</v>
      </c>
      <c r="K277" s="15">
        <f>IF(CurrentMtgRatesDataTable8[[#This Row],[WA CC]]&lt;&gt;0,C276-CurrentMtgRatesDataTable8[[#This Row],[WA CC]],0)</f>
        <v>0</v>
      </c>
      <c r="L277" s="16">
        <f>IF(CurrentMtgRatesDataTable8[[#This Row],[Servicing Spread]]&lt;=0,L276,CurrentMtgRatesDataTable8[[#This Row],[Servicing Spread]])</f>
        <v>0.90495480779242188</v>
      </c>
      <c r="M277" s="16">
        <f>CurrentMtgRatesDataTable8[[#This Row],[Servicing Spread Non-Zero]]-L276</f>
        <v>0</v>
      </c>
      <c r="N277" s="16">
        <f>IF(J276&lt;&gt;0,CurrentMtgRatesDataTable8[[#This Row],[Rate]]-C276,N276)</f>
        <v>6.999999999999984E-2</v>
      </c>
    </row>
    <row r="278" spans="1:14">
      <c r="A278" s="8" t="s">
        <v>75</v>
      </c>
      <c r="B278" s="11">
        <v>2.4724453435903899</v>
      </c>
      <c r="C278" s="13">
        <v>3.3449999999999998</v>
      </c>
      <c r="D278" s="14">
        <f t="shared" si="28"/>
        <v>7</v>
      </c>
      <c r="E278" s="14">
        <f t="shared" si="29"/>
        <v>0.2</v>
      </c>
      <c r="F278" s="14">
        <f t="shared" si="30"/>
        <v>5</v>
      </c>
      <c r="G278" s="14">
        <f t="shared" si="31"/>
        <v>2.446409060923624</v>
      </c>
      <c r="H278" s="14">
        <f t="shared" si="32"/>
        <v>1</v>
      </c>
      <c r="I278" s="14">
        <f t="shared" si="33"/>
        <v>1</v>
      </c>
      <c r="J278" s="14">
        <f t="shared" si="34"/>
        <v>2.446409060923624</v>
      </c>
      <c r="K278" s="15">
        <f>IF(CurrentMtgRatesDataTable8[[#This Row],[WA CC]]&lt;&gt;0,C277-CurrentMtgRatesDataTable8[[#This Row],[WA CC]],0)</f>
        <v>0.89859093907637577</v>
      </c>
      <c r="L278" s="16">
        <f>IF(CurrentMtgRatesDataTable8[[#This Row],[Servicing Spread]]&lt;=0,L277,CurrentMtgRatesDataTable8[[#This Row],[Servicing Spread]])</f>
        <v>0.89859093907637577</v>
      </c>
      <c r="M278" s="16">
        <f>CurrentMtgRatesDataTable8[[#This Row],[Servicing Spread Non-Zero]]-L277</f>
        <v>-6.363868716046106E-3</v>
      </c>
      <c r="N278" s="16">
        <f>IF(J277&lt;&gt;0,CurrentMtgRatesDataTable8[[#This Row],[Rate]]-C277,N277)</f>
        <v>6.999999999999984E-2</v>
      </c>
    </row>
    <row r="279" spans="1:14">
      <c r="A279" s="8" t="s">
        <v>641</v>
      </c>
      <c r="B279" s="11">
        <v>2.49665490312618</v>
      </c>
      <c r="C279" s="13">
        <v>3.4349999999999996</v>
      </c>
      <c r="D279" s="14">
        <f t="shared" si="28"/>
        <v>1</v>
      </c>
      <c r="E279" s="14">
        <f t="shared" si="29"/>
        <v>0.2</v>
      </c>
      <c r="F279" s="14">
        <f t="shared" si="30"/>
        <v>1</v>
      </c>
      <c r="G279" s="14">
        <f t="shared" si="31"/>
        <v>0.49933098062523601</v>
      </c>
      <c r="H279" s="14">
        <f t="shared" si="32"/>
        <v>0.2</v>
      </c>
      <c r="I279" s="14">
        <f t="shared" si="33"/>
        <v>0</v>
      </c>
      <c r="J279" s="14">
        <f t="shared" si="34"/>
        <v>0</v>
      </c>
      <c r="K279" s="15">
        <f>IF(CurrentMtgRatesDataTable8[[#This Row],[WA CC]]&lt;&gt;0,C278-CurrentMtgRatesDataTable8[[#This Row],[WA CC]],0)</f>
        <v>0</v>
      </c>
      <c r="L279" s="16">
        <f>IF(CurrentMtgRatesDataTable8[[#This Row],[Servicing Spread]]&lt;=0,L278,CurrentMtgRatesDataTable8[[#This Row],[Servicing Spread]])</f>
        <v>0.89859093907637577</v>
      </c>
      <c r="M279" s="16">
        <f>CurrentMtgRatesDataTable8[[#This Row],[Servicing Spread Non-Zero]]-L278</f>
        <v>0</v>
      </c>
      <c r="N279" s="16">
        <f>IF(J278&lt;&gt;0,CurrentMtgRatesDataTable8[[#This Row],[Rate]]-C278,N278)</f>
        <v>8.9999999999999858E-2</v>
      </c>
    </row>
    <row r="280" spans="1:14">
      <c r="A280" s="8" t="s">
        <v>497</v>
      </c>
      <c r="B280" s="11">
        <v>2.5868571182044802</v>
      </c>
      <c r="C280" s="13">
        <v>3.4349999999999996</v>
      </c>
      <c r="D280" s="14">
        <f t="shared" si="28"/>
        <v>2</v>
      </c>
      <c r="E280" s="14">
        <f t="shared" si="29"/>
        <v>0.2</v>
      </c>
      <c r="F280" s="14">
        <f t="shared" si="30"/>
        <v>2</v>
      </c>
      <c r="G280" s="14">
        <f t="shared" si="31"/>
        <v>1.0167024042661321</v>
      </c>
      <c r="H280" s="14">
        <f t="shared" si="32"/>
        <v>0.4</v>
      </c>
      <c r="I280" s="14">
        <f t="shared" si="33"/>
        <v>0</v>
      </c>
      <c r="J280" s="14">
        <f t="shared" si="34"/>
        <v>0</v>
      </c>
      <c r="K280" s="15">
        <f>IF(CurrentMtgRatesDataTable8[[#This Row],[WA CC]]&lt;&gt;0,C279-CurrentMtgRatesDataTable8[[#This Row],[WA CC]],0)</f>
        <v>0</v>
      </c>
      <c r="L280" s="16">
        <f>IF(CurrentMtgRatesDataTable8[[#This Row],[Servicing Spread]]&lt;=0,L279,CurrentMtgRatesDataTable8[[#This Row],[Servicing Spread]])</f>
        <v>0.89859093907637577</v>
      </c>
      <c r="M280" s="16">
        <f>CurrentMtgRatesDataTable8[[#This Row],[Servicing Spread Non-Zero]]-L279</f>
        <v>0</v>
      </c>
      <c r="N280" s="16">
        <f>IF(J279&lt;&gt;0,CurrentMtgRatesDataTable8[[#This Row],[Rate]]-C279,N279)</f>
        <v>8.9999999999999858E-2</v>
      </c>
    </row>
    <row r="281" spans="1:14">
      <c r="A281" s="8" t="s">
        <v>359</v>
      </c>
      <c r="B281" s="11">
        <v>2.6209995675214</v>
      </c>
      <c r="C281" s="13">
        <v>3.4349999999999996</v>
      </c>
      <c r="D281" s="14">
        <f t="shared" si="28"/>
        <v>5</v>
      </c>
      <c r="E281" s="14">
        <f t="shared" si="29"/>
        <v>0.2</v>
      </c>
      <c r="F281" s="14">
        <f t="shared" si="30"/>
        <v>3</v>
      </c>
      <c r="G281" s="14">
        <f t="shared" si="31"/>
        <v>1.5409023177704122</v>
      </c>
      <c r="H281" s="14">
        <f t="shared" si="32"/>
        <v>0.60000000000000009</v>
      </c>
      <c r="I281" s="14">
        <f t="shared" si="33"/>
        <v>0</v>
      </c>
      <c r="J281" s="14">
        <f t="shared" si="34"/>
        <v>0</v>
      </c>
      <c r="K281" s="15">
        <f>IF(CurrentMtgRatesDataTable8[[#This Row],[WA CC]]&lt;&gt;0,C280-CurrentMtgRatesDataTable8[[#This Row],[WA CC]],0)</f>
        <v>0</v>
      </c>
      <c r="L281" s="16">
        <f>IF(CurrentMtgRatesDataTable8[[#This Row],[Servicing Spread]]&lt;=0,L280,CurrentMtgRatesDataTable8[[#This Row],[Servicing Spread]])</f>
        <v>0.89859093907637577</v>
      </c>
      <c r="M281" s="16">
        <f>CurrentMtgRatesDataTable8[[#This Row],[Servicing Spread Non-Zero]]-L280</f>
        <v>0</v>
      </c>
      <c r="N281" s="16">
        <f>IF(J280&lt;&gt;0,CurrentMtgRatesDataTable8[[#This Row],[Rate]]-C280,N280)</f>
        <v>8.9999999999999858E-2</v>
      </c>
    </row>
    <row r="282" spans="1:14">
      <c r="A282" s="8" t="s">
        <v>219</v>
      </c>
      <c r="B282" s="11">
        <v>2.6627244928863401</v>
      </c>
      <c r="C282" s="13">
        <v>3.4349999999999996</v>
      </c>
      <c r="D282" s="14">
        <f t="shared" si="28"/>
        <v>6</v>
      </c>
      <c r="E282" s="14">
        <f t="shared" si="29"/>
        <v>0.2</v>
      </c>
      <c r="F282" s="14">
        <f t="shared" si="30"/>
        <v>4</v>
      </c>
      <c r="G282" s="14">
        <f t="shared" si="31"/>
        <v>2.07344721634768</v>
      </c>
      <c r="H282" s="14">
        <f t="shared" si="32"/>
        <v>0.8</v>
      </c>
      <c r="I282" s="14">
        <f t="shared" si="33"/>
        <v>0</v>
      </c>
      <c r="J282" s="14">
        <f t="shared" si="34"/>
        <v>0</v>
      </c>
      <c r="K282" s="15">
        <f>IF(CurrentMtgRatesDataTable8[[#This Row],[WA CC]]&lt;&gt;0,C281-CurrentMtgRatesDataTable8[[#This Row],[WA CC]],0)</f>
        <v>0</v>
      </c>
      <c r="L282" s="16">
        <f>IF(CurrentMtgRatesDataTable8[[#This Row],[Servicing Spread]]&lt;=0,L281,CurrentMtgRatesDataTable8[[#This Row],[Servicing Spread]])</f>
        <v>0.89859093907637577</v>
      </c>
      <c r="M282" s="16">
        <f>CurrentMtgRatesDataTable8[[#This Row],[Servicing Spread Non-Zero]]-L281</f>
        <v>0</v>
      </c>
      <c r="N282" s="16">
        <f>IF(J281&lt;&gt;0,CurrentMtgRatesDataTable8[[#This Row],[Rate]]-C281,N281)</f>
        <v>8.9999999999999858E-2</v>
      </c>
    </row>
    <row r="283" spans="1:14">
      <c r="A283" s="8" t="s">
        <v>76</v>
      </c>
      <c r="B283" s="11">
        <v>2.6618664133932302</v>
      </c>
      <c r="C283" s="13">
        <v>3.4349999999999996</v>
      </c>
      <c r="D283" s="14">
        <f t="shared" si="28"/>
        <v>7</v>
      </c>
      <c r="E283" s="14">
        <f t="shared" si="29"/>
        <v>0.2</v>
      </c>
      <c r="F283" s="14">
        <f t="shared" si="30"/>
        <v>5</v>
      </c>
      <c r="G283" s="14">
        <f t="shared" si="31"/>
        <v>2.6058204990263261</v>
      </c>
      <c r="H283" s="14">
        <f t="shared" si="32"/>
        <v>1</v>
      </c>
      <c r="I283" s="14">
        <f t="shared" si="33"/>
        <v>1</v>
      </c>
      <c r="J283" s="14">
        <f t="shared" si="34"/>
        <v>2.6058204990263261</v>
      </c>
      <c r="K283" s="15">
        <f>IF(CurrentMtgRatesDataTable8[[#This Row],[WA CC]]&lt;&gt;0,C282-CurrentMtgRatesDataTable8[[#This Row],[WA CC]],0)</f>
        <v>0.82917950097367354</v>
      </c>
      <c r="L283" s="16">
        <f>IF(CurrentMtgRatesDataTable8[[#This Row],[Servicing Spread]]&lt;=0,L282,CurrentMtgRatesDataTable8[[#This Row],[Servicing Spread]])</f>
        <v>0.82917950097367354</v>
      </c>
      <c r="M283" s="16">
        <f>CurrentMtgRatesDataTable8[[#This Row],[Servicing Spread Non-Zero]]-L282</f>
        <v>-6.9411438102702228E-2</v>
      </c>
      <c r="N283" s="16">
        <f>IF(J282&lt;&gt;0,CurrentMtgRatesDataTable8[[#This Row],[Rate]]-C282,N282)</f>
        <v>8.9999999999999858E-2</v>
      </c>
    </row>
    <row r="284" spans="1:14">
      <c r="A284" s="8" t="s">
        <v>642</v>
      </c>
      <c r="B284" s="11">
        <v>2.5638774739999999</v>
      </c>
      <c r="C284" s="13">
        <v>3.5149999999999997</v>
      </c>
      <c r="D284" s="14">
        <f t="shared" si="28"/>
        <v>1</v>
      </c>
      <c r="E284" s="14">
        <f t="shared" si="29"/>
        <v>0.2</v>
      </c>
      <c r="F284" s="14">
        <f t="shared" si="30"/>
        <v>1</v>
      </c>
      <c r="G284" s="14">
        <f t="shared" si="31"/>
        <v>0.51277549479999995</v>
      </c>
      <c r="H284" s="14">
        <f t="shared" si="32"/>
        <v>0.2</v>
      </c>
      <c r="I284" s="14">
        <f t="shared" si="33"/>
        <v>0</v>
      </c>
      <c r="J284" s="14">
        <f t="shared" si="34"/>
        <v>0</v>
      </c>
      <c r="K284" s="15">
        <f>IF(CurrentMtgRatesDataTable8[[#This Row],[WA CC]]&lt;&gt;0,C283-CurrentMtgRatesDataTable8[[#This Row],[WA CC]],0)</f>
        <v>0</v>
      </c>
      <c r="L284" s="16">
        <f>IF(CurrentMtgRatesDataTable8[[#This Row],[Servicing Spread]]&lt;=0,L283,CurrentMtgRatesDataTable8[[#This Row],[Servicing Spread]])</f>
        <v>0.82917950097367354</v>
      </c>
      <c r="M284" s="16">
        <f>CurrentMtgRatesDataTable8[[#This Row],[Servicing Spread Non-Zero]]-L283</f>
        <v>0</v>
      </c>
      <c r="N284" s="16">
        <f>IF(J283&lt;&gt;0,CurrentMtgRatesDataTable8[[#This Row],[Rate]]-C283,N283)</f>
        <v>8.0000000000000071E-2</v>
      </c>
    </row>
    <row r="285" spans="1:14">
      <c r="A285" s="8" t="s">
        <v>498</v>
      </c>
      <c r="B285" s="11">
        <v>2.6858134280305799</v>
      </c>
      <c r="C285" s="13">
        <v>3.5149999999999997</v>
      </c>
      <c r="D285" s="14">
        <f t="shared" si="28"/>
        <v>2</v>
      </c>
      <c r="E285" s="14">
        <f t="shared" si="29"/>
        <v>0.2</v>
      </c>
      <c r="F285" s="14">
        <f t="shared" si="30"/>
        <v>2</v>
      </c>
      <c r="G285" s="14">
        <f t="shared" si="31"/>
        <v>1.0499381804061159</v>
      </c>
      <c r="H285" s="14">
        <f t="shared" si="32"/>
        <v>0.4</v>
      </c>
      <c r="I285" s="14">
        <f t="shared" si="33"/>
        <v>0</v>
      </c>
      <c r="J285" s="14">
        <f t="shared" si="34"/>
        <v>0</v>
      </c>
      <c r="K285" s="15">
        <f>IF(CurrentMtgRatesDataTable8[[#This Row],[WA CC]]&lt;&gt;0,C284-CurrentMtgRatesDataTable8[[#This Row],[WA CC]],0)</f>
        <v>0</v>
      </c>
      <c r="L285" s="16">
        <f>IF(CurrentMtgRatesDataTable8[[#This Row],[Servicing Spread]]&lt;=0,L284,CurrentMtgRatesDataTable8[[#This Row],[Servicing Spread]])</f>
        <v>0.82917950097367354</v>
      </c>
      <c r="M285" s="16">
        <f>CurrentMtgRatesDataTable8[[#This Row],[Servicing Spread Non-Zero]]-L284</f>
        <v>0</v>
      </c>
      <c r="N285" s="16">
        <f>IF(J284&lt;&gt;0,CurrentMtgRatesDataTable8[[#This Row],[Rate]]-C284,N284)</f>
        <v>8.0000000000000071E-2</v>
      </c>
    </row>
    <row r="286" spans="1:14">
      <c r="A286" s="8" t="s">
        <v>360</v>
      </c>
      <c r="B286" s="11">
        <v>2.7128835423314301</v>
      </c>
      <c r="C286" s="13">
        <v>3.5149999999999997</v>
      </c>
      <c r="D286" s="14">
        <f t="shared" si="28"/>
        <v>5</v>
      </c>
      <c r="E286" s="14">
        <f t="shared" si="29"/>
        <v>0.2</v>
      </c>
      <c r="F286" s="14">
        <f t="shared" si="30"/>
        <v>3</v>
      </c>
      <c r="G286" s="14">
        <f t="shared" si="31"/>
        <v>1.5925148888724019</v>
      </c>
      <c r="H286" s="14">
        <f t="shared" si="32"/>
        <v>0.60000000000000009</v>
      </c>
      <c r="I286" s="14">
        <f t="shared" si="33"/>
        <v>0</v>
      </c>
      <c r="J286" s="14">
        <f t="shared" si="34"/>
        <v>0</v>
      </c>
      <c r="K286" s="15">
        <f>IF(CurrentMtgRatesDataTable8[[#This Row],[WA CC]]&lt;&gt;0,C285-CurrentMtgRatesDataTable8[[#This Row],[WA CC]],0)</f>
        <v>0</v>
      </c>
      <c r="L286" s="16">
        <f>IF(CurrentMtgRatesDataTable8[[#This Row],[Servicing Spread]]&lt;=0,L285,CurrentMtgRatesDataTable8[[#This Row],[Servicing Spread]])</f>
        <v>0.82917950097367354</v>
      </c>
      <c r="M286" s="16">
        <f>CurrentMtgRatesDataTable8[[#This Row],[Servicing Spread Non-Zero]]-L285</f>
        <v>0</v>
      </c>
      <c r="N286" s="16">
        <f>IF(J285&lt;&gt;0,CurrentMtgRatesDataTable8[[#This Row],[Rate]]-C285,N285)</f>
        <v>8.0000000000000071E-2</v>
      </c>
    </row>
    <row r="287" spans="1:14">
      <c r="A287" s="8" t="s">
        <v>220</v>
      </c>
      <c r="B287" s="11">
        <v>2.6645260639550199</v>
      </c>
      <c r="C287" s="13">
        <v>3.5149999999999997</v>
      </c>
      <c r="D287" s="14">
        <f t="shared" si="28"/>
        <v>6</v>
      </c>
      <c r="E287" s="14">
        <f t="shared" si="29"/>
        <v>0.2</v>
      </c>
      <c r="F287" s="14">
        <f t="shared" si="30"/>
        <v>4</v>
      </c>
      <c r="G287" s="14">
        <f t="shared" si="31"/>
        <v>2.1254201016634058</v>
      </c>
      <c r="H287" s="14">
        <f t="shared" si="32"/>
        <v>0.8</v>
      </c>
      <c r="I287" s="14">
        <f t="shared" si="33"/>
        <v>0</v>
      </c>
      <c r="J287" s="14">
        <f t="shared" si="34"/>
        <v>0</v>
      </c>
      <c r="K287" s="15">
        <f>IF(CurrentMtgRatesDataTable8[[#This Row],[WA CC]]&lt;&gt;0,C286-CurrentMtgRatesDataTable8[[#This Row],[WA CC]],0)</f>
        <v>0</v>
      </c>
      <c r="L287" s="16">
        <f>IF(CurrentMtgRatesDataTable8[[#This Row],[Servicing Spread]]&lt;=0,L286,CurrentMtgRatesDataTable8[[#This Row],[Servicing Spread]])</f>
        <v>0.82917950097367354</v>
      </c>
      <c r="M287" s="16">
        <f>CurrentMtgRatesDataTable8[[#This Row],[Servicing Spread Non-Zero]]-L286</f>
        <v>0</v>
      </c>
      <c r="N287" s="16">
        <f>IF(J286&lt;&gt;0,CurrentMtgRatesDataTable8[[#This Row],[Rate]]-C286,N286)</f>
        <v>8.0000000000000071E-2</v>
      </c>
    </row>
    <row r="288" spans="1:14">
      <c r="A288" s="8" t="s">
        <v>77</v>
      </c>
      <c r="B288" s="11">
        <v>2.78843998218461</v>
      </c>
      <c r="C288" s="13">
        <v>3.5149999999999997</v>
      </c>
      <c r="D288" s="14">
        <f t="shared" si="28"/>
        <v>7</v>
      </c>
      <c r="E288" s="14">
        <f t="shared" si="29"/>
        <v>0.2</v>
      </c>
      <c r="F288" s="14">
        <f t="shared" si="30"/>
        <v>5</v>
      </c>
      <c r="G288" s="14">
        <f t="shared" si="31"/>
        <v>2.6831080981003277</v>
      </c>
      <c r="H288" s="14">
        <f t="shared" si="32"/>
        <v>1</v>
      </c>
      <c r="I288" s="14">
        <f t="shared" si="33"/>
        <v>1</v>
      </c>
      <c r="J288" s="14">
        <f t="shared" si="34"/>
        <v>2.6831080981003277</v>
      </c>
      <c r="K288" s="15">
        <f>IF(CurrentMtgRatesDataTable8[[#This Row],[WA CC]]&lt;&gt;0,C287-CurrentMtgRatesDataTable8[[#This Row],[WA CC]],0)</f>
        <v>0.83189190189967199</v>
      </c>
      <c r="L288" s="16">
        <f>IF(CurrentMtgRatesDataTable8[[#This Row],[Servicing Spread]]&lt;=0,L287,CurrentMtgRatesDataTable8[[#This Row],[Servicing Spread]])</f>
        <v>0.83189190189967199</v>
      </c>
      <c r="M288" s="16">
        <f>CurrentMtgRatesDataTable8[[#This Row],[Servicing Spread Non-Zero]]-L287</f>
        <v>2.7124009259984483E-3</v>
      </c>
      <c r="N288" s="16">
        <f>IF(J287&lt;&gt;0,CurrentMtgRatesDataTable8[[#This Row],[Rate]]-C287,N287)</f>
        <v>8.0000000000000071E-2</v>
      </c>
    </row>
    <row r="289" spans="1:14">
      <c r="A289" s="8" t="s">
        <v>643</v>
      </c>
      <c r="B289" s="11">
        <v>2.8219074459123799</v>
      </c>
      <c r="C289" s="13">
        <v>3.7600000000000002</v>
      </c>
      <c r="D289" s="14">
        <f t="shared" si="28"/>
        <v>1</v>
      </c>
      <c r="E289" s="14">
        <f t="shared" si="29"/>
        <v>0.2</v>
      </c>
      <c r="F289" s="14">
        <f t="shared" si="30"/>
        <v>1</v>
      </c>
      <c r="G289" s="14">
        <f t="shared" si="31"/>
        <v>0.56438148918247599</v>
      </c>
      <c r="H289" s="14">
        <f t="shared" si="32"/>
        <v>0.2</v>
      </c>
      <c r="I289" s="14">
        <f t="shared" si="33"/>
        <v>0</v>
      </c>
      <c r="J289" s="14">
        <f t="shared" si="34"/>
        <v>0</v>
      </c>
      <c r="K289" s="15">
        <f>IF(CurrentMtgRatesDataTable8[[#This Row],[WA CC]]&lt;&gt;0,C288-CurrentMtgRatesDataTable8[[#This Row],[WA CC]],0)</f>
        <v>0</v>
      </c>
      <c r="L289" s="16">
        <f>IF(CurrentMtgRatesDataTable8[[#This Row],[Servicing Spread]]&lt;=0,L288,CurrentMtgRatesDataTable8[[#This Row],[Servicing Spread]])</f>
        <v>0.83189190189967199</v>
      </c>
      <c r="M289" s="16">
        <f>CurrentMtgRatesDataTable8[[#This Row],[Servicing Spread Non-Zero]]-L288</f>
        <v>0</v>
      </c>
      <c r="N289" s="16">
        <f>IF(J288&lt;&gt;0,CurrentMtgRatesDataTable8[[#This Row],[Rate]]-C288,N288)</f>
        <v>0.24500000000000055</v>
      </c>
    </row>
    <row r="290" spans="1:14">
      <c r="A290" s="8" t="s">
        <v>499</v>
      </c>
      <c r="B290" s="11">
        <v>2.8149731764108399</v>
      </c>
      <c r="C290" s="13">
        <v>3.7600000000000002</v>
      </c>
      <c r="D290" s="14">
        <f t="shared" si="28"/>
        <v>2</v>
      </c>
      <c r="E290" s="14">
        <f t="shared" si="29"/>
        <v>0.2</v>
      </c>
      <c r="F290" s="14">
        <f t="shared" si="30"/>
        <v>2</v>
      </c>
      <c r="G290" s="14">
        <f t="shared" si="31"/>
        <v>1.1273761244646439</v>
      </c>
      <c r="H290" s="14">
        <f t="shared" si="32"/>
        <v>0.4</v>
      </c>
      <c r="I290" s="14">
        <f t="shared" si="33"/>
        <v>0</v>
      </c>
      <c r="J290" s="14">
        <f t="shared" si="34"/>
        <v>0</v>
      </c>
      <c r="K290" s="15">
        <f>IF(CurrentMtgRatesDataTable8[[#This Row],[WA CC]]&lt;&gt;0,C289-CurrentMtgRatesDataTable8[[#This Row],[WA CC]],0)</f>
        <v>0</v>
      </c>
      <c r="L290" s="16">
        <f>IF(CurrentMtgRatesDataTable8[[#This Row],[Servicing Spread]]&lt;=0,L289,CurrentMtgRatesDataTable8[[#This Row],[Servicing Spread]])</f>
        <v>0.83189190189967199</v>
      </c>
      <c r="M290" s="16">
        <f>CurrentMtgRatesDataTable8[[#This Row],[Servicing Spread Non-Zero]]-L289</f>
        <v>0</v>
      </c>
      <c r="N290" s="16">
        <f>IF(J289&lt;&gt;0,CurrentMtgRatesDataTable8[[#This Row],[Rate]]-C289,N289)</f>
        <v>0.24500000000000055</v>
      </c>
    </row>
    <row r="291" spans="1:14">
      <c r="A291" s="8" t="s">
        <v>221</v>
      </c>
      <c r="B291" s="11">
        <v>2.9439593784478002</v>
      </c>
      <c r="C291" s="13">
        <v>3.7600000000000002</v>
      </c>
      <c r="D291" s="14">
        <f t="shared" si="28"/>
        <v>6</v>
      </c>
      <c r="E291" s="14">
        <f t="shared" si="29"/>
        <v>0.2</v>
      </c>
      <c r="F291" s="14">
        <f t="shared" si="30"/>
        <v>3</v>
      </c>
      <c r="G291" s="14">
        <f t="shared" si="31"/>
        <v>1.7161680001542039</v>
      </c>
      <c r="H291" s="14">
        <f t="shared" si="32"/>
        <v>0.60000000000000009</v>
      </c>
      <c r="I291" s="14">
        <f t="shared" si="33"/>
        <v>0</v>
      </c>
      <c r="J291" s="14">
        <f t="shared" si="34"/>
        <v>0</v>
      </c>
      <c r="K291" s="15">
        <f>IF(CurrentMtgRatesDataTable8[[#This Row],[WA CC]]&lt;&gt;0,C290-CurrentMtgRatesDataTable8[[#This Row],[WA CC]],0)</f>
        <v>0</v>
      </c>
      <c r="L291" s="16">
        <f>IF(CurrentMtgRatesDataTable8[[#This Row],[Servicing Spread]]&lt;=0,L290,CurrentMtgRatesDataTable8[[#This Row],[Servicing Spread]])</f>
        <v>0.83189190189967199</v>
      </c>
      <c r="M291" s="16">
        <f>CurrentMtgRatesDataTable8[[#This Row],[Servicing Spread Non-Zero]]-L290</f>
        <v>0</v>
      </c>
      <c r="N291" s="16">
        <f>IF(J290&lt;&gt;0,CurrentMtgRatesDataTable8[[#This Row],[Rate]]-C290,N290)</f>
        <v>0.24500000000000055</v>
      </c>
    </row>
    <row r="292" spans="1:14">
      <c r="A292" s="8" t="s">
        <v>78</v>
      </c>
      <c r="B292" s="11">
        <v>2.9196928046626902</v>
      </c>
      <c r="C292" s="13">
        <v>3.7600000000000002</v>
      </c>
      <c r="D292" s="14">
        <f t="shared" si="28"/>
        <v>7</v>
      </c>
      <c r="E292" s="14">
        <f t="shared" si="29"/>
        <v>0.2</v>
      </c>
      <c r="F292" s="14">
        <f t="shared" si="30"/>
        <v>4</v>
      </c>
      <c r="G292" s="14">
        <f t="shared" si="31"/>
        <v>2.3001065610867419</v>
      </c>
      <c r="H292" s="14">
        <f t="shared" si="32"/>
        <v>0.8</v>
      </c>
      <c r="I292" s="14">
        <f t="shared" si="33"/>
        <v>1</v>
      </c>
      <c r="J292" s="14">
        <f t="shared" si="34"/>
        <v>2.8751332013584272</v>
      </c>
      <c r="K292" s="15">
        <f>IF(CurrentMtgRatesDataTable8[[#This Row],[WA CC]]&lt;&gt;0,C291-CurrentMtgRatesDataTable8[[#This Row],[WA CC]],0)</f>
        <v>0.88486679864157303</v>
      </c>
      <c r="L292" s="16">
        <f>IF(CurrentMtgRatesDataTable8[[#This Row],[Servicing Spread]]&lt;=0,L291,CurrentMtgRatesDataTable8[[#This Row],[Servicing Spread]])</f>
        <v>0.88486679864157303</v>
      </c>
      <c r="M292" s="16">
        <f>CurrentMtgRatesDataTable8[[#This Row],[Servicing Spread Non-Zero]]-L291</f>
        <v>5.2974896741901034E-2</v>
      </c>
      <c r="N292" s="16">
        <f>IF(J291&lt;&gt;0,CurrentMtgRatesDataTable8[[#This Row],[Rate]]-C291,N291)</f>
        <v>0.24500000000000055</v>
      </c>
    </row>
    <row r="293" spans="1:14">
      <c r="A293" s="8" t="s">
        <v>644</v>
      </c>
      <c r="B293" s="11">
        <v>2.9046454407398898</v>
      </c>
      <c r="C293" s="13">
        <v>3.835</v>
      </c>
      <c r="D293" s="14">
        <f t="shared" si="28"/>
        <v>1</v>
      </c>
      <c r="E293" s="14">
        <f t="shared" si="29"/>
        <v>0.2</v>
      </c>
      <c r="F293" s="14">
        <f t="shared" si="30"/>
        <v>1</v>
      </c>
      <c r="G293" s="14">
        <f t="shared" si="31"/>
        <v>0.58092908814797795</v>
      </c>
      <c r="H293" s="14">
        <f t="shared" si="32"/>
        <v>0.2</v>
      </c>
      <c r="I293" s="14">
        <f t="shared" si="33"/>
        <v>0</v>
      </c>
      <c r="J293" s="14">
        <f t="shared" si="34"/>
        <v>0</v>
      </c>
      <c r="K293" s="15">
        <f>IF(CurrentMtgRatesDataTable8[[#This Row],[WA CC]]&lt;&gt;0,C292-CurrentMtgRatesDataTable8[[#This Row],[WA CC]],0)</f>
        <v>0</v>
      </c>
      <c r="L293" s="16">
        <f>IF(CurrentMtgRatesDataTable8[[#This Row],[Servicing Spread]]&lt;=0,L292,CurrentMtgRatesDataTable8[[#This Row],[Servicing Spread]])</f>
        <v>0.88486679864157303</v>
      </c>
      <c r="M293" s="16">
        <f>CurrentMtgRatesDataTable8[[#This Row],[Servicing Spread Non-Zero]]-L292</f>
        <v>0</v>
      </c>
      <c r="N293" s="16">
        <f>IF(J292&lt;&gt;0,CurrentMtgRatesDataTable8[[#This Row],[Rate]]-C292,N292)</f>
        <v>7.4999999999999734E-2</v>
      </c>
    </row>
    <row r="294" spans="1:14">
      <c r="A294" s="8" t="s">
        <v>500</v>
      </c>
      <c r="B294" s="11">
        <v>2.95731349620652</v>
      </c>
      <c r="C294" s="13">
        <v>3.835</v>
      </c>
      <c r="D294" s="14">
        <f t="shared" si="28"/>
        <v>2</v>
      </c>
      <c r="E294" s="14">
        <f t="shared" si="29"/>
        <v>0.2</v>
      </c>
      <c r="F294" s="14">
        <f t="shared" si="30"/>
        <v>2</v>
      </c>
      <c r="G294" s="14">
        <f t="shared" si="31"/>
        <v>1.172391787389282</v>
      </c>
      <c r="H294" s="14">
        <f t="shared" si="32"/>
        <v>0.4</v>
      </c>
      <c r="I294" s="14">
        <f t="shared" si="33"/>
        <v>0</v>
      </c>
      <c r="J294" s="14">
        <f t="shared" si="34"/>
        <v>0</v>
      </c>
      <c r="K294" s="15">
        <f>IF(CurrentMtgRatesDataTable8[[#This Row],[WA CC]]&lt;&gt;0,C293-CurrentMtgRatesDataTable8[[#This Row],[WA CC]],0)</f>
        <v>0</v>
      </c>
      <c r="L294" s="16">
        <f>IF(CurrentMtgRatesDataTable8[[#This Row],[Servicing Spread]]&lt;=0,L293,CurrentMtgRatesDataTable8[[#This Row],[Servicing Spread]])</f>
        <v>0.88486679864157303</v>
      </c>
      <c r="M294" s="16">
        <f>CurrentMtgRatesDataTable8[[#This Row],[Servicing Spread Non-Zero]]-L293</f>
        <v>0</v>
      </c>
      <c r="N294" s="16">
        <f>IF(J293&lt;&gt;0,CurrentMtgRatesDataTable8[[#This Row],[Rate]]-C293,N293)</f>
        <v>7.4999999999999734E-2</v>
      </c>
    </row>
    <row r="295" spans="1:14">
      <c r="A295" s="8" t="s">
        <v>361</v>
      </c>
      <c r="B295" s="11">
        <v>2.9603245306419401</v>
      </c>
      <c r="C295" s="13">
        <v>3.835</v>
      </c>
      <c r="D295" s="14">
        <f t="shared" si="28"/>
        <v>5</v>
      </c>
      <c r="E295" s="14">
        <f t="shared" si="29"/>
        <v>0.2</v>
      </c>
      <c r="F295" s="14">
        <f t="shared" si="30"/>
        <v>3</v>
      </c>
      <c r="G295" s="14">
        <f t="shared" si="31"/>
        <v>1.76445669351767</v>
      </c>
      <c r="H295" s="14">
        <f t="shared" si="32"/>
        <v>0.60000000000000009</v>
      </c>
      <c r="I295" s="14">
        <f t="shared" si="33"/>
        <v>0</v>
      </c>
      <c r="J295" s="14">
        <f t="shared" si="34"/>
        <v>0</v>
      </c>
      <c r="K295" s="15">
        <f>IF(CurrentMtgRatesDataTable8[[#This Row],[WA CC]]&lt;&gt;0,C294-CurrentMtgRatesDataTable8[[#This Row],[WA CC]],0)</f>
        <v>0</v>
      </c>
      <c r="L295" s="16">
        <f>IF(CurrentMtgRatesDataTable8[[#This Row],[Servicing Spread]]&lt;=0,L294,CurrentMtgRatesDataTable8[[#This Row],[Servicing Spread]])</f>
        <v>0.88486679864157303</v>
      </c>
      <c r="M295" s="16">
        <f>CurrentMtgRatesDataTable8[[#This Row],[Servicing Spread Non-Zero]]-L294</f>
        <v>0</v>
      </c>
      <c r="N295" s="16">
        <f>IF(J294&lt;&gt;0,CurrentMtgRatesDataTable8[[#This Row],[Rate]]-C294,N294)</f>
        <v>7.4999999999999734E-2</v>
      </c>
    </row>
    <row r="296" spans="1:14">
      <c r="A296" s="8" t="s">
        <v>222</v>
      </c>
      <c r="B296" s="11">
        <v>2.9897357672895799</v>
      </c>
      <c r="C296" s="13">
        <v>3.835</v>
      </c>
      <c r="D296" s="14">
        <f t="shared" si="28"/>
        <v>6</v>
      </c>
      <c r="E296" s="14">
        <f t="shared" si="29"/>
        <v>0.2</v>
      </c>
      <c r="F296" s="14">
        <f t="shared" si="30"/>
        <v>4</v>
      </c>
      <c r="G296" s="14">
        <f t="shared" si="31"/>
        <v>2.3624038469755861</v>
      </c>
      <c r="H296" s="14">
        <f t="shared" si="32"/>
        <v>0.8</v>
      </c>
      <c r="I296" s="14">
        <f t="shared" si="33"/>
        <v>0</v>
      </c>
      <c r="J296" s="14">
        <f t="shared" si="34"/>
        <v>0</v>
      </c>
      <c r="K296" s="15">
        <f>IF(CurrentMtgRatesDataTable8[[#This Row],[WA CC]]&lt;&gt;0,C295-CurrentMtgRatesDataTable8[[#This Row],[WA CC]],0)</f>
        <v>0</v>
      </c>
      <c r="L296" s="16">
        <f>IF(CurrentMtgRatesDataTable8[[#This Row],[Servicing Spread]]&lt;=0,L295,CurrentMtgRatesDataTable8[[#This Row],[Servicing Spread]])</f>
        <v>0.88486679864157303</v>
      </c>
      <c r="M296" s="16">
        <f>CurrentMtgRatesDataTable8[[#This Row],[Servicing Spread Non-Zero]]-L295</f>
        <v>0</v>
      </c>
      <c r="N296" s="16">
        <f>IF(J295&lt;&gt;0,CurrentMtgRatesDataTable8[[#This Row],[Rate]]-C295,N295)</f>
        <v>7.4999999999999734E-2</v>
      </c>
    </row>
    <row r="297" spans="1:14">
      <c r="A297" s="8" t="s">
        <v>79</v>
      </c>
      <c r="B297" s="11">
        <v>2.9737219853978498</v>
      </c>
      <c r="C297" s="13">
        <v>3.835</v>
      </c>
      <c r="D297" s="14">
        <f t="shared" si="28"/>
        <v>7</v>
      </c>
      <c r="E297" s="14">
        <f t="shared" si="29"/>
        <v>0.2</v>
      </c>
      <c r="F297" s="14">
        <f t="shared" si="30"/>
        <v>5</v>
      </c>
      <c r="G297" s="14">
        <f t="shared" si="31"/>
        <v>2.9571482440551562</v>
      </c>
      <c r="H297" s="14">
        <f t="shared" si="32"/>
        <v>1</v>
      </c>
      <c r="I297" s="14">
        <f t="shared" si="33"/>
        <v>1</v>
      </c>
      <c r="J297" s="14">
        <f t="shared" si="34"/>
        <v>2.9571482440551562</v>
      </c>
      <c r="K297" s="15">
        <f>IF(CurrentMtgRatesDataTable8[[#This Row],[WA CC]]&lt;&gt;0,C296-CurrentMtgRatesDataTable8[[#This Row],[WA CC]],0)</f>
        <v>0.87785175594484377</v>
      </c>
      <c r="L297" s="16">
        <f>IF(CurrentMtgRatesDataTable8[[#This Row],[Servicing Spread]]&lt;=0,L296,CurrentMtgRatesDataTable8[[#This Row],[Servicing Spread]])</f>
        <v>0.87785175594484377</v>
      </c>
      <c r="M297" s="16">
        <f>CurrentMtgRatesDataTable8[[#This Row],[Servicing Spread Non-Zero]]-L296</f>
        <v>-7.0150426967292567E-3</v>
      </c>
      <c r="N297" s="16">
        <f>IF(J296&lt;&gt;0,CurrentMtgRatesDataTable8[[#This Row],[Rate]]-C296,N296)</f>
        <v>7.4999999999999734E-2</v>
      </c>
    </row>
    <row r="298" spans="1:14">
      <c r="A298" s="8" t="s">
        <v>645</v>
      </c>
      <c r="B298" s="11">
        <v>2.9363931746100702</v>
      </c>
      <c r="C298" s="13">
        <v>3.9049999999999998</v>
      </c>
      <c r="D298" s="14">
        <f t="shared" si="28"/>
        <v>1</v>
      </c>
      <c r="E298" s="14">
        <f t="shared" si="29"/>
        <v>0.2</v>
      </c>
      <c r="F298" s="14">
        <f t="shared" si="30"/>
        <v>1</v>
      </c>
      <c r="G298" s="14">
        <f t="shared" si="31"/>
        <v>0.58727863492201404</v>
      </c>
      <c r="H298" s="14">
        <f t="shared" si="32"/>
        <v>0.2</v>
      </c>
      <c r="I298" s="14">
        <f t="shared" si="33"/>
        <v>0</v>
      </c>
      <c r="J298" s="14">
        <f t="shared" si="34"/>
        <v>0</v>
      </c>
      <c r="K298" s="15">
        <f>IF(CurrentMtgRatesDataTable8[[#This Row],[WA CC]]&lt;&gt;0,C297-CurrentMtgRatesDataTable8[[#This Row],[WA CC]],0)</f>
        <v>0</v>
      </c>
      <c r="L298" s="16">
        <f>IF(CurrentMtgRatesDataTable8[[#This Row],[Servicing Spread]]&lt;=0,L297,CurrentMtgRatesDataTable8[[#This Row],[Servicing Spread]])</f>
        <v>0.87785175594484377</v>
      </c>
      <c r="M298" s="16">
        <f>CurrentMtgRatesDataTable8[[#This Row],[Servicing Spread Non-Zero]]-L297</f>
        <v>0</v>
      </c>
      <c r="N298" s="16">
        <f>IF(J297&lt;&gt;0,CurrentMtgRatesDataTable8[[#This Row],[Rate]]-C297,N297)</f>
        <v>6.999999999999984E-2</v>
      </c>
    </row>
    <row r="299" spans="1:14">
      <c r="A299" s="8" t="s">
        <v>501</v>
      </c>
      <c r="B299" s="11">
        <v>2.9931159990094902</v>
      </c>
      <c r="C299" s="13">
        <v>3.9049999999999998</v>
      </c>
      <c r="D299" s="14">
        <f t="shared" si="28"/>
        <v>2</v>
      </c>
      <c r="E299" s="14">
        <f t="shared" si="29"/>
        <v>0.2</v>
      </c>
      <c r="F299" s="14">
        <f t="shared" si="30"/>
        <v>2</v>
      </c>
      <c r="G299" s="14">
        <f t="shared" si="31"/>
        <v>1.1859018347239121</v>
      </c>
      <c r="H299" s="14">
        <f t="shared" si="32"/>
        <v>0.4</v>
      </c>
      <c r="I299" s="14">
        <f t="shared" si="33"/>
        <v>0</v>
      </c>
      <c r="J299" s="14">
        <f t="shared" si="34"/>
        <v>0</v>
      </c>
      <c r="K299" s="15">
        <f>IF(CurrentMtgRatesDataTable8[[#This Row],[WA CC]]&lt;&gt;0,C298-CurrentMtgRatesDataTable8[[#This Row],[WA CC]],0)</f>
        <v>0</v>
      </c>
      <c r="L299" s="16">
        <f>IF(CurrentMtgRatesDataTable8[[#This Row],[Servicing Spread]]&lt;=0,L298,CurrentMtgRatesDataTable8[[#This Row],[Servicing Spread]])</f>
        <v>0.87785175594484377</v>
      </c>
      <c r="M299" s="16">
        <f>CurrentMtgRatesDataTable8[[#This Row],[Servicing Spread Non-Zero]]-L298</f>
        <v>0</v>
      </c>
      <c r="N299" s="16">
        <f>IF(J298&lt;&gt;0,CurrentMtgRatesDataTable8[[#This Row],[Rate]]-C298,N298)</f>
        <v>6.999999999999984E-2</v>
      </c>
    </row>
    <row r="300" spans="1:14">
      <c r="A300" s="8" t="s">
        <v>362</v>
      </c>
      <c r="B300" s="11">
        <v>3.0187503286824402</v>
      </c>
      <c r="C300" s="13">
        <v>3.9049999999999998</v>
      </c>
      <c r="D300" s="14">
        <f t="shared" si="28"/>
        <v>5</v>
      </c>
      <c r="E300" s="14">
        <f t="shared" si="29"/>
        <v>0.2</v>
      </c>
      <c r="F300" s="14">
        <f t="shared" si="30"/>
        <v>3</v>
      </c>
      <c r="G300" s="14">
        <f t="shared" si="31"/>
        <v>1.7896519004604001</v>
      </c>
      <c r="H300" s="14">
        <f t="shared" si="32"/>
        <v>0.60000000000000009</v>
      </c>
      <c r="I300" s="14">
        <f t="shared" si="33"/>
        <v>0</v>
      </c>
      <c r="J300" s="14">
        <f t="shared" si="34"/>
        <v>0</v>
      </c>
      <c r="K300" s="15">
        <f>IF(CurrentMtgRatesDataTable8[[#This Row],[WA CC]]&lt;&gt;0,C299-CurrentMtgRatesDataTable8[[#This Row],[WA CC]],0)</f>
        <v>0</v>
      </c>
      <c r="L300" s="16">
        <f>IF(CurrentMtgRatesDataTable8[[#This Row],[Servicing Spread]]&lt;=0,L299,CurrentMtgRatesDataTable8[[#This Row],[Servicing Spread]])</f>
        <v>0.87785175594484377</v>
      </c>
      <c r="M300" s="16">
        <f>CurrentMtgRatesDataTable8[[#This Row],[Servicing Spread Non-Zero]]-L299</f>
        <v>0</v>
      </c>
      <c r="N300" s="16">
        <f>IF(J299&lt;&gt;0,CurrentMtgRatesDataTable8[[#This Row],[Rate]]-C299,N299)</f>
        <v>6.999999999999984E-2</v>
      </c>
    </row>
    <row r="301" spans="1:14">
      <c r="A301" s="8" t="s">
        <v>223</v>
      </c>
      <c r="B301" s="11">
        <v>2.9886237940572</v>
      </c>
      <c r="C301" s="13">
        <v>3.9049999999999998</v>
      </c>
      <c r="D301" s="14">
        <f t="shared" si="28"/>
        <v>6</v>
      </c>
      <c r="E301" s="14">
        <f t="shared" si="29"/>
        <v>0.2</v>
      </c>
      <c r="F301" s="14">
        <f t="shared" si="30"/>
        <v>4</v>
      </c>
      <c r="G301" s="14">
        <f t="shared" si="31"/>
        <v>2.3873766592718404</v>
      </c>
      <c r="H301" s="14">
        <f t="shared" si="32"/>
        <v>0.8</v>
      </c>
      <c r="I301" s="14">
        <f t="shared" si="33"/>
        <v>0</v>
      </c>
      <c r="J301" s="14">
        <f t="shared" si="34"/>
        <v>0</v>
      </c>
      <c r="K301" s="15">
        <f>IF(CurrentMtgRatesDataTable8[[#This Row],[WA CC]]&lt;&gt;0,C300-CurrentMtgRatesDataTable8[[#This Row],[WA CC]],0)</f>
        <v>0</v>
      </c>
      <c r="L301" s="16">
        <f>IF(CurrentMtgRatesDataTable8[[#This Row],[Servicing Spread]]&lt;=0,L300,CurrentMtgRatesDataTable8[[#This Row],[Servicing Spread]])</f>
        <v>0.87785175594484377</v>
      </c>
      <c r="M301" s="16">
        <f>CurrentMtgRatesDataTable8[[#This Row],[Servicing Spread Non-Zero]]-L300</f>
        <v>0</v>
      </c>
      <c r="N301" s="16">
        <f>IF(J300&lt;&gt;0,CurrentMtgRatesDataTable8[[#This Row],[Rate]]-C300,N300)</f>
        <v>6.999999999999984E-2</v>
      </c>
    </row>
    <row r="302" spans="1:14">
      <c r="A302" s="8" t="s">
        <v>80</v>
      </c>
      <c r="B302" s="11">
        <v>3.0172986003180302</v>
      </c>
      <c r="C302" s="13">
        <v>3.9049999999999998</v>
      </c>
      <c r="D302" s="14">
        <f t="shared" si="28"/>
        <v>7</v>
      </c>
      <c r="E302" s="14">
        <f t="shared" si="29"/>
        <v>0.2</v>
      </c>
      <c r="F302" s="14">
        <f t="shared" si="30"/>
        <v>5</v>
      </c>
      <c r="G302" s="14">
        <f t="shared" si="31"/>
        <v>2.9908363793354464</v>
      </c>
      <c r="H302" s="14">
        <f t="shared" si="32"/>
        <v>1</v>
      </c>
      <c r="I302" s="14">
        <f t="shared" si="33"/>
        <v>1</v>
      </c>
      <c r="J302" s="14">
        <f t="shared" si="34"/>
        <v>2.9908363793354464</v>
      </c>
      <c r="K302" s="15">
        <f>IF(CurrentMtgRatesDataTable8[[#This Row],[WA CC]]&lt;&gt;0,C301-CurrentMtgRatesDataTable8[[#This Row],[WA CC]],0)</f>
        <v>0.91416362066455337</v>
      </c>
      <c r="L302" s="16">
        <f>IF(CurrentMtgRatesDataTable8[[#This Row],[Servicing Spread]]&lt;=0,L301,CurrentMtgRatesDataTable8[[#This Row],[Servicing Spread]])</f>
        <v>0.91416362066455337</v>
      </c>
      <c r="M302" s="16">
        <f>CurrentMtgRatesDataTable8[[#This Row],[Servicing Spread Non-Zero]]-L301</f>
        <v>3.6311864719709597E-2</v>
      </c>
      <c r="N302" s="16">
        <f>IF(J301&lt;&gt;0,CurrentMtgRatesDataTable8[[#This Row],[Rate]]-C301,N301)</f>
        <v>6.999999999999984E-2</v>
      </c>
    </row>
    <row r="303" spans="1:14">
      <c r="A303" s="8" t="s">
        <v>646</v>
      </c>
      <c r="B303" s="11">
        <v>2.97051771574304</v>
      </c>
      <c r="C303" s="13">
        <v>3.8800000000000003</v>
      </c>
      <c r="D303" s="14">
        <f t="shared" si="28"/>
        <v>1</v>
      </c>
      <c r="E303" s="14">
        <f t="shared" si="29"/>
        <v>0.2</v>
      </c>
      <c r="F303" s="14">
        <f t="shared" si="30"/>
        <v>1</v>
      </c>
      <c r="G303" s="14">
        <f t="shared" si="31"/>
        <v>0.59410354314860803</v>
      </c>
      <c r="H303" s="14">
        <f t="shared" si="32"/>
        <v>0.2</v>
      </c>
      <c r="I303" s="14">
        <f t="shared" si="33"/>
        <v>0</v>
      </c>
      <c r="J303" s="14">
        <f t="shared" si="34"/>
        <v>0</v>
      </c>
      <c r="K303" s="15">
        <f>IF(CurrentMtgRatesDataTable8[[#This Row],[WA CC]]&lt;&gt;0,C302-CurrentMtgRatesDataTable8[[#This Row],[WA CC]],0)</f>
        <v>0</v>
      </c>
      <c r="L303" s="16">
        <f>IF(CurrentMtgRatesDataTable8[[#This Row],[Servicing Spread]]&lt;=0,L302,CurrentMtgRatesDataTable8[[#This Row],[Servicing Spread]])</f>
        <v>0.91416362066455337</v>
      </c>
      <c r="M303" s="16">
        <f>CurrentMtgRatesDataTable8[[#This Row],[Servicing Spread Non-Zero]]-L302</f>
        <v>0</v>
      </c>
      <c r="N303" s="16">
        <f>IF(J302&lt;&gt;0,CurrentMtgRatesDataTable8[[#This Row],[Rate]]-C302,N302)</f>
        <v>-2.4999999999999467E-2</v>
      </c>
    </row>
    <row r="304" spans="1:14">
      <c r="A304" s="8" t="s">
        <v>502</v>
      </c>
      <c r="B304" s="11">
        <v>2.93282407442446</v>
      </c>
      <c r="C304" s="13">
        <v>3.8800000000000003</v>
      </c>
      <c r="D304" s="14">
        <f t="shared" si="28"/>
        <v>2</v>
      </c>
      <c r="E304" s="14">
        <f t="shared" si="29"/>
        <v>0.2</v>
      </c>
      <c r="F304" s="14">
        <f t="shared" si="30"/>
        <v>2</v>
      </c>
      <c r="G304" s="14">
        <f t="shared" si="31"/>
        <v>1.1806683580335</v>
      </c>
      <c r="H304" s="14">
        <f t="shared" si="32"/>
        <v>0.4</v>
      </c>
      <c r="I304" s="14">
        <f t="shared" si="33"/>
        <v>0</v>
      </c>
      <c r="J304" s="14">
        <f t="shared" si="34"/>
        <v>0</v>
      </c>
      <c r="K304" s="15">
        <f>IF(CurrentMtgRatesDataTable8[[#This Row],[WA CC]]&lt;&gt;0,C303-CurrentMtgRatesDataTable8[[#This Row],[WA CC]],0)</f>
        <v>0</v>
      </c>
      <c r="L304" s="16">
        <f>IF(CurrentMtgRatesDataTable8[[#This Row],[Servicing Spread]]&lt;=0,L303,CurrentMtgRatesDataTable8[[#This Row],[Servicing Spread]])</f>
        <v>0.91416362066455337</v>
      </c>
      <c r="M304" s="16">
        <f>CurrentMtgRatesDataTable8[[#This Row],[Servicing Spread Non-Zero]]-L303</f>
        <v>0</v>
      </c>
      <c r="N304" s="16">
        <f>IF(J303&lt;&gt;0,CurrentMtgRatesDataTable8[[#This Row],[Rate]]-C303,N303)</f>
        <v>-2.4999999999999467E-2</v>
      </c>
    </row>
    <row r="305" spans="1:14">
      <c r="A305" s="8" t="s">
        <v>363</v>
      </c>
      <c r="B305" s="11">
        <v>2.9838518305616502</v>
      </c>
      <c r="C305" s="13">
        <v>3.8800000000000003</v>
      </c>
      <c r="D305" s="14">
        <f t="shared" si="28"/>
        <v>5</v>
      </c>
      <c r="E305" s="14">
        <f t="shared" si="29"/>
        <v>0.2</v>
      </c>
      <c r="F305" s="14">
        <f t="shared" si="30"/>
        <v>3</v>
      </c>
      <c r="G305" s="14">
        <f t="shared" si="31"/>
        <v>1.77743872414583</v>
      </c>
      <c r="H305" s="14">
        <f t="shared" si="32"/>
        <v>0.60000000000000009</v>
      </c>
      <c r="I305" s="14">
        <f t="shared" si="33"/>
        <v>0</v>
      </c>
      <c r="J305" s="14">
        <f t="shared" si="34"/>
        <v>0</v>
      </c>
      <c r="K305" s="15">
        <f>IF(CurrentMtgRatesDataTable8[[#This Row],[WA CC]]&lt;&gt;0,C304-CurrentMtgRatesDataTable8[[#This Row],[WA CC]],0)</f>
        <v>0</v>
      </c>
      <c r="L305" s="16">
        <f>IF(CurrentMtgRatesDataTable8[[#This Row],[Servicing Spread]]&lt;=0,L304,CurrentMtgRatesDataTable8[[#This Row],[Servicing Spread]])</f>
        <v>0.91416362066455337</v>
      </c>
      <c r="M305" s="16">
        <f>CurrentMtgRatesDataTable8[[#This Row],[Servicing Spread Non-Zero]]-L304</f>
        <v>0</v>
      </c>
      <c r="N305" s="16">
        <f>IF(J304&lt;&gt;0,CurrentMtgRatesDataTable8[[#This Row],[Rate]]-C304,N304)</f>
        <v>-2.4999999999999467E-2</v>
      </c>
    </row>
    <row r="306" spans="1:14">
      <c r="A306" s="8" t="s">
        <v>224</v>
      </c>
      <c r="B306" s="11">
        <v>2.9821306488123902</v>
      </c>
      <c r="C306" s="13">
        <v>3.8800000000000003</v>
      </c>
      <c r="D306" s="14">
        <f t="shared" si="28"/>
        <v>6</v>
      </c>
      <c r="E306" s="14">
        <f t="shared" si="29"/>
        <v>0.2</v>
      </c>
      <c r="F306" s="14">
        <f t="shared" si="30"/>
        <v>4</v>
      </c>
      <c r="G306" s="14">
        <f t="shared" si="31"/>
        <v>2.3738648539083083</v>
      </c>
      <c r="H306" s="14">
        <f t="shared" si="32"/>
        <v>0.8</v>
      </c>
      <c r="I306" s="14">
        <f t="shared" si="33"/>
        <v>0</v>
      </c>
      <c r="J306" s="14">
        <f t="shared" si="34"/>
        <v>0</v>
      </c>
      <c r="K306" s="15">
        <f>IF(CurrentMtgRatesDataTable8[[#This Row],[WA CC]]&lt;&gt;0,C305-CurrentMtgRatesDataTable8[[#This Row],[WA CC]],0)</f>
        <v>0</v>
      </c>
      <c r="L306" s="16">
        <f>IF(CurrentMtgRatesDataTable8[[#This Row],[Servicing Spread]]&lt;=0,L305,CurrentMtgRatesDataTable8[[#This Row],[Servicing Spread]])</f>
        <v>0.91416362066455337</v>
      </c>
      <c r="M306" s="16">
        <f>CurrentMtgRatesDataTable8[[#This Row],[Servicing Spread Non-Zero]]-L305</f>
        <v>0</v>
      </c>
      <c r="N306" s="16">
        <f>IF(J305&lt;&gt;0,CurrentMtgRatesDataTable8[[#This Row],[Rate]]-C305,N305)</f>
        <v>-2.4999999999999467E-2</v>
      </c>
    </row>
    <row r="307" spans="1:14">
      <c r="A307" s="8" t="s">
        <v>81</v>
      </c>
      <c r="B307" s="11">
        <v>3.1273804098375502</v>
      </c>
      <c r="C307" s="13">
        <v>3.8800000000000003</v>
      </c>
      <c r="D307" s="14">
        <f t="shared" si="28"/>
        <v>7</v>
      </c>
      <c r="E307" s="14">
        <f t="shared" si="29"/>
        <v>0.2</v>
      </c>
      <c r="F307" s="14">
        <f t="shared" si="30"/>
        <v>5</v>
      </c>
      <c r="G307" s="14">
        <f t="shared" si="31"/>
        <v>2.9993409358758183</v>
      </c>
      <c r="H307" s="14">
        <f t="shared" si="32"/>
        <v>1</v>
      </c>
      <c r="I307" s="14">
        <f t="shared" si="33"/>
        <v>1</v>
      </c>
      <c r="J307" s="14">
        <f t="shared" si="34"/>
        <v>2.9993409358758183</v>
      </c>
      <c r="K307" s="15">
        <f>IF(CurrentMtgRatesDataTable8[[#This Row],[WA CC]]&lt;&gt;0,C306-CurrentMtgRatesDataTable8[[#This Row],[WA CC]],0)</f>
        <v>0.88065906412418204</v>
      </c>
      <c r="L307" s="16">
        <f>IF(CurrentMtgRatesDataTable8[[#This Row],[Servicing Spread]]&lt;=0,L306,CurrentMtgRatesDataTable8[[#This Row],[Servicing Spread]])</f>
        <v>0.88065906412418204</v>
      </c>
      <c r="M307" s="16">
        <f>CurrentMtgRatesDataTable8[[#This Row],[Servicing Spread Non-Zero]]-L306</f>
        <v>-3.3504556540371322E-2</v>
      </c>
      <c r="N307" s="16">
        <f>IF(J306&lt;&gt;0,CurrentMtgRatesDataTable8[[#This Row],[Rate]]-C306,N306)</f>
        <v>-2.4999999999999467E-2</v>
      </c>
    </row>
    <row r="308" spans="1:14">
      <c r="A308" s="8" t="s">
        <v>647</v>
      </c>
      <c r="B308" s="11">
        <v>3.2731873242540099</v>
      </c>
      <c r="C308" s="13">
        <v>4.41</v>
      </c>
      <c r="D308" s="14">
        <f t="shared" si="28"/>
        <v>1</v>
      </c>
      <c r="E308" s="14">
        <f t="shared" si="29"/>
        <v>0.2</v>
      </c>
      <c r="F308" s="14">
        <f t="shared" si="30"/>
        <v>1</v>
      </c>
      <c r="G308" s="14">
        <f t="shared" si="31"/>
        <v>0.65463746485080199</v>
      </c>
      <c r="H308" s="14">
        <f t="shared" si="32"/>
        <v>0.2</v>
      </c>
      <c r="I308" s="14">
        <f t="shared" si="33"/>
        <v>0</v>
      </c>
      <c r="J308" s="14">
        <f t="shared" si="34"/>
        <v>0</v>
      </c>
      <c r="K308" s="15">
        <f>IF(CurrentMtgRatesDataTable8[[#This Row],[WA CC]]&lt;&gt;0,C307-CurrentMtgRatesDataTable8[[#This Row],[WA CC]],0)</f>
        <v>0</v>
      </c>
      <c r="L308" s="16">
        <f>IF(CurrentMtgRatesDataTable8[[#This Row],[Servicing Spread]]&lt;=0,L307,CurrentMtgRatesDataTable8[[#This Row],[Servicing Spread]])</f>
        <v>0.88065906412418204</v>
      </c>
      <c r="M308" s="16">
        <f>CurrentMtgRatesDataTable8[[#This Row],[Servicing Spread Non-Zero]]-L307</f>
        <v>0</v>
      </c>
      <c r="N308" s="16">
        <f>IF(J307&lt;&gt;0,CurrentMtgRatesDataTable8[[#This Row],[Rate]]-C307,N307)</f>
        <v>0.5299999999999998</v>
      </c>
    </row>
    <row r="309" spans="1:14">
      <c r="A309" s="8" t="s">
        <v>503</v>
      </c>
      <c r="B309" s="11">
        <v>3.4290560333253501</v>
      </c>
      <c r="C309" s="13">
        <v>4.41</v>
      </c>
      <c r="D309" s="14">
        <f t="shared" si="28"/>
        <v>2</v>
      </c>
      <c r="E309" s="14">
        <f t="shared" si="29"/>
        <v>0.2</v>
      </c>
      <c r="F309" s="14">
        <f t="shared" si="30"/>
        <v>2</v>
      </c>
      <c r="G309" s="14">
        <f t="shared" si="31"/>
        <v>1.3404486715158721</v>
      </c>
      <c r="H309" s="14">
        <f t="shared" si="32"/>
        <v>0.4</v>
      </c>
      <c r="I309" s="14">
        <f t="shared" si="33"/>
        <v>0</v>
      </c>
      <c r="J309" s="14">
        <f t="shared" si="34"/>
        <v>0</v>
      </c>
      <c r="K309" s="15">
        <f>IF(CurrentMtgRatesDataTable8[[#This Row],[WA CC]]&lt;&gt;0,C308-CurrentMtgRatesDataTable8[[#This Row],[WA CC]],0)</f>
        <v>0</v>
      </c>
      <c r="L309" s="16">
        <f>IF(CurrentMtgRatesDataTable8[[#This Row],[Servicing Spread]]&lt;=0,L308,CurrentMtgRatesDataTable8[[#This Row],[Servicing Spread]])</f>
        <v>0.88065906412418204</v>
      </c>
      <c r="M309" s="16">
        <f>CurrentMtgRatesDataTable8[[#This Row],[Servicing Spread Non-Zero]]-L308</f>
        <v>0</v>
      </c>
      <c r="N309" s="16">
        <f>IF(J308&lt;&gt;0,CurrentMtgRatesDataTable8[[#This Row],[Rate]]-C308,N308)</f>
        <v>0.5299999999999998</v>
      </c>
    </row>
    <row r="310" spans="1:14">
      <c r="A310" s="8" t="s">
        <v>364</v>
      </c>
      <c r="B310" s="11">
        <v>3.4842821250923999</v>
      </c>
      <c r="C310" s="13">
        <v>4.41</v>
      </c>
      <c r="D310" s="14">
        <f t="shared" si="28"/>
        <v>5</v>
      </c>
      <c r="E310" s="14">
        <f t="shared" si="29"/>
        <v>0.2</v>
      </c>
      <c r="F310" s="14">
        <f t="shared" si="30"/>
        <v>3</v>
      </c>
      <c r="G310" s="14">
        <f t="shared" si="31"/>
        <v>2.037305096534352</v>
      </c>
      <c r="H310" s="14">
        <f t="shared" si="32"/>
        <v>0.60000000000000009</v>
      </c>
      <c r="I310" s="14">
        <f t="shared" si="33"/>
        <v>0</v>
      </c>
      <c r="J310" s="14">
        <f t="shared" si="34"/>
        <v>0</v>
      </c>
      <c r="K310" s="15">
        <f>IF(CurrentMtgRatesDataTable8[[#This Row],[WA CC]]&lt;&gt;0,C309-CurrentMtgRatesDataTable8[[#This Row],[WA CC]],0)</f>
        <v>0</v>
      </c>
      <c r="L310" s="16">
        <f>IF(CurrentMtgRatesDataTable8[[#This Row],[Servicing Spread]]&lt;=0,L309,CurrentMtgRatesDataTable8[[#This Row],[Servicing Spread]])</f>
        <v>0.88065906412418204</v>
      </c>
      <c r="M310" s="16">
        <f>CurrentMtgRatesDataTable8[[#This Row],[Servicing Spread Non-Zero]]-L309</f>
        <v>0</v>
      </c>
      <c r="N310" s="16">
        <f>IF(J309&lt;&gt;0,CurrentMtgRatesDataTable8[[#This Row],[Rate]]-C309,N309)</f>
        <v>0.5299999999999998</v>
      </c>
    </row>
    <row r="311" spans="1:14">
      <c r="A311" s="8" t="s">
        <v>225</v>
      </c>
      <c r="B311" s="11">
        <v>3.4979073592115801</v>
      </c>
      <c r="C311" s="13">
        <v>4.41</v>
      </c>
      <c r="D311" s="14">
        <f t="shared" si="28"/>
        <v>6</v>
      </c>
      <c r="E311" s="14">
        <f t="shared" si="29"/>
        <v>0.2</v>
      </c>
      <c r="F311" s="14">
        <f t="shared" si="30"/>
        <v>4</v>
      </c>
      <c r="G311" s="14">
        <f t="shared" si="31"/>
        <v>2.7368865683766681</v>
      </c>
      <c r="H311" s="14">
        <f t="shared" si="32"/>
        <v>0.8</v>
      </c>
      <c r="I311" s="14">
        <f t="shared" si="33"/>
        <v>0</v>
      </c>
      <c r="J311" s="14">
        <f t="shared" si="34"/>
        <v>0</v>
      </c>
      <c r="K311" s="15">
        <f>IF(CurrentMtgRatesDataTable8[[#This Row],[WA CC]]&lt;&gt;0,C310-CurrentMtgRatesDataTable8[[#This Row],[WA CC]],0)</f>
        <v>0</v>
      </c>
      <c r="L311" s="16">
        <f>IF(CurrentMtgRatesDataTable8[[#This Row],[Servicing Spread]]&lt;=0,L310,CurrentMtgRatesDataTable8[[#This Row],[Servicing Spread]])</f>
        <v>0.88065906412418204</v>
      </c>
      <c r="M311" s="16">
        <f>CurrentMtgRatesDataTable8[[#This Row],[Servicing Spread Non-Zero]]-L310</f>
        <v>0</v>
      </c>
      <c r="N311" s="16">
        <f>IF(J310&lt;&gt;0,CurrentMtgRatesDataTable8[[#This Row],[Rate]]-C310,N310)</f>
        <v>0.5299999999999998</v>
      </c>
    </row>
    <row r="312" spans="1:14">
      <c r="A312" s="8" t="s">
        <v>82</v>
      </c>
      <c r="B312" s="11">
        <v>3.44274839511578</v>
      </c>
      <c r="C312" s="13">
        <v>4.41</v>
      </c>
      <c r="D312" s="14">
        <f t="shared" si="28"/>
        <v>7</v>
      </c>
      <c r="E312" s="14">
        <f t="shared" si="29"/>
        <v>0.2</v>
      </c>
      <c r="F312" s="14">
        <f t="shared" si="30"/>
        <v>5</v>
      </c>
      <c r="G312" s="14">
        <f t="shared" si="31"/>
        <v>3.4254362473998241</v>
      </c>
      <c r="H312" s="14">
        <f t="shared" si="32"/>
        <v>1</v>
      </c>
      <c r="I312" s="14">
        <f t="shared" si="33"/>
        <v>1</v>
      </c>
      <c r="J312" s="14">
        <f t="shared" si="34"/>
        <v>3.4254362473998241</v>
      </c>
      <c r="K312" s="15">
        <f>IF(CurrentMtgRatesDataTable8[[#This Row],[WA CC]]&lt;&gt;0,C311-CurrentMtgRatesDataTable8[[#This Row],[WA CC]],0)</f>
        <v>0.98456375260017603</v>
      </c>
      <c r="L312" s="16">
        <f>IF(CurrentMtgRatesDataTable8[[#This Row],[Servicing Spread]]&lt;=0,L311,CurrentMtgRatesDataTable8[[#This Row],[Servicing Spread]])</f>
        <v>0.98456375260017603</v>
      </c>
      <c r="M312" s="16">
        <f>CurrentMtgRatesDataTable8[[#This Row],[Servicing Spread Non-Zero]]-L311</f>
        <v>0.10390468847599399</v>
      </c>
      <c r="N312" s="16">
        <f>IF(J311&lt;&gt;0,CurrentMtgRatesDataTable8[[#This Row],[Rate]]-C311,N311)</f>
        <v>0.5299999999999998</v>
      </c>
    </row>
    <row r="313" spans="1:14">
      <c r="A313" s="8" t="s">
        <v>504</v>
      </c>
      <c r="B313" s="11">
        <v>3.3206581307608101</v>
      </c>
      <c r="C313" s="13">
        <v>4.2149999999999999</v>
      </c>
      <c r="D313" s="14">
        <f t="shared" si="28"/>
        <v>1</v>
      </c>
      <c r="E313" s="14">
        <f t="shared" si="29"/>
        <v>0.2</v>
      </c>
      <c r="F313" s="14">
        <f t="shared" si="30"/>
        <v>1</v>
      </c>
      <c r="G313" s="14">
        <f t="shared" si="31"/>
        <v>0.66413162615216204</v>
      </c>
      <c r="H313" s="14">
        <f t="shared" si="32"/>
        <v>0.2</v>
      </c>
      <c r="I313" s="14">
        <f t="shared" si="33"/>
        <v>0</v>
      </c>
      <c r="J313" s="14">
        <f t="shared" si="34"/>
        <v>0</v>
      </c>
      <c r="K313" s="15">
        <f>IF(CurrentMtgRatesDataTable8[[#This Row],[WA CC]]&lt;&gt;0,C312-CurrentMtgRatesDataTable8[[#This Row],[WA CC]],0)</f>
        <v>0</v>
      </c>
      <c r="L313" s="16">
        <f>IF(CurrentMtgRatesDataTable8[[#This Row],[Servicing Spread]]&lt;=0,L312,CurrentMtgRatesDataTable8[[#This Row],[Servicing Spread]])</f>
        <v>0.98456375260017603</v>
      </c>
      <c r="M313" s="16">
        <f>CurrentMtgRatesDataTable8[[#This Row],[Servicing Spread Non-Zero]]-L312</f>
        <v>0</v>
      </c>
      <c r="N313" s="16">
        <f>IF(J312&lt;&gt;0,CurrentMtgRatesDataTable8[[#This Row],[Rate]]-C312,N312)</f>
        <v>-0.19500000000000028</v>
      </c>
    </row>
    <row r="314" spans="1:14">
      <c r="A314" s="8" t="s">
        <v>436</v>
      </c>
      <c r="B314" s="11">
        <v>3.3094496735702101</v>
      </c>
      <c r="C314" s="13">
        <v>4.2149999999999999</v>
      </c>
      <c r="D314" s="14">
        <f t="shared" si="28"/>
        <v>2</v>
      </c>
      <c r="E314" s="14">
        <f t="shared" si="29"/>
        <v>0.2</v>
      </c>
      <c r="F314" s="14">
        <f t="shared" si="30"/>
        <v>2</v>
      </c>
      <c r="G314" s="14">
        <f t="shared" si="31"/>
        <v>1.326021560866204</v>
      </c>
      <c r="H314" s="14">
        <f t="shared" si="32"/>
        <v>0.4</v>
      </c>
      <c r="I314" s="14">
        <f t="shared" si="33"/>
        <v>0</v>
      </c>
      <c r="J314" s="14">
        <f t="shared" si="34"/>
        <v>0</v>
      </c>
      <c r="K314" s="15">
        <f>IF(CurrentMtgRatesDataTable8[[#This Row],[WA CC]]&lt;&gt;0,C313-CurrentMtgRatesDataTable8[[#This Row],[WA CC]],0)</f>
        <v>0</v>
      </c>
      <c r="L314" s="16">
        <f>IF(CurrentMtgRatesDataTable8[[#This Row],[Servicing Spread]]&lt;=0,L313,CurrentMtgRatesDataTable8[[#This Row],[Servicing Spread]])</f>
        <v>0.98456375260017603</v>
      </c>
      <c r="M314" s="16">
        <f>CurrentMtgRatesDataTable8[[#This Row],[Servicing Spread Non-Zero]]-L313</f>
        <v>0</v>
      </c>
      <c r="N314" s="16">
        <f>IF(J313&lt;&gt;0,CurrentMtgRatesDataTable8[[#This Row],[Rate]]-C313,N313)</f>
        <v>-0.19500000000000028</v>
      </c>
    </row>
    <row r="315" spans="1:14">
      <c r="A315" s="8" t="s">
        <v>226</v>
      </c>
      <c r="B315" s="11">
        <v>3.2979461773808199</v>
      </c>
      <c r="C315" s="13">
        <v>4.2149999999999999</v>
      </c>
      <c r="D315" s="14">
        <f t="shared" si="28"/>
        <v>5</v>
      </c>
      <c r="E315" s="14">
        <f t="shared" si="29"/>
        <v>0.2</v>
      </c>
      <c r="F315" s="14">
        <f t="shared" si="30"/>
        <v>3</v>
      </c>
      <c r="G315" s="14">
        <f t="shared" si="31"/>
        <v>1.9856107963423679</v>
      </c>
      <c r="H315" s="14">
        <f t="shared" si="32"/>
        <v>0.60000000000000009</v>
      </c>
      <c r="I315" s="14">
        <f t="shared" si="33"/>
        <v>0</v>
      </c>
      <c r="J315" s="14">
        <f t="shared" si="34"/>
        <v>0</v>
      </c>
      <c r="K315" s="15">
        <f>IF(CurrentMtgRatesDataTable8[[#This Row],[WA CC]]&lt;&gt;0,C314-CurrentMtgRatesDataTable8[[#This Row],[WA CC]],0)</f>
        <v>0</v>
      </c>
      <c r="L315" s="16">
        <f>IF(CurrentMtgRatesDataTable8[[#This Row],[Servicing Spread]]&lt;=0,L314,CurrentMtgRatesDataTable8[[#This Row],[Servicing Spread]])</f>
        <v>0.98456375260017603</v>
      </c>
      <c r="M315" s="16">
        <f>CurrentMtgRatesDataTable8[[#This Row],[Servicing Spread Non-Zero]]-L314</f>
        <v>0</v>
      </c>
      <c r="N315" s="16">
        <f>IF(J314&lt;&gt;0,CurrentMtgRatesDataTable8[[#This Row],[Rate]]-C314,N314)</f>
        <v>-0.19500000000000028</v>
      </c>
    </row>
    <row r="316" spans="1:14">
      <c r="A316" s="8" t="s">
        <v>83</v>
      </c>
      <c r="B316" s="11">
        <v>3.3118182496923301</v>
      </c>
      <c r="C316" s="13">
        <v>4.2149999999999999</v>
      </c>
      <c r="D316" s="14">
        <f t="shared" si="28"/>
        <v>6</v>
      </c>
      <c r="E316" s="14">
        <f t="shared" si="29"/>
        <v>0.2</v>
      </c>
      <c r="F316" s="14">
        <f t="shared" si="30"/>
        <v>4</v>
      </c>
      <c r="G316" s="14">
        <f t="shared" si="31"/>
        <v>2.6479744462808341</v>
      </c>
      <c r="H316" s="14">
        <f t="shared" si="32"/>
        <v>0.8</v>
      </c>
      <c r="I316" s="14">
        <f t="shared" si="33"/>
        <v>0</v>
      </c>
      <c r="J316" s="14">
        <f t="shared" si="34"/>
        <v>0</v>
      </c>
      <c r="K316" s="15">
        <f>IF(CurrentMtgRatesDataTable8[[#This Row],[WA CC]]&lt;&gt;0,C315-CurrentMtgRatesDataTable8[[#This Row],[WA CC]],0)</f>
        <v>0</v>
      </c>
      <c r="L316" s="16">
        <f>IF(CurrentMtgRatesDataTable8[[#This Row],[Servicing Spread]]&lt;=0,L315,CurrentMtgRatesDataTable8[[#This Row],[Servicing Spread]])</f>
        <v>0.98456375260017603</v>
      </c>
      <c r="M316" s="16">
        <f>CurrentMtgRatesDataTable8[[#This Row],[Servicing Spread Non-Zero]]-L315</f>
        <v>0</v>
      </c>
      <c r="N316" s="16">
        <f>IF(J315&lt;&gt;0,CurrentMtgRatesDataTable8[[#This Row],[Rate]]-C315,N315)</f>
        <v>-0.19500000000000028</v>
      </c>
    </row>
    <row r="317" spans="1:14">
      <c r="A317" s="8" t="s">
        <v>982</v>
      </c>
      <c r="B317" s="11">
        <v>3.3689245044101299</v>
      </c>
      <c r="C317" s="13">
        <v>4.2149999999999999</v>
      </c>
      <c r="D317" s="14">
        <f t="shared" si="28"/>
        <v>7</v>
      </c>
      <c r="E317" s="14">
        <f t="shared" si="29"/>
        <v>0.2</v>
      </c>
      <c r="F317" s="14">
        <f t="shared" si="30"/>
        <v>5</v>
      </c>
      <c r="G317" s="14">
        <f t="shared" si="31"/>
        <v>3.3217593471628604</v>
      </c>
      <c r="H317" s="14">
        <f t="shared" si="32"/>
        <v>1</v>
      </c>
      <c r="I317" s="14">
        <f t="shared" si="33"/>
        <v>1</v>
      </c>
      <c r="J317" s="14">
        <f t="shared" si="34"/>
        <v>3.3217593471628604</v>
      </c>
      <c r="K317" s="15">
        <f>IF(CurrentMtgRatesDataTable8[[#This Row],[WA CC]]&lt;&gt;0,C316-CurrentMtgRatesDataTable8[[#This Row],[WA CC]],0)</f>
        <v>0.89324065283713949</v>
      </c>
      <c r="L317" s="16">
        <f>IF(CurrentMtgRatesDataTable8[[#This Row],[Servicing Spread]]&lt;=0,L316,CurrentMtgRatesDataTable8[[#This Row],[Servicing Spread]])</f>
        <v>0.89324065283713949</v>
      </c>
      <c r="M317" s="16">
        <f>CurrentMtgRatesDataTable8[[#This Row],[Servicing Spread Non-Zero]]-L316</f>
        <v>-9.1323099763036542E-2</v>
      </c>
      <c r="N317" s="16">
        <f>IF(J316&lt;&gt;0,CurrentMtgRatesDataTable8[[#This Row],[Rate]]-C316,N316)</f>
        <v>-0.19500000000000028</v>
      </c>
    </row>
    <row r="318" spans="1:14">
      <c r="A318" s="8" t="s">
        <v>505</v>
      </c>
      <c r="B318" s="11">
        <v>3.6732513531495798</v>
      </c>
      <c r="C318" s="13">
        <v>4.46</v>
      </c>
      <c r="D318" s="14">
        <f t="shared" si="28"/>
        <v>2</v>
      </c>
      <c r="E318" s="14">
        <f t="shared" si="29"/>
        <v>0.2</v>
      </c>
      <c r="F318" s="14">
        <f t="shared" si="30"/>
        <v>1</v>
      </c>
      <c r="G318" s="14">
        <f t="shared" si="31"/>
        <v>0.73465027062991606</v>
      </c>
      <c r="H318" s="14">
        <f t="shared" si="32"/>
        <v>0.2</v>
      </c>
      <c r="I318" s="14">
        <f t="shared" si="33"/>
        <v>0</v>
      </c>
      <c r="J318" s="14">
        <f t="shared" si="34"/>
        <v>0</v>
      </c>
      <c r="K318" s="15">
        <f>IF(CurrentMtgRatesDataTable8[[#This Row],[WA CC]]&lt;&gt;0,C317-CurrentMtgRatesDataTable8[[#This Row],[WA CC]],0)</f>
        <v>0</v>
      </c>
      <c r="L318" s="16">
        <f>IF(CurrentMtgRatesDataTable8[[#This Row],[Servicing Spread]]&lt;=0,L317,CurrentMtgRatesDataTable8[[#This Row],[Servicing Spread]])</f>
        <v>0.89324065283713949</v>
      </c>
      <c r="M318" s="16">
        <f>CurrentMtgRatesDataTable8[[#This Row],[Servicing Spread Non-Zero]]-L317</f>
        <v>0</v>
      </c>
      <c r="N318" s="16">
        <f>IF(J317&lt;&gt;0,CurrentMtgRatesDataTable8[[#This Row],[Rate]]-C317,N317)</f>
        <v>0.24500000000000011</v>
      </c>
    </row>
    <row r="319" spans="1:14">
      <c r="A319" s="8" t="s">
        <v>365</v>
      </c>
      <c r="B319" s="11">
        <v>3.5446391609564598</v>
      </c>
      <c r="C319" s="13">
        <v>4.46</v>
      </c>
      <c r="D319" s="14">
        <f t="shared" si="28"/>
        <v>5</v>
      </c>
      <c r="E319" s="14">
        <f t="shared" si="29"/>
        <v>0.2</v>
      </c>
      <c r="F319" s="14">
        <f t="shared" si="30"/>
        <v>2</v>
      </c>
      <c r="G319" s="14">
        <f t="shared" si="31"/>
        <v>1.443578102821208</v>
      </c>
      <c r="H319" s="14">
        <f t="shared" si="32"/>
        <v>0.4</v>
      </c>
      <c r="I319" s="14">
        <f t="shared" si="33"/>
        <v>0</v>
      </c>
      <c r="J319" s="14">
        <f t="shared" si="34"/>
        <v>0</v>
      </c>
      <c r="K319" s="15">
        <f>IF(CurrentMtgRatesDataTable8[[#This Row],[WA CC]]&lt;&gt;0,C318-CurrentMtgRatesDataTable8[[#This Row],[WA CC]],0)</f>
        <v>0</v>
      </c>
      <c r="L319" s="16">
        <f>IF(CurrentMtgRatesDataTable8[[#This Row],[Servicing Spread]]&lt;=0,L318,CurrentMtgRatesDataTable8[[#This Row],[Servicing Spread]])</f>
        <v>0.89324065283713949</v>
      </c>
      <c r="M319" s="16">
        <f>CurrentMtgRatesDataTable8[[#This Row],[Servicing Spread Non-Zero]]-L318</f>
        <v>0</v>
      </c>
      <c r="N319" s="16">
        <f>IF(J318&lt;&gt;0,CurrentMtgRatesDataTable8[[#This Row],[Rate]]-C318,N318)</f>
        <v>0.24500000000000011</v>
      </c>
    </row>
    <row r="320" spans="1:14">
      <c r="A320" s="8" t="s">
        <v>227</v>
      </c>
      <c r="B320" s="11">
        <v>3.4880159980232399</v>
      </c>
      <c r="C320" s="13">
        <v>4.46</v>
      </c>
      <c r="D320" s="14">
        <f t="shared" si="28"/>
        <v>6</v>
      </c>
      <c r="E320" s="14">
        <f t="shared" si="29"/>
        <v>0.2</v>
      </c>
      <c r="F320" s="14">
        <f t="shared" si="30"/>
        <v>3</v>
      </c>
      <c r="G320" s="14">
        <f t="shared" si="31"/>
        <v>2.1411813024258559</v>
      </c>
      <c r="H320" s="14">
        <f t="shared" si="32"/>
        <v>0.60000000000000009</v>
      </c>
      <c r="I320" s="14">
        <f t="shared" si="33"/>
        <v>0</v>
      </c>
      <c r="J320" s="14">
        <f t="shared" si="34"/>
        <v>0</v>
      </c>
      <c r="K320" s="15">
        <f>IF(CurrentMtgRatesDataTable8[[#This Row],[WA CC]]&lt;&gt;0,C319-CurrentMtgRatesDataTable8[[#This Row],[WA CC]],0)</f>
        <v>0</v>
      </c>
      <c r="L320" s="16">
        <f>IF(CurrentMtgRatesDataTable8[[#This Row],[Servicing Spread]]&lt;=0,L319,CurrentMtgRatesDataTable8[[#This Row],[Servicing Spread]])</f>
        <v>0.89324065283713949</v>
      </c>
      <c r="M320" s="16">
        <f>CurrentMtgRatesDataTable8[[#This Row],[Servicing Spread Non-Zero]]-L319</f>
        <v>0</v>
      </c>
      <c r="N320" s="16">
        <f>IF(J319&lt;&gt;0,CurrentMtgRatesDataTable8[[#This Row],[Rate]]-C319,N319)</f>
        <v>0.24500000000000011</v>
      </c>
    </row>
    <row r="321" spans="1:14">
      <c r="A321" s="8" t="s">
        <v>84</v>
      </c>
      <c r="B321" s="11">
        <v>3.58537205832996</v>
      </c>
      <c r="C321" s="13">
        <v>4.46</v>
      </c>
      <c r="D321" s="14">
        <f t="shared" si="28"/>
        <v>7</v>
      </c>
      <c r="E321" s="14">
        <f t="shared" si="29"/>
        <v>0.2</v>
      </c>
      <c r="F321" s="14">
        <f t="shared" si="30"/>
        <v>4</v>
      </c>
      <c r="G321" s="14">
        <f t="shared" si="31"/>
        <v>2.8582557140918481</v>
      </c>
      <c r="H321" s="14">
        <f t="shared" si="32"/>
        <v>0.8</v>
      </c>
      <c r="I321" s="14">
        <f t="shared" si="33"/>
        <v>1</v>
      </c>
      <c r="J321" s="14">
        <f t="shared" si="34"/>
        <v>3.5728196426148098</v>
      </c>
      <c r="K321" s="15">
        <f>IF(CurrentMtgRatesDataTable8[[#This Row],[WA CC]]&lt;&gt;0,C320-CurrentMtgRatesDataTable8[[#This Row],[WA CC]],0)</f>
        <v>0.88718035738519019</v>
      </c>
      <c r="L321" s="16">
        <f>IF(CurrentMtgRatesDataTable8[[#This Row],[Servicing Spread]]&lt;=0,L320,CurrentMtgRatesDataTable8[[#This Row],[Servicing Spread]])</f>
        <v>0.88718035738519019</v>
      </c>
      <c r="M321" s="16">
        <f>CurrentMtgRatesDataTable8[[#This Row],[Servicing Spread Non-Zero]]-L320</f>
        <v>-6.0602954519493046E-3</v>
      </c>
      <c r="N321" s="16">
        <f>IF(J320&lt;&gt;0,CurrentMtgRatesDataTable8[[#This Row],[Rate]]-C320,N320)</f>
        <v>0.24500000000000011</v>
      </c>
    </row>
    <row r="322" spans="1:14">
      <c r="A322" s="8" t="s">
        <v>648</v>
      </c>
      <c r="B322" s="11">
        <v>3.4679725505405199</v>
      </c>
      <c r="C322" s="13">
        <v>4.2949999999999999</v>
      </c>
      <c r="D322" s="14">
        <f t="shared" si="28"/>
        <v>1</v>
      </c>
      <c r="E322" s="14">
        <f t="shared" si="29"/>
        <v>0.2</v>
      </c>
      <c r="F322" s="14">
        <f t="shared" si="30"/>
        <v>1</v>
      </c>
      <c r="G322" s="14">
        <f t="shared" si="31"/>
        <v>0.69359451010810402</v>
      </c>
      <c r="H322" s="14">
        <f t="shared" si="32"/>
        <v>0.2</v>
      </c>
      <c r="I322" s="14">
        <f t="shared" si="33"/>
        <v>0</v>
      </c>
      <c r="J322" s="14">
        <f t="shared" si="34"/>
        <v>0</v>
      </c>
      <c r="K322" s="15">
        <f>IF(CurrentMtgRatesDataTable8[[#This Row],[WA CC]]&lt;&gt;0,C321-CurrentMtgRatesDataTable8[[#This Row],[WA CC]],0)</f>
        <v>0</v>
      </c>
      <c r="L322" s="16">
        <f>IF(CurrentMtgRatesDataTable8[[#This Row],[Servicing Spread]]&lt;=0,L321,CurrentMtgRatesDataTable8[[#This Row],[Servicing Spread]])</f>
        <v>0.88718035738519019</v>
      </c>
      <c r="M322" s="16">
        <f>CurrentMtgRatesDataTable8[[#This Row],[Servicing Spread Non-Zero]]-L321</f>
        <v>0</v>
      </c>
      <c r="N322" s="16">
        <f>IF(J321&lt;&gt;0,CurrentMtgRatesDataTable8[[#This Row],[Rate]]-C321,N321)</f>
        <v>-0.16500000000000004</v>
      </c>
    </row>
    <row r="323" spans="1:14">
      <c r="A323" s="8" t="s">
        <v>506</v>
      </c>
      <c r="B323" s="11">
        <v>3.4748173662638</v>
      </c>
      <c r="C323" s="13">
        <v>4.2949999999999999</v>
      </c>
      <c r="D323" s="14">
        <f t="shared" si="28"/>
        <v>2</v>
      </c>
      <c r="E323" s="14">
        <f t="shared" si="29"/>
        <v>0.2</v>
      </c>
      <c r="F323" s="14">
        <f t="shared" si="30"/>
        <v>2</v>
      </c>
      <c r="G323" s="14">
        <f t="shared" si="31"/>
        <v>1.3885579833608641</v>
      </c>
      <c r="H323" s="14">
        <f t="shared" si="32"/>
        <v>0.4</v>
      </c>
      <c r="I323" s="14">
        <f t="shared" si="33"/>
        <v>0</v>
      </c>
      <c r="J323" s="14">
        <f t="shared" si="34"/>
        <v>0</v>
      </c>
      <c r="K323" s="15">
        <f>IF(CurrentMtgRatesDataTable8[[#This Row],[WA CC]]&lt;&gt;0,C322-CurrentMtgRatesDataTable8[[#This Row],[WA CC]],0)</f>
        <v>0</v>
      </c>
      <c r="L323" s="16">
        <f>IF(CurrentMtgRatesDataTable8[[#This Row],[Servicing Spread]]&lt;=0,L322,CurrentMtgRatesDataTable8[[#This Row],[Servicing Spread]])</f>
        <v>0.88718035738519019</v>
      </c>
      <c r="M323" s="16">
        <f>CurrentMtgRatesDataTable8[[#This Row],[Servicing Spread Non-Zero]]-L322</f>
        <v>0</v>
      </c>
      <c r="N323" s="16">
        <f>IF(J322&lt;&gt;0,CurrentMtgRatesDataTable8[[#This Row],[Rate]]-C322,N322)</f>
        <v>-0.16500000000000004</v>
      </c>
    </row>
    <row r="324" spans="1:14">
      <c r="A324" s="8" t="s">
        <v>366</v>
      </c>
      <c r="B324" s="11">
        <v>3.40503285889704</v>
      </c>
      <c r="C324" s="13">
        <v>4.2949999999999999</v>
      </c>
      <c r="D324" s="14">
        <f t="shared" si="28"/>
        <v>5</v>
      </c>
      <c r="E324" s="14">
        <f t="shared" si="29"/>
        <v>0.2</v>
      </c>
      <c r="F324" s="14">
        <f t="shared" si="30"/>
        <v>3</v>
      </c>
      <c r="G324" s="14">
        <f t="shared" si="31"/>
        <v>2.0695645551402722</v>
      </c>
      <c r="H324" s="14">
        <f t="shared" si="32"/>
        <v>0.60000000000000009</v>
      </c>
      <c r="I324" s="14">
        <f t="shared" si="33"/>
        <v>0</v>
      </c>
      <c r="J324" s="14">
        <f t="shared" si="34"/>
        <v>0</v>
      </c>
      <c r="K324" s="15">
        <f>IF(CurrentMtgRatesDataTable8[[#This Row],[WA CC]]&lt;&gt;0,C323-CurrentMtgRatesDataTable8[[#This Row],[WA CC]],0)</f>
        <v>0</v>
      </c>
      <c r="L324" s="16">
        <f>IF(CurrentMtgRatesDataTable8[[#This Row],[Servicing Spread]]&lt;=0,L323,CurrentMtgRatesDataTable8[[#This Row],[Servicing Spread]])</f>
        <v>0.88718035738519019</v>
      </c>
      <c r="M324" s="16">
        <f>CurrentMtgRatesDataTable8[[#This Row],[Servicing Spread Non-Zero]]-L323</f>
        <v>0</v>
      </c>
      <c r="N324" s="16">
        <f>IF(J323&lt;&gt;0,CurrentMtgRatesDataTable8[[#This Row],[Rate]]-C323,N323)</f>
        <v>-0.16500000000000004</v>
      </c>
    </row>
    <row r="325" spans="1:14">
      <c r="A325" s="8" t="s">
        <v>228</v>
      </c>
      <c r="B325" s="11">
        <v>3.3914708524147601</v>
      </c>
      <c r="C325" s="13">
        <v>4.2949999999999999</v>
      </c>
      <c r="D325" s="14">
        <f t="shared" ref="D325:D388" si="35">WEEKDAY(A325,14)</f>
        <v>6</v>
      </c>
      <c r="E325" s="14">
        <f t="shared" ref="E325:E388" si="36">VLOOKUP(D325,Q$5:R$11,2,FALSE)</f>
        <v>0.2</v>
      </c>
      <c r="F325" s="14">
        <f t="shared" ref="F325:F388" si="37">IF(AND(D325&gt;D324,F324&lt;6),F324+1,1)</f>
        <v>4</v>
      </c>
      <c r="G325" s="14">
        <f t="shared" ref="G325:G388" si="38">IF(F325&gt;F324,G324+B325*E325,B325*E325)</f>
        <v>2.7478587256232241</v>
      </c>
      <c r="H325" s="14">
        <f t="shared" ref="H325:H388" si="39">IF(AND(F325&lt;6,F325&gt;F324),E325+H324,E325)</f>
        <v>0.8</v>
      </c>
      <c r="I325" s="14">
        <f t="shared" ref="I325:I388" si="40">IF(F325&gt;F326,1,0)</f>
        <v>0</v>
      </c>
      <c r="J325" s="14">
        <f t="shared" ref="J325:J388" si="41">IF(F325&gt;F326,G325/H325,0)</f>
        <v>0</v>
      </c>
      <c r="K325" s="15">
        <f>IF(CurrentMtgRatesDataTable8[[#This Row],[WA CC]]&lt;&gt;0,C324-CurrentMtgRatesDataTable8[[#This Row],[WA CC]],0)</f>
        <v>0</v>
      </c>
      <c r="L325" s="16">
        <f>IF(CurrentMtgRatesDataTable8[[#This Row],[Servicing Spread]]&lt;=0,L324,CurrentMtgRatesDataTable8[[#This Row],[Servicing Spread]])</f>
        <v>0.88718035738519019</v>
      </c>
      <c r="M325" s="16">
        <f>CurrentMtgRatesDataTable8[[#This Row],[Servicing Spread Non-Zero]]-L324</f>
        <v>0</v>
      </c>
      <c r="N325" s="16">
        <f>IF(J324&lt;&gt;0,CurrentMtgRatesDataTable8[[#This Row],[Rate]]-C324,N324)</f>
        <v>-0.16500000000000004</v>
      </c>
    </row>
    <row r="326" spans="1:14">
      <c r="A326" s="8" t="s">
        <v>85</v>
      </c>
      <c r="B326" s="11">
        <v>3.34386583598301</v>
      </c>
      <c r="C326" s="13">
        <v>4.2949999999999999</v>
      </c>
      <c r="D326" s="14">
        <f t="shared" si="35"/>
        <v>7</v>
      </c>
      <c r="E326" s="14">
        <f t="shared" si="36"/>
        <v>0.2</v>
      </c>
      <c r="F326" s="14">
        <f t="shared" si="37"/>
        <v>5</v>
      </c>
      <c r="G326" s="14">
        <f t="shared" si="38"/>
        <v>3.4166318928198263</v>
      </c>
      <c r="H326" s="14">
        <f t="shared" si="39"/>
        <v>1</v>
      </c>
      <c r="I326" s="14">
        <f t="shared" si="40"/>
        <v>1</v>
      </c>
      <c r="J326" s="14">
        <f t="shared" si="41"/>
        <v>3.4166318928198263</v>
      </c>
      <c r="K326" s="15">
        <f>IF(CurrentMtgRatesDataTable8[[#This Row],[WA CC]]&lt;&gt;0,C325-CurrentMtgRatesDataTable8[[#This Row],[WA CC]],0)</f>
        <v>0.87836810718017366</v>
      </c>
      <c r="L326" s="16">
        <f>IF(CurrentMtgRatesDataTable8[[#This Row],[Servicing Spread]]&lt;=0,L325,CurrentMtgRatesDataTable8[[#This Row],[Servicing Spread]])</f>
        <v>0.87836810718017366</v>
      </c>
      <c r="M326" s="16">
        <f>CurrentMtgRatesDataTable8[[#This Row],[Servicing Spread Non-Zero]]-L325</f>
        <v>-8.8122502050165252E-3</v>
      </c>
      <c r="N326" s="16">
        <f>IF(J325&lt;&gt;0,CurrentMtgRatesDataTable8[[#This Row],[Rate]]-C325,N325)</f>
        <v>-0.16500000000000004</v>
      </c>
    </row>
    <row r="327" spans="1:14">
      <c r="A327" s="8" t="s">
        <v>649</v>
      </c>
      <c r="B327" s="11">
        <v>3.38884755763491</v>
      </c>
      <c r="C327" s="13">
        <v>4.26</v>
      </c>
      <c r="D327" s="14">
        <f t="shared" si="35"/>
        <v>1</v>
      </c>
      <c r="E327" s="14">
        <f t="shared" si="36"/>
        <v>0.2</v>
      </c>
      <c r="F327" s="14">
        <f t="shared" si="37"/>
        <v>1</v>
      </c>
      <c r="G327" s="14">
        <f t="shared" si="38"/>
        <v>0.67776951152698206</v>
      </c>
      <c r="H327" s="14">
        <f t="shared" si="39"/>
        <v>0.2</v>
      </c>
      <c r="I327" s="14">
        <f t="shared" si="40"/>
        <v>0</v>
      </c>
      <c r="J327" s="14">
        <f t="shared" si="41"/>
        <v>0</v>
      </c>
      <c r="K327" s="15">
        <f>IF(CurrentMtgRatesDataTable8[[#This Row],[WA CC]]&lt;&gt;0,C326-CurrentMtgRatesDataTable8[[#This Row],[WA CC]],0)</f>
        <v>0</v>
      </c>
      <c r="L327" s="16">
        <f>IF(CurrentMtgRatesDataTable8[[#This Row],[Servicing Spread]]&lt;=0,L326,CurrentMtgRatesDataTable8[[#This Row],[Servicing Spread]])</f>
        <v>0.87836810718017366</v>
      </c>
      <c r="M327" s="16">
        <f>CurrentMtgRatesDataTable8[[#This Row],[Servicing Spread Non-Zero]]-L326</f>
        <v>0</v>
      </c>
      <c r="N327" s="16">
        <f>IF(J326&lt;&gt;0,CurrentMtgRatesDataTable8[[#This Row],[Rate]]-C326,N326)</f>
        <v>-3.5000000000000142E-2</v>
      </c>
    </row>
    <row r="328" spans="1:14">
      <c r="A328" s="8" t="s">
        <v>507</v>
      </c>
      <c r="B328" s="11">
        <v>3.3313912756576198</v>
      </c>
      <c r="C328" s="13">
        <v>4.26</v>
      </c>
      <c r="D328" s="14">
        <f t="shared" si="35"/>
        <v>2</v>
      </c>
      <c r="E328" s="14">
        <f t="shared" si="36"/>
        <v>0.2</v>
      </c>
      <c r="F328" s="14">
        <f t="shared" si="37"/>
        <v>2</v>
      </c>
      <c r="G328" s="14">
        <f t="shared" si="38"/>
        <v>1.3440477666585062</v>
      </c>
      <c r="H328" s="14">
        <f t="shared" si="39"/>
        <v>0.4</v>
      </c>
      <c r="I328" s="14">
        <f t="shared" si="40"/>
        <v>0</v>
      </c>
      <c r="J328" s="14">
        <f t="shared" si="41"/>
        <v>0</v>
      </c>
      <c r="K328" s="15">
        <f>IF(CurrentMtgRatesDataTable8[[#This Row],[WA CC]]&lt;&gt;0,C327-CurrentMtgRatesDataTable8[[#This Row],[WA CC]],0)</f>
        <v>0</v>
      </c>
      <c r="L328" s="16">
        <f>IF(CurrentMtgRatesDataTable8[[#This Row],[Servicing Spread]]&lt;=0,L327,CurrentMtgRatesDataTable8[[#This Row],[Servicing Spread]])</f>
        <v>0.87836810718017366</v>
      </c>
      <c r="M328" s="16">
        <f>CurrentMtgRatesDataTable8[[#This Row],[Servicing Spread Non-Zero]]-L327</f>
        <v>0</v>
      </c>
      <c r="N328" s="16">
        <f>IF(J327&lt;&gt;0,CurrentMtgRatesDataTable8[[#This Row],[Rate]]-C327,N327)</f>
        <v>-3.5000000000000142E-2</v>
      </c>
    </row>
    <row r="329" spans="1:14">
      <c r="A329" s="8" t="s">
        <v>367</v>
      </c>
      <c r="B329" s="11">
        <v>3.3220828709767098</v>
      </c>
      <c r="C329" s="13">
        <v>4.26</v>
      </c>
      <c r="D329" s="14">
        <f t="shared" si="35"/>
        <v>5</v>
      </c>
      <c r="E329" s="14">
        <f t="shared" si="36"/>
        <v>0.2</v>
      </c>
      <c r="F329" s="14">
        <f t="shared" si="37"/>
        <v>3</v>
      </c>
      <c r="G329" s="14">
        <f t="shared" si="38"/>
        <v>2.0084643408538483</v>
      </c>
      <c r="H329" s="14">
        <f t="shared" si="39"/>
        <v>0.60000000000000009</v>
      </c>
      <c r="I329" s="14">
        <f t="shared" si="40"/>
        <v>0</v>
      </c>
      <c r="J329" s="14">
        <f t="shared" si="41"/>
        <v>0</v>
      </c>
      <c r="K329" s="15">
        <f>IF(CurrentMtgRatesDataTable8[[#This Row],[WA CC]]&lt;&gt;0,C328-CurrentMtgRatesDataTable8[[#This Row],[WA CC]],0)</f>
        <v>0</v>
      </c>
      <c r="L329" s="16">
        <f>IF(CurrentMtgRatesDataTable8[[#This Row],[Servicing Spread]]&lt;=0,L328,CurrentMtgRatesDataTable8[[#This Row],[Servicing Spread]])</f>
        <v>0.87836810718017366</v>
      </c>
      <c r="M329" s="16">
        <f>CurrentMtgRatesDataTable8[[#This Row],[Servicing Spread Non-Zero]]-L328</f>
        <v>0</v>
      </c>
      <c r="N329" s="16">
        <f>IF(J328&lt;&gt;0,CurrentMtgRatesDataTable8[[#This Row],[Rate]]-C328,N328)</f>
        <v>-3.5000000000000142E-2</v>
      </c>
    </row>
    <row r="330" spans="1:14">
      <c r="A330" s="8" t="s">
        <v>229</v>
      </c>
      <c r="B330" s="11">
        <v>3.3639050543487601</v>
      </c>
      <c r="C330" s="13">
        <v>4.26</v>
      </c>
      <c r="D330" s="14">
        <f t="shared" si="35"/>
        <v>6</v>
      </c>
      <c r="E330" s="14">
        <f t="shared" si="36"/>
        <v>0.2</v>
      </c>
      <c r="F330" s="14">
        <f t="shared" si="37"/>
        <v>4</v>
      </c>
      <c r="G330" s="14">
        <f t="shared" si="38"/>
        <v>2.6812453517236001</v>
      </c>
      <c r="H330" s="14">
        <f t="shared" si="39"/>
        <v>0.8</v>
      </c>
      <c r="I330" s="14">
        <f t="shared" si="40"/>
        <v>0</v>
      </c>
      <c r="J330" s="14">
        <f t="shared" si="41"/>
        <v>0</v>
      </c>
      <c r="K330" s="15">
        <f>IF(CurrentMtgRatesDataTable8[[#This Row],[WA CC]]&lt;&gt;0,C329-CurrentMtgRatesDataTable8[[#This Row],[WA CC]],0)</f>
        <v>0</v>
      </c>
      <c r="L330" s="16">
        <f>IF(CurrentMtgRatesDataTable8[[#This Row],[Servicing Spread]]&lt;=0,L329,CurrentMtgRatesDataTable8[[#This Row],[Servicing Spread]])</f>
        <v>0.87836810718017366</v>
      </c>
      <c r="M330" s="16">
        <f>CurrentMtgRatesDataTable8[[#This Row],[Servicing Spread Non-Zero]]-L329</f>
        <v>0</v>
      </c>
      <c r="N330" s="16">
        <f>IF(J329&lt;&gt;0,CurrentMtgRatesDataTable8[[#This Row],[Rate]]-C329,N329)</f>
        <v>-3.5000000000000142E-2</v>
      </c>
    </row>
    <row r="331" spans="1:14">
      <c r="A331" s="8" t="s">
        <v>86</v>
      </c>
      <c r="B331" s="11">
        <v>3.4296755954575699</v>
      </c>
      <c r="C331" s="13">
        <v>4.26</v>
      </c>
      <c r="D331" s="14">
        <f t="shared" si="35"/>
        <v>7</v>
      </c>
      <c r="E331" s="14">
        <f t="shared" si="36"/>
        <v>0.2</v>
      </c>
      <c r="F331" s="14">
        <f t="shared" si="37"/>
        <v>5</v>
      </c>
      <c r="G331" s="14">
        <f t="shared" si="38"/>
        <v>3.3671804708151143</v>
      </c>
      <c r="H331" s="14">
        <f t="shared" si="39"/>
        <v>1</v>
      </c>
      <c r="I331" s="14">
        <f t="shared" si="40"/>
        <v>1</v>
      </c>
      <c r="J331" s="14">
        <f t="shared" si="41"/>
        <v>3.3671804708151143</v>
      </c>
      <c r="K331" s="15">
        <f>IF(CurrentMtgRatesDataTable8[[#This Row],[WA CC]]&lt;&gt;0,C330-CurrentMtgRatesDataTable8[[#This Row],[WA CC]],0)</f>
        <v>0.8928195291848855</v>
      </c>
      <c r="L331" s="16">
        <f>IF(CurrentMtgRatesDataTable8[[#This Row],[Servicing Spread]]&lt;=0,L330,CurrentMtgRatesDataTable8[[#This Row],[Servicing Spread]])</f>
        <v>0.8928195291848855</v>
      </c>
      <c r="M331" s="16">
        <f>CurrentMtgRatesDataTable8[[#This Row],[Servicing Spread Non-Zero]]-L330</f>
        <v>1.4451422004711834E-2</v>
      </c>
      <c r="N331" s="16">
        <f>IF(J330&lt;&gt;0,CurrentMtgRatesDataTable8[[#This Row],[Rate]]-C330,N330)</f>
        <v>-3.5000000000000142E-2</v>
      </c>
    </row>
    <row r="332" spans="1:14">
      <c r="A332" s="8" t="s">
        <v>650</v>
      </c>
      <c r="B332" s="11">
        <v>3.4407863915877401</v>
      </c>
      <c r="C332" s="13">
        <v>4.3149999999999995</v>
      </c>
      <c r="D332" s="14">
        <f t="shared" si="35"/>
        <v>1</v>
      </c>
      <c r="E332" s="14">
        <f t="shared" si="36"/>
        <v>0.2</v>
      </c>
      <c r="F332" s="14">
        <f t="shared" si="37"/>
        <v>1</v>
      </c>
      <c r="G332" s="14">
        <f t="shared" si="38"/>
        <v>0.68815727831754803</v>
      </c>
      <c r="H332" s="14">
        <f t="shared" si="39"/>
        <v>0.2</v>
      </c>
      <c r="I332" s="14">
        <f t="shared" si="40"/>
        <v>0</v>
      </c>
      <c r="J332" s="14">
        <f t="shared" si="41"/>
        <v>0</v>
      </c>
      <c r="K332" s="15">
        <f>IF(CurrentMtgRatesDataTable8[[#This Row],[WA CC]]&lt;&gt;0,C331-CurrentMtgRatesDataTable8[[#This Row],[WA CC]],0)</f>
        <v>0</v>
      </c>
      <c r="L332" s="16">
        <f>IF(CurrentMtgRatesDataTable8[[#This Row],[Servicing Spread]]&lt;=0,L331,CurrentMtgRatesDataTable8[[#This Row],[Servicing Spread]])</f>
        <v>0.8928195291848855</v>
      </c>
      <c r="M332" s="16">
        <f>CurrentMtgRatesDataTable8[[#This Row],[Servicing Spread Non-Zero]]-L331</f>
        <v>0</v>
      </c>
      <c r="N332" s="16">
        <f>IF(J331&lt;&gt;0,CurrentMtgRatesDataTable8[[#This Row],[Rate]]-C331,N331)</f>
        <v>5.4999999999999716E-2</v>
      </c>
    </row>
    <row r="333" spans="1:14">
      <c r="A333" s="8" t="s">
        <v>508</v>
      </c>
      <c r="B333" s="11">
        <v>3.3953206082541598</v>
      </c>
      <c r="C333" s="13">
        <v>4.3149999999999995</v>
      </c>
      <c r="D333" s="14">
        <f t="shared" si="35"/>
        <v>2</v>
      </c>
      <c r="E333" s="14">
        <f t="shared" si="36"/>
        <v>0.2</v>
      </c>
      <c r="F333" s="14">
        <f t="shared" si="37"/>
        <v>2</v>
      </c>
      <c r="G333" s="14">
        <f t="shared" si="38"/>
        <v>1.36722139996838</v>
      </c>
      <c r="H333" s="14">
        <f t="shared" si="39"/>
        <v>0.4</v>
      </c>
      <c r="I333" s="14">
        <f t="shared" si="40"/>
        <v>0</v>
      </c>
      <c r="J333" s="14">
        <f t="shared" si="41"/>
        <v>0</v>
      </c>
      <c r="K333" s="15">
        <f>IF(CurrentMtgRatesDataTable8[[#This Row],[WA CC]]&lt;&gt;0,C332-CurrentMtgRatesDataTable8[[#This Row],[WA CC]],0)</f>
        <v>0</v>
      </c>
      <c r="L333" s="16">
        <f>IF(CurrentMtgRatesDataTable8[[#This Row],[Servicing Spread]]&lt;=0,L332,CurrentMtgRatesDataTable8[[#This Row],[Servicing Spread]])</f>
        <v>0.8928195291848855</v>
      </c>
      <c r="M333" s="16">
        <f>CurrentMtgRatesDataTable8[[#This Row],[Servicing Spread Non-Zero]]-L332</f>
        <v>0</v>
      </c>
      <c r="N333" s="16">
        <f>IF(J332&lt;&gt;0,CurrentMtgRatesDataTable8[[#This Row],[Rate]]-C332,N332)</f>
        <v>5.4999999999999716E-2</v>
      </c>
    </row>
    <row r="334" spans="1:14">
      <c r="A334" s="8" t="s">
        <v>368</v>
      </c>
      <c r="B334" s="11">
        <v>3.4061464314062202</v>
      </c>
      <c r="C334" s="13">
        <v>4.3149999999999995</v>
      </c>
      <c r="D334" s="14">
        <f t="shared" si="35"/>
        <v>5</v>
      </c>
      <c r="E334" s="14">
        <f t="shared" si="36"/>
        <v>0.2</v>
      </c>
      <c r="F334" s="14">
        <f t="shared" si="37"/>
        <v>3</v>
      </c>
      <c r="G334" s="14">
        <f t="shared" si="38"/>
        <v>2.0484506862496241</v>
      </c>
      <c r="H334" s="14">
        <f t="shared" si="39"/>
        <v>0.60000000000000009</v>
      </c>
      <c r="I334" s="14">
        <f t="shared" si="40"/>
        <v>0</v>
      </c>
      <c r="J334" s="14">
        <f t="shared" si="41"/>
        <v>0</v>
      </c>
      <c r="K334" s="15">
        <f>IF(CurrentMtgRatesDataTable8[[#This Row],[WA CC]]&lt;&gt;0,C333-CurrentMtgRatesDataTable8[[#This Row],[WA CC]],0)</f>
        <v>0</v>
      </c>
      <c r="L334" s="16">
        <f>IF(CurrentMtgRatesDataTable8[[#This Row],[Servicing Spread]]&lt;=0,L333,CurrentMtgRatesDataTable8[[#This Row],[Servicing Spread]])</f>
        <v>0.8928195291848855</v>
      </c>
      <c r="M334" s="16">
        <f>CurrentMtgRatesDataTable8[[#This Row],[Servicing Spread Non-Zero]]-L333</f>
        <v>0</v>
      </c>
      <c r="N334" s="16">
        <f>IF(J333&lt;&gt;0,CurrentMtgRatesDataTable8[[#This Row],[Rate]]-C333,N333)</f>
        <v>5.4999999999999716E-2</v>
      </c>
    </row>
    <row r="335" spans="1:14">
      <c r="A335" s="8" t="s">
        <v>230</v>
      </c>
      <c r="B335" s="11">
        <v>3.4285967572115399</v>
      </c>
      <c r="C335" s="13">
        <v>4.3149999999999995</v>
      </c>
      <c r="D335" s="14">
        <f t="shared" si="35"/>
        <v>6</v>
      </c>
      <c r="E335" s="14">
        <f t="shared" si="36"/>
        <v>0.2</v>
      </c>
      <c r="F335" s="14">
        <f t="shared" si="37"/>
        <v>4</v>
      </c>
      <c r="G335" s="14">
        <f t="shared" si="38"/>
        <v>2.734170037691932</v>
      </c>
      <c r="H335" s="14">
        <f t="shared" si="39"/>
        <v>0.8</v>
      </c>
      <c r="I335" s="14">
        <f t="shared" si="40"/>
        <v>0</v>
      </c>
      <c r="J335" s="14">
        <f t="shared" si="41"/>
        <v>0</v>
      </c>
      <c r="K335" s="15">
        <f>IF(CurrentMtgRatesDataTable8[[#This Row],[WA CC]]&lt;&gt;0,C334-CurrentMtgRatesDataTable8[[#This Row],[WA CC]],0)</f>
        <v>0</v>
      </c>
      <c r="L335" s="16">
        <f>IF(CurrentMtgRatesDataTable8[[#This Row],[Servicing Spread]]&lt;=0,L334,CurrentMtgRatesDataTable8[[#This Row],[Servicing Spread]])</f>
        <v>0.8928195291848855</v>
      </c>
      <c r="M335" s="16">
        <f>CurrentMtgRatesDataTable8[[#This Row],[Servicing Spread Non-Zero]]-L334</f>
        <v>0</v>
      </c>
      <c r="N335" s="16">
        <f>IF(J334&lt;&gt;0,CurrentMtgRatesDataTable8[[#This Row],[Rate]]-C334,N334)</f>
        <v>5.4999999999999716E-2</v>
      </c>
    </row>
    <row r="336" spans="1:14">
      <c r="A336" s="8" t="s">
        <v>87</v>
      </c>
      <c r="B336" s="11">
        <v>3.4095392657433901</v>
      </c>
      <c r="C336" s="13">
        <v>4.3149999999999995</v>
      </c>
      <c r="D336" s="14">
        <f t="shared" si="35"/>
        <v>7</v>
      </c>
      <c r="E336" s="14">
        <f t="shared" si="36"/>
        <v>0.2</v>
      </c>
      <c r="F336" s="14">
        <f t="shared" si="37"/>
        <v>5</v>
      </c>
      <c r="G336" s="14">
        <f t="shared" si="38"/>
        <v>3.4160778908406102</v>
      </c>
      <c r="H336" s="14">
        <f t="shared" si="39"/>
        <v>1</v>
      </c>
      <c r="I336" s="14">
        <f t="shared" si="40"/>
        <v>1</v>
      </c>
      <c r="J336" s="14">
        <f t="shared" si="41"/>
        <v>3.4160778908406102</v>
      </c>
      <c r="K336" s="15">
        <f>IF(CurrentMtgRatesDataTable8[[#This Row],[WA CC]]&lt;&gt;0,C335-CurrentMtgRatesDataTable8[[#This Row],[WA CC]],0)</f>
        <v>0.8989221091593893</v>
      </c>
      <c r="L336" s="16">
        <f>IF(CurrentMtgRatesDataTable8[[#This Row],[Servicing Spread]]&lt;=0,L335,CurrentMtgRatesDataTable8[[#This Row],[Servicing Spread]])</f>
        <v>0.8989221091593893</v>
      </c>
      <c r="M336" s="16">
        <f>CurrentMtgRatesDataTable8[[#This Row],[Servicing Spread Non-Zero]]-L335</f>
        <v>6.1025799745038078E-3</v>
      </c>
      <c r="N336" s="16">
        <f>IF(J335&lt;&gt;0,CurrentMtgRatesDataTable8[[#This Row],[Rate]]-C335,N335)</f>
        <v>5.4999999999999716E-2</v>
      </c>
    </row>
    <row r="337" spans="1:14">
      <c r="A337" s="8" t="s">
        <v>651</v>
      </c>
      <c r="B337" s="11">
        <v>3.5328707550914098</v>
      </c>
      <c r="C337" s="13">
        <v>4.3250000000000002</v>
      </c>
      <c r="D337" s="14">
        <f t="shared" si="35"/>
        <v>1</v>
      </c>
      <c r="E337" s="14">
        <f t="shared" si="36"/>
        <v>0.2</v>
      </c>
      <c r="F337" s="14">
        <f t="shared" si="37"/>
        <v>1</v>
      </c>
      <c r="G337" s="14">
        <f t="shared" si="38"/>
        <v>0.70657415101828203</v>
      </c>
      <c r="H337" s="14">
        <f t="shared" si="39"/>
        <v>0.2</v>
      </c>
      <c r="I337" s="14">
        <f t="shared" si="40"/>
        <v>0</v>
      </c>
      <c r="J337" s="14">
        <f t="shared" si="41"/>
        <v>0</v>
      </c>
      <c r="K337" s="15">
        <f>IF(CurrentMtgRatesDataTable8[[#This Row],[WA CC]]&lt;&gt;0,C336-CurrentMtgRatesDataTable8[[#This Row],[WA CC]],0)</f>
        <v>0</v>
      </c>
      <c r="L337" s="16">
        <f>IF(CurrentMtgRatesDataTable8[[#This Row],[Servicing Spread]]&lt;=0,L336,CurrentMtgRatesDataTable8[[#This Row],[Servicing Spread]])</f>
        <v>0.8989221091593893</v>
      </c>
      <c r="M337" s="16">
        <f>CurrentMtgRatesDataTable8[[#This Row],[Servicing Spread Non-Zero]]-L336</f>
        <v>0</v>
      </c>
      <c r="N337" s="16">
        <f>IF(J336&lt;&gt;0,CurrentMtgRatesDataTable8[[#This Row],[Rate]]-C336,N336)</f>
        <v>1.0000000000000675E-2</v>
      </c>
    </row>
    <row r="338" spans="1:14">
      <c r="A338" s="8" t="s">
        <v>509</v>
      </c>
      <c r="B338" s="11">
        <v>3.4035662511479701</v>
      </c>
      <c r="C338" s="13">
        <v>4.3250000000000002</v>
      </c>
      <c r="D338" s="14">
        <f t="shared" si="35"/>
        <v>2</v>
      </c>
      <c r="E338" s="14">
        <f t="shared" si="36"/>
        <v>0.2</v>
      </c>
      <c r="F338" s="14">
        <f t="shared" si="37"/>
        <v>2</v>
      </c>
      <c r="G338" s="14">
        <f t="shared" si="38"/>
        <v>1.387287401247876</v>
      </c>
      <c r="H338" s="14">
        <f t="shared" si="39"/>
        <v>0.4</v>
      </c>
      <c r="I338" s="14">
        <f t="shared" si="40"/>
        <v>0</v>
      </c>
      <c r="J338" s="14">
        <f t="shared" si="41"/>
        <v>0</v>
      </c>
      <c r="K338" s="15">
        <f>IF(CurrentMtgRatesDataTable8[[#This Row],[WA CC]]&lt;&gt;0,C337-CurrentMtgRatesDataTable8[[#This Row],[WA CC]],0)</f>
        <v>0</v>
      </c>
      <c r="L338" s="16">
        <f>IF(CurrentMtgRatesDataTable8[[#This Row],[Servicing Spread]]&lt;=0,L337,CurrentMtgRatesDataTable8[[#This Row],[Servicing Spread]])</f>
        <v>0.8989221091593893</v>
      </c>
      <c r="M338" s="16">
        <f>CurrentMtgRatesDataTable8[[#This Row],[Servicing Spread Non-Zero]]-L337</f>
        <v>0</v>
      </c>
      <c r="N338" s="16">
        <f>IF(J337&lt;&gt;0,CurrentMtgRatesDataTable8[[#This Row],[Rate]]-C337,N337)</f>
        <v>1.0000000000000675E-2</v>
      </c>
    </row>
    <row r="339" spans="1:14">
      <c r="A339" s="8" t="s">
        <v>369</v>
      </c>
      <c r="B339" s="11">
        <v>3.4178117990662802</v>
      </c>
      <c r="C339" s="13">
        <v>4.3250000000000002</v>
      </c>
      <c r="D339" s="14">
        <f t="shared" si="35"/>
        <v>5</v>
      </c>
      <c r="E339" s="14">
        <f t="shared" si="36"/>
        <v>0.2</v>
      </c>
      <c r="F339" s="14">
        <f t="shared" si="37"/>
        <v>3</v>
      </c>
      <c r="G339" s="14">
        <f t="shared" si="38"/>
        <v>2.0708497610611323</v>
      </c>
      <c r="H339" s="14">
        <f t="shared" si="39"/>
        <v>0.60000000000000009</v>
      </c>
      <c r="I339" s="14">
        <f t="shared" si="40"/>
        <v>0</v>
      </c>
      <c r="J339" s="14">
        <f t="shared" si="41"/>
        <v>0</v>
      </c>
      <c r="K339" s="15">
        <f>IF(CurrentMtgRatesDataTable8[[#This Row],[WA CC]]&lt;&gt;0,C338-CurrentMtgRatesDataTable8[[#This Row],[WA CC]],0)</f>
        <v>0</v>
      </c>
      <c r="L339" s="16">
        <f>IF(CurrentMtgRatesDataTable8[[#This Row],[Servicing Spread]]&lt;=0,L338,CurrentMtgRatesDataTable8[[#This Row],[Servicing Spread]])</f>
        <v>0.8989221091593893</v>
      </c>
      <c r="M339" s="16">
        <f>CurrentMtgRatesDataTable8[[#This Row],[Servicing Spread Non-Zero]]-L338</f>
        <v>0</v>
      </c>
      <c r="N339" s="16">
        <f>IF(J338&lt;&gt;0,CurrentMtgRatesDataTable8[[#This Row],[Rate]]-C338,N338)</f>
        <v>1.0000000000000675E-2</v>
      </c>
    </row>
    <row r="340" spans="1:14">
      <c r="A340" s="8" t="s">
        <v>231</v>
      </c>
      <c r="B340" s="11">
        <v>3.44308693748463</v>
      </c>
      <c r="C340" s="13">
        <v>4.3250000000000002</v>
      </c>
      <c r="D340" s="14">
        <f t="shared" si="35"/>
        <v>6</v>
      </c>
      <c r="E340" s="14">
        <f t="shared" si="36"/>
        <v>0.2</v>
      </c>
      <c r="F340" s="14">
        <f t="shared" si="37"/>
        <v>4</v>
      </c>
      <c r="G340" s="14">
        <f t="shared" si="38"/>
        <v>2.7594671485580582</v>
      </c>
      <c r="H340" s="14">
        <f t="shared" si="39"/>
        <v>0.8</v>
      </c>
      <c r="I340" s="14">
        <f t="shared" si="40"/>
        <v>0</v>
      </c>
      <c r="J340" s="14">
        <f t="shared" si="41"/>
        <v>0</v>
      </c>
      <c r="K340" s="15">
        <f>IF(CurrentMtgRatesDataTable8[[#This Row],[WA CC]]&lt;&gt;0,C339-CurrentMtgRatesDataTable8[[#This Row],[WA CC]],0)</f>
        <v>0</v>
      </c>
      <c r="L340" s="16">
        <f>IF(CurrentMtgRatesDataTable8[[#This Row],[Servicing Spread]]&lt;=0,L339,CurrentMtgRatesDataTable8[[#This Row],[Servicing Spread]])</f>
        <v>0.8989221091593893</v>
      </c>
      <c r="M340" s="16">
        <f>CurrentMtgRatesDataTable8[[#This Row],[Servicing Spread Non-Zero]]-L339</f>
        <v>0</v>
      </c>
      <c r="N340" s="16">
        <f>IF(J339&lt;&gt;0,CurrentMtgRatesDataTable8[[#This Row],[Rate]]-C339,N339)</f>
        <v>1.0000000000000675E-2</v>
      </c>
    </row>
    <row r="341" spans="1:14">
      <c r="A341" s="8" t="s">
        <v>88</v>
      </c>
      <c r="B341" s="11">
        <v>3.40952934683791</v>
      </c>
      <c r="C341" s="13">
        <v>4.3250000000000002</v>
      </c>
      <c r="D341" s="14">
        <f t="shared" si="35"/>
        <v>7</v>
      </c>
      <c r="E341" s="14">
        <f t="shared" si="36"/>
        <v>0.2</v>
      </c>
      <c r="F341" s="14">
        <f t="shared" si="37"/>
        <v>5</v>
      </c>
      <c r="G341" s="14">
        <f t="shared" si="38"/>
        <v>3.4413730179256401</v>
      </c>
      <c r="H341" s="14">
        <f t="shared" si="39"/>
        <v>1</v>
      </c>
      <c r="I341" s="14">
        <f t="shared" si="40"/>
        <v>1</v>
      </c>
      <c r="J341" s="14">
        <f t="shared" si="41"/>
        <v>3.4413730179256401</v>
      </c>
      <c r="K341" s="15">
        <f>IF(CurrentMtgRatesDataTable8[[#This Row],[WA CC]]&lt;&gt;0,C340-CurrentMtgRatesDataTable8[[#This Row],[WA CC]],0)</f>
        <v>0.88362698207436008</v>
      </c>
      <c r="L341" s="16">
        <f>IF(CurrentMtgRatesDataTable8[[#This Row],[Servicing Spread]]&lt;=0,L340,CurrentMtgRatesDataTable8[[#This Row],[Servicing Spread]])</f>
        <v>0.88362698207436008</v>
      </c>
      <c r="M341" s="16">
        <f>CurrentMtgRatesDataTable8[[#This Row],[Servicing Spread Non-Zero]]-L340</f>
        <v>-1.5295127085029225E-2</v>
      </c>
      <c r="N341" s="16">
        <f>IF(J340&lt;&gt;0,CurrentMtgRatesDataTable8[[#This Row],[Rate]]-C340,N340)</f>
        <v>1.0000000000000675E-2</v>
      </c>
    </row>
    <row r="342" spans="1:14">
      <c r="A342" s="8" t="s">
        <v>652</v>
      </c>
      <c r="B342" s="11">
        <v>3.3814879030485301</v>
      </c>
      <c r="C342" s="13">
        <v>4.3250000000000002</v>
      </c>
      <c r="D342" s="14">
        <f t="shared" si="35"/>
        <v>1</v>
      </c>
      <c r="E342" s="14">
        <f t="shared" si="36"/>
        <v>0.2</v>
      </c>
      <c r="F342" s="14">
        <f t="shared" si="37"/>
        <v>1</v>
      </c>
      <c r="G342" s="14">
        <f t="shared" si="38"/>
        <v>0.67629758060970602</v>
      </c>
      <c r="H342" s="14">
        <f t="shared" si="39"/>
        <v>0.2</v>
      </c>
      <c r="I342" s="14">
        <f t="shared" si="40"/>
        <v>0</v>
      </c>
      <c r="J342" s="14">
        <f t="shared" si="41"/>
        <v>0</v>
      </c>
      <c r="K342" s="15">
        <f>IF(CurrentMtgRatesDataTable8[[#This Row],[WA CC]]&lt;&gt;0,C341-CurrentMtgRatesDataTable8[[#This Row],[WA CC]],0)</f>
        <v>0</v>
      </c>
      <c r="L342" s="16">
        <f>IF(CurrentMtgRatesDataTable8[[#This Row],[Servicing Spread]]&lt;=0,L341,CurrentMtgRatesDataTable8[[#This Row],[Servicing Spread]])</f>
        <v>0.88362698207436008</v>
      </c>
      <c r="M342" s="16">
        <f>CurrentMtgRatesDataTable8[[#This Row],[Servicing Spread Non-Zero]]-L341</f>
        <v>0</v>
      </c>
      <c r="N342" s="16">
        <f>IF(J341&lt;&gt;0,CurrentMtgRatesDataTable8[[#This Row],[Rate]]-C341,N341)</f>
        <v>0</v>
      </c>
    </row>
    <row r="343" spans="1:14">
      <c r="A343" s="8" t="s">
        <v>510</v>
      </c>
      <c r="B343" s="11">
        <v>3.3639509131930398</v>
      </c>
      <c r="C343" s="13">
        <v>4.3250000000000002</v>
      </c>
      <c r="D343" s="14">
        <f t="shared" si="35"/>
        <v>2</v>
      </c>
      <c r="E343" s="14">
        <f t="shared" si="36"/>
        <v>0.2</v>
      </c>
      <c r="F343" s="14">
        <f t="shared" si="37"/>
        <v>2</v>
      </c>
      <c r="G343" s="14">
        <f t="shared" si="38"/>
        <v>1.349087763248314</v>
      </c>
      <c r="H343" s="14">
        <f t="shared" si="39"/>
        <v>0.4</v>
      </c>
      <c r="I343" s="14">
        <f t="shared" si="40"/>
        <v>0</v>
      </c>
      <c r="J343" s="14">
        <f t="shared" si="41"/>
        <v>0</v>
      </c>
      <c r="K343" s="15">
        <f>IF(CurrentMtgRatesDataTable8[[#This Row],[WA CC]]&lt;&gt;0,C342-CurrentMtgRatesDataTable8[[#This Row],[WA CC]],0)</f>
        <v>0</v>
      </c>
      <c r="L343" s="16">
        <f>IF(CurrentMtgRatesDataTable8[[#This Row],[Servicing Spread]]&lt;=0,L342,CurrentMtgRatesDataTable8[[#This Row],[Servicing Spread]])</f>
        <v>0.88362698207436008</v>
      </c>
      <c r="M343" s="16">
        <f>CurrentMtgRatesDataTable8[[#This Row],[Servicing Spread Non-Zero]]-L342</f>
        <v>0</v>
      </c>
      <c r="N343" s="16">
        <f>IF(J342&lt;&gt;0,CurrentMtgRatesDataTable8[[#This Row],[Rate]]-C342,N342)</f>
        <v>0</v>
      </c>
    </row>
    <row r="344" spans="1:14">
      <c r="A344" s="8" t="s">
        <v>370</v>
      </c>
      <c r="B344" s="11">
        <v>3.38388390000057</v>
      </c>
      <c r="C344" s="13">
        <v>4.3250000000000002</v>
      </c>
      <c r="D344" s="14">
        <f t="shared" si="35"/>
        <v>5</v>
      </c>
      <c r="E344" s="14">
        <f t="shared" si="36"/>
        <v>0.2</v>
      </c>
      <c r="F344" s="14">
        <f t="shared" si="37"/>
        <v>3</v>
      </c>
      <c r="G344" s="14">
        <f t="shared" si="38"/>
        <v>2.0258645432484279</v>
      </c>
      <c r="H344" s="14">
        <f t="shared" si="39"/>
        <v>0.60000000000000009</v>
      </c>
      <c r="I344" s="14">
        <f t="shared" si="40"/>
        <v>0</v>
      </c>
      <c r="J344" s="14">
        <f t="shared" si="41"/>
        <v>0</v>
      </c>
      <c r="K344" s="15">
        <f>IF(CurrentMtgRatesDataTable8[[#This Row],[WA CC]]&lt;&gt;0,C343-CurrentMtgRatesDataTable8[[#This Row],[WA CC]],0)</f>
        <v>0</v>
      </c>
      <c r="L344" s="16">
        <f>IF(CurrentMtgRatesDataTable8[[#This Row],[Servicing Spread]]&lt;=0,L343,CurrentMtgRatesDataTable8[[#This Row],[Servicing Spread]])</f>
        <v>0.88362698207436008</v>
      </c>
      <c r="M344" s="16">
        <f>CurrentMtgRatesDataTable8[[#This Row],[Servicing Spread Non-Zero]]-L343</f>
        <v>0</v>
      </c>
      <c r="N344" s="16">
        <f>IF(J343&lt;&gt;0,CurrentMtgRatesDataTable8[[#This Row],[Rate]]-C343,N343)</f>
        <v>0</v>
      </c>
    </row>
    <row r="345" spans="1:14">
      <c r="A345" s="8" t="s">
        <v>232</v>
      </c>
      <c r="B345" s="11">
        <v>3.48659769885389</v>
      </c>
      <c r="C345" s="13">
        <v>4.3250000000000002</v>
      </c>
      <c r="D345" s="14">
        <f t="shared" si="35"/>
        <v>6</v>
      </c>
      <c r="E345" s="14">
        <f t="shared" si="36"/>
        <v>0.2</v>
      </c>
      <c r="F345" s="14">
        <f t="shared" si="37"/>
        <v>4</v>
      </c>
      <c r="G345" s="14">
        <f t="shared" si="38"/>
        <v>2.723184083019206</v>
      </c>
      <c r="H345" s="14">
        <f t="shared" si="39"/>
        <v>0.8</v>
      </c>
      <c r="I345" s="14">
        <f t="shared" si="40"/>
        <v>0</v>
      </c>
      <c r="J345" s="14">
        <f t="shared" si="41"/>
        <v>0</v>
      </c>
      <c r="K345" s="15">
        <f>IF(CurrentMtgRatesDataTable8[[#This Row],[WA CC]]&lt;&gt;0,C344-CurrentMtgRatesDataTable8[[#This Row],[WA CC]],0)</f>
        <v>0</v>
      </c>
      <c r="L345" s="16">
        <f>IF(CurrentMtgRatesDataTable8[[#This Row],[Servicing Spread]]&lt;=0,L344,CurrentMtgRatesDataTable8[[#This Row],[Servicing Spread]])</f>
        <v>0.88362698207436008</v>
      </c>
      <c r="M345" s="16">
        <f>CurrentMtgRatesDataTable8[[#This Row],[Servicing Spread Non-Zero]]-L344</f>
        <v>0</v>
      </c>
      <c r="N345" s="16">
        <f>IF(J344&lt;&gt;0,CurrentMtgRatesDataTable8[[#This Row],[Rate]]-C344,N344)</f>
        <v>0</v>
      </c>
    </row>
    <row r="346" spans="1:14">
      <c r="A346" s="8" t="s">
        <v>89</v>
      </c>
      <c r="B346" s="11">
        <v>3.48408848788866</v>
      </c>
      <c r="C346" s="13">
        <v>4.3250000000000002</v>
      </c>
      <c r="D346" s="14">
        <f t="shared" si="35"/>
        <v>7</v>
      </c>
      <c r="E346" s="14">
        <f t="shared" si="36"/>
        <v>0.2</v>
      </c>
      <c r="F346" s="14">
        <f t="shared" si="37"/>
        <v>5</v>
      </c>
      <c r="G346" s="14">
        <f t="shared" si="38"/>
        <v>3.4200017805969383</v>
      </c>
      <c r="H346" s="14">
        <f t="shared" si="39"/>
        <v>1</v>
      </c>
      <c r="I346" s="14">
        <f t="shared" si="40"/>
        <v>1</v>
      </c>
      <c r="J346" s="14">
        <f t="shared" si="41"/>
        <v>3.4200017805969383</v>
      </c>
      <c r="K346" s="15">
        <f>IF(CurrentMtgRatesDataTable8[[#This Row],[WA CC]]&lt;&gt;0,C345-CurrentMtgRatesDataTable8[[#This Row],[WA CC]],0)</f>
        <v>0.90499821940306191</v>
      </c>
      <c r="L346" s="16">
        <f>IF(CurrentMtgRatesDataTable8[[#This Row],[Servicing Spread]]&lt;=0,L345,CurrentMtgRatesDataTable8[[#This Row],[Servicing Spread]])</f>
        <v>0.90499821940306191</v>
      </c>
      <c r="M346" s="16">
        <f>CurrentMtgRatesDataTable8[[#This Row],[Servicing Spread Non-Zero]]-L345</f>
        <v>2.1371237328701831E-2</v>
      </c>
      <c r="N346" s="16">
        <f>IF(J345&lt;&gt;0,CurrentMtgRatesDataTable8[[#This Row],[Rate]]-C345,N345)</f>
        <v>0</v>
      </c>
    </row>
    <row r="347" spans="1:14">
      <c r="A347" s="8" t="s">
        <v>653</v>
      </c>
      <c r="B347" s="11">
        <v>3.5424603238556802</v>
      </c>
      <c r="C347" s="13">
        <v>4.53</v>
      </c>
      <c r="D347" s="14">
        <f t="shared" si="35"/>
        <v>1</v>
      </c>
      <c r="E347" s="14">
        <f t="shared" si="36"/>
        <v>0.2</v>
      </c>
      <c r="F347" s="14">
        <f t="shared" si="37"/>
        <v>1</v>
      </c>
      <c r="G347" s="14">
        <f t="shared" si="38"/>
        <v>0.70849206477113613</v>
      </c>
      <c r="H347" s="14">
        <f t="shared" si="39"/>
        <v>0.2</v>
      </c>
      <c r="I347" s="14">
        <f t="shared" si="40"/>
        <v>0</v>
      </c>
      <c r="J347" s="14">
        <f t="shared" si="41"/>
        <v>0</v>
      </c>
      <c r="K347" s="15">
        <f>IF(CurrentMtgRatesDataTable8[[#This Row],[WA CC]]&lt;&gt;0,C346-CurrentMtgRatesDataTable8[[#This Row],[WA CC]],0)</f>
        <v>0</v>
      </c>
      <c r="L347" s="16">
        <f>IF(CurrentMtgRatesDataTable8[[#This Row],[Servicing Spread]]&lt;=0,L346,CurrentMtgRatesDataTable8[[#This Row],[Servicing Spread]])</f>
        <v>0.90499821940306191</v>
      </c>
      <c r="M347" s="16">
        <f>CurrentMtgRatesDataTable8[[#This Row],[Servicing Spread Non-Zero]]-L346</f>
        <v>0</v>
      </c>
      <c r="N347" s="16">
        <f>IF(J346&lt;&gt;0,CurrentMtgRatesDataTable8[[#This Row],[Rate]]-C346,N346)</f>
        <v>0.20500000000000007</v>
      </c>
    </row>
    <row r="348" spans="1:14">
      <c r="A348" s="8" t="s">
        <v>511</v>
      </c>
      <c r="B348" s="11">
        <v>3.63422852757154</v>
      </c>
      <c r="C348" s="13">
        <v>4.53</v>
      </c>
      <c r="D348" s="14">
        <f t="shared" si="35"/>
        <v>2</v>
      </c>
      <c r="E348" s="14">
        <f t="shared" si="36"/>
        <v>0.2</v>
      </c>
      <c r="F348" s="14">
        <f t="shared" si="37"/>
        <v>2</v>
      </c>
      <c r="G348" s="14">
        <f t="shared" si="38"/>
        <v>1.4353377702854442</v>
      </c>
      <c r="H348" s="14">
        <f t="shared" si="39"/>
        <v>0.4</v>
      </c>
      <c r="I348" s="14">
        <f t="shared" si="40"/>
        <v>0</v>
      </c>
      <c r="J348" s="14">
        <f t="shared" si="41"/>
        <v>0</v>
      </c>
      <c r="K348" s="15">
        <f>IF(CurrentMtgRatesDataTable8[[#This Row],[WA CC]]&lt;&gt;0,C347-CurrentMtgRatesDataTable8[[#This Row],[WA CC]],0)</f>
        <v>0</v>
      </c>
      <c r="L348" s="16">
        <f>IF(CurrentMtgRatesDataTable8[[#This Row],[Servicing Spread]]&lt;=0,L347,CurrentMtgRatesDataTable8[[#This Row],[Servicing Spread]])</f>
        <v>0.90499821940306191</v>
      </c>
      <c r="M348" s="16">
        <f>CurrentMtgRatesDataTable8[[#This Row],[Servicing Spread Non-Zero]]-L347</f>
        <v>0</v>
      </c>
      <c r="N348" s="16">
        <f>IF(J347&lt;&gt;0,CurrentMtgRatesDataTable8[[#This Row],[Rate]]-C347,N347)</f>
        <v>0.20500000000000007</v>
      </c>
    </row>
    <row r="349" spans="1:14">
      <c r="A349" s="8" t="s">
        <v>371</v>
      </c>
      <c r="B349" s="11">
        <v>3.71104784086622</v>
      </c>
      <c r="C349" s="13">
        <v>4.53</v>
      </c>
      <c r="D349" s="14">
        <f t="shared" si="35"/>
        <v>5</v>
      </c>
      <c r="E349" s="14">
        <f t="shared" si="36"/>
        <v>0.2</v>
      </c>
      <c r="F349" s="14">
        <f t="shared" si="37"/>
        <v>3</v>
      </c>
      <c r="G349" s="14">
        <f t="shared" si="38"/>
        <v>2.1775473384586883</v>
      </c>
      <c r="H349" s="14">
        <f t="shared" si="39"/>
        <v>0.60000000000000009</v>
      </c>
      <c r="I349" s="14">
        <f t="shared" si="40"/>
        <v>0</v>
      </c>
      <c r="J349" s="14">
        <f t="shared" si="41"/>
        <v>0</v>
      </c>
      <c r="K349" s="15">
        <f>IF(CurrentMtgRatesDataTable8[[#This Row],[WA CC]]&lt;&gt;0,C348-CurrentMtgRatesDataTable8[[#This Row],[WA CC]],0)</f>
        <v>0</v>
      </c>
      <c r="L349" s="16">
        <f>IF(CurrentMtgRatesDataTable8[[#This Row],[Servicing Spread]]&lt;=0,L348,CurrentMtgRatesDataTable8[[#This Row],[Servicing Spread]])</f>
        <v>0.90499821940306191</v>
      </c>
      <c r="M349" s="16">
        <f>CurrentMtgRatesDataTable8[[#This Row],[Servicing Spread Non-Zero]]-L348</f>
        <v>0</v>
      </c>
      <c r="N349" s="16">
        <f>IF(J348&lt;&gt;0,CurrentMtgRatesDataTable8[[#This Row],[Rate]]-C348,N348)</f>
        <v>0.20500000000000007</v>
      </c>
    </row>
    <row r="350" spans="1:14">
      <c r="A350" s="8" t="s">
        <v>233</v>
      </c>
      <c r="B350" s="11">
        <v>3.63068303363114</v>
      </c>
      <c r="C350" s="13">
        <v>4.53</v>
      </c>
      <c r="D350" s="14">
        <f t="shared" si="35"/>
        <v>6</v>
      </c>
      <c r="E350" s="14">
        <f t="shared" si="36"/>
        <v>0.2</v>
      </c>
      <c r="F350" s="14">
        <f t="shared" si="37"/>
        <v>4</v>
      </c>
      <c r="G350" s="14">
        <f t="shared" si="38"/>
        <v>2.9036839451849161</v>
      </c>
      <c r="H350" s="14">
        <f t="shared" si="39"/>
        <v>0.8</v>
      </c>
      <c r="I350" s="14">
        <f t="shared" si="40"/>
        <v>0</v>
      </c>
      <c r="J350" s="14">
        <f t="shared" si="41"/>
        <v>0</v>
      </c>
      <c r="K350" s="15">
        <f>IF(CurrentMtgRatesDataTable8[[#This Row],[WA CC]]&lt;&gt;0,C349-CurrentMtgRatesDataTable8[[#This Row],[WA CC]],0)</f>
        <v>0</v>
      </c>
      <c r="L350" s="16">
        <f>IF(CurrentMtgRatesDataTable8[[#This Row],[Servicing Spread]]&lt;=0,L349,CurrentMtgRatesDataTable8[[#This Row],[Servicing Spread]])</f>
        <v>0.90499821940306191</v>
      </c>
      <c r="M350" s="16">
        <f>CurrentMtgRatesDataTable8[[#This Row],[Servicing Spread Non-Zero]]-L349</f>
        <v>0</v>
      </c>
      <c r="N350" s="16">
        <f>IF(J349&lt;&gt;0,CurrentMtgRatesDataTable8[[#This Row],[Rate]]-C349,N349)</f>
        <v>0.20500000000000007</v>
      </c>
    </row>
    <row r="351" spans="1:14">
      <c r="A351" s="8" t="s">
        <v>90</v>
      </c>
      <c r="B351" s="11">
        <v>3.6746442970123199</v>
      </c>
      <c r="C351" s="13">
        <v>4.53</v>
      </c>
      <c r="D351" s="14">
        <f t="shared" si="35"/>
        <v>7</v>
      </c>
      <c r="E351" s="14">
        <f t="shared" si="36"/>
        <v>0.2</v>
      </c>
      <c r="F351" s="14">
        <f t="shared" si="37"/>
        <v>5</v>
      </c>
      <c r="G351" s="14">
        <f t="shared" si="38"/>
        <v>3.63861280458738</v>
      </c>
      <c r="H351" s="14">
        <f t="shared" si="39"/>
        <v>1</v>
      </c>
      <c r="I351" s="14">
        <f t="shared" si="40"/>
        <v>1</v>
      </c>
      <c r="J351" s="14">
        <f t="shared" si="41"/>
        <v>3.63861280458738</v>
      </c>
      <c r="K351" s="15">
        <f>IF(CurrentMtgRatesDataTable8[[#This Row],[WA CC]]&lt;&gt;0,C350-CurrentMtgRatesDataTable8[[#This Row],[WA CC]],0)</f>
        <v>0.89138719541262024</v>
      </c>
      <c r="L351" s="16">
        <f>IF(CurrentMtgRatesDataTable8[[#This Row],[Servicing Spread]]&lt;=0,L350,CurrentMtgRatesDataTable8[[#This Row],[Servicing Spread]])</f>
        <v>0.89138719541262024</v>
      </c>
      <c r="M351" s="16">
        <f>CurrentMtgRatesDataTable8[[#This Row],[Servicing Spread Non-Zero]]-L350</f>
        <v>-1.3611023990441673E-2</v>
      </c>
      <c r="N351" s="16">
        <f>IF(J350&lt;&gt;0,CurrentMtgRatesDataTable8[[#This Row],[Rate]]-C350,N350)</f>
        <v>0.20500000000000007</v>
      </c>
    </row>
    <row r="352" spans="1:14">
      <c r="A352" s="8" t="s">
        <v>654</v>
      </c>
      <c r="B352" s="11">
        <v>3.7101937917241501</v>
      </c>
      <c r="C352" s="13">
        <v>4.4349999999999996</v>
      </c>
      <c r="D352" s="14">
        <f t="shared" si="35"/>
        <v>1</v>
      </c>
      <c r="E352" s="14">
        <f t="shared" si="36"/>
        <v>0.2</v>
      </c>
      <c r="F352" s="14">
        <f t="shared" si="37"/>
        <v>1</v>
      </c>
      <c r="G352" s="14">
        <f t="shared" si="38"/>
        <v>0.74203875834483002</v>
      </c>
      <c r="H352" s="14">
        <f t="shared" si="39"/>
        <v>0.2</v>
      </c>
      <c r="I352" s="14">
        <f t="shared" si="40"/>
        <v>0</v>
      </c>
      <c r="J352" s="14">
        <f t="shared" si="41"/>
        <v>0</v>
      </c>
      <c r="K352" s="15">
        <f>IF(CurrentMtgRatesDataTable8[[#This Row],[WA CC]]&lt;&gt;0,C351-CurrentMtgRatesDataTable8[[#This Row],[WA CC]],0)</f>
        <v>0</v>
      </c>
      <c r="L352" s="16">
        <f>IF(CurrentMtgRatesDataTable8[[#This Row],[Servicing Spread]]&lt;=0,L351,CurrentMtgRatesDataTable8[[#This Row],[Servicing Spread]])</f>
        <v>0.89138719541262024</v>
      </c>
      <c r="M352" s="16">
        <f>CurrentMtgRatesDataTable8[[#This Row],[Servicing Spread Non-Zero]]-L351</f>
        <v>0</v>
      </c>
      <c r="N352" s="16">
        <f>IF(J351&lt;&gt;0,CurrentMtgRatesDataTable8[[#This Row],[Rate]]-C351,N351)</f>
        <v>-9.5000000000000639E-2</v>
      </c>
    </row>
    <row r="353" spans="1:14">
      <c r="A353" s="8" t="s">
        <v>512</v>
      </c>
      <c r="B353" s="11">
        <v>3.6014591745782401</v>
      </c>
      <c r="C353" s="13">
        <v>4.4349999999999996</v>
      </c>
      <c r="D353" s="14">
        <f t="shared" si="35"/>
        <v>2</v>
      </c>
      <c r="E353" s="14">
        <f t="shared" si="36"/>
        <v>0.2</v>
      </c>
      <c r="F353" s="14">
        <f t="shared" si="37"/>
        <v>2</v>
      </c>
      <c r="G353" s="14">
        <f t="shared" si="38"/>
        <v>1.4623305932604782</v>
      </c>
      <c r="H353" s="14">
        <f t="shared" si="39"/>
        <v>0.4</v>
      </c>
      <c r="I353" s="14">
        <f t="shared" si="40"/>
        <v>0</v>
      </c>
      <c r="J353" s="14">
        <f t="shared" si="41"/>
        <v>0</v>
      </c>
      <c r="K353" s="15">
        <f>IF(CurrentMtgRatesDataTable8[[#This Row],[WA CC]]&lt;&gt;0,C352-CurrentMtgRatesDataTable8[[#This Row],[WA CC]],0)</f>
        <v>0</v>
      </c>
      <c r="L353" s="16">
        <f>IF(CurrentMtgRatesDataTable8[[#This Row],[Servicing Spread]]&lt;=0,L352,CurrentMtgRatesDataTable8[[#This Row],[Servicing Spread]])</f>
        <v>0.89138719541262024</v>
      </c>
      <c r="M353" s="16">
        <f>CurrentMtgRatesDataTable8[[#This Row],[Servicing Spread Non-Zero]]-L352</f>
        <v>0</v>
      </c>
      <c r="N353" s="16">
        <f>IF(J352&lt;&gt;0,CurrentMtgRatesDataTable8[[#This Row],[Rate]]-C352,N352)</f>
        <v>-9.5000000000000639E-2</v>
      </c>
    </row>
    <row r="354" spans="1:14">
      <c r="A354" s="8" t="s">
        <v>372</v>
      </c>
      <c r="B354" s="11">
        <v>3.5649427405180001</v>
      </c>
      <c r="C354" s="13">
        <v>4.4349999999999996</v>
      </c>
      <c r="D354" s="14">
        <f t="shared" si="35"/>
        <v>5</v>
      </c>
      <c r="E354" s="14">
        <f t="shared" si="36"/>
        <v>0.2</v>
      </c>
      <c r="F354" s="14">
        <f t="shared" si="37"/>
        <v>3</v>
      </c>
      <c r="G354" s="14">
        <f t="shared" si="38"/>
        <v>2.1753191413640782</v>
      </c>
      <c r="H354" s="14">
        <f t="shared" si="39"/>
        <v>0.60000000000000009</v>
      </c>
      <c r="I354" s="14">
        <f t="shared" si="40"/>
        <v>0</v>
      </c>
      <c r="J354" s="14">
        <f t="shared" si="41"/>
        <v>0</v>
      </c>
      <c r="K354" s="15">
        <f>IF(CurrentMtgRatesDataTable8[[#This Row],[WA CC]]&lt;&gt;0,C353-CurrentMtgRatesDataTable8[[#This Row],[WA CC]],0)</f>
        <v>0</v>
      </c>
      <c r="L354" s="16">
        <f>IF(CurrentMtgRatesDataTable8[[#This Row],[Servicing Spread]]&lt;=0,L353,CurrentMtgRatesDataTable8[[#This Row],[Servicing Spread]])</f>
        <v>0.89138719541262024</v>
      </c>
      <c r="M354" s="16">
        <f>CurrentMtgRatesDataTable8[[#This Row],[Servicing Spread Non-Zero]]-L353</f>
        <v>0</v>
      </c>
      <c r="N354" s="16">
        <f>IF(J353&lt;&gt;0,CurrentMtgRatesDataTable8[[#This Row],[Rate]]-C353,N353)</f>
        <v>-9.5000000000000639E-2</v>
      </c>
    </row>
    <row r="355" spans="1:14">
      <c r="A355" s="8" t="s">
        <v>234</v>
      </c>
      <c r="B355" s="11">
        <v>3.4950120682199999</v>
      </c>
      <c r="C355" s="13">
        <v>4.4349999999999996</v>
      </c>
      <c r="D355" s="14">
        <f t="shared" si="35"/>
        <v>6</v>
      </c>
      <c r="E355" s="14">
        <f t="shared" si="36"/>
        <v>0.2</v>
      </c>
      <c r="F355" s="14">
        <f t="shared" si="37"/>
        <v>4</v>
      </c>
      <c r="G355" s="14">
        <f t="shared" si="38"/>
        <v>2.8743215550080783</v>
      </c>
      <c r="H355" s="14">
        <f t="shared" si="39"/>
        <v>0.8</v>
      </c>
      <c r="I355" s="14">
        <f t="shared" si="40"/>
        <v>0</v>
      </c>
      <c r="J355" s="14">
        <f t="shared" si="41"/>
        <v>0</v>
      </c>
      <c r="K355" s="15">
        <f>IF(CurrentMtgRatesDataTable8[[#This Row],[WA CC]]&lt;&gt;0,C354-CurrentMtgRatesDataTable8[[#This Row],[WA CC]],0)</f>
        <v>0</v>
      </c>
      <c r="L355" s="16">
        <f>IF(CurrentMtgRatesDataTable8[[#This Row],[Servicing Spread]]&lt;=0,L354,CurrentMtgRatesDataTable8[[#This Row],[Servicing Spread]])</f>
        <v>0.89138719541262024</v>
      </c>
      <c r="M355" s="16">
        <f>CurrentMtgRatesDataTable8[[#This Row],[Servicing Spread Non-Zero]]-L354</f>
        <v>0</v>
      </c>
      <c r="N355" s="16">
        <f>IF(J354&lt;&gt;0,CurrentMtgRatesDataTable8[[#This Row],[Rate]]-C354,N354)</f>
        <v>-9.5000000000000639E-2</v>
      </c>
    </row>
    <row r="356" spans="1:14">
      <c r="A356" s="8" t="s">
        <v>91</v>
      </c>
      <c r="B356" s="11">
        <v>3.5645215625566</v>
      </c>
      <c r="C356" s="13">
        <v>4.4349999999999996</v>
      </c>
      <c r="D356" s="14">
        <f t="shared" si="35"/>
        <v>7</v>
      </c>
      <c r="E356" s="14">
        <f t="shared" si="36"/>
        <v>0.2</v>
      </c>
      <c r="F356" s="14">
        <f t="shared" si="37"/>
        <v>5</v>
      </c>
      <c r="G356" s="14">
        <f t="shared" si="38"/>
        <v>3.5872258675193982</v>
      </c>
      <c r="H356" s="14">
        <f t="shared" si="39"/>
        <v>1</v>
      </c>
      <c r="I356" s="14">
        <f t="shared" si="40"/>
        <v>1</v>
      </c>
      <c r="J356" s="14">
        <f t="shared" si="41"/>
        <v>3.5872258675193982</v>
      </c>
      <c r="K356" s="15">
        <f>IF(CurrentMtgRatesDataTable8[[#This Row],[WA CC]]&lt;&gt;0,C355-CurrentMtgRatesDataTable8[[#This Row],[WA CC]],0)</f>
        <v>0.84777413248060141</v>
      </c>
      <c r="L356" s="16">
        <f>IF(CurrentMtgRatesDataTable8[[#This Row],[Servicing Spread]]&lt;=0,L355,CurrentMtgRatesDataTable8[[#This Row],[Servicing Spread]])</f>
        <v>0.84777413248060141</v>
      </c>
      <c r="M356" s="16">
        <f>CurrentMtgRatesDataTable8[[#This Row],[Servicing Spread Non-Zero]]-L355</f>
        <v>-4.3613062932018831E-2</v>
      </c>
      <c r="N356" s="16">
        <f>IF(J355&lt;&gt;0,CurrentMtgRatesDataTable8[[#This Row],[Rate]]-C355,N355)</f>
        <v>-9.5000000000000639E-2</v>
      </c>
    </row>
    <row r="357" spans="1:14">
      <c r="A357" s="8" t="s">
        <v>655</v>
      </c>
      <c r="B357" s="11">
        <v>3.5163998212649701</v>
      </c>
      <c r="C357" s="13">
        <v>4.4950000000000001</v>
      </c>
      <c r="D357" s="14">
        <f t="shared" si="35"/>
        <v>1</v>
      </c>
      <c r="E357" s="14">
        <f t="shared" si="36"/>
        <v>0.2</v>
      </c>
      <c r="F357" s="14">
        <f t="shared" si="37"/>
        <v>1</v>
      </c>
      <c r="G357" s="14">
        <f t="shared" si="38"/>
        <v>0.70327996425299411</v>
      </c>
      <c r="H357" s="14">
        <f t="shared" si="39"/>
        <v>0.2</v>
      </c>
      <c r="I357" s="14">
        <f t="shared" si="40"/>
        <v>0</v>
      </c>
      <c r="J357" s="14">
        <f t="shared" si="41"/>
        <v>0</v>
      </c>
      <c r="K357" s="15">
        <f>IF(CurrentMtgRatesDataTable8[[#This Row],[WA CC]]&lt;&gt;0,C356-CurrentMtgRatesDataTable8[[#This Row],[WA CC]],0)</f>
        <v>0</v>
      </c>
      <c r="L357" s="16">
        <f>IF(CurrentMtgRatesDataTable8[[#This Row],[Servicing Spread]]&lt;=0,L356,CurrentMtgRatesDataTable8[[#This Row],[Servicing Spread]])</f>
        <v>0.84777413248060141</v>
      </c>
      <c r="M357" s="16">
        <f>CurrentMtgRatesDataTable8[[#This Row],[Servicing Spread Non-Zero]]-L356</f>
        <v>0</v>
      </c>
      <c r="N357" s="16">
        <f>IF(J356&lt;&gt;0,CurrentMtgRatesDataTable8[[#This Row],[Rate]]-C356,N356)</f>
        <v>6.0000000000000497E-2</v>
      </c>
    </row>
    <row r="358" spans="1:14">
      <c r="A358" s="8" t="s">
        <v>513</v>
      </c>
      <c r="B358" s="11">
        <v>3.5181082868119602</v>
      </c>
      <c r="C358" s="13">
        <v>4.4950000000000001</v>
      </c>
      <c r="D358" s="14">
        <f t="shared" si="35"/>
        <v>2</v>
      </c>
      <c r="E358" s="14">
        <f t="shared" si="36"/>
        <v>0.2</v>
      </c>
      <c r="F358" s="14">
        <f t="shared" si="37"/>
        <v>2</v>
      </c>
      <c r="G358" s="14">
        <f t="shared" si="38"/>
        <v>1.4069016216153862</v>
      </c>
      <c r="H358" s="14">
        <f t="shared" si="39"/>
        <v>0.4</v>
      </c>
      <c r="I358" s="14">
        <f t="shared" si="40"/>
        <v>0</v>
      </c>
      <c r="J358" s="14">
        <f t="shared" si="41"/>
        <v>0</v>
      </c>
      <c r="K358" s="15">
        <f>IF(CurrentMtgRatesDataTable8[[#This Row],[WA CC]]&lt;&gt;0,C357-CurrentMtgRatesDataTable8[[#This Row],[WA CC]],0)</f>
        <v>0</v>
      </c>
      <c r="L358" s="16">
        <f>IF(CurrentMtgRatesDataTable8[[#This Row],[Servicing Spread]]&lt;=0,L357,CurrentMtgRatesDataTable8[[#This Row],[Servicing Spread]])</f>
        <v>0.84777413248060141</v>
      </c>
      <c r="M358" s="16">
        <f>CurrentMtgRatesDataTable8[[#This Row],[Servicing Spread Non-Zero]]-L357</f>
        <v>0</v>
      </c>
      <c r="N358" s="16">
        <f>IF(J357&lt;&gt;0,CurrentMtgRatesDataTable8[[#This Row],[Rate]]-C357,N357)</f>
        <v>6.0000000000000497E-2</v>
      </c>
    </row>
    <row r="359" spans="1:14">
      <c r="A359" s="8" t="s">
        <v>235</v>
      </c>
      <c r="B359" s="11">
        <v>3.6230343632850399</v>
      </c>
      <c r="C359" s="13">
        <v>4.4950000000000001</v>
      </c>
      <c r="D359" s="14">
        <f t="shared" si="35"/>
        <v>6</v>
      </c>
      <c r="E359" s="14">
        <f t="shared" si="36"/>
        <v>0.2</v>
      </c>
      <c r="F359" s="14">
        <f t="shared" si="37"/>
        <v>3</v>
      </c>
      <c r="G359" s="14">
        <f t="shared" si="38"/>
        <v>2.1315084942723943</v>
      </c>
      <c r="H359" s="14">
        <f t="shared" si="39"/>
        <v>0.60000000000000009</v>
      </c>
      <c r="I359" s="14">
        <f t="shared" si="40"/>
        <v>0</v>
      </c>
      <c r="J359" s="14">
        <f t="shared" si="41"/>
        <v>0</v>
      </c>
      <c r="K359" s="15">
        <f>IF(CurrentMtgRatesDataTable8[[#This Row],[WA CC]]&lt;&gt;0,C358-CurrentMtgRatesDataTable8[[#This Row],[WA CC]],0)</f>
        <v>0</v>
      </c>
      <c r="L359" s="16">
        <f>IF(CurrentMtgRatesDataTable8[[#This Row],[Servicing Spread]]&lt;=0,L358,CurrentMtgRatesDataTable8[[#This Row],[Servicing Spread]])</f>
        <v>0.84777413248060141</v>
      </c>
      <c r="M359" s="16">
        <f>CurrentMtgRatesDataTable8[[#This Row],[Servicing Spread Non-Zero]]-L358</f>
        <v>0</v>
      </c>
      <c r="N359" s="16">
        <f>IF(J358&lt;&gt;0,CurrentMtgRatesDataTable8[[#This Row],[Rate]]-C358,N358)</f>
        <v>6.0000000000000497E-2</v>
      </c>
    </row>
    <row r="360" spans="1:14">
      <c r="A360" s="8" t="s">
        <v>92</v>
      </c>
      <c r="B360" s="11">
        <v>3.6795741616596702</v>
      </c>
      <c r="C360" s="13">
        <v>4.4950000000000001</v>
      </c>
      <c r="D360" s="14">
        <f t="shared" si="35"/>
        <v>7</v>
      </c>
      <c r="E360" s="14">
        <f t="shared" si="36"/>
        <v>0.2</v>
      </c>
      <c r="F360" s="14">
        <f t="shared" si="37"/>
        <v>4</v>
      </c>
      <c r="G360" s="14">
        <f t="shared" si="38"/>
        <v>2.8674233266043285</v>
      </c>
      <c r="H360" s="14">
        <f t="shared" si="39"/>
        <v>0.8</v>
      </c>
      <c r="I360" s="14">
        <f t="shared" si="40"/>
        <v>1</v>
      </c>
      <c r="J360" s="14">
        <f t="shared" si="41"/>
        <v>3.5842791582554105</v>
      </c>
      <c r="K360" s="15">
        <f>IF(CurrentMtgRatesDataTable8[[#This Row],[WA CC]]&lt;&gt;0,C359-CurrentMtgRatesDataTable8[[#This Row],[WA CC]],0)</f>
        <v>0.91072084174458956</v>
      </c>
      <c r="L360" s="16">
        <f>IF(CurrentMtgRatesDataTable8[[#This Row],[Servicing Spread]]&lt;=0,L359,CurrentMtgRatesDataTable8[[#This Row],[Servicing Spread]])</f>
        <v>0.91072084174458956</v>
      </c>
      <c r="M360" s="16">
        <f>CurrentMtgRatesDataTable8[[#This Row],[Servicing Spread Non-Zero]]-L359</f>
        <v>6.2946709263988154E-2</v>
      </c>
      <c r="N360" s="16">
        <f>IF(J359&lt;&gt;0,CurrentMtgRatesDataTable8[[#This Row],[Rate]]-C359,N359)</f>
        <v>6.0000000000000497E-2</v>
      </c>
    </row>
    <row r="361" spans="1:14">
      <c r="A361" s="8" t="s">
        <v>656</v>
      </c>
      <c r="B361" s="11">
        <v>3.7866951063074699</v>
      </c>
      <c r="C361" s="13">
        <v>4.5200000000000005</v>
      </c>
      <c r="D361" s="14">
        <f t="shared" si="35"/>
        <v>1</v>
      </c>
      <c r="E361" s="14">
        <f t="shared" si="36"/>
        <v>0.2</v>
      </c>
      <c r="F361" s="14">
        <f t="shared" si="37"/>
        <v>1</v>
      </c>
      <c r="G361" s="14">
        <f t="shared" si="38"/>
        <v>0.75733902126149399</v>
      </c>
      <c r="H361" s="14">
        <f t="shared" si="39"/>
        <v>0.2</v>
      </c>
      <c r="I361" s="14">
        <f t="shared" si="40"/>
        <v>0</v>
      </c>
      <c r="J361" s="14">
        <f t="shared" si="41"/>
        <v>0</v>
      </c>
      <c r="K361" s="15">
        <f>IF(CurrentMtgRatesDataTable8[[#This Row],[WA CC]]&lt;&gt;0,C360-CurrentMtgRatesDataTable8[[#This Row],[WA CC]],0)</f>
        <v>0</v>
      </c>
      <c r="L361" s="16">
        <f>IF(CurrentMtgRatesDataTable8[[#This Row],[Servicing Spread]]&lt;=0,L360,CurrentMtgRatesDataTable8[[#This Row],[Servicing Spread]])</f>
        <v>0.91072084174458956</v>
      </c>
      <c r="M361" s="16">
        <f>CurrentMtgRatesDataTable8[[#This Row],[Servicing Spread Non-Zero]]-L360</f>
        <v>0</v>
      </c>
      <c r="N361" s="16">
        <f>IF(J360&lt;&gt;0,CurrentMtgRatesDataTable8[[#This Row],[Rate]]-C360,N360)</f>
        <v>2.5000000000000355E-2</v>
      </c>
    </row>
    <row r="362" spans="1:14">
      <c r="A362" s="8" t="s">
        <v>514</v>
      </c>
      <c r="B362" s="11">
        <v>3.7212376856688798</v>
      </c>
      <c r="C362" s="13">
        <v>4.5200000000000005</v>
      </c>
      <c r="D362" s="14">
        <f t="shared" si="35"/>
        <v>2</v>
      </c>
      <c r="E362" s="14">
        <f t="shared" si="36"/>
        <v>0.2</v>
      </c>
      <c r="F362" s="14">
        <f t="shared" si="37"/>
        <v>2</v>
      </c>
      <c r="G362" s="14">
        <f t="shared" si="38"/>
        <v>1.5015865583952701</v>
      </c>
      <c r="H362" s="14">
        <f t="shared" si="39"/>
        <v>0.4</v>
      </c>
      <c r="I362" s="14">
        <f t="shared" si="40"/>
        <v>0</v>
      </c>
      <c r="J362" s="14">
        <f t="shared" si="41"/>
        <v>0</v>
      </c>
      <c r="K362" s="15">
        <f>IF(CurrentMtgRatesDataTable8[[#This Row],[WA CC]]&lt;&gt;0,C361-CurrentMtgRatesDataTable8[[#This Row],[WA CC]],0)</f>
        <v>0</v>
      </c>
      <c r="L362" s="16">
        <f>IF(CurrentMtgRatesDataTable8[[#This Row],[Servicing Spread]]&lt;=0,L361,CurrentMtgRatesDataTable8[[#This Row],[Servicing Spread]])</f>
        <v>0.91072084174458956</v>
      </c>
      <c r="M362" s="16">
        <f>CurrentMtgRatesDataTable8[[#This Row],[Servicing Spread Non-Zero]]-L361</f>
        <v>0</v>
      </c>
      <c r="N362" s="16">
        <f>IF(J361&lt;&gt;0,CurrentMtgRatesDataTable8[[#This Row],[Rate]]-C361,N361)</f>
        <v>2.5000000000000355E-2</v>
      </c>
    </row>
    <row r="363" spans="1:14">
      <c r="A363" s="8" t="s">
        <v>373</v>
      </c>
      <c r="B363" s="11">
        <v>3.6494917316156599</v>
      </c>
      <c r="C363" s="13">
        <v>4.5200000000000005</v>
      </c>
      <c r="D363" s="14">
        <f t="shared" si="35"/>
        <v>5</v>
      </c>
      <c r="E363" s="14">
        <f t="shared" si="36"/>
        <v>0.2</v>
      </c>
      <c r="F363" s="14">
        <f t="shared" si="37"/>
        <v>3</v>
      </c>
      <c r="G363" s="14">
        <f t="shared" si="38"/>
        <v>2.231484904718402</v>
      </c>
      <c r="H363" s="14">
        <f t="shared" si="39"/>
        <v>0.60000000000000009</v>
      </c>
      <c r="I363" s="14">
        <f t="shared" si="40"/>
        <v>0</v>
      </c>
      <c r="J363" s="14">
        <f t="shared" si="41"/>
        <v>0</v>
      </c>
      <c r="K363" s="15">
        <f>IF(CurrentMtgRatesDataTable8[[#This Row],[WA CC]]&lt;&gt;0,C362-CurrentMtgRatesDataTable8[[#This Row],[WA CC]],0)</f>
        <v>0</v>
      </c>
      <c r="L363" s="16">
        <f>IF(CurrentMtgRatesDataTable8[[#This Row],[Servicing Spread]]&lt;=0,L362,CurrentMtgRatesDataTable8[[#This Row],[Servicing Spread]])</f>
        <v>0.91072084174458956</v>
      </c>
      <c r="M363" s="16">
        <f>CurrentMtgRatesDataTable8[[#This Row],[Servicing Spread Non-Zero]]-L362</f>
        <v>0</v>
      </c>
      <c r="N363" s="16">
        <f>IF(J362&lt;&gt;0,CurrentMtgRatesDataTable8[[#This Row],[Rate]]-C362,N362)</f>
        <v>2.5000000000000355E-2</v>
      </c>
    </row>
    <row r="364" spans="1:14">
      <c r="A364" s="8" t="s">
        <v>236</v>
      </c>
      <c r="B364" s="11">
        <v>3.70255706458429</v>
      </c>
      <c r="C364" s="13">
        <v>4.5200000000000005</v>
      </c>
      <c r="D364" s="14">
        <f t="shared" si="35"/>
        <v>6</v>
      </c>
      <c r="E364" s="14">
        <f t="shared" si="36"/>
        <v>0.2</v>
      </c>
      <c r="F364" s="14">
        <f t="shared" si="37"/>
        <v>4</v>
      </c>
      <c r="G364" s="14">
        <f t="shared" si="38"/>
        <v>2.9719963176352602</v>
      </c>
      <c r="H364" s="14">
        <f t="shared" si="39"/>
        <v>0.8</v>
      </c>
      <c r="I364" s="14">
        <f t="shared" si="40"/>
        <v>0</v>
      </c>
      <c r="J364" s="14">
        <f t="shared" si="41"/>
        <v>0</v>
      </c>
      <c r="K364" s="15">
        <f>IF(CurrentMtgRatesDataTable8[[#This Row],[WA CC]]&lt;&gt;0,C363-CurrentMtgRatesDataTable8[[#This Row],[WA CC]],0)</f>
        <v>0</v>
      </c>
      <c r="L364" s="16">
        <f>IF(CurrentMtgRatesDataTable8[[#This Row],[Servicing Spread]]&lt;=0,L363,CurrentMtgRatesDataTable8[[#This Row],[Servicing Spread]])</f>
        <v>0.91072084174458956</v>
      </c>
      <c r="M364" s="16">
        <f>CurrentMtgRatesDataTable8[[#This Row],[Servicing Spread Non-Zero]]-L363</f>
        <v>0</v>
      </c>
      <c r="N364" s="16">
        <f>IF(J363&lt;&gt;0,CurrentMtgRatesDataTable8[[#This Row],[Rate]]-C363,N363)</f>
        <v>2.5000000000000355E-2</v>
      </c>
    </row>
    <row r="365" spans="1:14">
      <c r="A365" s="8" t="s">
        <v>93</v>
      </c>
      <c r="B365" s="11">
        <v>3.66717920569566</v>
      </c>
      <c r="C365" s="13">
        <v>4.5200000000000005</v>
      </c>
      <c r="D365" s="14">
        <f t="shared" si="35"/>
        <v>7</v>
      </c>
      <c r="E365" s="14">
        <f t="shared" si="36"/>
        <v>0.2</v>
      </c>
      <c r="F365" s="14">
        <f t="shared" si="37"/>
        <v>5</v>
      </c>
      <c r="G365" s="14">
        <f t="shared" si="38"/>
        <v>3.7054321587743924</v>
      </c>
      <c r="H365" s="14">
        <f t="shared" si="39"/>
        <v>1</v>
      </c>
      <c r="I365" s="14">
        <f t="shared" si="40"/>
        <v>1</v>
      </c>
      <c r="J365" s="14">
        <f t="shared" si="41"/>
        <v>3.7054321587743924</v>
      </c>
      <c r="K365" s="15">
        <f>IF(CurrentMtgRatesDataTable8[[#This Row],[WA CC]]&lt;&gt;0,C364-CurrentMtgRatesDataTable8[[#This Row],[WA CC]],0)</f>
        <v>0.8145678412256081</v>
      </c>
      <c r="L365" s="16">
        <f>IF(CurrentMtgRatesDataTable8[[#This Row],[Servicing Spread]]&lt;=0,L364,CurrentMtgRatesDataTable8[[#This Row],[Servicing Spread]])</f>
        <v>0.8145678412256081</v>
      </c>
      <c r="M365" s="16">
        <f>CurrentMtgRatesDataTable8[[#This Row],[Servicing Spread Non-Zero]]-L364</f>
        <v>-9.6153000518981457E-2</v>
      </c>
      <c r="N365" s="16">
        <f>IF(J364&lt;&gt;0,CurrentMtgRatesDataTable8[[#This Row],[Rate]]-C364,N364)</f>
        <v>2.5000000000000355E-2</v>
      </c>
    </row>
    <row r="366" spans="1:14">
      <c r="A366" s="8" t="s">
        <v>657</v>
      </c>
      <c r="B366" s="11">
        <v>3.6662950351399499</v>
      </c>
      <c r="C366" s="13">
        <v>4.4249999999999998</v>
      </c>
      <c r="D366" s="14">
        <f t="shared" si="35"/>
        <v>1</v>
      </c>
      <c r="E366" s="14">
        <f t="shared" si="36"/>
        <v>0.2</v>
      </c>
      <c r="F366" s="14">
        <f t="shared" si="37"/>
        <v>1</v>
      </c>
      <c r="G366" s="14">
        <f t="shared" si="38"/>
        <v>0.73325900702799007</v>
      </c>
      <c r="H366" s="14">
        <f t="shared" si="39"/>
        <v>0.2</v>
      </c>
      <c r="I366" s="14">
        <f t="shared" si="40"/>
        <v>0</v>
      </c>
      <c r="J366" s="14">
        <f t="shared" si="41"/>
        <v>0</v>
      </c>
      <c r="K366" s="15">
        <f>IF(CurrentMtgRatesDataTable8[[#This Row],[WA CC]]&lt;&gt;0,C365-CurrentMtgRatesDataTable8[[#This Row],[WA CC]],0)</f>
        <v>0</v>
      </c>
      <c r="L366" s="16">
        <f>IF(CurrentMtgRatesDataTable8[[#This Row],[Servicing Spread]]&lt;=0,L365,CurrentMtgRatesDataTable8[[#This Row],[Servicing Spread]])</f>
        <v>0.8145678412256081</v>
      </c>
      <c r="M366" s="16">
        <f>CurrentMtgRatesDataTable8[[#This Row],[Servicing Spread Non-Zero]]-L365</f>
        <v>0</v>
      </c>
      <c r="N366" s="16">
        <f>IF(J365&lt;&gt;0,CurrentMtgRatesDataTable8[[#This Row],[Rate]]-C365,N365)</f>
        <v>-9.5000000000000639E-2</v>
      </c>
    </row>
    <row r="367" spans="1:14">
      <c r="A367" s="8" t="s">
        <v>515</v>
      </c>
      <c r="B367" s="11">
        <v>3.65073359446493</v>
      </c>
      <c r="C367" s="13">
        <v>4.4249999999999998</v>
      </c>
      <c r="D367" s="14">
        <f t="shared" si="35"/>
        <v>2</v>
      </c>
      <c r="E367" s="14">
        <f t="shared" si="36"/>
        <v>0.2</v>
      </c>
      <c r="F367" s="14">
        <f t="shared" si="37"/>
        <v>2</v>
      </c>
      <c r="G367" s="14">
        <f t="shared" si="38"/>
        <v>1.4634057259209761</v>
      </c>
      <c r="H367" s="14">
        <f t="shared" si="39"/>
        <v>0.4</v>
      </c>
      <c r="I367" s="14">
        <f t="shared" si="40"/>
        <v>0</v>
      </c>
      <c r="J367" s="14">
        <f t="shared" si="41"/>
        <v>0</v>
      </c>
      <c r="K367" s="15">
        <f>IF(CurrentMtgRatesDataTable8[[#This Row],[WA CC]]&lt;&gt;0,C366-CurrentMtgRatesDataTable8[[#This Row],[WA CC]],0)</f>
        <v>0</v>
      </c>
      <c r="L367" s="16">
        <f>IF(CurrentMtgRatesDataTable8[[#This Row],[Servicing Spread]]&lt;=0,L366,CurrentMtgRatesDataTable8[[#This Row],[Servicing Spread]])</f>
        <v>0.8145678412256081</v>
      </c>
      <c r="M367" s="16">
        <f>CurrentMtgRatesDataTable8[[#This Row],[Servicing Spread Non-Zero]]-L366</f>
        <v>0</v>
      </c>
      <c r="N367" s="16">
        <f>IF(J366&lt;&gt;0,CurrentMtgRatesDataTable8[[#This Row],[Rate]]-C366,N366)</f>
        <v>-9.5000000000000639E-2</v>
      </c>
    </row>
    <row r="368" spans="1:14">
      <c r="A368" s="8" t="s">
        <v>374</v>
      </c>
      <c r="B368" s="11">
        <v>3.6050291044242799</v>
      </c>
      <c r="C368" s="13">
        <v>4.4249999999999998</v>
      </c>
      <c r="D368" s="14">
        <f t="shared" si="35"/>
        <v>5</v>
      </c>
      <c r="E368" s="14">
        <f t="shared" si="36"/>
        <v>0.2</v>
      </c>
      <c r="F368" s="14">
        <f t="shared" si="37"/>
        <v>3</v>
      </c>
      <c r="G368" s="14">
        <f t="shared" si="38"/>
        <v>2.184411546805832</v>
      </c>
      <c r="H368" s="14">
        <f t="shared" si="39"/>
        <v>0.60000000000000009</v>
      </c>
      <c r="I368" s="14">
        <f t="shared" si="40"/>
        <v>0</v>
      </c>
      <c r="J368" s="14">
        <f t="shared" si="41"/>
        <v>0</v>
      </c>
      <c r="K368" s="15">
        <f>IF(CurrentMtgRatesDataTable8[[#This Row],[WA CC]]&lt;&gt;0,C367-CurrentMtgRatesDataTable8[[#This Row],[WA CC]],0)</f>
        <v>0</v>
      </c>
      <c r="L368" s="16">
        <f>IF(CurrentMtgRatesDataTable8[[#This Row],[Servicing Spread]]&lt;=0,L367,CurrentMtgRatesDataTable8[[#This Row],[Servicing Spread]])</f>
        <v>0.8145678412256081</v>
      </c>
      <c r="M368" s="16">
        <f>CurrentMtgRatesDataTable8[[#This Row],[Servicing Spread Non-Zero]]-L367</f>
        <v>0</v>
      </c>
      <c r="N368" s="16">
        <f>IF(J367&lt;&gt;0,CurrentMtgRatesDataTable8[[#This Row],[Rate]]-C367,N367)</f>
        <v>-9.5000000000000639E-2</v>
      </c>
    </row>
    <row r="369" spans="1:14">
      <c r="A369" s="8" t="s">
        <v>237</v>
      </c>
      <c r="B369" s="11">
        <v>3.5862960100393702</v>
      </c>
      <c r="C369" s="13">
        <v>4.4249999999999998</v>
      </c>
      <c r="D369" s="14">
        <f t="shared" si="35"/>
        <v>6</v>
      </c>
      <c r="E369" s="14">
        <f t="shared" si="36"/>
        <v>0.2</v>
      </c>
      <c r="F369" s="14">
        <f t="shared" si="37"/>
        <v>4</v>
      </c>
      <c r="G369" s="14">
        <f t="shared" si="38"/>
        <v>2.9016707488137063</v>
      </c>
      <c r="H369" s="14">
        <f t="shared" si="39"/>
        <v>0.8</v>
      </c>
      <c r="I369" s="14">
        <f t="shared" si="40"/>
        <v>0</v>
      </c>
      <c r="J369" s="14">
        <f t="shared" si="41"/>
        <v>0</v>
      </c>
      <c r="K369" s="15">
        <f>IF(CurrentMtgRatesDataTable8[[#This Row],[WA CC]]&lt;&gt;0,C368-CurrentMtgRatesDataTable8[[#This Row],[WA CC]],0)</f>
        <v>0</v>
      </c>
      <c r="L369" s="16">
        <f>IF(CurrentMtgRatesDataTable8[[#This Row],[Servicing Spread]]&lt;=0,L368,CurrentMtgRatesDataTable8[[#This Row],[Servicing Spread]])</f>
        <v>0.8145678412256081</v>
      </c>
      <c r="M369" s="16">
        <f>CurrentMtgRatesDataTable8[[#This Row],[Servicing Spread Non-Zero]]-L368</f>
        <v>0</v>
      </c>
      <c r="N369" s="16">
        <f>IF(J368&lt;&gt;0,CurrentMtgRatesDataTable8[[#This Row],[Rate]]-C368,N368)</f>
        <v>-9.5000000000000639E-2</v>
      </c>
    </row>
    <row r="370" spans="1:14">
      <c r="A370" s="8" t="s">
        <v>94</v>
      </c>
      <c r="B370" s="11">
        <v>3.4041075181539902</v>
      </c>
      <c r="C370" s="13">
        <v>4.4249999999999998</v>
      </c>
      <c r="D370" s="14">
        <f t="shared" si="35"/>
        <v>7</v>
      </c>
      <c r="E370" s="14">
        <f t="shared" si="36"/>
        <v>0.2</v>
      </c>
      <c r="F370" s="14">
        <f t="shared" si="37"/>
        <v>5</v>
      </c>
      <c r="G370" s="14">
        <f t="shared" si="38"/>
        <v>3.5824922524445046</v>
      </c>
      <c r="H370" s="14">
        <f t="shared" si="39"/>
        <v>1</v>
      </c>
      <c r="I370" s="14">
        <f t="shared" si="40"/>
        <v>1</v>
      </c>
      <c r="J370" s="14">
        <f t="shared" si="41"/>
        <v>3.5824922524445046</v>
      </c>
      <c r="K370" s="15">
        <f>IF(CurrentMtgRatesDataTable8[[#This Row],[WA CC]]&lt;&gt;0,C369-CurrentMtgRatesDataTable8[[#This Row],[WA CC]],0)</f>
        <v>0.84250774755549518</v>
      </c>
      <c r="L370" s="16">
        <f>IF(CurrentMtgRatesDataTable8[[#This Row],[Servicing Spread]]&lt;=0,L369,CurrentMtgRatesDataTable8[[#This Row],[Servicing Spread]])</f>
        <v>0.84250774755549518</v>
      </c>
      <c r="M370" s="16">
        <f>CurrentMtgRatesDataTable8[[#This Row],[Servicing Spread Non-Zero]]-L369</f>
        <v>2.7939906329887076E-2</v>
      </c>
      <c r="N370" s="16">
        <f>IF(J369&lt;&gt;0,CurrentMtgRatesDataTable8[[#This Row],[Rate]]-C369,N369)</f>
        <v>-9.5000000000000639E-2</v>
      </c>
    </row>
    <row r="371" spans="1:14">
      <c r="A371" s="8" t="s">
        <v>658</v>
      </c>
      <c r="B371" s="11">
        <v>3.4234814698257399</v>
      </c>
      <c r="C371" s="13">
        <v>4.2450000000000001</v>
      </c>
      <c r="D371" s="14">
        <f t="shared" si="35"/>
        <v>1</v>
      </c>
      <c r="E371" s="14">
        <f t="shared" si="36"/>
        <v>0.2</v>
      </c>
      <c r="F371" s="14">
        <f t="shared" si="37"/>
        <v>1</v>
      </c>
      <c r="G371" s="14">
        <f t="shared" si="38"/>
        <v>0.68469629396514797</v>
      </c>
      <c r="H371" s="14">
        <f t="shared" si="39"/>
        <v>0.2</v>
      </c>
      <c r="I371" s="14">
        <f t="shared" si="40"/>
        <v>0</v>
      </c>
      <c r="J371" s="14">
        <f t="shared" si="41"/>
        <v>0</v>
      </c>
      <c r="K371" s="15">
        <f>IF(CurrentMtgRatesDataTable8[[#This Row],[WA CC]]&lt;&gt;0,C370-CurrentMtgRatesDataTable8[[#This Row],[WA CC]],0)</f>
        <v>0</v>
      </c>
      <c r="L371" s="16">
        <f>IF(CurrentMtgRatesDataTable8[[#This Row],[Servicing Spread]]&lt;=0,L370,CurrentMtgRatesDataTable8[[#This Row],[Servicing Spread]])</f>
        <v>0.84250774755549518</v>
      </c>
      <c r="M371" s="16">
        <f>CurrentMtgRatesDataTable8[[#This Row],[Servicing Spread Non-Zero]]-L370</f>
        <v>0</v>
      </c>
      <c r="N371" s="16">
        <f>IF(J370&lt;&gt;0,CurrentMtgRatesDataTable8[[#This Row],[Rate]]-C370,N370)</f>
        <v>-0.17999999999999972</v>
      </c>
    </row>
    <row r="372" spans="1:14">
      <c r="A372" s="8" t="s">
        <v>516</v>
      </c>
      <c r="B372" s="11">
        <v>3.43160773905766</v>
      </c>
      <c r="C372" s="13">
        <v>4.2450000000000001</v>
      </c>
      <c r="D372" s="14">
        <f t="shared" si="35"/>
        <v>2</v>
      </c>
      <c r="E372" s="14">
        <f t="shared" si="36"/>
        <v>0.2</v>
      </c>
      <c r="F372" s="14">
        <f t="shared" si="37"/>
        <v>2</v>
      </c>
      <c r="G372" s="14">
        <f t="shared" si="38"/>
        <v>1.3710178417766801</v>
      </c>
      <c r="H372" s="14">
        <f t="shared" si="39"/>
        <v>0.4</v>
      </c>
      <c r="I372" s="14">
        <f t="shared" si="40"/>
        <v>0</v>
      </c>
      <c r="J372" s="14">
        <f t="shared" si="41"/>
        <v>0</v>
      </c>
      <c r="K372" s="15">
        <f>IF(CurrentMtgRatesDataTable8[[#This Row],[WA CC]]&lt;&gt;0,C371-CurrentMtgRatesDataTable8[[#This Row],[WA CC]],0)</f>
        <v>0</v>
      </c>
      <c r="L372" s="16">
        <f>IF(CurrentMtgRatesDataTable8[[#This Row],[Servicing Spread]]&lt;=0,L371,CurrentMtgRatesDataTable8[[#This Row],[Servicing Spread]])</f>
        <v>0.84250774755549518</v>
      </c>
      <c r="M372" s="16">
        <f>CurrentMtgRatesDataTable8[[#This Row],[Servicing Spread Non-Zero]]-L371</f>
        <v>0</v>
      </c>
      <c r="N372" s="16">
        <f>IF(J371&lt;&gt;0,CurrentMtgRatesDataTable8[[#This Row],[Rate]]-C371,N371)</f>
        <v>-0.17999999999999972</v>
      </c>
    </row>
    <row r="373" spans="1:14">
      <c r="A373" s="8" t="s">
        <v>375</v>
      </c>
      <c r="B373" s="11">
        <v>3.4029034600998802</v>
      </c>
      <c r="C373" s="13">
        <v>4.2450000000000001</v>
      </c>
      <c r="D373" s="14">
        <f t="shared" si="35"/>
        <v>5</v>
      </c>
      <c r="E373" s="14">
        <f t="shared" si="36"/>
        <v>0.2</v>
      </c>
      <c r="F373" s="14">
        <f t="shared" si="37"/>
        <v>3</v>
      </c>
      <c r="G373" s="14">
        <f t="shared" si="38"/>
        <v>2.051598533796656</v>
      </c>
      <c r="H373" s="14">
        <f t="shared" si="39"/>
        <v>0.60000000000000009</v>
      </c>
      <c r="I373" s="14">
        <f t="shared" si="40"/>
        <v>0</v>
      </c>
      <c r="J373" s="14">
        <f t="shared" si="41"/>
        <v>0</v>
      </c>
      <c r="K373" s="15">
        <f>IF(CurrentMtgRatesDataTable8[[#This Row],[WA CC]]&lt;&gt;0,C372-CurrentMtgRatesDataTable8[[#This Row],[WA CC]],0)</f>
        <v>0</v>
      </c>
      <c r="L373" s="16">
        <f>IF(CurrentMtgRatesDataTable8[[#This Row],[Servicing Spread]]&lt;=0,L372,CurrentMtgRatesDataTable8[[#This Row],[Servicing Spread]])</f>
        <v>0.84250774755549518</v>
      </c>
      <c r="M373" s="16">
        <f>CurrentMtgRatesDataTable8[[#This Row],[Servicing Spread Non-Zero]]-L372</f>
        <v>0</v>
      </c>
      <c r="N373" s="16">
        <f>IF(J372&lt;&gt;0,CurrentMtgRatesDataTable8[[#This Row],[Rate]]-C372,N372)</f>
        <v>-0.17999999999999972</v>
      </c>
    </row>
    <row r="374" spans="1:14">
      <c r="A374" s="8" t="s">
        <v>238</v>
      </c>
      <c r="B374" s="11">
        <v>3.34069195374131</v>
      </c>
      <c r="C374" s="13">
        <v>4.2450000000000001</v>
      </c>
      <c r="D374" s="14">
        <f t="shared" si="35"/>
        <v>6</v>
      </c>
      <c r="E374" s="14">
        <f t="shared" si="36"/>
        <v>0.2</v>
      </c>
      <c r="F374" s="14">
        <f t="shared" si="37"/>
        <v>4</v>
      </c>
      <c r="G374" s="14">
        <f t="shared" si="38"/>
        <v>2.7197369245449181</v>
      </c>
      <c r="H374" s="14">
        <f t="shared" si="39"/>
        <v>0.8</v>
      </c>
      <c r="I374" s="14">
        <f t="shared" si="40"/>
        <v>0</v>
      </c>
      <c r="J374" s="14">
        <f t="shared" si="41"/>
        <v>0</v>
      </c>
      <c r="K374" s="15">
        <f>IF(CurrentMtgRatesDataTable8[[#This Row],[WA CC]]&lt;&gt;0,C373-CurrentMtgRatesDataTable8[[#This Row],[WA CC]],0)</f>
        <v>0</v>
      </c>
      <c r="L374" s="16">
        <f>IF(CurrentMtgRatesDataTable8[[#This Row],[Servicing Spread]]&lt;=0,L373,CurrentMtgRatesDataTable8[[#This Row],[Servicing Spread]])</f>
        <v>0.84250774755549518</v>
      </c>
      <c r="M374" s="16">
        <f>CurrentMtgRatesDataTable8[[#This Row],[Servicing Spread Non-Zero]]-L373</f>
        <v>0</v>
      </c>
      <c r="N374" s="16">
        <f>IF(J373&lt;&gt;0,CurrentMtgRatesDataTable8[[#This Row],[Rate]]-C373,N373)</f>
        <v>-0.17999999999999972</v>
      </c>
    </row>
    <row r="375" spans="1:14">
      <c r="A375" s="8" t="s">
        <v>95</v>
      </c>
      <c r="B375" s="11">
        <v>3.2961562018547901</v>
      </c>
      <c r="C375" s="13">
        <v>4.2450000000000001</v>
      </c>
      <c r="D375" s="14">
        <f t="shared" si="35"/>
        <v>7</v>
      </c>
      <c r="E375" s="14">
        <f t="shared" si="36"/>
        <v>0.2</v>
      </c>
      <c r="F375" s="14">
        <f t="shared" si="37"/>
        <v>5</v>
      </c>
      <c r="G375" s="14">
        <f t="shared" si="38"/>
        <v>3.378968164915876</v>
      </c>
      <c r="H375" s="14">
        <f t="shared" si="39"/>
        <v>1</v>
      </c>
      <c r="I375" s="14">
        <f t="shared" si="40"/>
        <v>1</v>
      </c>
      <c r="J375" s="14">
        <f t="shared" si="41"/>
        <v>3.378968164915876</v>
      </c>
      <c r="K375" s="15">
        <f>IF(CurrentMtgRatesDataTable8[[#This Row],[WA CC]]&lt;&gt;0,C374-CurrentMtgRatesDataTable8[[#This Row],[WA CC]],0)</f>
        <v>0.86603183508412407</v>
      </c>
      <c r="L375" s="16">
        <f>IF(CurrentMtgRatesDataTable8[[#This Row],[Servicing Spread]]&lt;=0,L374,CurrentMtgRatesDataTable8[[#This Row],[Servicing Spread]])</f>
        <v>0.86603183508412407</v>
      </c>
      <c r="M375" s="16">
        <f>CurrentMtgRatesDataTable8[[#This Row],[Servicing Spread Non-Zero]]-L374</f>
        <v>2.352408752862889E-2</v>
      </c>
      <c r="N375" s="16">
        <f>IF(J374&lt;&gt;0,CurrentMtgRatesDataTable8[[#This Row],[Rate]]-C374,N374)</f>
        <v>-0.17999999999999972</v>
      </c>
    </row>
    <row r="376" spans="1:14">
      <c r="A376" s="8" t="s">
        <v>659</v>
      </c>
      <c r="B376" s="11">
        <v>3.3233487722912298</v>
      </c>
      <c r="C376" s="13">
        <v>4.1449999999999996</v>
      </c>
      <c r="D376" s="14">
        <f t="shared" si="35"/>
        <v>1</v>
      </c>
      <c r="E376" s="14">
        <f t="shared" si="36"/>
        <v>0.2</v>
      </c>
      <c r="F376" s="14">
        <f t="shared" si="37"/>
        <v>1</v>
      </c>
      <c r="G376" s="14">
        <f t="shared" si="38"/>
        <v>0.66466975445824605</v>
      </c>
      <c r="H376" s="14">
        <f t="shared" si="39"/>
        <v>0.2</v>
      </c>
      <c r="I376" s="14">
        <f t="shared" si="40"/>
        <v>0</v>
      </c>
      <c r="J376" s="14">
        <f t="shared" si="41"/>
        <v>0</v>
      </c>
      <c r="K376" s="15">
        <f>IF(CurrentMtgRatesDataTable8[[#This Row],[WA CC]]&lt;&gt;0,C375-CurrentMtgRatesDataTable8[[#This Row],[WA CC]],0)</f>
        <v>0</v>
      </c>
      <c r="L376" s="16">
        <f>IF(CurrentMtgRatesDataTable8[[#This Row],[Servicing Spread]]&lt;=0,L375,CurrentMtgRatesDataTable8[[#This Row],[Servicing Spread]])</f>
        <v>0.86603183508412407</v>
      </c>
      <c r="M376" s="16">
        <f>CurrentMtgRatesDataTable8[[#This Row],[Servicing Spread Non-Zero]]-L375</f>
        <v>0</v>
      </c>
      <c r="N376" s="16">
        <f>IF(J375&lt;&gt;0,CurrentMtgRatesDataTable8[[#This Row],[Rate]]-C375,N375)</f>
        <v>-0.10000000000000053</v>
      </c>
    </row>
    <row r="377" spans="1:14">
      <c r="A377" s="8" t="s">
        <v>517</v>
      </c>
      <c r="B377" s="11">
        <v>3.2948871217977098</v>
      </c>
      <c r="C377" s="13">
        <v>4.1449999999999996</v>
      </c>
      <c r="D377" s="14">
        <f t="shared" si="35"/>
        <v>2</v>
      </c>
      <c r="E377" s="14">
        <f t="shared" si="36"/>
        <v>0.2</v>
      </c>
      <c r="F377" s="14">
        <f t="shared" si="37"/>
        <v>2</v>
      </c>
      <c r="G377" s="14">
        <f t="shared" si="38"/>
        <v>1.3236471788177879</v>
      </c>
      <c r="H377" s="14">
        <f t="shared" si="39"/>
        <v>0.4</v>
      </c>
      <c r="I377" s="14">
        <f t="shared" si="40"/>
        <v>0</v>
      </c>
      <c r="J377" s="14">
        <f t="shared" si="41"/>
        <v>0</v>
      </c>
      <c r="K377" s="15">
        <f>IF(CurrentMtgRatesDataTable8[[#This Row],[WA CC]]&lt;&gt;0,C376-CurrentMtgRatesDataTable8[[#This Row],[WA CC]],0)</f>
        <v>0</v>
      </c>
      <c r="L377" s="16">
        <f>IF(CurrentMtgRatesDataTable8[[#This Row],[Servicing Spread]]&lt;=0,L376,CurrentMtgRatesDataTable8[[#This Row],[Servicing Spread]])</f>
        <v>0.86603183508412407</v>
      </c>
      <c r="M377" s="16">
        <f>CurrentMtgRatesDataTable8[[#This Row],[Servicing Spread Non-Zero]]-L376</f>
        <v>0</v>
      </c>
      <c r="N377" s="16">
        <f>IF(J376&lt;&gt;0,CurrentMtgRatesDataTable8[[#This Row],[Rate]]-C376,N376)</f>
        <v>-0.10000000000000053</v>
      </c>
    </row>
    <row r="378" spans="1:14">
      <c r="A378" s="8" t="s">
        <v>376</v>
      </c>
      <c r="B378" s="11">
        <v>3.2952489842634298</v>
      </c>
      <c r="C378" s="13">
        <v>4.1449999999999996</v>
      </c>
      <c r="D378" s="14">
        <f t="shared" si="35"/>
        <v>5</v>
      </c>
      <c r="E378" s="14">
        <f t="shared" si="36"/>
        <v>0.2</v>
      </c>
      <c r="F378" s="14">
        <f t="shared" si="37"/>
        <v>3</v>
      </c>
      <c r="G378" s="14">
        <f t="shared" si="38"/>
        <v>1.982696975670474</v>
      </c>
      <c r="H378" s="14">
        <f t="shared" si="39"/>
        <v>0.60000000000000009</v>
      </c>
      <c r="I378" s="14">
        <f t="shared" si="40"/>
        <v>0</v>
      </c>
      <c r="J378" s="14">
        <f t="shared" si="41"/>
        <v>0</v>
      </c>
      <c r="K378" s="15">
        <f>IF(CurrentMtgRatesDataTable8[[#This Row],[WA CC]]&lt;&gt;0,C377-CurrentMtgRatesDataTable8[[#This Row],[WA CC]],0)</f>
        <v>0</v>
      </c>
      <c r="L378" s="16">
        <f>IF(CurrentMtgRatesDataTable8[[#This Row],[Servicing Spread]]&lt;=0,L377,CurrentMtgRatesDataTable8[[#This Row],[Servicing Spread]])</f>
        <v>0.86603183508412407</v>
      </c>
      <c r="M378" s="16">
        <f>CurrentMtgRatesDataTable8[[#This Row],[Servicing Spread Non-Zero]]-L377</f>
        <v>0</v>
      </c>
      <c r="N378" s="16">
        <f>IF(J377&lt;&gt;0,CurrentMtgRatesDataTable8[[#This Row],[Rate]]-C377,N377)</f>
        <v>-0.10000000000000053</v>
      </c>
    </row>
    <row r="379" spans="1:14">
      <c r="A379" s="8" t="s">
        <v>239</v>
      </c>
      <c r="B379" s="11">
        <v>3.31544213268957</v>
      </c>
      <c r="C379" s="13">
        <v>4.1449999999999996</v>
      </c>
      <c r="D379" s="14">
        <f t="shared" si="35"/>
        <v>6</v>
      </c>
      <c r="E379" s="14">
        <f t="shared" si="36"/>
        <v>0.2</v>
      </c>
      <c r="F379" s="14">
        <f t="shared" si="37"/>
        <v>4</v>
      </c>
      <c r="G379" s="14">
        <f t="shared" si="38"/>
        <v>2.645785402208388</v>
      </c>
      <c r="H379" s="14">
        <f t="shared" si="39"/>
        <v>0.8</v>
      </c>
      <c r="I379" s="14">
        <f t="shared" si="40"/>
        <v>0</v>
      </c>
      <c r="J379" s="14">
        <f t="shared" si="41"/>
        <v>0</v>
      </c>
      <c r="K379" s="15">
        <f>IF(CurrentMtgRatesDataTable8[[#This Row],[WA CC]]&lt;&gt;0,C378-CurrentMtgRatesDataTable8[[#This Row],[WA CC]],0)</f>
        <v>0</v>
      </c>
      <c r="L379" s="16">
        <f>IF(CurrentMtgRatesDataTable8[[#This Row],[Servicing Spread]]&lt;=0,L378,CurrentMtgRatesDataTable8[[#This Row],[Servicing Spread]])</f>
        <v>0.86603183508412407</v>
      </c>
      <c r="M379" s="16">
        <f>CurrentMtgRatesDataTable8[[#This Row],[Servicing Spread Non-Zero]]-L378</f>
        <v>0</v>
      </c>
      <c r="N379" s="16">
        <f>IF(J378&lt;&gt;0,CurrentMtgRatesDataTable8[[#This Row],[Rate]]-C378,N378)</f>
        <v>-0.10000000000000053</v>
      </c>
    </row>
    <row r="380" spans="1:14">
      <c r="A380" s="8" t="s">
        <v>96</v>
      </c>
      <c r="B380" s="11">
        <v>3.3078730296866699</v>
      </c>
      <c r="C380" s="13">
        <v>4.1449999999999996</v>
      </c>
      <c r="D380" s="14">
        <f t="shared" si="35"/>
        <v>7</v>
      </c>
      <c r="E380" s="14">
        <f t="shared" si="36"/>
        <v>0.2</v>
      </c>
      <c r="F380" s="14">
        <f t="shared" si="37"/>
        <v>5</v>
      </c>
      <c r="G380" s="14">
        <f t="shared" si="38"/>
        <v>3.307360008145722</v>
      </c>
      <c r="H380" s="14">
        <f t="shared" si="39"/>
        <v>1</v>
      </c>
      <c r="I380" s="14">
        <f t="shared" si="40"/>
        <v>1</v>
      </c>
      <c r="J380" s="14">
        <f t="shared" si="41"/>
        <v>3.307360008145722</v>
      </c>
      <c r="K380" s="15">
        <f>IF(CurrentMtgRatesDataTable8[[#This Row],[WA CC]]&lt;&gt;0,C379-CurrentMtgRatesDataTable8[[#This Row],[WA CC]],0)</f>
        <v>0.83763999185427762</v>
      </c>
      <c r="L380" s="16">
        <f>IF(CurrentMtgRatesDataTable8[[#This Row],[Servicing Spread]]&lt;=0,L379,CurrentMtgRatesDataTable8[[#This Row],[Servicing Spread]])</f>
        <v>0.83763999185427762</v>
      </c>
      <c r="M380" s="16">
        <f>CurrentMtgRatesDataTable8[[#This Row],[Servicing Spread Non-Zero]]-L379</f>
        <v>-2.8391843229846447E-2</v>
      </c>
      <c r="N380" s="16">
        <f>IF(J379&lt;&gt;0,CurrentMtgRatesDataTable8[[#This Row],[Rate]]-C379,N379)</f>
        <v>-0.10000000000000053</v>
      </c>
    </row>
    <row r="381" spans="1:14">
      <c r="A381" s="8" t="s">
        <v>660</v>
      </c>
      <c r="B381" s="11">
        <v>3.2850779326666601</v>
      </c>
      <c r="C381" s="13">
        <v>4.1550000000000002</v>
      </c>
      <c r="D381" s="14">
        <f t="shared" si="35"/>
        <v>1</v>
      </c>
      <c r="E381" s="14">
        <f t="shared" si="36"/>
        <v>0.2</v>
      </c>
      <c r="F381" s="14">
        <f t="shared" si="37"/>
        <v>1</v>
      </c>
      <c r="G381" s="14">
        <f t="shared" si="38"/>
        <v>0.65701558653333203</v>
      </c>
      <c r="H381" s="14">
        <f t="shared" si="39"/>
        <v>0.2</v>
      </c>
      <c r="I381" s="14">
        <f t="shared" si="40"/>
        <v>0</v>
      </c>
      <c r="J381" s="14">
        <f t="shared" si="41"/>
        <v>0</v>
      </c>
      <c r="K381" s="15">
        <f>IF(CurrentMtgRatesDataTable8[[#This Row],[WA CC]]&lt;&gt;0,C380-CurrentMtgRatesDataTable8[[#This Row],[WA CC]],0)</f>
        <v>0</v>
      </c>
      <c r="L381" s="16">
        <f>IF(CurrentMtgRatesDataTable8[[#This Row],[Servicing Spread]]&lt;=0,L380,CurrentMtgRatesDataTable8[[#This Row],[Servicing Spread]])</f>
        <v>0.83763999185427762</v>
      </c>
      <c r="M381" s="16">
        <f>CurrentMtgRatesDataTable8[[#This Row],[Servicing Spread Non-Zero]]-L380</f>
        <v>0</v>
      </c>
      <c r="N381" s="16">
        <f>IF(J380&lt;&gt;0,CurrentMtgRatesDataTable8[[#This Row],[Rate]]-C380,N380)</f>
        <v>1.0000000000000675E-2</v>
      </c>
    </row>
    <row r="382" spans="1:14">
      <c r="A382" s="8" t="s">
        <v>518</v>
      </c>
      <c r="B382" s="11">
        <v>3.3143904621736602</v>
      </c>
      <c r="C382" s="13">
        <v>4.1550000000000002</v>
      </c>
      <c r="D382" s="14">
        <f t="shared" si="35"/>
        <v>2</v>
      </c>
      <c r="E382" s="14">
        <f t="shared" si="36"/>
        <v>0.2</v>
      </c>
      <c r="F382" s="14">
        <f t="shared" si="37"/>
        <v>2</v>
      </c>
      <c r="G382" s="14">
        <f t="shared" si="38"/>
        <v>1.319893678968064</v>
      </c>
      <c r="H382" s="14">
        <f t="shared" si="39"/>
        <v>0.4</v>
      </c>
      <c r="I382" s="14">
        <f t="shared" si="40"/>
        <v>0</v>
      </c>
      <c r="J382" s="14">
        <f t="shared" si="41"/>
        <v>0</v>
      </c>
      <c r="K382" s="15">
        <f>IF(CurrentMtgRatesDataTable8[[#This Row],[WA CC]]&lt;&gt;0,C381-CurrentMtgRatesDataTable8[[#This Row],[WA CC]],0)</f>
        <v>0</v>
      </c>
      <c r="L382" s="16">
        <f>IF(CurrentMtgRatesDataTable8[[#This Row],[Servicing Spread]]&lt;=0,L381,CurrentMtgRatesDataTable8[[#This Row],[Servicing Spread]])</f>
        <v>0.83763999185427762</v>
      </c>
      <c r="M382" s="16">
        <f>CurrentMtgRatesDataTable8[[#This Row],[Servicing Spread Non-Zero]]-L381</f>
        <v>0</v>
      </c>
      <c r="N382" s="16">
        <f>IF(J381&lt;&gt;0,CurrentMtgRatesDataTable8[[#This Row],[Rate]]-C381,N381)</f>
        <v>1.0000000000000675E-2</v>
      </c>
    </row>
    <row r="383" spans="1:14">
      <c r="A383" s="8" t="s">
        <v>377</v>
      </c>
      <c r="B383" s="11">
        <v>3.3152163432269299</v>
      </c>
      <c r="C383" s="13">
        <v>4.1550000000000002</v>
      </c>
      <c r="D383" s="14">
        <f t="shared" si="35"/>
        <v>5</v>
      </c>
      <c r="E383" s="14">
        <f t="shared" si="36"/>
        <v>0.2</v>
      </c>
      <c r="F383" s="14">
        <f t="shared" si="37"/>
        <v>3</v>
      </c>
      <c r="G383" s="14">
        <f t="shared" si="38"/>
        <v>1.98293694761345</v>
      </c>
      <c r="H383" s="14">
        <f t="shared" si="39"/>
        <v>0.60000000000000009</v>
      </c>
      <c r="I383" s="14">
        <f t="shared" si="40"/>
        <v>0</v>
      </c>
      <c r="J383" s="14">
        <f t="shared" si="41"/>
        <v>0</v>
      </c>
      <c r="K383" s="15">
        <f>IF(CurrentMtgRatesDataTable8[[#This Row],[WA CC]]&lt;&gt;0,C382-CurrentMtgRatesDataTable8[[#This Row],[WA CC]],0)</f>
        <v>0</v>
      </c>
      <c r="L383" s="16">
        <f>IF(CurrentMtgRatesDataTable8[[#This Row],[Servicing Spread]]&lt;=0,L382,CurrentMtgRatesDataTable8[[#This Row],[Servicing Spread]])</f>
        <v>0.83763999185427762</v>
      </c>
      <c r="M383" s="16">
        <f>CurrentMtgRatesDataTable8[[#This Row],[Servicing Spread Non-Zero]]-L382</f>
        <v>0</v>
      </c>
      <c r="N383" s="16">
        <f>IF(J382&lt;&gt;0,CurrentMtgRatesDataTable8[[#This Row],[Rate]]-C382,N382)</f>
        <v>1.0000000000000675E-2</v>
      </c>
    </row>
    <row r="384" spans="1:14">
      <c r="A384" s="8" t="s">
        <v>240</v>
      </c>
      <c r="B384" s="11">
        <v>3.32900541071837</v>
      </c>
      <c r="C384" s="13">
        <v>4.1550000000000002</v>
      </c>
      <c r="D384" s="14">
        <f t="shared" si="35"/>
        <v>6</v>
      </c>
      <c r="E384" s="14">
        <f t="shared" si="36"/>
        <v>0.2</v>
      </c>
      <c r="F384" s="14">
        <f t="shared" si="37"/>
        <v>4</v>
      </c>
      <c r="G384" s="14">
        <f t="shared" si="38"/>
        <v>2.6487380297571241</v>
      </c>
      <c r="H384" s="14">
        <f t="shared" si="39"/>
        <v>0.8</v>
      </c>
      <c r="I384" s="14">
        <f t="shared" si="40"/>
        <v>0</v>
      </c>
      <c r="J384" s="14">
        <f t="shared" si="41"/>
        <v>0</v>
      </c>
      <c r="K384" s="15">
        <f>IF(CurrentMtgRatesDataTable8[[#This Row],[WA CC]]&lt;&gt;0,C383-CurrentMtgRatesDataTable8[[#This Row],[WA CC]],0)</f>
        <v>0</v>
      </c>
      <c r="L384" s="16">
        <f>IF(CurrentMtgRatesDataTable8[[#This Row],[Servicing Spread]]&lt;=0,L383,CurrentMtgRatesDataTable8[[#This Row],[Servicing Spread]])</f>
        <v>0.83763999185427762</v>
      </c>
      <c r="M384" s="16">
        <f>CurrentMtgRatesDataTable8[[#This Row],[Servicing Spread Non-Zero]]-L383</f>
        <v>0</v>
      </c>
      <c r="N384" s="16">
        <f>IF(J383&lt;&gt;0,CurrentMtgRatesDataTable8[[#This Row],[Rate]]-C383,N383)</f>
        <v>1.0000000000000675E-2</v>
      </c>
    </row>
    <row r="385" spans="1:14">
      <c r="A385" s="8" t="s">
        <v>97</v>
      </c>
      <c r="B385" s="11">
        <v>3.3312145702916398</v>
      </c>
      <c r="C385" s="13">
        <v>4.1550000000000002</v>
      </c>
      <c r="D385" s="14">
        <f t="shared" si="35"/>
        <v>7</v>
      </c>
      <c r="E385" s="14">
        <f t="shared" si="36"/>
        <v>0.2</v>
      </c>
      <c r="F385" s="14">
        <f t="shared" si="37"/>
        <v>5</v>
      </c>
      <c r="G385" s="14">
        <f t="shared" si="38"/>
        <v>3.3149809438154523</v>
      </c>
      <c r="H385" s="14">
        <f t="shared" si="39"/>
        <v>1</v>
      </c>
      <c r="I385" s="14">
        <f t="shared" si="40"/>
        <v>1</v>
      </c>
      <c r="J385" s="14">
        <f t="shared" si="41"/>
        <v>3.3149809438154523</v>
      </c>
      <c r="K385" s="15">
        <f>IF(CurrentMtgRatesDataTable8[[#This Row],[WA CC]]&lt;&gt;0,C384-CurrentMtgRatesDataTable8[[#This Row],[WA CC]],0)</f>
        <v>0.84001905618454797</v>
      </c>
      <c r="L385" s="16">
        <f>IF(CurrentMtgRatesDataTable8[[#This Row],[Servicing Spread]]&lt;=0,L384,CurrentMtgRatesDataTable8[[#This Row],[Servicing Spread]])</f>
        <v>0.84001905618454797</v>
      </c>
      <c r="M385" s="16">
        <f>CurrentMtgRatesDataTable8[[#This Row],[Servicing Spread Non-Zero]]-L384</f>
        <v>2.3790643302703529E-3</v>
      </c>
      <c r="N385" s="16">
        <f>IF(J384&lt;&gt;0,CurrentMtgRatesDataTable8[[#This Row],[Rate]]-C384,N384)</f>
        <v>1.0000000000000675E-2</v>
      </c>
    </row>
    <row r="386" spans="1:14">
      <c r="A386" s="8" t="s">
        <v>661</v>
      </c>
      <c r="B386" s="11">
        <v>3.3459270723169801</v>
      </c>
      <c r="C386" s="13">
        <v>4.2050000000000001</v>
      </c>
      <c r="D386" s="14">
        <f t="shared" si="35"/>
        <v>1</v>
      </c>
      <c r="E386" s="14">
        <f t="shared" si="36"/>
        <v>0.2</v>
      </c>
      <c r="F386" s="14">
        <f t="shared" si="37"/>
        <v>1</v>
      </c>
      <c r="G386" s="14">
        <f t="shared" si="38"/>
        <v>0.66918541446339608</v>
      </c>
      <c r="H386" s="14">
        <f t="shared" si="39"/>
        <v>0.2</v>
      </c>
      <c r="I386" s="14">
        <f t="shared" si="40"/>
        <v>0</v>
      </c>
      <c r="J386" s="14">
        <f t="shared" si="41"/>
        <v>0</v>
      </c>
      <c r="K386" s="15">
        <f>IF(CurrentMtgRatesDataTable8[[#This Row],[WA CC]]&lt;&gt;0,C385-CurrentMtgRatesDataTable8[[#This Row],[WA CC]],0)</f>
        <v>0</v>
      </c>
      <c r="L386" s="16">
        <f>IF(CurrentMtgRatesDataTable8[[#This Row],[Servicing Spread]]&lt;=0,L385,CurrentMtgRatesDataTable8[[#This Row],[Servicing Spread]])</f>
        <v>0.84001905618454797</v>
      </c>
      <c r="M386" s="16">
        <f>CurrentMtgRatesDataTable8[[#This Row],[Servicing Spread Non-Zero]]-L385</f>
        <v>0</v>
      </c>
      <c r="N386" s="16">
        <f>IF(J385&lt;&gt;0,CurrentMtgRatesDataTable8[[#This Row],[Rate]]-C385,N385)</f>
        <v>4.9999999999999822E-2</v>
      </c>
    </row>
    <row r="387" spans="1:14">
      <c r="A387" s="8" t="s">
        <v>519</v>
      </c>
      <c r="B387" s="11">
        <v>3.3488826952464001</v>
      </c>
      <c r="C387" s="13">
        <v>4.2050000000000001</v>
      </c>
      <c r="D387" s="14">
        <f t="shared" si="35"/>
        <v>2</v>
      </c>
      <c r="E387" s="14">
        <f t="shared" si="36"/>
        <v>0.2</v>
      </c>
      <c r="F387" s="14">
        <f t="shared" si="37"/>
        <v>2</v>
      </c>
      <c r="G387" s="14">
        <f t="shared" si="38"/>
        <v>1.3389619535126762</v>
      </c>
      <c r="H387" s="14">
        <f t="shared" si="39"/>
        <v>0.4</v>
      </c>
      <c r="I387" s="14">
        <f t="shared" si="40"/>
        <v>0</v>
      </c>
      <c r="J387" s="14">
        <f t="shared" si="41"/>
        <v>0</v>
      </c>
      <c r="K387" s="15">
        <f>IF(CurrentMtgRatesDataTable8[[#This Row],[WA CC]]&lt;&gt;0,C386-CurrentMtgRatesDataTable8[[#This Row],[WA CC]],0)</f>
        <v>0</v>
      </c>
      <c r="L387" s="16">
        <f>IF(CurrentMtgRatesDataTable8[[#This Row],[Servicing Spread]]&lt;=0,L386,CurrentMtgRatesDataTable8[[#This Row],[Servicing Spread]])</f>
        <v>0.84001905618454797</v>
      </c>
      <c r="M387" s="16">
        <f>CurrentMtgRatesDataTable8[[#This Row],[Servicing Spread Non-Zero]]-L386</f>
        <v>0</v>
      </c>
      <c r="N387" s="16">
        <f>IF(J386&lt;&gt;0,CurrentMtgRatesDataTable8[[#This Row],[Rate]]-C386,N386)</f>
        <v>4.9999999999999822E-2</v>
      </c>
    </row>
    <row r="388" spans="1:14">
      <c r="A388" s="8" t="s">
        <v>241</v>
      </c>
      <c r="B388" s="11">
        <v>3.3897329963191098</v>
      </c>
      <c r="C388" s="13">
        <v>4.2050000000000001</v>
      </c>
      <c r="D388" s="14">
        <f t="shared" si="35"/>
        <v>6</v>
      </c>
      <c r="E388" s="14">
        <f t="shared" si="36"/>
        <v>0.2</v>
      </c>
      <c r="F388" s="14">
        <f t="shared" si="37"/>
        <v>3</v>
      </c>
      <c r="G388" s="14">
        <f t="shared" si="38"/>
        <v>2.0169085527764983</v>
      </c>
      <c r="H388" s="14">
        <f t="shared" si="39"/>
        <v>0.60000000000000009</v>
      </c>
      <c r="I388" s="14">
        <f t="shared" si="40"/>
        <v>0</v>
      </c>
      <c r="J388" s="14">
        <f t="shared" si="41"/>
        <v>0</v>
      </c>
      <c r="K388" s="15">
        <f>IF(CurrentMtgRatesDataTable8[[#This Row],[WA CC]]&lt;&gt;0,C387-CurrentMtgRatesDataTable8[[#This Row],[WA CC]],0)</f>
        <v>0</v>
      </c>
      <c r="L388" s="16">
        <f>IF(CurrentMtgRatesDataTable8[[#This Row],[Servicing Spread]]&lt;=0,L387,CurrentMtgRatesDataTable8[[#This Row],[Servicing Spread]])</f>
        <v>0.84001905618454797</v>
      </c>
      <c r="M388" s="16">
        <f>CurrentMtgRatesDataTable8[[#This Row],[Servicing Spread Non-Zero]]-L387</f>
        <v>0</v>
      </c>
      <c r="N388" s="16">
        <f>IF(J387&lt;&gt;0,CurrentMtgRatesDataTable8[[#This Row],[Rate]]-C387,N387)</f>
        <v>4.9999999999999822E-2</v>
      </c>
    </row>
    <row r="389" spans="1:14">
      <c r="A389" s="8" t="s">
        <v>98</v>
      </c>
      <c r="B389" s="11">
        <v>3.34533036324394</v>
      </c>
      <c r="C389" s="13">
        <v>4.2050000000000001</v>
      </c>
      <c r="D389" s="14">
        <f t="shared" ref="D389:D452" si="42">WEEKDAY(A389,14)</f>
        <v>7</v>
      </c>
      <c r="E389" s="14">
        <f t="shared" ref="E389:E452" si="43">VLOOKUP(D389,Q$5:R$11,2,FALSE)</f>
        <v>0.2</v>
      </c>
      <c r="F389" s="14">
        <f t="shared" ref="F389:F452" si="44">IF(AND(D389&gt;D388,F388&lt;6),F388+1,1)</f>
        <v>4</v>
      </c>
      <c r="G389" s="14">
        <f t="shared" ref="G389:G452" si="45">IF(F389&gt;F388,G388+B389*E389,B389*E389)</f>
        <v>2.6859746254252865</v>
      </c>
      <c r="H389" s="14">
        <f t="shared" ref="H389:H452" si="46">IF(AND(F389&lt;6,F389&gt;F388),E389+H388,E389)</f>
        <v>0.8</v>
      </c>
      <c r="I389" s="14">
        <f t="shared" ref="I389:I452" si="47">IF(F389&gt;F390,1,0)</f>
        <v>1</v>
      </c>
      <c r="J389" s="14">
        <f t="shared" ref="J389:J452" si="48">IF(F389&gt;F390,G389/H389,0)</f>
        <v>3.3574682817816082</v>
      </c>
      <c r="K389" s="15">
        <f>IF(CurrentMtgRatesDataTable8[[#This Row],[WA CC]]&lt;&gt;0,C388-CurrentMtgRatesDataTable8[[#This Row],[WA CC]],0)</f>
        <v>0.84753171821839191</v>
      </c>
      <c r="L389" s="16">
        <f>IF(CurrentMtgRatesDataTable8[[#This Row],[Servicing Spread]]&lt;=0,L388,CurrentMtgRatesDataTable8[[#This Row],[Servicing Spread]])</f>
        <v>0.84753171821839191</v>
      </c>
      <c r="M389" s="16">
        <f>CurrentMtgRatesDataTable8[[#This Row],[Servicing Spread Non-Zero]]-L388</f>
        <v>7.5126620338439309E-3</v>
      </c>
      <c r="N389" s="16">
        <f>IF(J388&lt;&gt;0,CurrentMtgRatesDataTable8[[#This Row],[Rate]]-C388,N388)</f>
        <v>4.9999999999999822E-2</v>
      </c>
    </row>
    <row r="390" spans="1:14">
      <c r="A390" s="8" t="s">
        <v>662</v>
      </c>
      <c r="B390" s="11">
        <v>3.2546149111271299</v>
      </c>
      <c r="C390" s="13">
        <v>4.08</v>
      </c>
      <c r="D390" s="14">
        <f t="shared" si="42"/>
        <v>1</v>
      </c>
      <c r="E390" s="14">
        <f t="shared" si="43"/>
        <v>0.2</v>
      </c>
      <c r="F390" s="14">
        <f t="shared" si="44"/>
        <v>1</v>
      </c>
      <c r="G390" s="14">
        <f t="shared" si="45"/>
        <v>0.65092298222542599</v>
      </c>
      <c r="H390" s="14">
        <f t="shared" si="46"/>
        <v>0.2</v>
      </c>
      <c r="I390" s="14">
        <f t="shared" si="47"/>
        <v>0</v>
      </c>
      <c r="J390" s="14">
        <f t="shared" si="48"/>
        <v>0</v>
      </c>
      <c r="K390" s="15">
        <f>IF(CurrentMtgRatesDataTable8[[#This Row],[WA CC]]&lt;&gt;0,C389-CurrentMtgRatesDataTable8[[#This Row],[WA CC]],0)</f>
        <v>0</v>
      </c>
      <c r="L390" s="16">
        <f>IF(CurrentMtgRatesDataTable8[[#This Row],[Servicing Spread]]&lt;=0,L389,CurrentMtgRatesDataTable8[[#This Row],[Servicing Spread]])</f>
        <v>0.84753171821839191</v>
      </c>
      <c r="M390" s="16">
        <f>CurrentMtgRatesDataTable8[[#This Row],[Servicing Spread Non-Zero]]-L389</f>
        <v>0</v>
      </c>
      <c r="N390" s="16">
        <f>IF(J389&lt;&gt;0,CurrentMtgRatesDataTable8[[#This Row],[Rate]]-C389,N389)</f>
        <v>-0.125</v>
      </c>
    </row>
    <row r="391" spans="1:14">
      <c r="A391" s="8" t="s">
        <v>520</v>
      </c>
      <c r="B391" s="11">
        <v>3.2585675716606302</v>
      </c>
      <c r="C391" s="13">
        <v>4.08</v>
      </c>
      <c r="D391" s="14">
        <f t="shared" si="42"/>
        <v>2</v>
      </c>
      <c r="E391" s="14">
        <f t="shared" si="43"/>
        <v>0.2</v>
      </c>
      <c r="F391" s="14">
        <f t="shared" si="44"/>
        <v>2</v>
      </c>
      <c r="G391" s="14">
        <f t="shared" si="45"/>
        <v>1.3026364965575521</v>
      </c>
      <c r="H391" s="14">
        <f t="shared" si="46"/>
        <v>0.4</v>
      </c>
      <c r="I391" s="14">
        <f t="shared" si="47"/>
        <v>0</v>
      </c>
      <c r="J391" s="14">
        <f t="shared" si="48"/>
        <v>0</v>
      </c>
      <c r="K391" s="15">
        <f>IF(CurrentMtgRatesDataTable8[[#This Row],[WA CC]]&lt;&gt;0,C390-CurrentMtgRatesDataTable8[[#This Row],[WA CC]],0)</f>
        <v>0</v>
      </c>
      <c r="L391" s="16">
        <f>IF(CurrentMtgRatesDataTable8[[#This Row],[Servicing Spread]]&lt;=0,L390,CurrentMtgRatesDataTable8[[#This Row],[Servicing Spread]])</f>
        <v>0.84753171821839191</v>
      </c>
      <c r="M391" s="16">
        <f>CurrentMtgRatesDataTable8[[#This Row],[Servicing Spread Non-Zero]]-L390</f>
        <v>0</v>
      </c>
      <c r="N391" s="16">
        <f>IF(J390&lt;&gt;0,CurrentMtgRatesDataTable8[[#This Row],[Rate]]-C390,N390)</f>
        <v>-0.125</v>
      </c>
    </row>
    <row r="392" spans="1:14">
      <c r="A392" s="8" t="s">
        <v>378</v>
      </c>
      <c r="B392" s="11">
        <v>3.2809533512237801</v>
      </c>
      <c r="C392" s="13">
        <v>4.08</v>
      </c>
      <c r="D392" s="14">
        <f t="shared" si="42"/>
        <v>5</v>
      </c>
      <c r="E392" s="14">
        <f t="shared" si="43"/>
        <v>0.2</v>
      </c>
      <c r="F392" s="14">
        <f t="shared" si="44"/>
        <v>3</v>
      </c>
      <c r="G392" s="14">
        <f t="shared" si="45"/>
        <v>1.9588271668023083</v>
      </c>
      <c r="H392" s="14">
        <f t="shared" si="46"/>
        <v>0.60000000000000009</v>
      </c>
      <c r="I392" s="14">
        <f t="shared" si="47"/>
        <v>0</v>
      </c>
      <c r="J392" s="14">
        <f t="shared" si="48"/>
        <v>0</v>
      </c>
      <c r="K392" s="15">
        <f>IF(CurrentMtgRatesDataTable8[[#This Row],[WA CC]]&lt;&gt;0,C391-CurrentMtgRatesDataTable8[[#This Row],[WA CC]],0)</f>
        <v>0</v>
      </c>
      <c r="L392" s="16">
        <f>IF(CurrentMtgRatesDataTable8[[#This Row],[Servicing Spread]]&lt;=0,L391,CurrentMtgRatesDataTable8[[#This Row],[Servicing Spread]])</f>
        <v>0.84753171821839191</v>
      </c>
      <c r="M392" s="16">
        <f>CurrentMtgRatesDataTable8[[#This Row],[Servicing Spread Non-Zero]]-L391</f>
        <v>0</v>
      </c>
      <c r="N392" s="16">
        <f>IF(J391&lt;&gt;0,CurrentMtgRatesDataTable8[[#This Row],[Rate]]-C391,N391)</f>
        <v>-0.125</v>
      </c>
    </row>
    <row r="393" spans="1:14">
      <c r="A393" s="8" t="s">
        <v>242</v>
      </c>
      <c r="B393" s="11">
        <v>3.18365964576661</v>
      </c>
      <c r="C393" s="13">
        <v>4.08</v>
      </c>
      <c r="D393" s="14">
        <f t="shared" si="42"/>
        <v>6</v>
      </c>
      <c r="E393" s="14">
        <f t="shared" si="43"/>
        <v>0.2</v>
      </c>
      <c r="F393" s="14">
        <f t="shared" si="44"/>
        <v>4</v>
      </c>
      <c r="G393" s="14">
        <f t="shared" si="45"/>
        <v>2.5955590959556303</v>
      </c>
      <c r="H393" s="14">
        <f t="shared" si="46"/>
        <v>0.8</v>
      </c>
      <c r="I393" s="14">
        <f t="shared" si="47"/>
        <v>0</v>
      </c>
      <c r="J393" s="14">
        <f t="shared" si="48"/>
        <v>0</v>
      </c>
      <c r="K393" s="15">
        <f>IF(CurrentMtgRatesDataTable8[[#This Row],[WA CC]]&lt;&gt;0,C392-CurrentMtgRatesDataTable8[[#This Row],[WA CC]],0)</f>
        <v>0</v>
      </c>
      <c r="L393" s="16">
        <f>IF(CurrentMtgRatesDataTable8[[#This Row],[Servicing Spread]]&lt;=0,L392,CurrentMtgRatesDataTable8[[#This Row],[Servicing Spread]])</f>
        <v>0.84753171821839191</v>
      </c>
      <c r="M393" s="16">
        <f>CurrentMtgRatesDataTable8[[#This Row],[Servicing Spread Non-Zero]]-L392</f>
        <v>0</v>
      </c>
      <c r="N393" s="16">
        <f>IF(J392&lt;&gt;0,CurrentMtgRatesDataTable8[[#This Row],[Rate]]-C392,N392)</f>
        <v>-0.125</v>
      </c>
    </row>
    <row r="394" spans="1:14">
      <c r="A394" s="8" t="s">
        <v>99</v>
      </c>
      <c r="B394" s="11">
        <v>3.1541714940092298</v>
      </c>
      <c r="C394" s="13">
        <v>4.08</v>
      </c>
      <c r="D394" s="14">
        <f t="shared" si="42"/>
        <v>7</v>
      </c>
      <c r="E394" s="14">
        <f t="shared" si="43"/>
        <v>0.2</v>
      </c>
      <c r="F394" s="14">
        <f t="shared" si="44"/>
        <v>5</v>
      </c>
      <c r="G394" s="14">
        <f t="shared" si="45"/>
        <v>3.2263933947574763</v>
      </c>
      <c r="H394" s="14">
        <f t="shared" si="46"/>
        <v>1</v>
      </c>
      <c r="I394" s="14">
        <f t="shared" si="47"/>
        <v>1</v>
      </c>
      <c r="J394" s="14">
        <f t="shared" si="48"/>
        <v>3.2263933947574763</v>
      </c>
      <c r="K394" s="15">
        <f>IF(CurrentMtgRatesDataTable8[[#This Row],[WA CC]]&lt;&gt;0,C393-CurrentMtgRatesDataTable8[[#This Row],[WA CC]],0)</f>
        <v>0.85360660524252374</v>
      </c>
      <c r="L394" s="16">
        <f>IF(CurrentMtgRatesDataTable8[[#This Row],[Servicing Spread]]&lt;=0,L393,CurrentMtgRatesDataTable8[[#This Row],[Servicing Spread]])</f>
        <v>0.85360660524252374</v>
      </c>
      <c r="M394" s="16">
        <f>CurrentMtgRatesDataTable8[[#This Row],[Servicing Spread Non-Zero]]-L393</f>
        <v>6.0748870241318365E-3</v>
      </c>
      <c r="N394" s="16">
        <f>IF(J393&lt;&gt;0,CurrentMtgRatesDataTable8[[#This Row],[Rate]]-C393,N393)</f>
        <v>-0.125</v>
      </c>
    </row>
    <row r="395" spans="1:14">
      <c r="A395" s="8" t="s">
        <v>663</v>
      </c>
      <c r="B395" s="11">
        <v>3.1772287212477002</v>
      </c>
      <c r="C395" s="13">
        <v>4.0249999999999995</v>
      </c>
      <c r="D395" s="14">
        <f t="shared" si="42"/>
        <v>1</v>
      </c>
      <c r="E395" s="14">
        <f t="shared" si="43"/>
        <v>0.2</v>
      </c>
      <c r="F395" s="14">
        <f t="shared" si="44"/>
        <v>1</v>
      </c>
      <c r="G395" s="14">
        <f t="shared" si="45"/>
        <v>0.63544574424954003</v>
      </c>
      <c r="H395" s="14">
        <f t="shared" si="46"/>
        <v>0.2</v>
      </c>
      <c r="I395" s="14">
        <f t="shared" si="47"/>
        <v>0</v>
      </c>
      <c r="J395" s="14">
        <f t="shared" si="48"/>
        <v>0</v>
      </c>
      <c r="K395" s="15">
        <f>IF(CurrentMtgRatesDataTable8[[#This Row],[WA CC]]&lt;&gt;0,C394-CurrentMtgRatesDataTable8[[#This Row],[WA CC]],0)</f>
        <v>0</v>
      </c>
      <c r="L395" s="16">
        <f>IF(CurrentMtgRatesDataTable8[[#This Row],[Servicing Spread]]&lt;=0,L394,CurrentMtgRatesDataTable8[[#This Row],[Servicing Spread]])</f>
        <v>0.85360660524252374</v>
      </c>
      <c r="M395" s="16">
        <f>CurrentMtgRatesDataTable8[[#This Row],[Servicing Spread Non-Zero]]-L394</f>
        <v>0</v>
      </c>
      <c r="N395" s="16">
        <f>IF(J394&lt;&gt;0,CurrentMtgRatesDataTable8[[#This Row],[Rate]]-C394,N394)</f>
        <v>-5.5000000000000604E-2</v>
      </c>
    </row>
    <row r="396" spans="1:14">
      <c r="A396" s="8" t="s">
        <v>521</v>
      </c>
      <c r="B396" s="11">
        <v>3.1521212861919801</v>
      </c>
      <c r="C396" s="13">
        <v>4.0249999999999995</v>
      </c>
      <c r="D396" s="14">
        <f t="shared" si="42"/>
        <v>2</v>
      </c>
      <c r="E396" s="14">
        <f t="shared" si="43"/>
        <v>0.2</v>
      </c>
      <c r="F396" s="14">
        <f t="shared" si="44"/>
        <v>2</v>
      </c>
      <c r="G396" s="14">
        <f t="shared" si="45"/>
        <v>1.265870001487936</v>
      </c>
      <c r="H396" s="14">
        <f t="shared" si="46"/>
        <v>0.4</v>
      </c>
      <c r="I396" s="14">
        <f t="shared" si="47"/>
        <v>0</v>
      </c>
      <c r="J396" s="14">
        <f t="shared" si="48"/>
        <v>0</v>
      </c>
      <c r="K396" s="15">
        <f>IF(CurrentMtgRatesDataTable8[[#This Row],[WA CC]]&lt;&gt;0,C395-CurrentMtgRatesDataTable8[[#This Row],[WA CC]],0)</f>
        <v>0</v>
      </c>
      <c r="L396" s="16">
        <f>IF(CurrentMtgRatesDataTable8[[#This Row],[Servicing Spread]]&lt;=0,L395,CurrentMtgRatesDataTable8[[#This Row],[Servicing Spread]])</f>
        <v>0.85360660524252374</v>
      </c>
      <c r="M396" s="16">
        <f>CurrentMtgRatesDataTable8[[#This Row],[Servicing Spread Non-Zero]]-L395</f>
        <v>0</v>
      </c>
      <c r="N396" s="16">
        <f>IF(J395&lt;&gt;0,CurrentMtgRatesDataTable8[[#This Row],[Rate]]-C395,N395)</f>
        <v>-5.5000000000000604E-2</v>
      </c>
    </row>
    <row r="397" spans="1:14">
      <c r="A397" s="8" t="s">
        <v>379</v>
      </c>
      <c r="B397" s="11">
        <v>3.1593236616906499</v>
      </c>
      <c r="C397" s="13">
        <v>4.0249999999999995</v>
      </c>
      <c r="D397" s="14">
        <f t="shared" si="42"/>
        <v>5</v>
      </c>
      <c r="E397" s="14">
        <f t="shared" si="43"/>
        <v>0.2</v>
      </c>
      <c r="F397" s="14">
        <f t="shared" si="44"/>
        <v>3</v>
      </c>
      <c r="G397" s="14">
        <f t="shared" si="45"/>
        <v>1.8977347338260659</v>
      </c>
      <c r="H397" s="14">
        <f t="shared" si="46"/>
        <v>0.60000000000000009</v>
      </c>
      <c r="I397" s="14">
        <f t="shared" si="47"/>
        <v>0</v>
      </c>
      <c r="J397" s="14">
        <f t="shared" si="48"/>
        <v>0</v>
      </c>
      <c r="K397" s="15">
        <f>IF(CurrentMtgRatesDataTable8[[#This Row],[WA CC]]&lt;&gt;0,C396-CurrentMtgRatesDataTable8[[#This Row],[WA CC]],0)</f>
        <v>0</v>
      </c>
      <c r="L397" s="16">
        <f>IF(CurrentMtgRatesDataTable8[[#This Row],[Servicing Spread]]&lt;=0,L396,CurrentMtgRatesDataTable8[[#This Row],[Servicing Spread]])</f>
        <v>0.85360660524252374</v>
      </c>
      <c r="M397" s="16">
        <f>CurrentMtgRatesDataTable8[[#This Row],[Servicing Spread Non-Zero]]-L396</f>
        <v>0</v>
      </c>
      <c r="N397" s="16">
        <f>IF(J396&lt;&gt;0,CurrentMtgRatesDataTable8[[#This Row],[Rate]]-C396,N396)</f>
        <v>-5.5000000000000604E-2</v>
      </c>
    </row>
    <row r="398" spans="1:14">
      <c r="A398" s="8" t="s">
        <v>243</v>
      </c>
      <c r="B398" s="11">
        <v>3.1543237441163701</v>
      </c>
      <c r="C398" s="13">
        <v>4.0249999999999995</v>
      </c>
      <c r="D398" s="14">
        <f t="shared" si="42"/>
        <v>6</v>
      </c>
      <c r="E398" s="14">
        <f t="shared" si="43"/>
        <v>0.2</v>
      </c>
      <c r="F398" s="14">
        <f t="shared" si="44"/>
        <v>4</v>
      </c>
      <c r="G398" s="14">
        <f t="shared" si="45"/>
        <v>2.5285994826493399</v>
      </c>
      <c r="H398" s="14">
        <f t="shared" si="46"/>
        <v>0.8</v>
      </c>
      <c r="I398" s="14">
        <f t="shared" si="47"/>
        <v>0</v>
      </c>
      <c r="J398" s="14">
        <f t="shared" si="48"/>
        <v>0</v>
      </c>
      <c r="K398" s="15">
        <f>IF(CurrentMtgRatesDataTable8[[#This Row],[WA CC]]&lt;&gt;0,C397-CurrentMtgRatesDataTable8[[#This Row],[WA CC]],0)</f>
        <v>0</v>
      </c>
      <c r="L398" s="16">
        <f>IF(CurrentMtgRatesDataTable8[[#This Row],[Servicing Spread]]&lt;=0,L397,CurrentMtgRatesDataTable8[[#This Row],[Servicing Spread]])</f>
        <v>0.85360660524252374</v>
      </c>
      <c r="M398" s="16">
        <f>CurrentMtgRatesDataTable8[[#This Row],[Servicing Spread Non-Zero]]-L397</f>
        <v>0</v>
      </c>
      <c r="N398" s="16">
        <f>IF(J397&lt;&gt;0,CurrentMtgRatesDataTable8[[#This Row],[Rate]]-C397,N397)</f>
        <v>-5.5000000000000604E-2</v>
      </c>
    </row>
    <row r="399" spans="1:14">
      <c r="A399" s="8" t="s">
        <v>100</v>
      </c>
      <c r="B399" s="11">
        <v>3.1611386444386498</v>
      </c>
      <c r="C399" s="13">
        <v>4.0249999999999995</v>
      </c>
      <c r="D399" s="14">
        <f t="shared" si="42"/>
        <v>7</v>
      </c>
      <c r="E399" s="14">
        <f t="shared" si="43"/>
        <v>0.2</v>
      </c>
      <c r="F399" s="14">
        <f t="shared" si="44"/>
        <v>5</v>
      </c>
      <c r="G399" s="14">
        <f t="shared" si="45"/>
        <v>3.1608272115370699</v>
      </c>
      <c r="H399" s="14">
        <f t="shared" si="46"/>
        <v>1</v>
      </c>
      <c r="I399" s="14">
        <f t="shared" si="47"/>
        <v>1</v>
      </c>
      <c r="J399" s="14">
        <f t="shared" si="48"/>
        <v>3.1608272115370699</v>
      </c>
      <c r="K399" s="15">
        <f>IF(CurrentMtgRatesDataTable8[[#This Row],[WA CC]]&lt;&gt;0,C398-CurrentMtgRatesDataTable8[[#This Row],[WA CC]],0)</f>
        <v>0.86417278846292955</v>
      </c>
      <c r="L399" s="16">
        <f>IF(CurrentMtgRatesDataTable8[[#This Row],[Servicing Spread]]&lt;=0,L398,CurrentMtgRatesDataTable8[[#This Row],[Servicing Spread]])</f>
        <v>0.86417278846292955</v>
      </c>
      <c r="M399" s="16">
        <f>CurrentMtgRatesDataTable8[[#This Row],[Servicing Spread Non-Zero]]-L398</f>
        <v>1.0566183220405811E-2</v>
      </c>
      <c r="N399" s="16">
        <f>IF(J398&lt;&gt;0,CurrentMtgRatesDataTable8[[#This Row],[Rate]]-C398,N398)</f>
        <v>-5.5000000000000604E-2</v>
      </c>
    </row>
    <row r="400" spans="1:14">
      <c r="A400" s="8" t="s">
        <v>664</v>
      </c>
      <c r="B400" s="11">
        <v>3.1803565883984102</v>
      </c>
      <c r="C400" s="13">
        <v>4.1100000000000003</v>
      </c>
      <c r="D400" s="14">
        <f t="shared" si="42"/>
        <v>1</v>
      </c>
      <c r="E400" s="14">
        <f t="shared" si="43"/>
        <v>0.2</v>
      </c>
      <c r="F400" s="14">
        <f t="shared" si="44"/>
        <v>1</v>
      </c>
      <c r="G400" s="14">
        <f t="shared" si="45"/>
        <v>0.63607131767968206</v>
      </c>
      <c r="H400" s="14">
        <f t="shared" si="46"/>
        <v>0.2</v>
      </c>
      <c r="I400" s="14">
        <f t="shared" si="47"/>
        <v>0</v>
      </c>
      <c r="J400" s="14">
        <f t="shared" si="48"/>
        <v>0</v>
      </c>
      <c r="K400" s="15">
        <f>IF(CurrentMtgRatesDataTable8[[#This Row],[WA CC]]&lt;&gt;0,C399-CurrentMtgRatesDataTable8[[#This Row],[WA CC]],0)</f>
        <v>0</v>
      </c>
      <c r="L400" s="16">
        <f>IF(CurrentMtgRatesDataTable8[[#This Row],[Servicing Spread]]&lt;=0,L399,CurrentMtgRatesDataTable8[[#This Row],[Servicing Spread]])</f>
        <v>0.86417278846292955</v>
      </c>
      <c r="M400" s="16">
        <f>CurrentMtgRatesDataTable8[[#This Row],[Servicing Spread Non-Zero]]-L399</f>
        <v>0</v>
      </c>
      <c r="N400" s="16">
        <f>IF(J399&lt;&gt;0,CurrentMtgRatesDataTable8[[#This Row],[Rate]]-C399,N399)</f>
        <v>8.5000000000000853E-2</v>
      </c>
    </row>
    <row r="401" spans="1:14">
      <c r="A401" s="8" t="s">
        <v>522</v>
      </c>
      <c r="B401" s="11">
        <v>3.25928309164834</v>
      </c>
      <c r="C401" s="13">
        <v>4.1100000000000003</v>
      </c>
      <c r="D401" s="14">
        <f t="shared" si="42"/>
        <v>2</v>
      </c>
      <c r="E401" s="14">
        <f t="shared" si="43"/>
        <v>0.2</v>
      </c>
      <c r="F401" s="14">
        <f t="shared" si="44"/>
        <v>2</v>
      </c>
      <c r="G401" s="14">
        <f t="shared" si="45"/>
        <v>1.2879279360093501</v>
      </c>
      <c r="H401" s="14">
        <f t="shared" si="46"/>
        <v>0.4</v>
      </c>
      <c r="I401" s="14">
        <f t="shared" si="47"/>
        <v>0</v>
      </c>
      <c r="J401" s="14">
        <f t="shared" si="48"/>
        <v>0</v>
      </c>
      <c r="K401" s="15">
        <f>IF(CurrentMtgRatesDataTable8[[#This Row],[WA CC]]&lt;&gt;0,C400-CurrentMtgRatesDataTable8[[#This Row],[WA CC]],0)</f>
        <v>0</v>
      </c>
      <c r="L401" s="16">
        <f>IF(CurrentMtgRatesDataTable8[[#This Row],[Servicing Spread]]&lt;=0,L400,CurrentMtgRatesDataTable8[[#This Row],[Servicing Spread]])</f>
        <v>0.86417278846292955</v>
      </c>
      <c r="M401" s="16">
        <f>CurrentMtgRatesDataTable8[[#This Row],[Servicing Spread Non-Zero]]-L400</f>
        <v>0</v>
      </c>
      <c r="N401" s="16">
        <f>IF(J400&lt;&gt;0,CurrentMtgRatesDataTable8[[#This Row],[Rate]]-C400,N400)</f>
        <v>8.5000000000000853E-2</v>
      </c>
    </row>
    <row r="402" spans="1:14">
      <c r="A402" s="8" t="s">
        <v>380</v>
      </c>
      <c r="B402" s="11">
        <v>3.2387584524434998</v>
      </c>
      <c r="C402" s="13">
        <v>4.1100000000000003</v>
      </c>
      <c r="D402" s="14">
        <f t="shared" si="42"/>
        <v>5</v>
      </c>
      <c r="E402" s="14">
        <f t="shared" si="43"/>
        <v>0.2</v>
      </c>
      <c r="F402" s="14">
        <f t="shared" si="44"/>
        <v>3</v>
      </c>
      <c r="G402" s="14">
        <f t="shared" si="45"/>
        <v>1.93567962649805</v>
      </c>
      <c r="H402" s="14">
        <f t="shared" si="46"/>
        <v>0.60000000000000009</v>
      </c>
      <c r="I402" s="14">
        <f t="shared" si="47"/>
        <v>0</v>
      </c>
      <c r="J402" s="14">
        <f t="shared" si="48"/>
        <v>0</v>
      </c>
      <c r="K402" s="15">
        <f>IF(CurrentMtgRatesDataTable8[[#This Row],[WA CC]]&lt;&gt;0,C401-CurrentMtgRatesDataTable8[[#This Row],[WA CC]],0)</f>
        <v>0</v>
      </c>
      <c r="L402" s="16">
        <f>IF(CurrentMtgRatesDataTable8[[#This Row],[Servicing Spread]]&lt;=0,L401,CurrentMtgRatesDataTable8[[#This Row],[Servicing Spread]])</f>
        <v>0.86417278846292955</v>
      </c>
      <c r="M402" s="16">
        <f>CurrentMtgRatesDataTable8[[#This Row],[Servicing Spread Non-Zero]]-L401</f>
        <v>0</v>
      </c>
      <c r="N402" s="16">
        <f>IF(J401&lt;&gt;0,CurrentMtgRatesDataTable8[[#This Row],[Rate]]-C401,N401)</f>
        <v>8.5000000000000853E-2</v>
      </c>
    </row>
    <row r="403" spans="1:14">
      <c r="A403" s="8" t="s">
        <v>244</v>
      </c>
      <c r="B403" s="11">
        <v>3.31200880777374</v>
      </c>
      <c r="C403" s="13">
        <v>4.1100000000000003</v>
      </c>
      <c r="D403" s="14">
        <f t="shared" si="42"/>
        <v>6</v>
      </c>
      <c r="E403" s="14">
        <f t="shared" si="43"/>
        <v>0.2</v>
      </c>
      <c r="F403" s="14">
        <f t="shared" si="44"/>
        <v>4</v>
      </c>
      <c r="G403" s="14">
        <f t="shared" si="45"/>
        <v>2.598081388052798</v>
      </c>
      <c r="H403" s="14">
        <f t="shared" si="46"/>
        <v>0.8</v>
      </c>
      <c r="I403" s="14">
        <f t="shared" si="47"/>
        <v>0</v>
      </c>
      <c r="J403" s="14">
        <f t="shared" si="48"/>
        <v>0</v>
      </c>
      <c r="K403" s="15">
        <f>IF(CurrentMtgRatesDataTable8[[#This Row],[WA CC]]&lt;&gt;0,C402-CurrentMtgRatesDataTable8[[#This Row],[WA CC]],0)</f>
        <v>0</v>
      </c>
      <c r="L403" s="16">
        <f>IF(CurrentMtgRatesDataTable8[[#This Row],[Servicing Spread]]&lt;=0,L402,CurrentMtgRatesDataTable8[[#This Row],[Servicing Spread]])</f>
        <v>0.86417278846292955</v>
      </c>
      <c r="M403" s="16">
        <f>CurrentMtgRatesDataTable8[[#This Row],[Servicing Spread Non-Zero]]-L402</f>
        <v>0</v>
      </c>
      <c r="N403" s="16">
        <f>IF(J402&lt;&gt;0,CurrentMtgRatesDataTable8[[#This Row],[Rate]]-C402,N402)</f>
        <v>8.5000000000000853E-2</v>
      </c>
    </row>
    <row r="404" spans="1:14">
      <c r="A404" s="8" t="s">
        <v>101</v>
      </c>
      <c r="B404" s="11">
        <v>3.2997347907142101</v>
      </c>
      <c r="C404" s="13">
        <v>4.1100000000000003</v>
      </c>
      <c r="D404" s="14">
        <f t="shared" si="42"/>
        <v>7</v>
      </c>
      <c r="E404" s="14">
        <f t="shared" si="43"/>
        <v>0.2</v>
      </c>
      <c r="F404" s="14">
        <f t="shared" si="44"/>
        <v>5</v>
      </c>
      <c r="G404" s="14">
        <f t="shared" si="45"/>
        <v>3.2580283461956401</v>
      </c>
      <c r="H404" s="14">
        <f t="shared" si="46"/>
        <v>1</v>
      </c>
      <c r="I404" s="14">
        <f t="shared" si="47"/>
        <v>1</v>
      </c>
      <c r="J404" s="14">
        <f t="shared" si="48"/>
        <v>3.2580283461956401</v>
      </c>
      <c r="K404" s="15">
        <f>IF(CurrentMtgRatesDataTable8[[#This Row],[WA CC]]&lt;&gt;0,C403-CurrentMtgRatesDataTable8[[#This Row],[WA CC]],0)</f>
        <v>0.85197165380436024</v>
      </c>
      <c r="L404" s="16">
        <f>IF(CurrentMtgRatesDataTable8[[#This Row],[Servicing Spread]]&lt;=0,L403,CurrentMtgRatesDataTable8[[#This Row],[Servicing Spread]])</f>
        <v>0.85197165380436024</v>
      </c>
      <c r="M404" s="16">
        <f>CurrentMtgRatesDataTable8[[#This Row],[Servicing Spread Non-Zero]]-L403</f>
        <v>-1.2201134658569313E-2</v>
      </c>
      <c r="N404" s="16">
        <f>IF(J403&lt;&gt;0,CurrentMtgRatesDataTable8[[#This Row],[Rate]]-C403,N403)</f>
        <v>8.5000000000000853E-2</v>
      </c>
    </row>
    <row r="405" spans="1:14">
      <c r="A405" s="8" t="s">
        <v>665</v>
      </c>
      <c r="B405" s="11">
        <v>3.2915305734964</v>
      </c>
      <c r="C405" s="13">
        <v>4.2749999999999995</v>
      </c>
      <c r="D405" s="14">
        <f t="shared" si="42"/>
        <v>1</v>
      </c>
      <c r="E405" s="14">
        <f t="shared" si="43"/>
        <v>0.2</v>
      </c>
      <c r="F405" s="14">
        <f t="shared" si="44"/>
        <v>1</v>
      </c>
      <c r="G405" s="14">
        <f t="shared" si="45"/>
        <v>0.65830611469928002</v>
      </c>
      <c r="H405" s="14">
        <f t="shared" si="46"/>
        <v>0.2</v>
      </c>
      <c r="I405" s="14">
        <f t="shared" si="47"/>
        <v>0</v>
      </c>
      <c r="J405" s="14">
        <f t="shared" si="48"/>
        <v>0</v>
      </c>
      <c r="K405" s="15">
        <f>IF(CurrentMtgRatesDataTable8[[#This Row],[WA CC]]&lt;&gt;0,C404-CurrentMtgRatesDataTable8[[#This Row],[WA CC]],0)</f>
        <v>0</v>
      </c>
      <c r="L405" s="16">
        <f>IF(CurrentMtgRatesDataTable8[[#This Row],[Servicing Spread]]&lt;=0,L404,CurrentMtgRatesDataTable8[[#This Row],[Servicing Spread]])</f>
        <v>0.85197165380436024</v>
      </c>
      <c r="M405" s="16">
        <f>CurrentMtgRatesDataTable8[[#This Row],[Servicing Spread Non-Zero]]-L404</f>
        <v>0</v>
      </c>
      <c r="N405" s="16">
        <f>IF(J404&lt;&gt;0,CurrentMtgRatesDataTable8[[#This Row],[Rate]]-C404,N404)</f>
        <v>0.16499999999999915</v>
      </c>
    </row>
    <row r="406" spans="1:14">
      <c r="A406" s="8" t="s">
        <v>523</v>
      </c>
      <c r="B406" s="11">
        <v>3.4185329478981301</v>
      </c>
      <c r="C406" s="13">
        <v>4.2749999999999995</v>
      </c>
      <c r="D406" s="14">
        <f t="shared" si="42"/>
        <v>2</v>
      </c>
      <c r="E406" s="14">
        <f t="shared" si="43"/>
        <v>0.2</v>
      </c>
      <c r="F406" s="14">
        <f t="shared" si="44"/>
        <v>2</v>
      </c>
      <c r="G406" s="14">
        <f t="shared" si="45"/>
        <v>1.3420127042789061</v>
      </c>
      <c r="H406" s="14">
        <f t="shared" si="46"/>
        <v>0.4</v>
      </c>
      <c r="I406" s="14">
        <f t="shared" si="47"/>
        <v>0</v>
      </c>
      <c r="J406" s="14">
        <f t="shared" si="48"/>
        <v>0</v>
      </c>
      <c r="K406" s="15">
        <f>IF(CurrentMtgRatesDataTable8[[#This Row],[WA CC]]&lt;&gt;0,C405-CurrentMtgRatesDataTable8[[#This Row],[WA CC]],0)</f>
        <v>0</v>
      </c>
      <c r="L406" s="16">
        <f>IF(CurrentMtgRatesDataTable8[[#This Row],[Servicing Spread]]&lt;=0,L405,CurrentMtgRatesDataTable8[[#This Row],[Servicing Spread]])</f>
        <v>0.85197165380436024</v>
      </c>
      <c r="M406" s="16">
        <f>CurrentMtgRatesDataTable8[[#This Row],[Servicing Spread Non-Zero]]-L405</f>
        <v>0</v>
      </c>
      <c r="N406" s="16">
        <f>IF(J405&lt;&gt;0,CurrentMtgRatesDataTable8[[#This Row],[Rate]]-C405,N405)</f>
        <v>0.16499999999999915</v>
      </c>
    </row>
    <row r="407" spans="1:14">
      <c r="A407" s="8" t="s">
        <v>245</v>
      </c>
      <c r="B407" s="11">
        <v>3.42394236396553</v>
      </c>
      <c r="C407" s="13">
        <v>4.2749999999999995</v>
      </c>
      <c r="D407" s="14">
        <f t="shared" si="42"/>
        <v>6</v>
      </c>
      <c r="E407" s="14">
        <f t="shared" si="43"/>
        <v>0.2</v>
      </c>
      <c r="F407" s="14">
        <f t="shared" si="44"/>
        <v>3</v>
      </c>
      <c r="G407" s="14">
        <f t="shared" si="45"/>
        <v>2.026801177072012</v>
      </c>
      <c r="H407" s="14">
        <f t="shared" si="46"/>
        <v>0.60000000000000009</v>
      </c>
      <c r="I407" s="14">
        <f t="shared" si="47"/>
        <v>0</v>
      </c>
      <c r="J407" s="14">
        <f t="shared" si="48"/>
        <v>0</v>
      </c>
      <c r="K407" s="15">
        <f>IF(CurrentMtgRatesDataTable8[[#This Row],[WA CC]]&lt;&gt;0,C406-CurrentMtgRatesDataTable8[[#This Row],[WA CC]],0)</f>
        <v>0</v>
      </c>
      <c r="L407" s="16">
        <f>IF(CurrentMtgRatesDataTable8[[#This Row],[Servicing Spread]]&lt;=0,L406,CurrentMtgRatesDataTable8[[#This Row],[Servicing Spread]])</f>
        <v>0.85197165380436024</v>
      </c>
      <c r="M407" s="16">
        <f>CurrentMtgRatesDataTable8[[#This Row],[Servicing Spread Non-Zero]]-L406</f>
        <v>0</v>
      </c>
      <c r="N407" s="16">
        <f>IF(J406&lt;&gt;0,CurrentMtgRatesDataTable8[[#This Row],[Rate]]-C406,N406)</f>
        <v>0.16499999999999915</v>
      </c>
    </row>
    <row r="408" spans="1:14">
      <c r="A408" s="8" t="s">
        <v>102</v>
      </c>
      <c r="B408" s="11">
        <v>3.3863287913399098</v>
      </c>
      <c r="C408" s="13">
        <v>4.2749999999999995</v>
      </c>
      <c r="D408" s="14">
        <f t="shared" si="42"/>
        <v>7</v>
      </c>
      <c r="E408" s="14">
        <f t="shared" si="43"/>
        <v>0.2</v>
      </c>
      <c r="F408" s="14">
        <f t="shared" si="44"/>
        <v>4</v>
      </c>
      <c r="G408" s="14">
        <f t="shared" si="45"/>
        <v>2.704066935339994</v>
      </c>
      <c r="H408" s="14">
        <f t="shared" si="46"/>
        <v>0.8</v>
      </c>
      <c r="I408" s="14">
        <f t="shared" si="47"/>
        <v>1</v>
      </c>
      <c r="J408" s="14">
        <f t="shared" si="48"/>
        <v>3.3800836691749923</v>
      </c>
      <c r="K408" s="15">
        <f>IF(CurrentMtgRatesDataTable8[[#This Row],[WA CC]]&lt;&gt;0,C407-CurrentMtgRatesDataTable8[[#This Row],[WA CC]],0)</f>
        <v>0.89491633082500721</v>
      </c>
      <c r="L408" s="16">
        <f>IF(CurrentMtgRatesDataTable8[[#This Row],[Servicing Spread]]&lt;=0,L407,CurrentMtgRatesDataTable8[[#This Row],[Servicing Spread]])</f>
        <v>0.89491633082500721</v>
      </c>
      <c r="M408" s="16">
        <f>CurrentMtgRatesDataTable8[[#This Row],[Servicing Spread Non-Zero]]-L407</f>
        <v>4.2944677020646971E-2</v>
      </c>
      <c r="N408" s="16">
        <f>IF(J407&lt;&gt;0,CurrentMtgRatesDataTable8[[#This Row],[Rate]]-C407,N407)</f>
        <v>0.16499999999999915</v>
      </c>
    </row>
    <row r="409" spans="1:14">
      <c r="A409" s="8" t="s">
        <v>666</v>
      </c>
      <c r="B409" s="11">
        <v>3.33440232330382</v>
      </c>
      <c r="C409" s="13">
        <v>4.1449999999999996</v>
      </c>
      <c r="D409" s="14">
        <f t="shared" si="42"/>
        <v>1</v>
      </c>
      <c r="E409" s="14">
        <f t="shared" si="43"/>
        <v>0.2</v>
      </c>
      <c r="F409" s="14">
        <f t="shared" si="44"/>
        <v>1</v>
      </c>
      <c r="G409" s="14">
        <f t="shared" si="45"/>
        <v>0.66688046466076401</v>
      </c>
      <c r="H409" s="14">
        <f t="shared" si="46"/>
        <v>0.2</v>
      </c>
      <c r="I409" s="14">
        <f t="shared" si="47"/>
        <v>0</v>
      </c>
      <c r="J409" s="14">
        <f t="shared" si="48"/>
        <v>0</v>
      </c>
      <c r="K409" s="15">
        <f>IF(CurrentMtgRatesDataTable8[[#This Row],[WA CC]]&lt;&gt;0,C408-CurrentMtgRatesDataTable8[[#This Row],[WA CC]],0)</f>
        <v>0</v>
      </c>
      <c r="L409" s="16">
        <f>IF(CurrentMtgRatesDataTable8[[#This Row],[Servicing Spread]]&lt;=0,L408,CurrentMtgRatesDataTable8[[#This Row],[Servicing Spread]])</f>
        <v>0.89491633082500721</v>
      </c>
      <c r="M409" s="16">
        <f>CurrentMtgRatesDataTable8[[#This Row],[Servicing Spread Non-Zero]]-L408</f>
        <v>0</v>
      </c>
      <c r="N409" s="16">
        <f>IF(J408&lt;&gt;0,CurrentMtgRatesDataTable8[[#This Row],[Rate]]-C408,N408)</f>
        <v>-0.12999999999999989</v>
      </c>
    </row>
    <row r="410" spans="1:14">
      <c r="A410" s="8" t="s">
        <v>524</v>
      </c>
      <c r="B410" s="11">
        <v>3.3274975263328299</v>
      </c>
      <c r="C410" s="13">
        <v>4.1449999999999996</v>
      </c>
      <c r="D410" s="14">
        <f t="shared" si="42"/>
        <v>2</v>
      </c>
      <c r="E410" s="14">
        <f t="shared" si="43"/>
        <v>0.2</v>
      </c>
      <c r="F410" s="14">
        <f t="shared" si="44"/>
        <v>2</v>
      </c>
      <c r="G410" s="14">
        <f t="shared" si="45"/>
        <v>1.33237996992733</v>
      </c>
      <c r="H410" s="14">
        <f t="shared" si="46"/>
        <v>0.4</v>
      </c>
      <c r="I410" s="14">
        <f t="shared" si="47"/>
        <v>0</v>
      </c>
      <c r="J410" s="14">
        <f t="shared" si="48"/>
        <v>0</v>
      </c>
      <c r="K410" s="15">
        <f>IF(CurrentMtgRatesDataTable8[[#This Row],[WA CC]]&lt;&gt;0,C409-CurrentMtgRatesDataTable8[[#This Row],[WA CC]],0)</f>
        <v>0</v>
      </c>
      <c r="L410" s="16">
        <f>IF(CurrentMtgRatesDataTable8[[#This Row],[Servicing Spread]]&lt;=0,L409,CurrentMtgRatesDataTable8[[#This Row],[Servicing Spread]])</f>
        <v>0.89491633082500721</v>
      </c>
      <c r="M410" s="16">
        <f>CurrentMtgRatesDataTable8[[#This Row],[Servicing Spread Non-Zero]]-L409</f>
        <v>0</v>
      </c>
      <c r="N410" s="16">
        <f>IF(J409&lt;&gt;0,CurrentMtgRatesDataTable8[[#This Row],[Rate]]-C409,N409)</f>
        <v>-0.12999999999999989</v>
      </c>
    </row>
    <row r="411" spans="1:14">
      <c r="A411" s="8" t="s">
        <v>381</v>
      </c>
      <c r="B411" s="11">
        <v>3.2892170945558501</v>
      </c>
      <c r="C411" s="13">
        <v>4.1449999999999996</v>
      </c>
      <c r="D411" s="14">
        <f t="shared" si="42"/>
        <v>5</v>
      </c>
      <c r="E411" s="14">
        <f t="shared" si="43"/>
        <v>0.2</v>
      </c>
      <c r="F411" s="14">
        <f t="shared" si="44"/>
        <v>3</v>
      </c>
      <c r="G411" s="14">
        <f t="shared" si="45"/>
        <v>1.9902233888384999</v>
      </c>
      <c r="H411" s="14">
        <f t="shared" si="46"/>
        <v>0.60000000000000009</v>
      </c>
      <c r="I411" s="14">
        <f t="shared" si="47"/>
        <v>0</v>
      </c>
      <c r="J411" s="14">
        <f t="shared" si="48"/>
        <v>0</v>
      </c>
      <c r="K411" s="15">
        <f>IF(CurrentMtgRatesDataTable8[[#This Row],[WA CC]]&lt;&gt;0,C410-CurrentMtgRatesDataTable8[[#This Row],[WA CC]],0)</f>
        <v>0</v>
      </c>
      <c r="L411" s="16">
        <f>IF(CurrentMtgRatesDataTable8[[#This Row],[Servicing Spread]]&lt;=0,L410,CurrentMtgRatesDataTable8[[#This Row],[Servicing Spread]])</f>
        <v>0.89491633082500721</v>
      </c>
      <c r="M411" s="16">
        <f>CurrentMtgRatesDataTable8[[#This Row],[Servicing Spread Non-Zero]]-L410</f>
        <v>0</v>
      </c>
      <c r="N411" s="16">
        <f>IF(J410&lt;&gt;0,CurrentMtgRatesDataTable8[[#This Row],[Rate]]-C410,N410)</f>
        <v>-0.12999999999999989</v>
      </c>
    </row>
    <row r="412" spans="1:14">
      <c r="A412" s="8" t="s">
        <v>246</v>
      </c>
      <c r="B412" s="11">
        <v>3.3249162804545902</v>
      </c>
      <c r="C412" s="13">
        <v>4.1449999999999996</v>
      </c>
      <c r="D412" s="14">
        <f t="shared" si="42"/>
        <v>6</v>
      </c>
      <c r="E412" s="14">
        <f t="shared" si="43"/>
        <v>0.2</v>
      </c>
      <c r="F412" s="14">
        <f t="shared" si="44"/>
        <v>4</v>
      </c>
      <c r="G412" s="14">
        <f t="shared" si="45"/>
        <v>2.655206644929418</v>
      </c>
      <c r="H412" s="14">
        <f t="shared" si="46"/>
        <v>0.8</v>
      </c>
      <c r="I412" s="14">
        <f t="shared" si="47"/>
        <v>0</v>
      </c>
      <c r="J412" s="14">
        <f t="shared" si="48"/>
        <v>0</v>
      </c>
      <c r="K412" s="15">
        <f>IF(CurrentMtgRatesDataTable8[[#This Row],[WA CC]]&lt;&gt;0,C411-CurrentMtgRatesDataTable8[[#This Row],[WA CC]],0)</f>
        <v>0</v>
      </c>
      <c r="L412" s="16">
        <f>IF(CurrentMtgRatesDataTable8[[#This Row],[Servicing Spread]]&lt;=0,L411,CurrentMtgRatesDataTable8[[#This Row],[Servicing Spread]])</f>
        <v>0.89491633082500721</v>
      </c>
      <c r="M412" s="16">
        <f>CurrentMtgRatesDataTable8[[#This Row],[Servicing Spread Non-Zero]]-L411</f>
        <v>0</v>
      </c>
      <c r="N412" s="16">
        <f>IF(J411&lt;&gt;0,CurrentMtgRatesDataTable8[[#This Row],[Rate]]-C411,N411)</f>
        <v>-0.12999999999999989</v>
      </c>
    </row>
    <row r="413" spans="1:14">
      <c r="A413" s="8" t="s">
        <v>103</v>
      </c>
      <c r="B413" s="11">
        <v>3.3953888640544201</v>
      </c>
      <c r="C413" s="13">
        <v>4.1449999999999996</v>
      </c>
      <c r="D413" s="14">
        <f t="shared" si="42"/>
        <v>7</v>
      </c>
      <c r="E413" s="14">
        <f t="shared" si="43"/>
        <v>0.2</v>
      </c>
      <c r="F413" s="14">
        <f t="shared" si="44"/>
        <v>5</v>
      </c>
      <c r="G413" s="14">
        <f t="shared" si="45"/>
        <v>3.3342844177403022</v>
      </c>
      <c r="H413" s="14">
        <f t="shared" si="46"/>
        <v>1</v>
      </c>
      <c r="I413" s="14">
        <f t="shared" si="47"/>
        <v>1</v>
      </c>
      <c r="J413" s="14">
        <f t="shared" si="48"/>
        <v>3.3342844177403022</v>
      </c>
      <c r="K413" s="15">
        <f>IF(CurrentMtgRatesDataTable8[[#This Row],[WA CC]]&lt;&gt;0,C412-CurrentMtgRatesDataTable8[[#This Row],[WA CC]],0)</f>
        <v>0.81071558225969742</v>
      </c>
      <c r="L413" s="16">
        <f>IF(CurrentMtgRatesDataTable8[[#This Row],[Servicing Spread]]&lt;=0,L412,CurrentMtgRatesDataTable8[[#This Row],[Servicing Spread]])</f>
        <v>0.81071558225969742</v>
      </c>
      <c r="M413" s="16">
        <f>CurrentMtgRatesDataTable8[[#This Row],[Servicing Spread Non-Zero]]-L412</f>
        <v>-8.4200748565309791E-2</v>
      </c>
      <c r="N413" s="16">
        <f>IF(J412&lt;&gt;0,CurrentMtgRatesDataTable8[[#This Row],[Rate]]-C412,N412)</f>
        <v>-0.12999999999999989</v>
      </c>
    </row>
    <row r="414" spans="1:14">
      <c r="A414" s="8" t="s">
        <v>525</v>
      </c>
      <c r="B414" s="11">
        <v>3.3902241574747198</v>
      </c>
      <c r="C414" s="13">
        <v>4.2149999999999999</v>
      </c>
      <c r="D414" s="14">
        <f t="shared" si="42"/>
        <v>1</v>
      </c>
      <c r="E414" s="14">
        <f t="shared" si="43"/>
        <v>0.2</v>
      </c>
      <c r="F414" s="14">
        <f t="shared" si="44"/>
        <v>1</v>
      </c>
      <c r="G414" s="14">
        <f t="shared" si="45"/>
        <v>0.67804483149494399</v>
      </c>
      <c r="H414" s="14">
        <f t="shared" si="46"/>
        <v>0.2</v>
      </c>
      <c r="I414" s="14">
        <f t="shared" si="47"/>
        <v>0</v>
      </c>
      <c r="J414" s="14">
        <f t="shared" si="48"/>
        <v>0</v>
      </c>
      <c r="K414" s="15">
        <f>IF(CurrentMtgRatesDataTable8[[#This Row],[WA CC]]&lt;&gt;0,C413-CurrentMtgRatesDataTable8[[#This Row],[WA CC]],0)</f>
        <v>0</v>
      </c>
      <c r="L414" s="16">
        <f>IF(CurrentMtgRatesDataTable8[[#This Row],[Servicing Spread]]&lt;=0,L413,CurrentMtgRatesDataTable8[[#This Row],[Servicing Spread]])</f>
        <v>0.81071558225969742</v>
      </c>
      <c r="M414" s="16">
        <f>CurrentMtgRatesDataTable8[[#This Row],[Servicing Spread Non-Zero]]-L413</f>
        <v>0</v>
      </c>
      <c r="N414" s="16">
        <f>IF(J413&lt;&gt;0,CurrentMtgRatesDataTable8[[#This Row],[Rate]]-C413,N413)</f>
        <v>7.0000000000000284E-2</v>
      </c>
    </row>
    <row r="415" spans="1:14">
      <c r="A415" s="8" t="s">
        <v>437</v>
      </c>
      <c r="B415" s="11">
        <v>3.3765717476056198</v>
      </c>
      <c r="C415" s="13">
        <v>4.2149999999999999</v>
      </c>
      <c r="D415" s="14">
        <f t="shared" si="42"/>
        <v>2</v>
      </c>
      <c r="E415" s="14">
        <f t="shared" si="43"/>
        <v>0.2</v>
      </c>
      <c r="F415" s="14">
        <f t="shared" si="44"/>
        <v>2</v>
      </c>
      <c r="G415" s="14">
        <f t="shared" si="45"/>
        <v>1.3533591810160681</v>
      </c>
      <c r="H415" s="14">
        <f t="shared" si="46"/>
        <v>0.4</v>
      </c>
      <c r="I415" s="14">
        <f t="shared" si="47"/>
        <v>0</v>
      </c>
      <c r="J415" s="14">
        <f t="shared" si="48"/>
        <v>0</v>
      </c>
      <c r="K415" s="15">
        <f>IF(CurrentMtgRatesDataTable8[[#This Row],[WA CC]]&lt;&gt;0,C414-CurrentMtgRatesDataTable8[[#This Row],[WA CC]],0)</f>
        <v>0</v>
      </c>
      <c r="L415" s="16">
        <f>IF(CurrentMtgRatesDataTable8[[#This Row],[Servicing Spread]]&lt;=0,L414,CurrentMtgRatesDataTable8[[#This Row],[Servicing Spread]])</f>
        <v>0.81071558225969742</v>
      </c>
      <c r="M415" s="16">
        <f>CurrentMtgRatesDataTable8[[#This Row],[Servicing Spread Non-Zero]]-L414</f>
        <v>0</v>
      </c>
      <c r="N415" s="16">
        <f>IF(J414&lt;&gt;0,CurrentMtgRatesDataTable8[[#This Row],[Rate]]-C414,N414)</f>
        <v>7.0000000000000284E-2</v>
      </c>
    </row>
    <row r="416" spans="1:14">
      <c r="A416" s="8" t="s">
        <v>247</v>
      </c>
      <c r="B416" s="11">
        <v>3.3786024673164099</v>
      </c>
      <c r="C416" s="13">
        <v>4.2149999999999999</v>
      </c>
      <c r="D416" s="14">
        <f t="shared" si="42"/>
        <v>5</v>
      </c>
      <c r="E416" s="14">
        <f t="shared" si="43"/>
        <v>0.2</v>
      </c>
      <c r="F416" s="14">
        <f t="shared" si="44"/>
        <v>3</v>
      </c>
      <c r="G416" s="14">
        <f t="shared" si="45"/>
        <v>2.02907967447935</v>
      </c>
      <c r="H416" s="14">
        <f t="shared" si="46"/>
        <v>0.60000000000000009</v>
      </c>
      <c r="I416" s="14">
        <f t="shared" si="47"/>
        <v>0</v>
      </c>
      <c r="J416" s="14">
        <f t="shared" si="48"/>
        <v>0</v>
      </c>
      <c r="K416" s="15">
        <f>IF(CurrentMtgRatesDataTable8[[#This Row],[WA CC]]&lt;&gt;0,C415-CurrentMtgRatesDataTable8[[#This Row],[WA CC]],0)</f>
        <v>0</v>
      </c>
      <c r="L416" s="16">
        <f>IF(CurrentMtgRatesDataTable8[[#This Row],[Servicing Spread]]&lt;=0,L415,CurrentMtgRatesDataTable8[[#This Row],[Servicing Spread]])</f>
        <v>0.81071558225969742</v>
      </c>
      <c r="M416" s="16">
        <f>CurrentMtgRatesDataTable8[[#This Row],[Servicing Spread Non-Zero]]-L415</f>
        <v>0</v>
      </c>
      <c r="N416" s="16">
        <f>IF(J415&lt;&gt;0,CurrentMtgRatesDataTable8[[#This Row],[Rate]]-C415,N415)</f>
        <v>7.0000000000000284E-2</v>
      </c>
    </row>
    <row r="417" spans="1:14">
      <c r="A417" s="8" t="s">
        <v>104</v>
      </c>
      <c r="B417" s="11">
        <v>3.36567559686896</v>
      </c>
      <c r="C417" s="13">
        <v>4.2149999999999999</v>
      </c>
      <c r="D417" s="14">
        <f t="shared" si="42"/>
        <v>6</v>
      </c>
      <c r="E417" s="14">
        <f t="shared" si="43"/>
        <v>0.2</v>
      </c>
      <c r="F417" s="14">
        <f t="shared" si="44"/>
        <v>4</v>
      </c>
      <c r="G417" s="14">
        <f t="shared" si="45"/>
        <v>2.702214793853142</v>
      </c>
      <c r="H417" s="14">
        <f t="shared" si="46"/>
        <v>0.8</v>
      </c>
      <c r="I417" s="14">
        <f t="shared" si="47"/>
        <v>0</v>
      </c>
      <c r="J417" s="14">
        <f t="shared" si="48"/>
        <v>0</v>
      </c>
      <c r="K417" s="15">
        <f>IF(CurrentMtgRatesDataTable8[[#This Row],[WA CC]]&lt;&gt;0,C416-CurrentMtgRatesDataTable8[[#This Row],[WA CC]],0)</f>
        <v>0</v>
      </c>
      <c r="L417" s="16">
        <f>IF(CurrentMtgRatesDataTable8[[#This Row],[Servicing Spread]]&lt;=0,L416,CurrentMtgRatesDataTable8[[#This Row],[Servicing Spread]])</f>
        <v>0.81071558225969742</v>
      </c>
      <c r="M417" s="16">
        <f>CurrentMtgRatesDataTable8[[#This Row],[Servicing Spread Non-Zero]]-L416</f>
        <v>0</v>
      </c>
      <c r="N417" s="16">
        <f>IF(J416&lt;&gt;0,CurrentMtgRatesDataTable8[[#This Row],[Rate]]-C416,N416)</f>
        <v>7.0000000000000284E-2</v>
      </c>
    </row>
    <row r="418" spans="1:14">
      <c r="A418" s="8" t="s">
        <v>983</v>
      </c>
      <c r="B418" s="11">
        <v>3.41186502861204</v>
      </c>
      <c r="C418" s="13">
        <v>4.2149999999999999</v>
      </c>
      <c r="D418" s="14">
        <f t="shared" si="42"/>
        <v>7</v>
      </c>
      <c r="E418" s="14">
        <f t="shared" si="43"/>
        <v>0.2</v>
      </c>
      <c r="F418" s="14">
        <f t="shared" si="44"/>
        <v>5</v>
      </c>
      <c r="G418" s="14">
        <f t="shared" si="45"/>
        <v>3.38458779957555</v>
      </c>
      <c r="H418" s="14">
        <f t="shared" si="46"/>
        <v>1</v>
      </c>
      <c r="I418" s="14">
        <f t="shared" si="47"/>
        <v>1</v>
      </c>
      <c r="J418" s="14">
        <f t="shared" si="48"/>
        <v>3.38458779957555</v>
      </c>
      <c r="K418" s="15">
        <f>IF(CurrentMtgRatesDataTable8[[#This Row],[WA CC]]&lt;&gt;0,C417-CurrentMtgRatesDataTable8[[#This Row],[WA CC]],0)</f>
        <v>0.83041220042444985</v>
      </c>
      <c r="L418" s="16">
        <f>IF(CurrentMtgRatesDataTable8[[#This Row],[Servicing Spread]]&lt;=0,L417,CurrentMtgRatesDataTable8[[#This Row],[Servicing Spread]])</f>
        <v>0.83041220042444985</v>
      </c>
      <c r="M418" s="16">
        <f>CurrentMtgRatesDataTable8[[#This Row],[Servicing Spread Non-Zero]]-L417</f>
        <v>1.9696618164752433E-2</v>
      </c>
      <c r="N418" s="16">
        <f>IF(J417&lt;&gt;0,CurrentMtgRatesDataTable8[[#This Row],[Rate]]-C417,N417)</f>
        <v>7.0000000000000284E-2</v>
      </c>
    </row>
    <row r="419" spans="1:14">
      <c r="A419" s="8" t="s">
        <v>526</v>
      </c>
      <c r="B419" s="11">
        <v>3.4152065149267101</v>
      </c>
      <c r="C419" s="13">
        <v>4.335</v>
      </c>
      <c r="D419" s="14">
        <f t="shared" si="42"/>
        <v>2</v>
      </c>
      <c r="E419" s="14">
        <f t="shared" si="43"/>
        <v>0.2</v>
      </c>
      <c r="F419" s="14">
        <f t="shared" si="44"/>
        <v>1</v>
      </c>
      <c r="G419" s="14">
        <f t="shared" si="45"/>
        <v>0.68304130298534205</v>
      </c>
      <c r="H419" s="14">
        <f t="shared" si="46"/>
        <v>0.2</v>
      </c>
      <c r="I419" s="14">
        <f t="shared" si="47"/>
        <v>0</v>
      </c>
      <c r="J419" s="14">
        <f t="shared" si="48"/>
        <v>0</v>
      </c>
      <c r="K419" s="15">
        <f>IF(CurrentMtgRatesDataTable8[[#This Row],[WA CC]]&lt;&gt;0,C418-CurrentMtgRatesDataTable8[[#This Row],[WA CC]],0)</f>
        <v>0</v>
      </c>
      <c r="L419" s="16">
        <f>IF(CurrentMtgRatesDataTable8[[#This Row],[Servicing Spread]]&lt;=0,L418,CurrentMtgRatesDataTable8[[#This Row],[Servicing Spread]])</f>
        <v>0.83041220042444985</v>
      </c>
      <c r="M419" s="16">
        <f>CurrentMtgRatesDataTable8[[#This Row],[Servicing Spread Non-Zero]]-L418</f>
        <v>0</v>
      </c>
      <c r="N419" s="16">
        <f>IF(J418&lt;&gt;0,CurrentMtgRatesDataTable8[[#This Row],[Rate]]-C418,N418)</f>
        <v>0.12000000000000011</v>
      </c>
    </row>
    <row r="420" spans="1:14">
      <c r="A420" s="8" t="s">
        <v>382</v>
      </c>
      <c r="B420" s="11">
        <v>3.48278493540972</v>
      </c>
      <c r="C420" s="13">
        <v>4.335</v>
      </c>
      <c r="D420" s="14">
        <f t="shared" si="42"/>
        <v>5</v>
      </c>
      <c r="E420" s="14">
        <f t="shared" si="43"/>
        <v>0.2</v>
      </c>
      <c r="F420" s="14">
        <f t="shared" si="44"/>
        <v>2</v>
      </c>
      <c r="G420" s="14">
        <f t="shared" si="45"/>
        <v>1.3795982900672861</v>
      </c>
      <c r="H420" s="14">
        <f t="shared" si="46"/>
        <v>0.4</v>
      </c>
      <c r="I420" s="14">
        <f t="shared" si="47"/>
        <v>0</v>
      </c>
      <c r="J420" s="14">
        <f t="shared" si="48"/>
        <v>0</v>
      </c>
      <c r="K420" s="15">
        <f>IF(CurrentMtgRatesDataTable8[[#This Row],[WA CC]]&lt;&gt;0,C419-CurrentMtgRatesDataTable8[[#This Row],[WA CC]],0)</f>
        <v>0</v>
      </c>
      <c r="L420" s="16">
        <f>IF(CurrentMtgRatesDataTable8[[#This Row],[Servicing Spread]]&lt;=0,L419,CurrentMtgRatesDataTable8[[#This Row],[Servicing Spread]])</f>
        <v>0.83041220042444985</v>
      </c>
      <c r="M420" s="16">
        <f>CurrentMtgRatesDataTable8[[#This Row],[Servicing Spread Non-Zero]]-L419</f>
        <v>0</v>
      </c>
      <c r="N420" s="16">
        <f>IF(J419&lt;&gt;0,CurrentMtgRatesDataTable8[[#This Row],[Rate]]-C419,N419)</f>
        <v>0.12000000000000011</v>
      </c>
    </row>
    <row r="421" spans="1:14">
      <c r="A421" s="8" t="s">
        <v>248</v>
      </c>
      <c r="B421" s="11">
        <v>3.4820134464127701</v>
      </c>
      <c r="C421" s="13">
        <v>4.335</v>
      </c>
      <c r="D421" s="14">
        <f t="shared" si="42"/>
        <v>6</v>
      </c>
      <c r="E421" s="14">
        <f t="shared" si="43"/>
        <v>0.2</v>
      </c>
      <c r="F421" s="14">
        <f t="shared" si="44"/>
        <v>3</v>
      </c>
      <c r="G421" s="14">
        <f t="shared" si="45"/>
        <v>2.07600097934984</v>
      </c>
      <c r="H421" s="14">
        <f t="shared" si="46"/>
        <v>0.60000000000000009</v>
      </c>
      <c r="I421" s="14">
        <f t="shared" si="47"/>
        <v>0</v>
      </c>
      <c r="J421" s="14">
        <f t="shared" si="48"/>
        <v>0</v>
      </c>
      <c r="K421" s="15">
        <f>IF(CurrentMtgRatesDataTable8[[#This Row],[WA CC]]&lt;&gt;0,C420-CurrentMtgRatesDataTable8[[#This Row],[WA CC]],0)</f>
        <v>0</v>
      </c>
      <c r="L421" s="16">
        <f>IF(CurrentMtgRatesDataTable8[[#This Row],[Servicing Spread]]&lt;=0,L420,CurrentMtgRatesDataTable8[[#This Row],[Servicing Spread]])</f>
        <v>0.83041220042444985</v>
      </c>
      <c r="M421" s="16">
        <f>CurrentMtgRatesDataTable8[[#This Row],[Servicing Spread Non-Zero]]-L420</f>
        <v>0</v>
      </c>
      <c r="N421" s="16">
        <f>IF(J420&lt;&gt;0,CurrentMtgRatesDataTable8[[#This Row],[Rate]]-C420,N420)</f>
        <v>0.12000000000000011</v>
      </c>
    </row>
    <row r="422" spans="1:14">
      <c r="A422" s="8" t="s">
        <v>105</v>
      </c>
      <c r="B422" s="11">
        <v>3.53796119815684</v>
      </c>
      <c r="C422" s="13">
        <v>4.335</v>
      </c>
      <c r="D422" s="14">
        <f t="shared" si="42"/>
        <v>7</v>
      </c>
      <c r="E422" s="14">
        <f t="shared" si="43"/>
        <v>0.2</v>
      </c>
      <c r="F422" s="14">
        <f t="shared" si="44"/>
        <v>4</v>
      </c>
      <c r="G422" s="14">
        <f t="shared" si="45"/>
        <v>2.783593218981208</v>
      </c>
      <c r="H422" s="14">
        <f t="shared" si="46"/>
        <v>0.8</v>
      </c>
      <c r="I422" s="14">
        <f t="shared" si="47"/>
        <v>1</v>
      </c>
      <c r="J422" s="14">
        <f t="shared" si="48"/>
        <v>3.47949152372651</v>
      </c>
      <c r="K422" s="15">
        <f>IF(CurrentMtgRatesDataTable8[[#This Row],[WA CC]]&lt;&gt;0,C421-CurrentMtgRatesDataTable8[[#This Row],[WA CC]],0)</f>
        <v>0.85550847627348992</v>
      </c>
      <c r="L422" s="16">
        <f>IF(CurrentMtgRatesDataTable8[[#This Row],[Servicing Spread]]&lt;=0,L421,CurrentMtgRatesDataTable8[[#This Row],[Servicing Spread]])</f>
        <v>0.85550847627348992</v>
      </c>
      <c r="M422" s="16">
        <f>CurrentMtgRatesDataTable8[[#This Row],[Servicing Spread Non-Zero]]-L421</f>
        <v>2.5096275849040062E-2</v>
      </c>
      <c r="N422" s="16">
        <f>IF(J421&lt;&gt;0,CurrentMtgRatesDataTable8[[#This Row],[Rate]]-C421,N421)</f>
        <v>0.12000000000000011</v>
      </c>
    </row>
    <row r="423" spans="1:14">
      <c r="A423" s="8" t="s">
        <v>667</v>
      </c>
      <c r="B423" s="11">
        <v>3.5521293611692002</v>
      </c>
      <c r="C423" s="13">
        <v>4.3449999999999998</v>
      </c>
      <c r="D423" s="14">
        <f t="shared" si="42"/>
        <v>1</v>
      </c>
      <c r="E423" s="14">
        <f t="shared" si="43"/>
        <v>0.2</v>
      </c>
      <c r="F423" s="14">
        <f t="shared" si="44"/>
        <v>1</v>
      </c>
      <c r="G423" s="14">
        <f t="shared" si="45"/>
        <v>0.71042587223384013</v>
      </c>
      <c r="H423" s="14">
        <f t="shared" si="46"/>
        <v>0.2</v>
      </c>
      <c r="I423" s="14">
        <f t="shared" si="47"/>
        <v>0</v>
      </c>
      <c r="J423" s="14">
        <f t="shared" si="48"/>
        <v>0</v>
      </c>
      <c r="K423" s="15">
        <f>IF(CurrentMtgRatesDataTable8[[#This Row],[WA CC]]&lt;&gt;0,C422-CurrentMtgRatesDataTable8[[#This Row],[WA CC]],0)</f>
        <v>0</v>
      </c>
      <c r="L423" s="16">
        <f>IF(CurrentMtgRatesDataTable8[[#This Row],[Servicing Spread]]&lt;=0,L422,CurrentMtgRatesDataTable8[[#This Row],[Servicing Spread]])</f>
        <v>0.85550847627348992</v>
      </c>
      <c r="M423" s="16">
        <f>CurrentMtgRatesDataTable8[[#This Row],[Servicing Spread Non-Zero]]-L422</f>
        <v>0</v>
      </c>
      <c r="N423" s="16">
        <f>IF(J422&lt;&gt;0,CurrentMtgRatesDataTable8[[#This Row],[Rate]]-C422,N422)</f>
        <v>9.9999999999997868E-3</v>
      </c>
    </row>
    <row r="424" spans="1:14">
      <c r="A424" s="8" t="s">
        <v>527</v>
      </c>
      <c r="B424" s="11">
        <v>3.5357721713068302</v>
      </c>
      <c r="C424" s="13">
        <v>4.3449999999999998</v>
      </c>
      <c r="D424" s="14">
        <f t="shared" si="42"/>
        <v>2</v>
      </c>
      <c r="E424" s="14">
        <f t="shared" si="43"/>
        <v>0.2</v>
      </c>
      <c r="F424" s="14">
        <f t="shared" si="44"/>
        <v>2</v>
      </c>
      <c r="G424" s="14">
        <f t="shared" si="45"/>
        <v>1.4175803064952062</v>
      </c>
      <c r="H424" s="14">
        <f t="shared" si="46"/>
        <v>0.4</v>
      </c>
      <c r="I424" s="14">
        <f t="shared" si="47"/>
        <v>0</v>
      </c>
      <c r="J424" s="14">
        <f t="shared" si="48"/>
        <v>0</v>
      </c>
      <c r="K424" s="15">
        <f>IF(CurrentMtgRatesDataTable8[[#This Row],[WA CC]]&lt;&gt;0,C423-CurrentMtgRatesDataTable8[[#This Row],[WA CC]],0)</f>
        <v>0</v>
      </c>
      <c r="L424" s="16">
        <f>IF(CurrentMtgRatesDataTable8[[#This Row],[Servicing Spread]]&lt;=0,L423,CurrentMtgRatesDataTable8[[#This Row],[Servicing Spread]])</f>
        <v>0.85550847627348992</v>
      </c>
      <c r="M424" s="16">
        <f>CurrentMtgRatesDataTable8[[#This Row],[Servicing Spread Non-Zero]]-L423</f>
        <v>0</v>
      </c>
      <c r="N424" s="16">
        <f>IF(J423&lt;&gt;0,CurrentMtgRatesDataTable8[[#This Row],[Rate]]-C423,N423)</f>
        <v>9.9999999999997868E-3</v>
      </c>
    </row>
    <row r="425" spans="1:14">
      <c r="A425" s="8" t="s">
        <v>383</v>
      </c>
      <c r="B425" s="11">
        <v>3.5044888951704301</v>
      </c>
      <c r="C425" s="13">
        <v>4.3449999999999998</v>
      </c>
      <c r="D425" s="14">
        <f t="shared" si="42"/>
        <v>5</v>
      </c>
      <c r="E425" s="14">
        <f t="shared" si="43"/>
        <v>0.2</v>
      </c>
      <c r="F425" s="14">
        <f t="shared" si="44"/>
        <v>3</v>
      </c>
      <c r="G425" s="14">
        <f t="shared" si="45"/>
        <v>2.1184780855292922</v>
      </c>
      <c r="H425" s="14">
        <f t="shared" si="46"/>
        <v>0.60000000000000009</v>
      </c>
      <c r="I425" s="14">
        <f t="shared" si="47"/>
        <v>0</v>
      </c>
      <c r="J425" s="14">
        <f t="shared" si="48"/>
        <v>0</v>
      </c>
      <c r="K425" s="15">
        <f>IF(CurrentMtgRatesDataTable8[[#This Row],[WA CC]]&lt;&gt;0,C424-CurrentMtgRatesDataTable8[[#This Row],[WA CC]],0)</f>
        <v>0</v>
      </c>
      <c r="L425" s="16">
        <f>IF(CurrentMtgRatesDataTable8[[#This Row],[Servicing Spread]]&lt;=0,L424,CurrentMtgRatesDataTable8[[#This Row],[Servicing Spread]])</f>
        <v>0.85550847627348992</v>
      </c>
      <c r="M425" s="16">
        <f>CurrentMtgRatesDataTable8[[#This Row],[Servicing Spread Non-Zero]]-L424</f>
        <v>0</v>
      </c>
      <c r="N425" s="16">
        <f>IF(J424&lt;&gt;0,CurrentMtgRatesDataTable8[[#This Row],[Rate]]-C424,N424)</f>
        <v>9.9999999999997868E-3</v>
      </c>
    </row>
    <row r="426" spans="1:14">
      <c r="A426" s="8" t="s">
        <v>249</v>
      </c>
      <c r="B426" s="11">
        <v>3.46476327795386</v>
      </c>
      <c r="C426" s="13">
        <v>4.3449999999999998</v>
      </c>
      <c r="D426" s="14">
        <f t="shared" si="42"/>
        <v>6</v>
      </c>
      <c r="E426" s="14">
        <f t="shared" si="43"/>
        <v>0.2</v>
      </c>
      <c r="F426" s="14">
        <f t="shared" si="44"/>
        <v>4</v>
      </c>
      <c r="G426" s="14">
        <f t="shared" si="45"/>
        <v>2.8114307411200641</v>
      </c>
      <c r="H426" s="14">
        <f t="shared" si="46"/>
        <v>0.8</v>
      </c>
      <c r="I426" s="14">
        <f t="shared" si="47"/>
        <v>0</v>
      </c>
      <c r="J426" s="14">
        <f t="shared" si="48"/>
        <v>0</v>
      </c>
      <c r="K426" s="15">
        <f>IF(CurrentMtgRatesDataTable8[[#This Row],[WA CC]]&lt;&gt;0,C425-CurrentMtgRatesDataTable8[[#This Row],[WA CC]],0)</f>
        <v>0</v>
      </c>
      <c r="L426" s="16">
        <f>IF(CurrentMtgRatesDataTable8[[#This Row],[Servicing Spread]]&lt;=0,L425,CurrentMtgRatesDataTable8[[#This Row],[Servicing Spread]])</f>
        <v>0.85550847627348992</v>
      </c>
      <c r="M426" s="16">
        <f>CurrentMtgRatesDataTable8[[#This Row],[Servicing Spread Non-Zero]]-L425</f>
        <v>0</v>
      </c>
      <c r="N426" s="16">
        <f>IF(J425&lt;&gt;0,CurrentMtgRatesDataTable8[[#This Row],[Rate]]-C425,N425)</f>
        <v>9.9999999999997868E-3</v>
      </c>
    </row>
    <row r="427" spans="1:14">
      <c r="A427" s="8" t="s">
        <v>106</v>
      </c>
      <c r="B427" s="11">
        <v>3.5156873221910101</v>
      </c>
      <c r="C427" s="13">
        <v>4.3449999999999998</v>
      </c>
      <c r="D427" s="14">
        <f t="shared" si="42"/>
        <v>7</v>
      </c>
      <c r="E427" s="14">
        <f t="shared" si="43"/>
        <v>0.2</v>
      </c>
      <c r="F427" s="14">
        <f t="shared" si="44"/>
        <v>5</v>
      </c>
      <c r="G427" s="14">
        <f t="shared" si="45"/>
        <v>3.5145682055582661</v>
      </c>
      <c r="H427" s="14">
        <f t="shared" si="46"/>
        <v>1</v>
      </c>
      <c r="I427" s="14">
        <f t="shared" si="47"/>
        <v>1</v>
      </c>
      <c r="J427" s="14">
        <f t="shared" si="48"/>
        <v>3.5145682055582661</v>
      </c>
      <c r="K427" s="15">
        <f>IF(CurrentMtgRatesDataTable8[[#This Row],[WA CC]]&lt;&gt;0,C426-CurrentMtgRatesDataTable8[[#This Row],[WA CC]],0)</f>
        <v>0.83043179444173365</v>
      </c>
      <c r="L427" s="16">
        <f>IF(CurrentMtgRatesDataTable8[[#This Row],[Servicing Spread]]&lt;=0,L426,CurrentMtgRatesDataTable8[[#This Row],[Servicing Spread]])</f>
        <v>0.83043179444173365</v>
      </c>
      <c r="M427" s="16">
        <f>CurrentMtgRatesDataTable8[[#This Row],[Servicing Spread Non-Zero]]-L426</f>
        <v>-2.5076681831756265E-2</v>
      </c>
      <c r="N427" s="16">
        <f>IF(J426&lt;&gt;0,CurrentMtgRatesDataTable8[[#This Row],[Rate]]-C426,N426)</f>
        <v>9.9999999999997868E-3</v>
      </c>
    </row>
    <row r="428" spans="1:14">
      <c r="A428" s="8" t="s">
        <v>668</v>
      </c>
      <c r="B428" s="11">
        <v>3.5427546786903199</v>
      </c>
      <c r="C428" s="13">
        <v>4.3949999999999996</v>
      </c>
      <c r="D428" s="14">
        <f t="shared" si="42"/>
        <v>1</v>
      </c>
      <c r="E428" s="14">
        <f t="shared" si="43"/>
        <v>0.2</v>
      </c>
      <c r="F428" s="14">
        <f t="shared" si="44"/>
        <v>1</v>
      </c>
      <c r="G428" s="14">
        <f t="shared" si="45"/>
        <v>0.70855093573806405</v>
      </c>
      <c r="H428" s="14">
        <f t="shared" si="46"/>
        <v>0.2</v>
      </c>
      <c r="I428" s="14">
        <f t="shared" si="47"/>
        <v>0</v>
      </c>
      <c r="J428" s="14">
        <f t="shared" si="48"/>
        <v>0</v>
      </c>
      <c r="K428" s="15">
        <f>IF(CurrentMtgRatesDataTable8[[#This Row],[WA CC]]&lt;&gt;0,C427-CurrentMtgRatesDataTable8[[#This Row],[WA CC]],0)</f>
        <v>0</v>
      </c>
      <c r="L428" s="16">
        <f>IF(CurrentMtgRatesDataTable8[[#This Row],[Servicing Spread]]&lt;=0,L427,CurrentMtgRatesDataTable8[[#This Row],[Servicing Spread]])</f>
        <v>0.83043179444173365</v>
      </c>
      <c r="M428" s="16">
        <f>CurrentMtgRatesDataTable8[[#This Row],[Servicing Spread Non-Zero]]-L427</f>
        <v>0</v>
      </c>
      <c r="N428" s="16">
        <f>IF(J427&lt;&gt;0,CurrentMtgRatesDataTable8[[#This Row],[Rate]]-C427,N427)</f>
        <v>4.9999999999999822E-2</v>
      </c>
    </row>
    <row r="429" spans="1:14">
      <c r="A429" s="8" t="s">
        <v>528</v>
      </c>
      <c r="B429" s="11">
        <v>3.5290996894050202</v>
      </c>
      <c r="C429" s="13">
        <v>4.3949999999999996</v>
      </c>
      <c r="D429" s="14">
        <f t="shared" si="42"/>
        <v>2</v>
      </c>
      <c r="E429" s="14">
        <f t="shared" si="43"/>
        <v>0.2</v>
      </c>
      <c r="F429" s="14">
        <f t="shared" si="44"/>
        <v>2</v>
      </c>
      <c r="G429" s="14">
        <f t="shared" si="45"/>
        <v>1.4143708736190681</v>
      </c>
      <c r="H429" s="14">
        <f t="shared" si="46"/>
        <v>0.4</v>
      </c>
      <c r="I429" s="14">
        <f t="shared" si="47"/>
        <v>0</v>
      </c>
      <c r="J429" s="14">
        <f t="shared" si="48"/>
        <v>0</v>
      </c>
      <c r="K429" s="15">
        <f>IF(CurrentMtgRatesDataTable8[[#This Row],[WA CC]]&lt;&gt;0,C428-CurrentMtgRatesDataTable8[[#This Row],[WA CC]],0)</f>
        <v>0</v>
      </c>
      <c r="L429" s="16">
        <f>IF(CurrentMtgRatesDataTable8[[#This Row],[Servicing Spread]]&lt;=0,L428,CurrentMtgRatesDataTable8[[#This Row],[Servicing Spread]])</f>
        <v>0.83043179444173365</v>
      </c>
      <c r="M429" s="16">
        <f>CurrentMtgRatesDataTable8[[#This Row],[Servicing Spread Non-Zero]]-L428</f>
        <v>0</v>
      </c>
      <c r="N429" s="16">
        <f>IF(J428&lt;&gt;0,CurrentMtgRatesDataTable8[[#This Row],[Rate]]-C428,N428)</f>
        <v>4.9999999999999822E-2</v>
      </c>
    </row>
    <row r="430" spans="1:14">
      <c r="A430" s="8" t="s">
        <v>384</v>
      </c>
      <c r="B430" s="11">
        <v>3.5307245323139602</v>
      </c>
      <c r="C430" s="13">
        <v>4.3949999999999996</v>
      </c>
      <c r="D430" s="14">
        <f t="shared" si="42"/>
        <v>5</v>
      </c>
      <c r="E430" s="14">
        <f t="shared" si="43"/>
        <v>0.2</v>
      </c>
      <c r="F430" s="14">
        <f t="shared" si="44"/>
        <v>3</v>
      </c>
      <c r="G430" s="14">
        <f t="shared" si="45"/>
        <v>2.1205157800818601</v>
      </c>
      <c r="H430" s="14">
        <f t="shared" si="46"/>
        <v>0.60000000000000009</v>
      </c>
      <c r="I430" s="14">
        <f t="shared" si="47"/>
        <v>0</v>
      </c>
      <c r="J430" s="14">
        <f t="shared" si="48"/>
        <v>0</v>
      </c>
      <c r="K430" s="15">
        <f>IF(CurrentMtgRatesDataTable8[[#This Row],[WA CC]]&lt;&gt;0,C429-CurrentMtgRatesDataTable8[[#This Row],[WA CC]],0)</f>
        <v>0</v>
      </c>
      <c r="L430" s="16">
        <f>IF(CurrentMtgRatesDataTable8[[#This Row],[Servicing Spread]]&lt;=0,L429,CurrentMtgRatesDataTable8[[#This Row],[Servicing Spread]])</f>
        <v>0.83043179444173365</v>
      </c>
      <c r="M430" s="16">
        <f>CurrentMtgRatesDataTable8[[#This Row],[Servicing Spread Non-Zero]]-L429</f>
        <v>0</v>
      </c>
      <c r="N430" s="16">
        <f>IF(J429&lt;&gt;0,CurrentMtgRatesDataTable8[[#This Row],[Rate]]-C429,N429)</f>
        <v>4.9999999999999822E-2</v>
      </c>
    </row>
    <row r="431" spans="1:14">
      <c r="A431" s="8" t="s">
        <v>250</v>
      </c>
      <c r="B431" s="11">
        <v>3.4998898139893</v>
      </c>
      <c r="C431" s="13">
        <v>4.3949999999999996</v>
      </c>
      <c r="D431" s="14">
        <f t="shared" si="42"/>
        <v>6</v>
      </c>
      <c r="E431" s="14">
        <f t="shared" si="43"/>
        <v>0.2</v>
      </c>
      <c r="F431" s="14">
        <f t="shared" si="44"/>
        <v>4</v>
      </c>
      <c r="G431" s="14">
        <f t="shared" si="45"/>
        <v>2.8204937428797203</v>
      </c>
      <c r="H431" s="14">
        <f t="shared" si="46"/>
        <v>0.8</v>
      </c>
      <c r="I431" s="14">
        <f t="shared" si="47"/>
        <v>0</v>
      </c>
      <c r="J431" s="14">
        <f t="shared" si="48"/>
        <v>0</v>
      </c>
      <c r="K431" s="15">
        <f>IF(CurrentMtgRatesDataTable8[[#This Row],[WA CC]]&lt;&gt;0,C430-CurrentMtgRatesDataTable8[[#This Row],[WA CC]],0)</f>
        <v>0</v>
      </c>
      <c r="L431" s="16">
        <f>IF(CurrentMtgRatesDataTable8[[#This Row],[Servicing Spread]]&lt;=0,L430,CurrentMtgRatesDataTable8[[#This Row],[Servicing Spread]])</f>
        <v>0.83043179444173365</v>
      </c>
      <c r="M431" s="16">
        <f>CurrentMtgRatesDataTable8[[#This Row],[Servicing Spread Non-Zero]]-L430</f>
        <v>0</v>
      </c>
      <c r="N431" s="16">
        <f>IF(J430&lt;&gt;0,CurrentMtgRatesDataTable8[[#This Row],[Rate]]-C430,N430)</f>
        <v>4.9999999999999822E-2</v>
      </c>
    </row>
    <row r="432" spans="1:14">
      <c r="A432" s="8" t="s">
        <v>107</v>
      </c>
      <c r="B432" s="11">
        <v>3.5422755368494498</v>
      </c>
      <c r="C432" s="13">
        <v>4.3949999999999996</v>
      </c>
      <c r="D432" s="14">
        <f t="shared" si="42"/>
        <v>7</v>
      </c>
      <c r="E432" s="14">
        <f t="shared" si="43"/>
        <v>0.2</v>
      </c>
      <c r="F432" s="14">
        <f t="shared" si="44"/>
        <v>5</v>
      </c>
      <c r="G432" s="14">
        <f t="shared" si="45"/>
        <v>3.5289488502496105</v>
      </c>
      <c r="H432" s="14">
        <f t="shared" si="46"/>
        <v>1</v>
      </c>
      <c r="I432" s="14">
        <f t="shared" si="47"/>
        <v>1</v>
      </c>
      <c r="J432" s="14">
        <f t="shared" si="48"/>
        <v>3.5289488502496105</v>
      </c>
      <c r="K432" s="15">
        <f>IF(CurrentMtgRatesDataTable8[[#This Row],[WA CC]]&lt;&gt;0,C431-CurrentMtgRatesDataTable8[[#This Row],[WA CC]],0)</f>
        <v>0.8660511497503891</v>
      </c>
      <c r="L432" s="16">
        <f>IF(CurrentMtgRatesDataTable8[[#This Row],[Servicing Spread]]&lt;=0,L431,CurrentMtgRatesDataTable8[[#This Row],[Servicing Spread]])</f>
        <v>0.8660511497503891</v>
      </c>
      <c r="M432" s="16">
        <f>CurrentMtgRatesDataTable8[[#This Row],[Servicing Spread Non-Zero]]-L431</f>
        <v>3.5619355308655454E-2</v>
      </c>
      <c r="N432" s="16">
        <f>IF(J431&lt;&gt;0,CurrentMtgRatesDataTable8[[#This Row],[Rate]]-C431,N431)</f>
        <v>4.9999999999999822E-2</v>
      </c>
    </row>
    <row r="433" spans="1:14">
      <c r="A433" s="8" t="s">
        <v>669</v>
      </c>
      <c r="B433" s="11">
        <v>3.5894558660793101</v>
      </c>
      <c r="C433" s="13">
        <v>4.4050000000000002</v>
      </c>
      <c r="D433" s="14">
        <f t="shared" si="42"/>
        <v>1</v>
      </c>
      <c r="E433" s="14">
        <f t="shared" si="43"/>
        <v>0.2</v>
      </c>
      <c r="F433" s="14">
        <f t="shared" si="44"/>
        <v>1</v>
      </c>
      <c r="G433" s="14">
        <f t="shared" si="45"/>
        <v>0.71789117321586204</v>
      </c>
      <c r="H433" s="14">
        <f t="shared" si="46"/>
        <v>0.2</v>
      </c>
      <c r="I433" s="14">
        <f t="shared" si="47"/>
        <v>0</v>
      </c>
      <c r="J433" s="14">
        <f t="shared" si="48"/>
        <v>0</v>
      </c>
      <c r="K433" s="15">
        <f>IF(CurrentMtgRatesDataTable8[[#This Row],[WA CC]]&lt;&gt;0,C432-CurrentMtgRatesDataTable8[[#This Row],[WA CC]],0)</f>
        <v>0</v>
      </c>
      <c r="L433" s="16">
        <f>IF(CurrentMtgRatesDataTable8[[#This Row],[Servicing Spread]]&lt;=0,L432,CurrentMtgRatesDataTable8[[#This Row],[Servicing Spread]])</f>
        <v>0.8660511497503891</v>
      </c>
      <c r="M433" s="16">
        <f>CurrentMtgRatesDataTable8[[#This Row],[Servicing Spread Non-Zero]]-L432</f>
        <v>0</v>
      </c>
      <c r="N433" s="16">
        <f>IF(J432&lt;&gt;0,CurrentMtgRatesDataTable8[[#This Row],[Rate]]-C432,N432)</f>
        <v>1.0000000000000675E-2</v>
      </c>
    </row>
    <row r="434" spans="1:14">
      <c r="A434" s="8" t="s">
        <v>529</v>
      </c>
      <c r="B434" s="11">
        <v>3.5207189291483099</v>
      </c>
      <c r="C434" s="13">
        <v>4.4050000000000002</v>
      </c>
      <c r="D434" s="14">
        <f t="shared" si="42"/>
        <v>2</v>
      </c>
      <c r="E434" s="14">
        <f t="shared" si="43"/>
        <v>0.2</v>
      </c>
      <c r="F434" s="14">
        <f t="shared" si="44"/>
        <v>2</v>
      </c>
      <c r="G434" s="14">
        <f t="shared" si="45"/>
        <v>1.4220349590455239</v>
      </c>
      <c r="H434" s="14">
        <f t="shared" si="46"/>
        <v>0.4</v>
      </c>
      <c r="I434" s="14">
        <f t="shared" si="47"/>
        <v>0</v>
      </c>
      <c r="J434" s="14">
        <f t="shared" si="48"/>
        <v>0</v>
      </c>
      <c r="K434" s="15">
        <f>IF(CurrentMtgRatesDataTable8[[#This Row],[WA CC]]&lt;&gt;0,C433-CurrentMtgRatesDataTable8[[#This Row],[WA CC]],0)</f>
        <v>0</v>
      </c>
      <c r="L434" s="16">
        <f>IF(CurrentMtgRatesDataTable8[[#This Row],[Servicing Spread]]&lt;=0,L433,CurrentMtgRatesDataTable8[[#This Row],[Servicing Spread]])</f>
        <v>0.8660511497503891</v>
      </c>
      <c r="M434" s="16">
        <f>CurrentMtgRatesDataTable8[[#This Row],[Servicing Spread Non-Zero]]-L433</f>
        <v>0</v>
      </c>
      <c r="N434" s="16">
        <f>IF(J433&lt;&gt;0,CurrentMtgRatesDataTable8[[#This Row],[Rate]]-C433,N433)</f>
        <v>1.0000000000000675E-2</v>
      </c>
    </row>
    <row r="435" spans="1:14">
      <c r="A435" s="8" t="s">
        <v>385</v>
      </c>
      <c r="B435" s="11">
        <v>3.5422520494722902</v>
      </c>
      <c r="C435" s="13">
        <v>4.4050000000000002</v>
      </c>
      <c r="D435" s="14">
        <f t="shared" si="42"/>
        <v>5</v>
      </c>
      <c r="E435" s="14">
        <f t="shared" si="43"/>
        <v>0.2</v>
      </c>
      <c r="F435" s="14">
        <f t="shared" si="44"/>
        <v>3</v>
      </c>
      <c r="G435" s="14">
        <f t="shared" si="45"/>
        <v>2.1304853689399819</v>
      </c>
      <c r="H435" s="14">
        <f t="shared" si="46"/>
        <v>0.60000000000000009</v>
      </c>
      <c r="I435" s="14">
        <f t="shared" si="47"/>
        <v>0</v>
      </c>
      <c r="J435" s="14">
        <f t="shared" si="48"/>
        <v>0</v>
      </c>
      <c r="K435" s="15">
        <f>IF(CurrentMtgRatesDataTable8[[#This Row],[WA CC]]&lt;&gt;0,C434-CurrentMtgRatesDataTable8[[#This Row],[WA CC]],0)</f>
        <v>0</v>
      </c>
      <c r="L435" s="16">
        <f>IF(CurrentMtgRatesDataTable8[[#This Row],[Servicing Spread]]&lt;=0,L434,CurrentMtgRatesDataTable8[[#This Row],[Servicing Spread]])</f>
        <v>0.8660511497503891</v>
      </c>
      <c r="M435" s="16">
        <f>CurrentMtgRatesDataTable8[[#This Row],[Servicing Spread Non-Zero]]-L434</f>
        <v>0</v>
      </c>
      <c r="N435" s="16">
        <f>IF(J434&lt;&gt;0,CurrentMtgRatesDataTable8[[#This Row],[Rate]]-C434,N434)</f>
        <v>1.0000000000000675E-2</v>
      </c>
    </row>
    <row r="436" spans="1:14">
      <c r="A436" s="8" t="s">
        <v>251</v>
      </c>
      <c r="B436" s="11">
        <v>3.6100621369380201</v>
      </c>
      <c r="C436" s="13">
        <v>4.4050000000000002</v>
      </c>
      <c r="D436" s="14">
        <f t="shared" si="42"/>
        <v>6</v>
      </c>
      <c r="E436" s="14">
        <f t="shared" si="43"/>
        <v>0.2</v>
      </c>
      <c r="F436" s="14">
        <f t="shared" si="44"/>
        <v>4</v>
      </c>
      <c r="G436" s="14">
        <f t="shared" si="45"/>
        <v>2.8524977963275857</v>
      </c>
      <c r="H436" s="14">
        <f t="shared" si="46"/>
        <v>0.8</v>
      </c>
      <c r="I436" s="14">
        <f t="shared" si="47"/>
        <v>1</v>
      </c>
      <c r="J436" s="14">
        <f t="shared" si="48"/>
        <v>3.5656222454094819</v>
      </c>
      <c r="K436" s="15">
        <f>IF(CurrentMtgRatesDataTable8[[#This Row],[WA CC]]&lt;&gt;0,C435-CurrentMtgRatesDataTable8[[#This Row],[WA CC]],0)</f>
        <v>0.83937775459051833</v>
      </c>
      <c r="L436" s="16">
        <f>IF(CurrentMtgRatesDataTable8[[#This Row],[Servicing Spread]]&lt;=0,L435,CurrentMtgRatesDataTable8[[#This Row],[Servicing Spread]])</f>
        <v>0.83937775459051833</v>
      </c>
      <c r="M436" s="16">
        <f>CurrentMtgRatesDataTable8[[#This Row],[Servicing Spread Non-Zero]]-L435</f>
        <v>-2.6673395159870772E-2</v>
      </c>
      <c r="N436" s="16">
        <f>IF(J435&lt;&gt;0,CurrentMtgRatesDataTable8[[#This Row],[Rate]]-C435,N435)</f>
        <v>1.0000000000000675E-2</v>
      </c>
    </row>
    <row r="437" spans="1:14">
      <c r="A437" s="8" t="s">
        <v>670</v>
      </c>
      <c r="B437" s="11">
        <v>3.6110841836329799</v>
      </c>
      <c r="C437" s="13">
        <v>4.4800000000000004</v>
      </c>
      <c r="D437" s="14">
        <f t="shared" si="42"/>
        <v>1</v>
      </c>
      <c r="E437" s="14">
        <f t="shared" si="43"/>
        <v>0.2</v>
      </c>
      <c r="F437" s="14">
        <f t="shared" si="44"/>
        <v>1</v>
      </c>
      <c r="G437" s="14">
        <f t="shared" si="45"/>
        <v>0.72221683672659598</v>
      </c>
      <c r="H437" s="14">
        <f t="shared" si="46"/>
        <v>0.2</v>
      </c>
      <c r="I437" s="14">
        <f t="shared" si="47"/>
        <v>0</v>
      </c>
      <c r="J437" s="14">
        <f t="shared" si="48"/>
        <v>0</v>
      </c>
      <c r="K437" s="15">
        <f>IF(CurrentMtgRatesDataTable8[[#This Row],[WA CC]]&lt;&gt;0,C436-CurrentMtgRatesDataTable8[[#This Row],[WA CC]],0)</f>
        <v>0</v>
      </c>
      <c r="L437" s="16">
        <f>IF(CurrentMtgRatesDataTable8[[#This Row],[Servicing Spread]]&lt;=0,L436,CurrentMtgRatesDataTable8[[#This Row],[Servicing Spread]])</f>
        <v>0.83937775459051833</v>
      </c>
      <c r="M437" s="16">
        <f>CurrentMtgRatesDataTable8[[#This Row],[Servicing Spread Non-Zero]]-L436</f>
        <v>0</v>
      </c>
      <c r="N437" s="16">
        <f>IF(J436&lt;&gt;0,CurrentMtgRatesDataTable8[[#This Row],[Rate]]-C436,N436)</f>
        <v>7.5000000000000178E-2</v>
      </c>
    </row>
    <row r="438" spans="1:14">
      <c r="A438" s="8" t="s">
        <v>530</v>
      </c>
      <c r="B438" s="11">
        <v>3.60938046615082</v>
      </c>
      <c r="C438" s="13">
        <v>4.4800000000000004</v>
      </c>
      <c r="D438" s="14">
        <f t="shared" si="42"/>
        <v>2</v>
      </c>
      <c r="E438" s="14">
        <f t="shared" si="43"/>
        <v>0.2</v>
      </c>
      <c r="F438" s="14">
        <f t="shared" si="44"/>
        <v>2</v>
      </c>
      <c r="G438" s="14">
        <f t="shared" si="45"/>
        <v>1.44409292995676</v>
      </c>
      <c r="H438" s="14">
        <f t="shared" si="46"/>
        <v>0.4</v>
      </c>
      <c r="I438" s="14">
        <f t="shared" si="47"/>
        <v>0</v>
      </c>
      <c r="J438" s="14">
        <f t="shared" si="48"/>
        <v>0</v>
      </c>
      <c r="K438" s="15">
        <f>IF(CurrentMtgRatesDataTable8[[#This Row],[WA CC]]&lt;&gt;0,C437-CurrentMtgRatesDataTable8[[#This Row],[WA CC]],0)</f>
        <v>0</v>
      </c>
      <c r="L438" s="16">
        <f>IF(CurrentMtgRatesDataTable8[[#This Row],[Servicing Spread]]&lt;=0,L437,CurrentMtgRatesDataTable8[[#This Row],[Servicing Spread]])</f>
        <v>0.83937775459051833</v>
      </c>
      <c r="M438" s="16">
        <f>CurrentMtgRatesDataTable8[[#This Row],[Servicing Spread Non-Zero]]-L437</f>
        <v>0</v>
      </c>
      <c r="N438" s="16">
        <f>IF(J437&lt;&gt;0,CurrentMtgRatesDataTable8[[#This Row],[Rate]]-C437,N437)</f>
        <v>7.5000000000000178E-2</v>
      </c>
    </row>
    <row r="439" spans="1:14">
      <c r="A439" s="8" t="s">
        <v>386</v>
      </c>
      <c r="B439" s="11">
        <v>3.5746743392906399</v>
      </c>
      <c r="C439" s="13">
        <v>4.4800000000000004</v>
      </c>
      <c r="D439" s="14">
        <f t="shared" si="42"/>
        <v>5</v>
      </c>
      <c r="E439" s="14">
        <f t="shared" si="43"/>
        <v>0.2</v>
      </c>
      <c r="F439" s="14">
        <f t="shared" si="44"/>
        <v>3</v>
      </c>
      <c r="G439" s="14">
        <f t="shared" si="45"/>
        <v>2.159027797814888</v>
      </c>
      <c r="H439" s="14">
        <f t="shared" si="46"/>
        <v>0.60000000000000009</v>
      </c>
      <c r="I439" s="14">
        <f t="shared" si="47"/>
        <v>0</v>
      </c>
      <c r="J439" s="14">
        <f t="shared" si="48"/>
        <v>0</v>
      </c>
      <c r="K439" s="15">
        <f>IF(CurrentMtgRatesDataTable8[[#This Row],[WA CC]]&lt;&gt;0,C438-CurrentMtgRatesDataTable8[[#This Row],[WA CC]],0)</f>
        <v>0</v>
      </c>
      <c r="L439" s="16">
        <f>IF(CurrentMtgRatesDataTable8[[#This Row],[Servicing Spread]]&lt;=0,L438,CurrentMtgRatesDataTable8[[#This Row],[Servicing Spread]])</f>
        <v>0.83937775459051833</v>
      </c>
      <c r="M439" s="16">
        <f>CurrentMtgRatesDataTable8[[#This Row],[Servicing Spread Non-Zero]]-L438</f>
        <v>0</v>
      </c>
      <c r="N439" s="16">
        <f>IF(J438&lt;&gt;0,CurrentMtgRatesDataTable8[[#This Row],[Rate]]-C438,N438)</f>
        <v>7.5000000000000178E-2</v>
      </c>
    </row>
    <row r="440" spans="1:14">
      <c r="A440" s="8" t="s">
        <v>252</v>
      </c>
      <c r="B440" s="11">
        <v>3.5930254960618</v>
      </c>
      <c r="C440" s="13">
        <v>4.4800000000000004</v>
      </c>
      <c r="D440" s="14">
        <f t="shared" si="42"/>
        <v>6</v>
      </c>
      <c r="E440" s="14">
        <f t="shared" si="43"/>
        <v>0.2</v>
      </c>
      <c r="F440" s="14">
        <f t="shared" si="44"/>
        <v>4</v>
      </c>
      <c r="G440" s="14">
        <f t="shared" si="45"/>
        <v>2.8776328970272482</v>
      </c>
      <c r="H440" s="14">
        <f t="shared" si="46"/>
        <v>0.8</v>
      </c>
      <c r="I440" s="14">
        <f t="shared" si="47"/>
        <v>1</v>
      </c>
      <c r="J440" s="14">
        <f t="shared" si="48"/>
        <v>3.5970411212840601</v>
      </c>
      <c r="K440" s="15">
        <f>IF(CurrentMtgRatesDataTable8[[#This Row],[WA CC]]&lt;&gt;0,C439-CurrentMtgRatesDataTable8[[#This Row],[WA CC]],0)</f>
        <v>0.88295887871594037</v>
      </c>
      <c r="L440" s="16">
        <f>IF(CurrentMtgRatesDataTable8[[#This Row],[Servicing Spread]]&lt;=0,L439,CurrentMtgRatesDataTable8[[#This Row],[Servicing Spread]])</f>
        <v>0.88295887871594037</v>
      </c>
      <c r="M440" s="16">
        <f>CurrentMtgRatesDataTable8[[#This Row],[Servicing Spread Non-Zero]]-L439</f>
        <v>4.3581124125422033E-2</v>
      </c>
      <c r="N440" s="16">
        <f>IF(J439&lt;&gt;0,CurrentMtgRatesDataTable8[[#This Row],[Rate]]-C439,N439)</f>
        <v>7.5000000000000178E-2</v>
      </c>
    </row>
    <row r="441" spans="1:14">
      <c r="A441" s="8" t="s">
        <v>671</v>
      </c>
      <c r="B441" s="11">
        <v>3.5996964231875999</v>
      </c>
      <c r="C441" s="13">
        <v>4.4349999999999996</v>
      </c>
      <c r="D441" s="14">
        <f t="shared" si="42"/>
        <v>1</v>
      </c>
      <c r="E441" s="14">
        <f t="shared" si="43"/>
        <v>0.2</v>
      </c>
      <c r="F441" s="14">
        <f t="shared" si="44"/>
        <v>1</v>
      </c>
      <c r="G441" s="14">
        <f t="shared" si="45"/>
        <v>0.71993928463751999</v>
      </c>
      <c r="H441" s="14">
        <f t="shared" si="46"/>
        <v>0.2</v>
      </c>
      <c r="I441" s="14">
        <f t="shared" si="47"/>
        <v>0</v>
      </c>
      <c r="J441" s="14">
        <f t="shared" si="48"/>
        <v>0</v>
      </c>
      <c r="K441" s="15">
        <f>IF(CurrentMtgRatesDataTable8[[#This Row],[WA CC]]&lt;&gt;0,C440-CurrentMtgRatesDataTable8[[#This Row],[WA CC]],0)</f>
        <v>0</v>
      </c>
      <c r="L441" s="16">
        <f>IF(CurrentMtgRatesDataTable8[[#This Row],[Servicing Spread]]&lt;=0,L440,CurrentMtgRatesDataTable8[[#This Row],[Servicing Spread]])</f>
        <v>0.88295887871594037</v>
      </c>
      <c r="M441" s="16">
        <f>CurrentMtgRatesDataTable8[[#This Row],[Servicing Spread Non-Zero]]-L440</f>
        <v>0</v>
      </c>
      <c r="N441" s="16">
        <f>IF(J440&lt;&gt;0,CurrentMtgRatesDataTable8[[#This Row],[Rate]]-C440,N440)</f>
        <v>-4.5000000000000817E-2</v>
      </c>
    </row>
    <row r="442" spans="1:14">
      <c r="A442" s="8" t="s">
        <v>531</v>
      </c>
      <c r="B442" s="11">
        <v>3.6032550852643102</v>
      </c>
      <c r="C442" s="13">
        <v>4.4349999999999996</v>
      </c>
      <c r="D442" s="14">
        <f t="shared" si="42"/>
        <v>2</v>
      </c>
      <c r="E442" s="14">
        <f t="shared" si="43"/>
        <v>0.2</v>
      </c>
      <c r="F442" s="14">
        <f t="shared" si="44"/>
        <v>2</v>
      </c>
      <c r="G442" s="14">
        <f t="shared" si="45"/>
        <v>1.440590301690382</v>
      </c>
      <c r="H442" s="14">
        <f t="shared" si="46"/>
        <v>0.4</v>
      </c>
      <c r="I442" s="14">
        <f t="shared" si="47"/>
        <v>0</v>
      </c>
      <c r="J442" s="14">
        <f t="shared" si="48"/>
        <v>0</v>
      </c>
      <c r="K442" s="15">
        <f>IF(CurrentMtgRatesDataTable8[[#This Row],[WA CC]]&lt;&gt;0,C441-CurrentMtgRatesDataTable8[[#This Row],[WA CC]],0)</f>
        <v>0</v>
      </c>
      <c r="L442" s="16">
        <f>IF(CurrentMtgRatesDataTable8[[#This Row],[Servicing Spread]]&lt;=0,L441,CurrentMtgRatesDataTable8[[#This Row],[Servicing Spread]])</f>
        <v>0.88295887871594037</v>
      </c>
      <c r="M442" s="16">
        <f>CurrentMtgRatesDataTable8[[#This Row],[Servicing Spread Non-Zero]]-L441</f>
        <v>0</v>
      </c>
      <c r="N442" s="16">
        <f>IF(J441&lt;&gt;0,CurrentMtgRatesDataTable8[[#This Row],[Rate]]-C441,N441)</f>
        <v>-4.5000000000000817E-2</v>
      </c>
    </row>
    <row r="443" spans="1:14">
      <c r="A443" s="12" t="s">
        <v>387</v>
      </c>
      <c r="B443" s="13">
        <v>3.5763485946615199</v>
      </c>
      <c r="C443" s="13">
        <v>4.4349999999999996</v>
      </c>
      <c r="D443" s="14">
        <f t="shared" si="42"/>
        <v>5</v>
      </c>
      <c r="E443" s="14">
        <f t="shared" si="43"/>
        <v>0.2</v>
      </c>
      <c r="F443" s="14">
        <f t="shared" si="44"/>
        <v>3</v>
      </c>
      <c r="G443" s="14">
        <f t="shared" si="45"/>
        <v>2.1558600206226863</v>
      </c>
      <c r="H443" s="14">
        <f t="shared" si="46"/>
        <v>0.60000000000000009</v>
      </c>
      <c r="I443" s="14">
        <f t="shared" si="47"/>
        <v>0</v>
      </c>
      <c r="J443" s="14">
        <f t="shared" si="48"/>
        <v>0</v>
      </c>
      <c r="K443" s="15">
        <f>IF(CurrentMtgRatesDataTable8[[#This Row],[WA CC]]&lt;&gt;0,C442-CurrentMtgRatesDataTable8[[#This Row],[WA CC]],0)</f>
        <v>0</v>
      </c>
      <c r="L443" s="16">
        <f>IF(CurrentMtgRatesDataTable8[[#This Row],[Servicing Spread]]&lt;=0,L442,CurrentMtgRatesDataTable8[[#This Row],[Servicing Spread]])</f>
        <v>0.88295887871594037</v>
      </c>
      <c r="M443" s="16">
        <f>CurrentMtgRatesDataTable8[[#This Row],[Servicing Spread Non-Zero]]-L442</f>
        <v>0</v>
      </c>
      <c r="N443" s="16">
        <f>IF(J442&lt;&gt;0,CurrentMtgRatesDataTable8[[#This Row],[Rate]]-C442,N442)</f>
        <v>-4.5000000000000817E-2</v>
      </c>
    </row>
    <row r="444" spans="1:14">
      <c r="A444" s="12" t="s">
        <v>253</v>
      </c>
      <c r="B444" s="13">
        <v>3.5428500405358099</v>
      </c>
      <c r="C444" s="13">
        <v>4.4349999999999996</v>
      </c>
      <c r="D444" s="15">
        <f t="shared" si="42"/>
        <v>6</v>
      </c>
      <c r="E444" s="15">
        <f t="shared" si="43"/>
        <v>0.2</v>
      </c>
      <c r="F444" s="15">
        <f t="shared" si="44"/>
        <v>4</v>
      </c>
      <c r="G444" s="15">
        <f t="shared" si="45"/>
        <v>2.8644300287298483</v>
      </c>
      <c r="H444" s="15">
        <f t="shared" si="46"/>
        <v>0.8</v>
      </c>
      <c r="I444" s="15">
        <f t="shared" si="47"/>
        <v>0</v>
      </c>
      <c r="J444" s="15">
        <f t="shared" si="48"/>
        <v>0</v>
      </c>
      <c r="K444" s="15">
        <f>IF(CurrentMtgRatesDataTable8[[#This Row],[WA CC]]&lt;&gt;0,C443-CurrentMtgRatesDataTable8[[#This Row],[WA CC]],0)</f>
        <v>0</v>
      </c>
      <c r="L444" s="16">
        <f>IF(CurrentMtgRatesDataTable8[[#This Row],[Servicing Spread]]&lt;=0,L443,CurrentMtgRatesDataTable8[[#This Row],[Servicing Spread]])</f>
        <v>0.88295887871594037</v>
      </c>
      <c r="M444" s="16">
        <f>CurrentMtgRatesDataTable8[[#This Row],[Servicing Spread Non-Zero]]-L443</f>
        <v>0</v>
      </c>
      <c r="N444" s="16">
        <f>IF(J443&lt;&gt;0,CurrentMtgRatesDataTable8[[#This Row],[Rate]]-C443,N443)</f>
        <v>-4.5000000000000817E-2</v>
      </c>
    </row>
    <row r="445" spans="1:14">
      <c r="A445" s="12" t="s">
        <v>108</v>
      </c>
      <c r="B445" s="13">
        <v>3.5963712535882499</v>
      </c>
      <c r="C445" s="13">
        <v>4.4349999999999996</v>
      </c>
      <c r="D445" s="15">
        <f t="shared" si="42"/>
        <v>7</v>
      </c>
      <c r="E445" s="15">
        <f t="shared" si="43"/>
        <v>0.2</v>
      </c>
      <c r="F445" s="15">
        <f t="shared" si="44"/>
        <v>5</v>
      </c>
      <c r="G445" s="15">
        <f t="shared" si="45"/>
        <v>3.5837042794474985</v>
      </c>
      <c r="H445" s="15">
        <f t="shared" si="46"/>
        <v>1</v>
      </c>
      <c r="I445" s="15">
        <f t="shared" si="47"/>
        <v>1</v>
      </c>
      <c r="J445" s="15">
        <f t="shared" si="48"/>
        <v>3.5837042794474985</v>
      </c>
      <c r="K445" s="15">
        <f>IF(CurrentMtgRatesDataTable8[[#This Row],[WA CC]]&lt;&gt;0,C444-CurrentMtgRatesDataTable8[[#This Row],[WA CC]],0)</f>
        <v>0.85129572055250113</v>
      </c>
      <c r="L445" s="16">
        <f>IF(CurrentMtgRatesDataTable8[[#This Row],[Servicing Spread]]&lt;=0,L444,CurrentMtgRatesDataTable8[[#This Row],[Servicing Spread]])</f>
        <v>0.85129572055250113</v>
      </c>
      <c r="M445" s="16">
        <f>CurrentMtgRatesDataTable8[[#This Row],[Servicing Spread Non-Zero]]-L444</f>
        <v>-3.1663158163439231E-2</v>
      </c>
      <c r="N445" s="16">
        <f>IF(J444&lt;&gt;0,CurrentMtgRatesDataTable8[[#This Row],[Rate]]-C444,N444)</f>
        <v>-4.5000000000000817E-2</v>
      </c>
    </row>
    <row r="446" spans="1:14">
      <c r="A446" s="12" t="s">
        <v>672</v>
      </c>
      <c r="B446" s="13">
        <v>3.5749416796778899</v>
      </c>
      <c r="C446" s="13">
        <v>4.335</v>
      </c>
      <c r="D446" s="15">
        <f t="shared" si="42"/>
        <v>1</v>
      </c>
      <c r="E446" s="15">
        <f t="shared" si="43"/>
        <v>0.2</v>
      </c>
      <c r="F446" s="15">
        <f t="shared" si="44"/>
        <v>1</v>
      </c>
      <c r="G446" s="15">
        <f t="shared" si="45"/>
        <v>0.71498833593557798</v>
      </c>
      <c r="H446" s="15">
        <f t="shared" si="46"/>
        <v>0.2</v>
      </c>
      <c r="I446" s="15">
        <f t="shared" si="47"/>
        <v>0</v>
      </c>
      <c r="J446" s="15">
        <f t="shared" si="48"/>
        <v>0</v>
      </c>
      <c r="K446" s="15">
        <f>IF(CurrentMtgRatesDataTable8[[#This Row],[WA CC]]&lt;&gt;0,C445-CurrentMtgRatesDataTable8[[#This Row],[WA CC]],0)</f>
        <v>0</v>
      </c>
      <c r="L446" s="16">
        <f>IF(CurrentMtgRatesDataTable8[[#This Row],[Servicing Spread]]&lt;=0,L445,CurrentMtgRatesDataTable8[[#This Row],[Servicing Spread]])</f>
        <v>0.85129572055250113</v>
      </c>
      <c r="M446" s="16">
        <f>CurrentMtgRatesDataTable8[[#This Row],[Servicing Spread Non-Zero]]-L445</f>
        <v>0</v>
      </c>
      <c r="N446" s="16">
        <f>IF(J445&lt;&gt;0,CurrentMtgRatesDataTable8[[#This Row],[Rate]]-C445,N445)</f>
        <v>-9.9999999999999645E-2</v>
      </c>
    </row>
    <row r="447" spans="1:14">
      <c r="A447" s="12" t="s">
        <v>532</v>
      </c>
      <c r="B447" s="13">
        <v>3.4718387266108799</v>
      </c>
      <c r="C447" s="13">
        <v>4.335</v>
      </c>
      <c r="D447" s="15">
        <f t="shared" si="42"/>
        <v>2</v>
      </c>
      <c r="E447" s="15">
        <f t="shared" si="43"/>
        <v>0.2</v>
      </c>
      <c r="F447" s="15">
        <f t="shared" si="44"/>
        <v>2</v>
      </c>
      <c r="G447" s="15">
        <f t="shared" si="45"/>
        <v>1.4093560812577541</v>
      </c>
      <c r="H447" s="15">
        <f t="shared" si="46"/>
        <v>0.4</v>
      </c>
      <c r="I447" s="15">
        <f t="shared" si="47"/>
        <v>0</v>
      </c>
      <c r="J447" s="15">
        <f t="shared" si="48"/>
        <v>0</v>
      </c>
      <c r="K447" s="15">
        <f>IF(CurrentMtgRatesDataTable8[[#This Row],[WA CC]]&lt;&gt;0,C446-CurrentMtgRatesDataTable8[[#This Row],[WA CC]],0)</f>
        <v>0</v>
      </c>
      <c r="L447" s="16">
        <f>IF(CurrentMtgRatesDataTable8[[#This Row],[Servicing Spread]]&lt;=0,L446,CurrentMtgRatesDataTable8[[#This Row],[Servicing Spread]])</f>
        <v>0.85129572055250113</v>
      </c>
      <c r="M447" s="16">
        <f>CurrentMtgRatesDataTable8[[#This Row],[Servicing Spread Non-Zero]]-L446</f>
        <v>0</v>
      </c>
      <c r="N447" s="16">
        <f>IF(J446&lt;&gt;0,CurrentMtgRatesDataTable8[[#This Row],[Rate]]-C446,N446)</f>
        <v>-9.9999999999999645E-2</v>
      </c>
    </row>
    <row r="448" spans="1:14">
      <c r="A448" s="12" t="s">
        <v>388</v>
      </c>
      <c r="B448" s="13">
        <v>3.4264575978101499</v>
      </c>
      <c r="C448" s="13">
        <v>4.335</v>
      </c>
      <c r="D448" s="15">
        <f t="shared" si="42"/>
        <v>5</v>
      </c>
      <c r="E448" s="15">
        <f t="shared" si="43"/>
        <v>0.2</v>
      </c>
      <c r="F448" s="15">
        <f t="shared" si="44"/>
        <v>3</v>
      </c>
      <c r="G448" s="15">
        <f t="shared" si="45"/>
        <v>2.0946476008197843</v>
      </c>
      <c r="H448" s="15">
        <f t="shared" si="46"/>
        <v>0.60000000000000009</v>
      </c>
      <c r="I448" s="15">
        <f t="shared" si="47"/>
        <v>0</v>
      </c>
      <c r="J448" s="15">
        <f t="shared" si="48"/>
        <v>0</v>
      </c>
      <c r="K448" s="15">
        <f>IF(CurrentMtgRatesDataTable8[[#This Row],[WA CC]]&lt;&gt;0,C447-CurrentMtgRatesDataTable8[[#This Row],[WA CC]],0)</f>
        <v>0</v>
      </c>
      <c r="L448" s="16">
        <f>IF(CurrentMtgRatesDataTable8[[#This Row],[Servicing Spread]]&lt;=0,L447,CurrentMtgRatesDataTable8[[#This Row],[Servicing Spread]])</f>
        <v>0.85129572055250113</v>
      </c>
      <c r="M448" s="16">
        <f>CurrentMtgRatesDataTable8[[#This Row],[Servicing Spread Non-Zero]]-L447</f>
        <v>0</v>
      </c>
      <c r="N448" s="16">
        <f>IF(J447&lt;&gt;0,CurrentMtgRatesDataTable8[[#This Row],[Rate]]-C447,N447)</f>
        <v>-9.9999999999999645E-2</v>
      </c>
    </row>
    <row r="449" spans="1:14">
      <c r="A449" s="12" t="s">
        <v>254</v>
      </c>
      <c r="B449" s="13">
        <v>3.4834111891672799</v>
      </c>
      <c r="C449" s="13">
        <v>4.335</v>
      </c>
      <c r="D449" s="15">
        <f t="shared" si="42"/>
        <v>6</v>
      </c>
      <c r="E449" s="15">
        <f t="shared" si="43"/>
        <v>0.2</v>
      </c>
      <c r="F449" s="15">
        <f t="shared" si="44"/>
        <v>4</v>
      </c>
      <c r="G449" s="15">
        <f t="shared" si="45"/>
        <v>2.7913298386532404</v>
      </c>
      <c r="H449" s="15">
        <f t="shared" si="46"/>
        <v>0.8</v>
      </c>
      <c r="I449" s="15">
        <f t="shared" si="47"/>
        <v>0</v>
      </c>
      <c r="J449" s="15">
        <f t="shared" si="48"/>
        <v>0</v>
      </c>
      <c r="K449" s="15">
        <f>IF(CurrentMtgRatesDataTable8[[#This Row],[WA CC]]&lt;&gt;0,C448-CurrentMtgRatesDataTable8[[#This Row],[WA CC]],0)</f>
        <v>0</v>
      </c>
      <c r="L449" s="16">
        <f>IF(CurrentMtgRatesDataTable8[[#This Row],[Servicing Spread]]&lt;=0,L448,CurrentMtgRatesDataTable8[[#This Row],[Servicing Spread]])</f>
        <v>0.85129572055250113</v>
      </c>
      <c r="M449" s="16">
        <f>CurrentMtgRatesDataTable8[[#This Row],[Servicing Spread Non-Zero]]-L448</f>
        <v>0</v>
      </c>
      <c r="N449" s="16">
        <f>IF(J448&lt;&gt;0,CurrentMtgRatesDataTable8[[#This Row],[Rate]]-C448,N448)</f>
        <v>-9.9999999999999645E-2</v>
      </c>
    </row>
    <row r="450" spans="1:14">
      <c r="A450" s="12" t="s">
        <v>109</v>
      </c>
      <c r="B450" s="13">
        <v>3.4947799465752998</v>
      </c>
      <c r="C450" s="13">
        <v>4.335</v>
      </c>
      <c r="D450" s="15">
        <f t="shared" si="42"/>
        <v>7</v>
      </c>
      <c r="E450" s="15">
        <f t="shared" si="43"/>
        <v>0.2</v>
      </c>
      <c r="F450" s="15">
        <f t="shared" si="44"/>
        <v>5</v>
      </c>
      <c r="G450" s="15">
        <f t="shared" si="45"/>
        <v>3.4902858279683002</v>
      </c>
      <c r="H450" s="15">
        <f t="shared" si="46"/>
        <v>1</v>
      </c>
      <c r="I450" s="15">
        <f t="shared" si="47"/>
        <v>1</v>
      </c>
      <c r="J450" s="15">
        <f t="shared" si="48"/>
        <v>3.4902858279683002</v>
      </c>
      <c r="K450" s="15">
        <f>IF(CurrentMtgRatesDataTable8[[#This Row],[WA CC]]&lt;&gt;0,C449-CurrentMtgRatesDataTable8[[#This Row],[WA CC]],0)</f>
        <v>0.84471417203169974</v>
      </c>
      <c r="L450" s="16">
        <f>IF(CurrentMtgRatesDataTable8[[#This Row],[Servicing Spread]]&lt;=0,L449,CurrentMtgRatesDataTable8[[#This Row],[Servicing Spread]])</f>
        <v>0.84471417203169974</v>
      </c>
      <c r="M450" s="16">
        <f>CurrentMtgRatesDataTable8[[#This Row],[Servicing Spread Non-Zero]]-L449</f>
        <v>-6.5815485208013946E-3</v>
      </c>
      <c r="N450" s="16">
        <f>IF(J449&lt;&gt;0,CurrentMtgRatesDataTable8[[#This Row],[Rate]]-C449,N449)</f>
        <v>-9.9999999999999645E-2</v>
      </c>
    </row>
    <row r="451" spans="1:14">
      <c r="A451" s="12" t="s">
        <v>673</v>
      </c>
      <c r="B451" s="13">
        <v>3.4570560243786002</v>
      </c>
      <c r="C451" s="13">
        <v>4.3149999999999995</v>
      </c>
      <c r="D451" s="15">
        <f t="shared" si="42"/>
        <v>1</v>
      </c>
      <c r="E451" s="15">
        <f t="shared" si="43"/>
        <v>0.2</v>
      </c>
      <c r="F451" s="15">
        <f t="shared" si="44"/>
        <v>1</v>
      </c>
      <c r="G451" s="15">
        <f t="shared" si="45"/>
        <v>0.69141120487572005</v>
      </c>
      <c r="H451" s="15">
        <f t="shared" si="46"/>
        <v>0.2</v>
      </c>
      <c r="I451" s="15">
        <f t="shared" si="47"/>
        <v>0</v>
      </c>
      <c r="J451" s="15">
        <f t="shared" si="48"/>
        <v>0</v>
      </c>
      <c r="K451" s="15">
        <f>IF(CurrentMtgRatesDataTable8[[#This Row],[WA CC]]&lt;&gt;0,C450-CurrentMtgRatesDataTable8[[#This Row],[WA CC]],0)</f>
        <v>0</v>
      </c>
      <c r="L451" s="16">
        <f>IF(CurrentMtgRatesDataTable8[[#This Row],[Servicing Spread]]&lt;=0,L450,CurrentMtgRatesDataTable8[[#This Row],[Servicing Spread]])</f>
        <v>0.84471417203169974</v>
      </c>
      <c r="M451" s="16">
        <f>CurrentMtgRatesDataTable8[[#This Row],[Servicing Spread Non-Zero]]-L450</f>
        <v>0</v>
      </c>
      <c r="N451" s="16">
        <f>IF(J450&lt;&gt;0,CurrentMtgRatesDataTable8[[#This Row],[Rate]]-C450,N450)</f>
        <v>-2.0000000000000462E-2</v>
      </c>
    </row>
    <row r="452" spans="1:14">
      <c r="A452" s="12" t="s">
        <v>533</v>
      </c>
      <c r="B452" s="13">
        <v>3.4370844050238198</v>
      </c>
      <c r="C452" s="13">
        <v>4.3149999999999995</v>
      </c>
      <c r="D452" s="15">
        <f t="shared" si="42"/>
        <v>2</v>
      </c>
      <c r="E452" s="15">
        <f t="shared" si="43"/>
        <v>0.2</v>
      </c>
      <c r="F452" s="15">
        <f t="shared" si="44"/>
        <v>2</v>
      </c>
      <c r="G452" s="15">
        <f t="shared" si="45"/>
        <v>1.378828085880484</v>
      </c>
      <c r="H452" s="15">
        <f t="shared" si="46"/>
        <v>0.4</v>
      </c>
      <c r="I452" s="15">
        <f t="shared" si="47"/>
        <v>0</v>
      </c>
      <c r="J452" s="15">
        <f t="shared" si="48"/>
        <v>0</v>
      </c>
      <c r="K452" s="15">
        <f>IF(CurrentMtgRatesDataTable8[[#This Row],[WA CC]]&lt;&gt;0,C451-CurrentMtgRatesDataTable8[[#This Row],[WA CC]],0)</f>
        <v>0</v>
      </c>
      <c r="L452" s="16">
        <f>IF(CurrentMtgRatesDataTable8[[#This Row],[Servicing Spread]]&lt;=0,L451,CurrentMtgRatesDataTable8[[#This Row],[Servicing Spread]])</f>
        <v>0.84471417203169974</v>
      </c>
      <c r="M452" s="16">
        <f>CurrentMtgRatesDataTable8[[#This Row],[Servicing Spread Non-Zero]]-L451</f>
        <v>0</v>
      </c>
      <c r="N452" s="16">
        <f>IF(J451&lt;&gt;0,CurrentMtgRatesDataTable8[[#This Row],[Rate]]-C451,N451)</f>
        <v>-2.0000000000000462E-2</v>
      </c>
    </row>
    <row r="453" spans="1:14">
      <c r="A453" s="12" t="s">
        <v>255</v>
      </c>
      <c r="B453" s="13">
        <v>3.4306167460721202</v>
      </c>
      <c r="C453" s="13">
        <v>4.3149999999999995</v>
      </c>
      <c r="D453" s="15">
        <f t="shared" ref="D453:D516" si="49">WEEKDAY(A453,14)</f>
        <v>6</v>
      </c>
      <c r="E453" s="15">
        <f t="shared" ref="E453:E516" si="50">VLOOKUP(D453,Q$5:R$11,2,FALSE)</f>
        <v>0.2</v>
      </c>
      <c r="F453" s="15">
        <f t="shared" ref="F453:F516" si="51">IF(AND(D453&gt;D452,F452&lt;6),F452+1,1)</f>
        <v>3</v>
      </c>
      <c r="G453" s="15">
        <f t="shared" ref="G453:G516" si="52">IF(F453&gt;F452,G452+B453*E453,B453*E453)</f>
        <v>2.0649514350949083</v>
      </c>
      <c r="H453" s="15">
        <f t="shared" ref="H453:H516" si="53">IF(AND(F453&lt;6,F453&gt;F452),E453+H452,E453)</f>
        <v>0.60000000000000009</v>
      </c>
      <c r="I453" s="15">
        <f t="shared" ref="I453:I516" si="54">IF(F453&gt;F454,1,0)</f>
        <v>0</v>
      </c>
      <c r="J453" s="15">
        <f t="shared" ref="J453:J516" si="55">IF(F453&gt;F454,G453/H453,0)</f>
        <v>0</v>
      </c>
      <c r="K453" s="15">
        <f>IF(CurrentMtgRatesDataTable8[[#This Row],[WA CC]]&lt;&gt;0,C452-CurrentMtgRatesDataTable8[[#This Row],[WA CC]],0)</f>
        <v>0</v>
      </c>
      <c r="L453" s="16">
        <f>IF(CurrentMtgRatesDataTable8[[#This Row],[Servicing Spread]]&lt;=0,L452,CurrentMtgRatesDataTable8[[#This Row],[Servicing Spread]])</f>
        <v>0.84471417203169974</v>
      </c>
      <c r="M453" s="16">
        <f>CurrentMtgRatesDataTable8[[#This Row],[Servicing Spread Non-Zero]]-L452</f>
        <v>0</v>
      </c>
      <c r="N453" s="16">
        <f>IF(J452&lt;&gt;0,CurrentMtgRatesDataTable8[[#This Row],[Rate]]-C452,N452)</f>
        <v>-2.0000000000000462E-2</v>
      </c>
    </row>
    <row r="454" spans="1:14">
      <c r="A454" s="12" t="s">
        <v>110</v>
      </c>
      <c r="B454" s="13">
        <v>3.4813003413665098</v>
      </c>
      <c r="C454" s="13">
        <v>4.3149999999999995</v>
      </c>
      <c r="D454" s="15">
        <f t="shared" si="49"/>
        <v>7</v>
      </c>
      <c r="E454" s="15">
        <f t="shared" si="50"/>
        <v>0.2</v>
      </c>
      <c r="F454" s="15">
        <f t="shared" si="51"/>
        <v>4</v>
      </c>
      <c r="G454" s="15">
        <f t="shared" si="52"/>
        <v>2.7612115033682105</v>
      </c>
      <c r="H454" s="15">
        <f t="shared" si="53"/>
        <v>0.8</v>
      </c>
      <c r="I454" s="15">
        <f t="shared" si="54"/>
        <v>1</v>
      </c>
      <c r="J454" s="15">
        <f t="shared" si="55"/>
        <v>3.4515143792102632</v>
      </c>
      <c r="K454" s="15">
        <f>IF(CurrentMtgRatesDataTable8[[#This Row],[WA CC]]&lt;&gt;0,C453-CurrentMtgRatesDataTable8[[#This Row],[WA CC]],0)</f>
        <v>0.86348562078973634</v>
      </c>
      <c r="L454" s="16">
        <f>IF(CurrentMtgRatesDataTable8[[#This Row],[Servicing Spread]]&lt;=0,L453,CurrentMtgRatesDataTable8[[#This Row],[Servicing Spread]])</f>
        <v>0.86348562078973634</v>
      </c>
      <c r="M454" s="16">
        <f>CurrentMtgRatesDataTable8[[#This Row],[Servicing Spread Non-Zero]]-L453</f>
        <v>1.8771448758036602E-2</v>
      </c>
      <c r="N454" s="16">
        <f>IF(J453&lt;&gt;0,CurrentMtgRatesDataTable8[[#This Row],[Rate]]-C453,N453)</f>
        <v>-2.0000000000000462E-2</v>
      </c>
    </row>
    <row r="455" spans="1:14">
      <c r="A455" s="12" t="s">
        <v>674</v>
      </c>
      <c r="B455" s="13">
        <v>3.42598487814407</v>
      </c>
      <c r="C455" s="13">
        <v>4.2450000000000001</v>
      </c>
      <c r="D455" s="15">
        <f t="shared" si="49"/>
        <v>1</v>
      </c>
      <c r="E455" s="15">
        <f t="shared" si="50"/>
        <v>0.2</v>
      </c>
      <c r="F455" s="15">
        <f t="shared" si="51"/>
        <v>1</v>
      </c>
      <c r="G455" s="15">
        <f t="shared" si="52"/>
        <v>0.6851969756288141</v>
      </c>
      <c r="H455" s="15">
        <f t="shared" si="53"/>
        <v>0.2</v>
      </c>
      <c r="I455" s="15">
        <f t="shared" si="54"/>
        <v>0</v>
      </c>
      <c r="J455" s="15">
        <f t="shared" si="55"/>
        <v>0</v>
      </c>
      <c r="K455" s="15">
        <f>IF(CurrentMtgRatesDataTable8[[#This Row],[WA CC]]&lt;&gt;0,C454-CurrentMtgRatesDataTable8[[#This Row],[WA CC]],0)</f>
        <v>0</v>
      </c>
      <c r="L455" s="16">
        <f>IF(CurrentMtgRatesDataTable8[[#This Row],[Servicing Spread]]&lt;=0,L454,CurrentMtgRatesDataTable8[[#This Row],[Servicing Spread]])</f>
        <v>0.86348562078973634</v>
      </c>
      <c r="M455" s="16">
        <f>CurrentMtgRatesDataTable8[[#This Row],[Servicing Spread Non-Zero]]-L454</f>
        <v>0</v>
      </c>
      <c r="N455" s="16">
        <f>IF(J454&lt;&gt;0,CurrentMtgRatesDataTable8[[#This Row],[Rate]]-C454,N454)</f>
        <v>-6.9999999999999396E-2</v>
      </c>
    </row>
    <row r="456" spans="1:14">
      <c r="A456" s="12" t="s">
        <v>534</v>
      </c>
      <c r="B456" s="13">
        <v>3.3821795348389898</v>
      </c>
      <c r="C456" s="13">
        <v>4.2450000000000001</v>
      </c>
      <c r="D456" s="15">
        <f t="shared" si="49"/>
        <v>2</v>
      </c>
      <c r="E456" s="15">
        <f t="shared" si="50"/>
        <v>0.2</v>
      </c>
      <c r="F456" s="15">
        <f t="shared" si="51"/>
        <v>2</v>
      </c>
      <c r="G456" s="15">
        <f t="shared" si="52"/>
        <v>1.361632882596612</v>
      </c>
      <c r="H456" s="15">
        <f t="shared" si="53"/>
        <v>0.4</v>
      </c>
      <c r="I456" s="15">
        <f t="shared" si="54"/>
        <v>0</v>
      </c>
      <c r="J456" s="15">
        <f t="shared" si="55"/>
        <v>0</v>
      </c>
      <c r="K456" s="15">
        <f>IF(CurrentMtgRatesDataTable8[[#This Row],[WA CC]]&lt;&gt;0,C455-CurrentMtgRatesDataTable8[[#This Row],[WA CC]],0)</f>
        <v>0</v>
      </c>
      <c r="L456" s="16">
        <f>IF(CurrentMtgRatesDataTable8[[#This Row],[Servicing Spread]]&lt;=0,L455,CurrentMtgRatesDataTable8[[#This Row],[Servicing Spread]])</f>
        <v>0.86348562078973634</v>
      </c>
      <c r="M456" s="16">
        <f>CurrentMtgRatesDataTable8[[#This Row],[Servicing Spread Non-Zero]]-L455</f>
        <v>0</v>
      </c>
      <c r="N456" s="16">
        <f>IF(J455&lt;&gt;0,CurrentMtgRatesDataTable8[[#This Row],[Rate]]-C455,N455)</f>
        <v>-6.9999999999999396E-2</v>
      </c>
    </row>
    <row r="457" spans="1:14">
      <c r="A457" s="12" t="s">
        <v>389</v>
      </c>
      <c r="B457" s="13">
        <v>3.4248929817112499</v>
      </c>
      <c r="C457" s="13">
        <v>4.2450000000000001</v>
      </c>
      <c r="D457" s="15">
        <f t="shared" si="49"/>
        <v>5</v>
      </c>
      <c r="E457" s="15">
        <f t="shared" si="50"/>
        <v>0.2</v>
      </c>
      <c r="F457" s="15">
        <f t="shared" si="51"/>
        <v>3</v>
      </c>
      <c r="G457" s="15">
        <f t="shared" si="52"/>
        <v>2.0466114789388619</v>
      </c>
      <c r="H457" s="15">
        <f t="shared" si="53"/>
        <v>0.60000000000000009</v>
      </c>
      <c r="I457" s="15">
        <f t="shared" si="54"/>
        <v>0</v>
      </c>
      <c r="J457" s="15">
        <f t="shared" si="55"/>
        <v>0</v>
      </c>
      <c r="K457" s="15">
        <f>IF(CurrentMtgRatesDataTable8[[#This Row],[WA CC]]&lt;&gt;0,C456-CurrentMtgRatesDataTable8[[#This Row],[WA CC]],0)</f>
        <v>0</v>
      </c>
      <c r="L457" s="16">
        <f>IF(CurrentMtgRatesDataTable8[[#This Row],[Servicing Spread]]&lt;=0,L456,CurrentMtgRatesDataTable8[[#This Row],[Servicing Spread]])</f>
        <v>0.86348562078973634</v>
      </c>
      <c r="M457" s="16">
        <f>CurrentMtgRatesDataTable8[[#This Row],[Servicing Spread Non-Zero]]-L456</f>
        <v>0</v>
      </c>
      <c r="N457" s="16">
        <f>IF(J456&lt;&gt;0,CurrentMtgRatesDataTable8[[#This Row],[Rate]]-C456,N456)</f>
        <v>-6.9999999999999396E-2</v>
      </c>
    </row>
    <row r="458" spans="1:14">
      <c r="A458" s="12" t="s">
        <v>256</v>
      </c>
      <c r="B458" s="13">
        <v>3.4146699129436402</v>
      </c>
      <c r="C458" s="13">
        <v>4.2450000000000001</v>
      </c>
      <c r="D458" s="15">
        <f t="shared" si="49"/>
        <v>6</v>
      </c>
      <c r="E458" s="15">
        <f t="shared" si="50"/>
        <v>0.2</v>
      </c>
      <c r="F458" s="15">
        <f t="shared" si="51"/>
        <v>4</v>
      </c>
      <c r="G458" s="15">
        <f t="shared" si="52"/>
        <v>2.7295454615275898</v>
      </c>
      <c r="H458" s="15">
        <f t="shared" si="53"/>
        <v>0.8</v>
      </c>
      <c r="I458" s="15">
        <f t="shared" si="54"/>
        <v>0</v>
      </c>
      <c r="J458" s="15">
        <f t="shared" si="55"/>
        <v>0</v>
      </c>
      <c r="K458" s="15">
        <f>IF(CurrentMtgRatesDataTable8[[#This Row],[WA CC]]&lt;&gt;0,C457-CurrentMtgRatesDataTable8[[#This Row],[WA CC]],0)</f>
        <v>0</v>
      </c>
      <c r="L458" s="16">
        <f>IF(CurrentMtgRatesDataTable8[[#This Row],[Servicing Spread]]&lt;=0,L457,CurrentMtgRatesDataTable8[[#This Row],[Servicing Spread]])</f>
        <v>0.86348562078973634</v>
      </c>
      <c r="M458" s="16">
        <f>CurrentMtgRatesDataTable8[[#This Row],[Servicing Spread Non-Zero]]-L457</f>
        <v>0</v>
      </c>
      <c r="N458" s="16">
        <f>IF(J457&lt;&gt;0,CurrentMtgRatesDataTable8[[#This Row],[Rate]]-C457,N457)</f>
        <v>-6.9999999999999396E-2</v>
      </c>
    </row>
    <row r="459" spans="1:14">
      <c r="A459" s="12" t="s">
        <v>111</v>
      </c>
      <c r="B459" s="13">
        <v>3.3611475085431901</v>
      </c>
      <c r="C459" s="13">
        <v>4.2450000000000001</v>
      </c>
      <c r="D459" s="15">
        <f t="shared" si="49"/>
        <v>7</v>
      </c>
      <c r="E459" s="15">
        <f t="shared" si="50"/>
        <v>0.2</v>
      </c>
      <c r="F459" s="15">
        <f t="shared" si="51"/>
        <v>5</v>
      </c>
      <c r="G459" s="15">
        <f t="shared" si="52"/>
        <v>3.4017749632362277</v>
      </c>
      <c r="H459" s="15">
        <f t="shared" si="53"/>
        <v>1</v>
      </c>
      <c r="I459" s="15">
        <f t="shared" si="54"/>
        <v>1</v>
      </c>
      <c r="J459" s="15">
        <f t="shared" si="55"/>
        <v>3.4017749632362277</v>
      </c>
      <c r="K459" s="15">
        <f>IF(CurrentMtgRatesDataTable8[[#This Row],[WA CC]]&lt;&gt;0,C458-CurrentMtgRatesDataTable8[[#This Row],[WA CC]],0)</f>
        <v>0.84322503676377236</v>
      </c>
      <c r="L459" s="16">
        <f>IF(CurrentMtgRatesDataTable8[[#This Row],[Servicing Spread]]&lt;=0,L458,CurrentMtgRatesDataTable8[[#This Row],[Servicing Spread]])</f>
        <v>0.84322503676377236</v>
      </c>
      <c r="M459" s="16">
        <f>CurrentMtgRatesDataTable8[[#This Row],[Servicing Spread Non-Zero]]-L458</f>
        <v>-2.0260584025963979E-2</v>
      </c>
      <c r="N459" s="16">
        <f>IF(J458&lt;&gt;0,CurrentMtgRatesDataTable8[[#This Row],[Rate]]-C458,N458)</f>
        <v>-6.9999999999999396E-2</v>
      </c>
    </row>
    <row r="460" spans="1:14">
      <c r="A460" s="12" t="s">
        <v>675</v>
      </c>
      <c r="B460" s="13">
        <v>3.3710250871978902</v>
      </c>
      <c r="C460" s="13">
        <v>4.1550000000000002</v>
      </c>
      <c r="D460" s="15">
        <f t="shared" si="49"/>
        <v>1</v>
      </c>
      <c r="E460" s="15">
        <f t="shared" si="50"/>
        <v>0.2</v>
      </c>
      <c r="F460" s="15">
        <f t="shared" si="51"/>
        <v>1</v>
      </c>
      <c r="G460" s="15">
        <f t="shared" si="52"/>
        <v>0.67420501743957806</v>
      </c>
      <c r="H460" s="15">
        <f t="shared" si="53"/>
        <v>0.2</v>
      </c>
      <c r="I460" s="15">
        <f t="shared" si="54"/>
        <v>0</v>
      </c>
      <c r="J460" s="15">
        <f t="shared" si="55"/>
        <v>0</v>
      </c>
      <c r="K460" s="15">
        <f>IF(CurrentMtgRatesDataTable8[[#This Row],[WA CC]]&lt;&gt;0,C459-CurrentMtgRatesDataTable8[[#This Row],[WA CC]],0)</f>
        <v>0</v>
      </c>
      <c r="L460" s="16">
        <f>IF(CurrentMtgRatesDataTable8[[#This Row],[Servicing Spread]]&lt;=0,L459,CurrentMtgRatesDataTable8[[#This Row],[Servicing Spread]])</f>
        <v>0.84322503676377236</v>
      </c>
      <c r="M460" s="16">
        <f>CurrentMtgRatesDataTable8[[#This Row],[Servicing Spread Non-Zero]]-L459</f>
        <v>0</v>
      </c>
      <c r="N460" s="16">
        <f>IF(J459&lt;&gt;0,CurrentMtgRatesDataTable8[[#This Row],[Rate]]-C459,N459)</f>
        <v>-8.9999999999999858E-2</v>
      </c>
    </row>
    <row r="461" spans="1:14">
      <c r="A461" s="12" t="s">
        <v>535</v>
      </c>
      <c r="B461" s="13">
        <v>3.3406752567006799</v>
      </c>
      <c r="C461" s="13">
        <v>4.1550000000000002</v>
      </c>
      <c r="D461" s="15">
        <f t="shared" si="49"/>
        <v>2</v>
      </c>
      <c r="E461" s="15">
        <f t="shared" si="50"/>
        <v>0.2</v>
      </c>
      <c r="F461" s="15">
        <f t="shared" si="51"/>
        <v>2</v>
      </c>
      <c r="G461" s="15">
        <f t="shared" si="52"/>
        <v>1.342340068779714</v>
      </c>
      <c r="H461" s="15">
        <f t="shared" si="53"/>
        <v>0.4</v>
      </c>
      <c r="I461" s="15">
        <f t="shared" si="54"/>
        <v>0</v>
      </c>
      <c r="J461" s="15">
        <f t="shared" si="55"/>
        <v>0</v>
      </c>
      <c r="K461" s="15">
        <f>IF(CurrentMtgRatesDataTable8[[#This Row],[WA CC]]&lt;&gt;0,C460-CurrentMtgRatesDataTable8[[#This Row],[WA CC]],0)</f>
        <v>0</v>
      </c>
      <c r="L461" s="16">
        <f>IF(CurrentMtgRatesDataTable8[[#This Row],[Servicing Spread]]&lt;=0,L460,CurrentMtgRatesDataTable8[[#This Row],[Servicing Spread]])</f>
        <v>0.84322503676377236</v>
      </c>
      <c r="M461" s="16">
        <f>CurrentMtgRatesDataTable8[[#This Row],[Servicing Spread Non-Zero]]-L460</f>
        <v>0</v>
      </c>
      <c r="N461" s="16">
        <f>IF(J460&lt;&gt;0,CurrentMtgRatesDataTable8[[#This Row],[Rate]]-C460,N460)</f>
        <v>-8.9999999999999858E-2</v>
      </c>
    </row>
    <row r="462" spans="1:14">
      <c r="A462" s="12" t="s">
        <v>390</v>
      </c>
      <c r="B462" s="13">
        <v>3.2710992042590501</v>
      </c>
      <c r="C462" s="13">
        <v>4.1550000000000002</v>
      </c>
      <c r="D462" s="15">
        <f t="shared" si="49"/>
        <v>5</v>
      </c>
      <c r="E462" s="15">
        <f t="shared" si="50"/>
        <v>0.2</v>
      </c>
      <c r="F462" s="15">
        <f t="shared" si="51"/>
        <v>3</v>
      </c>
      <c r="G462" s="15">
        <f t="shared" si="52"/>
        <v>1.9965599096315241</v>
      </c>
      <c r="H462" s="15">
        <f t="shared" si="53"/>
        <v>0.60000000000000009</v>
      </c>
      <c r="I462" s="15">
        <f t="shared" si="54"/>
        <v>0</v>
      </c>
      <c r="J462" s="15">
        <f t="shared" si="55"/>
        <v>0</v>
      </c>
      <c r="K462" s="15">
        <f>IF(CurrentMtgRatesDataTable8[[#This Row],[WA CC]]&lt;&gt;0,C461-CurrentMtgRatesDataTable8[[#This Row],[WA CC]],0)</f>
        <v>0</v>
      </c>
      <c r="L462" s="16">
        <f>IF(CurrentMtgRatesDataTable8[[#This Row],[Servicing Spread]]&lt;=0,L461,CurrentMtgRatesDataTable8[[#This Row],[Servicing Spread]])</f>
        <v>0.84322503676377236</v>
      </c>
      <c r="M462" s="16">
        <f>CurrentMtgRatesDataTable8[[#This Row],[Servicing Spread Non-Zero]]-L461</f>
        <v>0</v>
      </c>
      <c r="N462" s="16">
        <f>IF(J461&lt;&gt;0,CurrentMtgRatesDataTable8[[#This Row],[Rate]]-C461,N461)</f>
        <v>-8.9999999999999858E-2</v>
      </c>
    </row>
    <row r="463" spans="1:14">
      <c r="A463" s="12" t="s">
        <v>257</v>
      </c>
      <c r="B463" s="13">
        <v>3.3111616483337998</v>
      </c>
      <c r="C463" s="13">
        <v>4.1550000000000002</v>
      </c>
      <c r="D463" s="15">
        <f t="shared" si="49"/>
        <v>6</v>
      </c>
      <c r="E463" s="15">
        <f t="shared" si="50"/>
        <v>0.2</v>
      </c>
      <c r="F463" s="15">
        <f t="shared" si="51"/>
        <v>4</v>
      </c>
      <c r="G463" s="15">
        <f t="shared" si="52"/>
        <v>2.6587922392982843</v>
      </c>
      <c r="H463" s="15">
        <f t="shared" si="53"/>
        <v>0.8</v>
      </c>
      <c r="I463" s="15">
        <f t="shared" si="54"/>
        <v>0</v>
      </c>
      <c r="J463" s="15">
        <f t="shared" si="55"/>
        <v>0</v>
      </c>
      <c r="K463" s="15">
        <f>IF(CurrentMtgRatesDataTable8[[#This Row],[WA CC]]&lt;&gt;0,C462-CurrentMtgRatesDataTable8[[#This Row],[WA CC]],0)</f>
        <v>0</v>
      </c>
      <c r="L463" s="16">
        <f>IF(CurrentMtgRatesDataTable8[[#This Row],[Servicing Spread]]&lt;=0,L462,CurrentMtgRatesDataTable8[[#This Row],[Servicing Spread]])</f>
        <v>0.84322503676377236</v>
      </c>
      <c r="M463" s="16">
        <f>CurrentMtgRatesDataTable8[[#This Row],[Servicing Spread Non-Zero]]-L462</f>
        <v>0</v>
      </c>
      <c r="N463" s="16">
        <f>IF(J462&lt;&gt;0,CurrentMtgRatesDataTable8[[#This Row],[Rate]]-C462,N462)</f>
        <v>-8.9999999999999858E-2</v>
      </c>
    </row>
    <row r="464" spans="1:14">
      <c r="A464" s="12" t="s">
        <v>112</v>
      </c>
      <c r="B464" s="13">
        <v>3.3584090078904199</v>
      </c>
      <c r="C464" s="13">
        <v>4.1550000000000002</v>
      </c>
      <c r="D464" s="15">
        <f t="shared" si="49"/>
        <v>7</v>
      </c>
      <c r="E464" s="15">
        <f t="shared" si="50"/>
        <v>0.2</v>
      </c>
      <c r="F464" s="15">
        <f t="shared" si="51"/>
        <v>5</v>
      </c>
      <c r="G464" s="15">
        <f t="shared" si="52"/>
        <v>3.3304740408763682</v>
      </c>
      <c r="H464" s="15">
        <f t="shared" si="53"/>
        <v>1</v>
      </c>
      <c r="I464" s="15">
        <f t="shared" si="54"/>
        <v>1</v>
      </c>
      <c r="J464" s="15">
        <f t="shared" si="55"/>
        <v>3.3304740408763682</v>
      </c>
      <c r="K464" s="15">
        <f>IF(CurrentMtgRatesDataTable8[[#This Row],[WA CC]]&lt;&gt;0,C463-CurrentMtgRatesDataTable8[[#This Row],[WA CC]],0)</f>
        <v>0.82452595912363202</v>
      </c>
      <c r="L464" s="16">
        <f>IF(CurrentMtgRatesDataTable8[[#This Row],[Servicing Spread]]&lt;=0,L463,CurrentMtgRatesDataTable8[[#This Row],[Servicing Spread]])</f>
        <v>0.82452595912363202</v>
      </c>
      <c r="M464" s="16">
        <f>CurrentMtgRatesDataTable8[[#This Row],[Servicing Spread Non-Zero]]-L463</f>
        <v>-1.8699077640140338E-2</v>
      </c>
      <c r="N464" s="16">
        <f>IF(J463&lt;&gt;0,CurrentMtgRatesDataTable8[[#This Row],[Rate]]-C463,N463)</f>
        <v>-8.9999999999999858E-2</v>
      </c>
    </row>
    <row r="465" spans="1:14">
      <c r="A465" s="12" t="s">
        <v>676</v>
      </c>
      <c r="B465" s="13">
        <v>3.3799296471468399</v>
      </c>
      <c r="C465" s="13">
        <v>4.2050000000000001</v>
      </c>
      <c r="D465" s="15">
        <f t="shared" si="49"/>
        <v>1</v>
      </c>
      <c r="E465" s="15">
        <f t="shared" si="50"/>
        <v>0.2</v>
      </c>
      <c r="F465" s="15">
        <f t="shared" si="51"/>
        <v>1</v>
      </c>
      <c r="G465" s="15">
        <f t="shared" si="52"/>
        <v>0.67598592942936797</v>
      </c>
      <c r="H465" s="15">
        <f t="shared" si="53"/>
        <v>0.2</v>
      </c>
      <c r="I465" s="15">
        <f t="shared" si="54"/>
        <v>0</v>
      </c>
      <c r="J465" s="15">
        <f t="shared" si="55"/>
        <v>0</v>
      </c>
      <c r="K465" s="15">
        <f>IF(CurrentMtgRatesDataTable8[[#This Row],[WA CC]]&lt;&gt;0,C464-CurrentMtgRatesDataTable8[[#This Row],[WA CC]],0)</f>
        <v>0</v>
      </c>
      <c r="L465" s="16">
        <f>IF(CurrentMtgRatesDataTable8[[#This Row],[Servicing Spread]]&lt;=0,L464,CurrentMtgRatesDataTable8[[#This Row],[Servicing Spread]])</f>
        <v>0.82452595912363202</v>
      </c>
      <c r="M465" s="16">
        <f>CurrentMtgRatesDataTable8[[#This Row],[Servicing Spread Non-Zero]]-L464</f>
        <v>0</v>
      </c>
      <c r="N465" s="16">
        <f>IF(J464&lt;&gt;0,CurrentMtgRatesDataTable8[[#This Row],[Rate]]-C464,N464)</f>
        <v>4.9999999999999822E-2</v>
      </c>
    </row>
    <row r="466" spans="1:14">
      <c r="A466" s="12" t="s">
        <v>536</v>
      </c>
      <c r="B466" s="13">
        <v>3.34300170180666</v>
      </c>
      <c r="C466" s="13">
        <v>4.2050000000000001</v>
      </c>
      <c r="D466" s="15">
        <f t="shared" si="49"/>
        <v>2</v>
      </c>
      <c r="E466" s="15">
        <f t="shared" si="50"/>
        <v>0.2</v>
      </c>
      <c r="F466" s="15">
        <f t="shared" si="51"/>
        <v>2</v>
      </c>
      <c r="G466" s="15">
        <f t="shared" si="52"/>
        <v>1.3445862697907001</v>
      </c>
      <c r="H466" s="15">
        <f t="shared" si="53"/>
        <v>0.4</v>
      </c>
      <c r="I466" s="15">
        <f t="shared" si="54"/>
        <v>0</v>
      </c>
      <c r="J466" s="15">
        <f t="shared" si="55"/>
        <v>0</v>
      </c>
      <c r="K466" s="15">
        <f>IF(CurrentMtgRatesDataTable8[[#This Row],[WA CC]]&lt;&gt;0,C465-CurrentMtgRatesDataTable8[[#This Row],[WA CC]],0)</f>
        <v>0</v>
      </c>
      <c r="L466" s="16">
        <f>IF(CurrentMtgRatesDataTable8[[#This Row],[Servicing Spread]]&lt;=0,L465,CurrentMtgRatesDataTable8[[#This Row],[Servicing Spread]])</f>
        <v>0.82452595912363202</v>
      </c>
      <c r="M466" s="16">
        <f>CurrentMtgRatesDataTable8[[#This Row],[Servicing Spread Non-Zero]]-L465</f>
        <v>0</v>
      </c>
      <c r="N466" s="16">
        <f>IF(J465&lt;&gt;0,CurrentMtgRatesDataTable8[[#This Row],[Rate]]-C465,N465)</f>
        <v>4.9999999999999822E-2</v>
      </c>
    </row>
    <row r="467" spans="1:14">
      <c r="A467" s="12" t="s">
        <v>391</v>
      </c>
      <c r="B467" s="13">
        <v>3.34761054294983</v>
      </c>
      <c r="C467" s="13">
        <v>4.2050000000000001</v>
      </c>
      <c r="D467" s="15">
        <f t="shared" si="49"/>
        <v>5</v>
      </c>
      <c r="E467" s="15">
        <f t="shared" si="50"/>
        <v>0.2</v>
      </c>
      <c r="F467" s="15">
        <f t="shared" si="51"/>
        <v>3</v>
      </c>
      <c r="G467" s="15">
        <f t="shared" si="52"/>
        <v>2.0141083783806661</v>
      </c>
      <c r="H467" s="15">
        <f t="shared" si="53"/>
        <v>0.60000000000000009</v>
      </c>
      <c r="I467" s="15">
        <f t="shared" si="54"/>
        <v>0</v>
      </c>
      <c r="J467" s="15">
        <f t="shared" si="55"/>
        <v>0</v>
      </c>
      <c r="K467" s="15">
        <f>IF(CurrentMtgRatesDataTable8[[#This Row],[WA CC]]&lt;&gt;0,C466-CurrentMtgRatesDataTable8[[#This Row],[WA CC]],0)</f>
        <v>0</v>
      </c>
      <c r="L467" s="16">
        <f>IF(CurrentMtgRatesDataTable8[[#This Row],[Servicing Spread]]&lt;=0,L466,CurrentMtgRatesDataTable8[[#This Row],[Servicing Spread]])</f>
        <v>0.82452595912363202</v>
      </c>
      <c r="M467" s="16">
        <f>CurrentMtgRatesDataTable8[[#This Row],[Servicing Spread Non-Zero]]-L466</f>
        <v>0</v>
      </c>
      <c r="N467" s="16">
        <f>IF(J466&lt;&gt;0,CurrentMtgRatesDataTable8[[#This Row],[Rate]]-C466,N466)</f>
        <v>4.9999999999999822E-2</v>
      </c>
    </row>
    <row r="468" spans="1:14">
      <c r="A468" s="12" t="s">
        <v>258</v>
      </c>
      <c r="B468" s="13">
        <v>3.3874003692749199</v>
      </c>
      <c r="C468" s="13">
        <v>4.2050000000000001</v>
      </c>
      <c r="D468" s="15">
        <f t="shared" si="49"/>
        <v>6</v>
      </c>
      <c r="E468" s="15">
        <f t="shared" si="50"/>
        <v>0.2</v>
      </c>
      <c r="F468" s="15">
        <f t="shared" si="51"/>
        <v>4</v>
      </c>
      <c r="G468" s="15">
        <f t="shared" si="52"/>
        <v>2.6915884522356501</v>
      </c>
      <c r="H468" s="15">
        <f t="shared" si="53"/>
        <v>0.8</v>
      </c>
      <c r="I468" s="15">
        <f t="shared" si="54"/>
        <v>0</v>
      </c>
      <c r="J468" s="15">
        <f t="shared" si="55"/>
        <v>0</v>
      </c>
      <c r="K468" s="15">
        <f>IF(CurrentMtgRatesDataTable8[[#This Row],[WA CC]]&lt;&gt;0,C467-CurrentMtgRatesDataTable8[[#This Row],[WA CC]],0)</f>
        <v>0</v>
      </c>
      <c r="L468" s="16">
        <f>IF(CurrentMtgRatesDataTable8[[#This Row],[Servicing Spread]]&lt;=0,L467,CurrentMtgRatesDataTable8[[#This Row],[Servicing Spread]])</f>
        <v>0.82452595912363202</v>
      </c>
      <c r="M468" s="16">
        <f>CurrentMtgRatesDataTable8[[#This Row],[Servicing Spread Non-Zero]]-L467</f>
        <v>0</v>
      </c>
      <c r="N468" s="16">
        <f>IF(J467&lt;&gt;0,CurrentMtgRatesDataTable8[[#This Row],[Rate]]-C467,N467)</f>
        <v>4.9999999999999822E-2</v>
      </c>
    </row>
    <row r="469" spans="1:14">
      <c r="A469" s="12" t="s">
        <v>113</v>
      </c>
      <c r="B469" s="13">
        <v>3.4367814236357002</v>
      </c>
      <c r="C469" s="13">
        <v>4.2050000000000001</v>
      </c>
      <c r="D469" s="15">
        <f t="shared" si="49"/>
        <v>7</v>
      </c>
      <c r="E469" s="15">
        <f t="shared" si="50"/>
        <v>0.2</v>
      </c>
      <c r="F469" s="15">
        <f t="shared" si="51"/>
        <v>5</v>
      </c>
      <c r="G469" s="15">
        <f t="shared" si="52"/>
        <v>3.3789447369627901</v>
      </c>
      <c r="H469" s="15">
        <f t="shared" si="53"/>
        <v>1</v>
      </c>
      <c r="I469" s="15">
        <f t="shared" si="54"/>
        <v>1</v>
      </c>
      <c r="J469" s="15">
        <f t="shared" si="55"/>
        <v>3.3789447369627901</v>
      </c>
      <c r="K469" s="15">
        <f>IF(CurrentMtgRatesDataTable8[[#This Row],[WA CC]]&lt;&gt;0,C468-CurrentMtgRatesDataTable8[[#This Row],[WA CC]],0)</f>
        <v>0.82605526303721</v>
      </c>
      <c r="L469" s="16">
        <f>IF(CurrentMtgRatesDataTable8[[#This Row],[Servicing Spread]]&lt;=0,L468,CurrentMtgRatesDataTable8[[#This Row],[Servicing Spread]])</f>
        <v>0.82605526303721</v>
      </c>
      <c r="M469" s="16">
        <f>CurrentMtgRatesDataTable8[[#This Row],[Servicing Spread Non-Zero]]-L468</f>
        <v>1.5293039135779729E-3</v>
      </c>
      <c r="N469" s="16">
        <f>IF(J468&lt;&gt;0,CurrentMtgRatesDataTable8[[#This Row],[Rate]]-C468,N468)</f>
        <v>4.9999999999999822E-2</v>
      </c>
    </row>
    <row r="470" spans="1:14">
      <c r="A470" s="12" t="s">
        <v>677</v>
      </c>
      <c r="B470" s="13">
        <v>3.3963820586764299</v>
      </c>
      <c r="C470" s="13">
        <v>4.2549999999999999</v>
      </c>
      <c r="D470" s="15">
        <f t="shared" si="49"/>
        <v>1</v>
      </c>
      <c r="E470" s="15">
        <f t="shared" si="50"/>
        <v>0.2</v>
      </c>
      <c r="F470" s="15">
        <f t="shared" si="51"/>
        <v>1</v>
      </c>
      <c r="G470" s="15">
        <f t="shared" si="52"/>
        <v>0.67927641173528608</v>
      </c>
      <c r="H470" s="15">
        <f t="shared" si="53"/>
        <v>0.2</v>
      </c>
      <c r="I470" s="15">
        <f t="shared" si="54"/>
        <v>0</v>
      </c>
      <c r="J470" s="15">
        <f t="shared" si="55"/>
        <v>0</v>
      </c>
      <c r="K470" s="15">
        <f>IF(CurrentMtgRatesDataTable8[[#This Row],[WA CC]]&lt;&gt;0,C469-CurrentMtgRatesDataTable8[[#This Row],[WA CC]],0)</f>
        <v>0</v>
      </c>
      <c r="L470" s="16">
        <f>IF(CurrentMtgRatesDataTable8[[#This Row],[Servicing Spread]]&lt;=0,L469,CurrentMtgRatesDataTable8[[#This Row],[Servicing Spread]])</f>
        <v>0.82605526303721</v>
      </c>
      <c r="M470" s="16">
        <f>CurrentMtgRatesDataTable8[[#This Row],[Servicing Spread Non-Zero]]-L469</f>
        <v>0</v>
      </c>
      <c r="N470" s="16">
        <f>IF(J469&lt;&gt;0,CurrentMtgRatesDataTable8[[#This Row],[Rate]]-C469,N469)</f>
        <v>4.9999999999999822E-2</v>
      </c>
    </row>
    <row r="471" spans="1:14">
      <c r="A471" s="12" t="s">
        <v>537</v>
      </c>
      <c r="B471" s="13">
        <v>3.42404687499962</v>
      </c>
      <c r="C471" s="13">
        <v>4.2549999999999999</v>
      </c>
      <c r="D471" s="15">
        <f t="shared" si="49"/>
        <v>2</v>
      </c>
      <c r="E471" s="15">
        <f t="shared" si="50"/>
        <v>0.2</v>
      </c>
      <c r="F471" s="15">
        <f t="shared" si="51"/>
        <v>2</v>
      </c>
      <c r="G471" s="15">
        <f t="shared" si="52"/>
        <v>1.3640857867352101</v>
      </c>
      <c r="H471" s="15">
        <f t="shared" si="53"/>
        <v>0.4</v>
      </c>
      <c r="I471" s="15">
        <f t="shared" si="54"/>
        <v>0</v>
      </c>
      <c r="J471" s="15">
        <f t="shared" si="55"/>
        <v>0</v>
      </c>
      <c r="K471" s="15">
        <f>IF(CurrentMtgRatesDataTable8[[#This Row],[WA CC]]&lt;&gt;0,C470-CurrentMtgRatesDataTable8[[#This Row],[WA CC]],0)</f>
        <v>0</v>
      </c>
      <c r="L471" s="16">
        <f>IF(CurrentMtgRatesDataTable8[[#This Row],[Servicing Spread]]&lt;=0,L470,CurrentMtgRatesDataTable8[[#This Row],[Servicing Spread]])</f>
        <v>0.82605526303721</v>
      </c>
      <c r="M471" s="16">
        <f>CurrentMtgRatesDataTable8[[#This Row],[Servicing Spread Non-Zero]]-L470</f>
        <v>0</v>
      </c>
      <c r="N471" s="16">
        <f>IF(J470&lt;&gt;0,CurrentMtgRatesDataTable8[[#This Row],[Rate]]-C470,N470)</f>
        <v>4.9999999999999822E-2</v>
      </c>
    </row>
    <row r="472" spans="1:14">
      <c r="A472" s="12" t="s">
        <v>259</v>
      </c>
      <c r="B472" s="13">
        <v>3.4022510541238402</v>
      </c>
      <c r="C472" s="13">
        <v>4.2549999999999999</v>
      </c>
      <c r="D472" s="15">
        <f t="shared" si="49"/>
        <v>6</v>
      </c>
      <c r="E472" s="15">
        <f t="shared" si="50"/>
        <v>0.2</v>
      </c>
      <c r="F472" s="15">
        <f t="shared" si="51"/>
        <v>3</v>
      </c>
      <c r="G472" s="15">
        <f t="shared" si="52"/>
        <v>2.0445359975599784</v>
      </c>
      <c r="H472" s="15">
        <f t="shared" si="53"/>
        <v>0.60000000000000009</v>
      </c>
      <c r="I472" s="15">
        <f t="shared" si="54"/>
        <v>0</v>
      </c>
      <c r="J472" s="15">
        <f t="shared" si="55"/>
        <v>0</v>
      </c>
      <c r="K472" s="15">
        <f>IF(CurrentMtgRatesDataTable8[[#This Row],[WA CC]]&lt;&gt;0,C471-CurrentMtgRatesDataTable8[[#This Row],[WA CC]],0)</f>
        <v>0</v>
      </c>
      <c r="L472" s="16">
        <f>IF(CurrentMtgRatesDataTable8[[#This Row],[Servicing Spread]]&lt;=0,L471,CurrentMtgRatesDataTable8[[#This Row],[Servicing Spread]])</f>
        <v>0.82605526303721</v>
      </c>
      <c r="M472" s="16">
        <f>CurrentMtgRatesDataTable8[[#This Row],[Servicing Spread Non-Zero]]-L471</f>
        <v>0</v>
      </c>
      <c r="N472" s="16">
        <f>IF(J471&lt;&gt;0,CurrentMtgRatesDataTable8[[#This Row],[Rate]]-C471,N471)</f>
        <v>4.9999999999999822E-2</v>
      </c>
    </row>
    <row r="473" spans="1:14">
      <c r="A473" s="12" t="s">
        <v>114</v>
      </c>
      <c r="B473" s="13">
        <v>3.4208462339079002</v>
      </c>
      <c r="C473" s="13">
        <v>4.2549999999999999</v>
      </c>
      <c r="D473" s="15">
        <f t="shared" si="49"/>
        <v>7</v>
      </c>
      <c r="E473" s="15">
        <f t="shared" si="50"/>
        <v>0.2</v>
      </c>
      <c r="F473" s="15">
        <f t="shared" si="51"/>
        <v>4</v>
      </c>
      <c r="G473" s="15">
        <f t="shared" si="52"/>
        <v>2.7287052443415583</v>
      </c>
      <c r="H473" s="15">
        <f t="shared" si="53"/>
        <v>0.8</v>
      </c>
      <c r="I473" s="15">
        <f t="shared" si="54"/>
        <v>1</v>
      </c>
      <c r="J473" s="15">
        <f t="shared" si="55"/>
        <v>3.4108815554269478</v>
      </c>
      <c r="K473" s="15">
        <f>IF(CurrentMtgRatesDataTable8[[#This Row],[WA CC]]&lt;&gt;0,C472-CurrentMtgRatesDataTable8[[#This Row],[WA CC]],0)</f>
        <v>0.84411844457305207</v>
      </c>
      <c r="L473" s="16">
        <f>IF(CurrentMtgRatesDataTable8[[#This Row],[Servicing Spread]]&lt;=0,L472,CurrentMtgRatesDataTable8[[#This Row],[Servicing Spread]])</f>
        <v>0.84411844457305207</v>
      </c>
      <c r="M473" s="16">
        <f>CurrentMtgRatesDataTable8[[#This Row],[Servicing Spread Non-Zero]]-L472</f>
        <v>1.8063181535842077E-2</v>
      </c>
      <c r="N473" s="16">
        <f>IF(J472&lt;&gt;0,CurrentMtgRatesDataTable8[[#This Row],[Rate]]-C472,N472)</f>
        <v>4.9999999999999822E-2</v>
      </c>
    </row>
    <row r="474" spans="1:14">
      <c r="A474" s="12" t="s">
        <v>678</v>
      </c>
      <c r="B474" s="13">
        <v>3.4409874974018302</v>
      </c>
      <c r="C474" s="13">
        <v>4.2949999999999999</v>
      </c>
      <c r="D474" s="15">
        <f t="shared" si="49"/>
        <v>1</v>
      </c>
      <c r="E474" s="15">
        <f t="shared" si="50"/>
        <v>0.2</v>
      </c>
      <c r="F474" s="15">
        <f t="shared" si="51"/>
        <v>1</v>
      </c>
      <c r="G474" s="15">
        <f t="shared" si="52"/>
        <v>0.68819749948036613</v>
      </c>
      <c r="H474" s="15">
        <f t="shared" si="53"/>
        <v>0.2</v>
      </c>
      <c r="I474" s="15">
        <f t="shared" si="54"/>
        <v>0</v>
      </c>
      <c r="J474" s="15">
        <f t="shared" si="55"/>
        <v>0</v>
      </c>
      <c r="K474" s="15">
        <f>IF(CurrentMtgRatesDataTable8[[#This Row],[WA CC]]&lt;&gt;0,C473-CurrentMtgRatesDataTable8[[#This Row],[WA CC]],0)</f>
        <v>0</v>
      </c>
      <c r="L474" s="16">
        <f>IF(CurrentMtgRatesDataTable8[[#This Row],[Servicing Spread]]&lt;=0,L473,CurrentMtgRatesDataTable8[[#This Row],[Servicing Spread]])</f>
        <v>0.84411844457305207</v>
      </c>
      <c r="M474" s="16">
        <f>CurrentMtgRatesDataTable8[[#This Row],[Servicing Spread Non-Zero]]-L473</f>
        <v>0</v>
      </c>
      <c r="N474" s="16">
        <f>IF(J473&lt;&gt;0,CurrentMtgRatesDataTable8[[#This Row],[Rate]]-C473,N473)</f>
        <v>4.0000000000000036E-2</v>
      </c>
    </row>
    <row r="475" spans="1:14">
      <c r="A475" s="12" t="s">
        <v>538</v>
      </c>
      <c r="B475" s="13">
        <v>3.4238152467223899</v>
      </c>
      <c r="C475" s="13">
        <v>4.2949999999999999</v>
      </c>
      <c r="D475" s="15">
        <f t="shared" si="49"/>
        <v>2</v>
      </c>
      <c r="E475" s="15">
        <f t="shared" si="50"/>
        <v>0.2</v>
      </c>
      <c r="F475" s="15">
        <f t="shared" si="51"/>
        <v>2</v>
      </c>
      <c r="G475" s="15">
        <f t="shared" si="52"/>
        <v>1.3729605488248442</v>
      </c>
      <c r="H475" s="15">
        <f t="shared" si="53"/>
        <v>0.4</v>
      </c>
      <c r="I475" s="15">
        <f t="shared" si="54"/>
        <v>0</v>
      </c>
      <c r="J475" s="15">
        <f t="shared" si="55"/>
        <v>0</v>
      </c>
      <c r="K475" s="15">
        <f>IF(CurrentMtgRatesDataTable8[[#This Row],[WA CC]]&lt;&gt;0,C474-CurrentMtgRatesDataTable8[[#This Row],[WA CC]],0)</f>
        <v>0</v>
      </c>
      <c r="L475" s="16">
        <f>IF(CurrentMtgRatesDataTable8[[#This Row],[Servicing Spread]]&lt;=0,L474,CurrentMtgRatesDataTable8[[#This Row],[Servicing Spread]])</f>
        <v>0.84411844457305207</v>
      </c>
      <c r="M475" s="16">
        <f>CurrentMtgRatesDataTable8[[#This Row],[Servicing Spread Non-Zero]]-L474</f>
        <v>0</v>
      </c>
      <c r="N475" s="16">
        <f>IF(J474&lt;&gt;0,CurrentMtgRatesDataTable8[[#This Row],[Rate]]-C474,N474)</f>
        <v>4.0000000000000036E-2</v>
      </c>
    </row>
    <row r="476" spans="1:14">
      <c r="A476" s="12" t="s">
        <v>392</v>
      </c>
      <c r="B476" s="13">
        <v>3.4298763218774999</v>
      </c>
      <c r="C476" s="13">
        <v>4.2949999999999999</v>
      </c>
      <c r="D476" s="15">
        <f t="shared" si="49"/>
        <v>5</v>
      </c>
      <c r="E476" s="15">
        <f t="shared" si="50"/>
        <v>0.2</v>
      </c>
      <c r="F476" s="15">
        <f t="shared" si="51"/>
        <v>3</v>
      </c>
      <c r="G476" s="15">
        <f t="shared" si="52"/>
        <v>2.0589358132003444</v>
      </c>
      <c r="H476" s="15">
        <f t="shared" si="53"/>
        <v>0.60000000000000009</v>
      </c>
      <c r="I476" s="15">
        <f t="shared" si="54"/>
        <v>0</v>
      </c>
      <c r="J476" s="15">
        <f t="shared" si="55"/>
        <v>0</v>
      </c>
      <c r="K476" s="15">
        <f>IF(CurrentMtgRatesDataTable8[[#This Row],[WA CC]]&lt;&gt;0,C475-CurrentMtgRatesDataTable8[[#This Row],[WA CC]],0)</f>
        <v>0</v>
      </c>
      <c r="L476" s="16">
        <f>IF(CurrentMtgRatesDataTable8[[#This Row],[Servicing Spread]]&lt;=0,L475,CurrentMtgRatesDataTable8[[#This Row],[Servicing Spread]])</f>
        <v>0.84411844457305207</v>
      </c>
      <c r="M476" s="16">
        <f>CurrentMtgRatesDataTable8[[#This Row],[Servicing Spread Non-Zero]]-L475</f>
        <v>0</v>
      </c>
      <c r="N476" s="16">
        <f>IF(J475&lt;&gt;0,CurrentMtgRatesDataTable8[[#This Row],[Rate]]-C475,N475)</f>
        <v>4.0000000000000036E-2</v>
      </c>
    </row>
    <row r="477" spans="1:14">
      <c r="A477" s="12" t="s">
        <v>260</v>
      </c>
      <c r="B477" s="13">
        <v>3.3762483730993802</v>
      </c>
      <c r="C477" s="13">
        <v>4.2949999999999999</v>
      </c>
      <c r="D477" s="15">
        <f t="shared" si="49"/>
        <v>6</v>
      </c>
      <c r="E477" s="15">
        <f t="shared" si="50"/>
        <v>0.2</v>
      </c>
      <c r="F477" s="15">
        <f t="shared" si="51"/>
        <v>4</v>
      </c>
      <c r="G477" s="15">
        <f t="shared" si="52"/>
        <v>2.7341854878202203</v>
      </c>
      <c r="H477" s="15">
        <f t="shared" si="53"/>
        <v>0.8</v>
      </c>
      <c r="I477" s="15">
        <f t="shared" si="54"/>
        <v>0</v>
      </c>
      <c r="J477" s="15">
        <f t="shared" si="55"/>
        <v>0</v>
      </c>
      <c r="K477" s="15">
        <f>IF(CurrentMtgRatesDataTable8[[#This Row],[WA CC]]&lt;&gt;0,C476-CurrentMtgRatesDataTable8[[#This Row],[WA CC]],0)</f>
        <v>0</v>
      </c>
      <c r="L477" s="16">
        <f>IF(CurrentMtgRatesDataTable8[[#This Row],[Servicing Spread]]&lt;=0,L476,CurrentMtgRatesDataTable8[[#This Row],[Servicing Spread]])</f>
        <v>0.84411844457305207</v>
      </c>
      <c r="M477" s="16">
        <f>CurrentMtgRatesDataTable8[[#This Row],[Servicing Spread Non-Zero]]-L476</f>
        <v>0</v>
      </c>
      <c r="N477" s="16">
        <f>IF(J476&lt;&gt;0,CurrentMtgRatesDataTable8[[#This Row],[Rate]]-C476,N476)</f>
        <v>4.0000000000000036E-2</v>
      </c>
    </row>
    <row r="478" spans="1:14">
      <c r="A478" s="12" t="s">
        <v>115</v>
      </c>
      <c r="B478" s="13">
        <v>3.36185561650391</v>
      </c>
      <c r="C478" s="13">
        <v>4.2949999999999999</v>
      </c>
      <c r="D478" s="15">
        <f t="shared" si="49"/>
        <v>7</v>
      </c>
      <c r="E478" s="15">
        <f t="shared" si="50"/>
        <v>0.2</v>
      </c>
      <c r="F478" s="15">
        <f t="shared" si="51"/>
        <v>5</v>
      </c>
      <c r="G478" s="15">
        <f t="shared" si="52"/>
        <v>3.4065566111210024</v>
      </c>
      <c r="H478" s="15">
        <f t="shared" si="53"/>
        <v>1</v>
      </c>
      <c r="I478" s="15">
        <f t="shared" si="54"/>
        <v>1</v>
      </c>
      <c r="J478" s="15">
        <f t="shared" si="55"/>
        <v>3.4065566111210024</v>
      </c>
      <c r="K478" s="15">
        <f>IF(CurrentMtgRatesDataTable8[[#This Row],[WA CC]]&lt;&gt;0,C477-CurrentMtgRatesDataTable8[[#This Row],[WA CC]],0)</f>
        <v>0.88844338887899754</v>
      </c>
      <c r="L478" s="16">
        <f>IF(CurrentMtgRatesDataTable8[[#This Row],[Servicing Spread]]&lt;=0,L477,CurrentMtgRatesDataTable8[[#This Row],[Servicing Spread]])</f>
        <v>0.88844338887899754</v>
      </c>
      <c r="M478" s="16">
        <f>CurrentMtgRatesDataTable8[[#This Row],[Servicing Spread Non-Zero]]-L477</f>
        <v>4.4324944305945468E-2</v>
      </c>
      <c r="N478" s="16">
        <f>IF(J477&lt;&gt;0,CurrentMtgRatesDataTable8[[#This Row],[Rate]]-C477,N477)</f>
        <v>4.0000000000000036E-2</v>
      </c>
    </row>
    <row r="479" spans="1:14">
      <c r="A479" s="12" t="s">
        <v>679</v>
      </c>
      <c r="B479" s="13">
        <v>3.3370205659412702</v>
      </c>
      <c r="C479" s="13">
        <v>4.2050000000000001</v>
      </c>
      <c r="D479" s="15">
        <f t="shared" si="49"/>
        <v>1</v>
      </c>
      <c r="E479" s="15">
        <f t="shared" si="50"/>
        <v>0.2</v>
      </c>
      <c r="F479" s="15">
        <f t="shared" si="51"/>
        <v>1</v>
      </c>
      <c r="G479" s="15">
        <f t="shared" si="52"/>
        <v>0.6674041131882541</v>
      </c>
      <c r="H479" s="15">
        <f t="shared" si="53"/>
        <v>0.2</v>
      </c>
      <c r="I479" s="15">
        <f t="shared" si="54"/>
        <v>0</v>
      </c>
      <c r="J479" s="15">
        <f t="shared" si="55"/>
        <v>0</v>
      </c>
      <c r="K479" s="15">
        <f>IF(CurrentMtgRatesDataTable8[[#This Row],[WA CC]]&lt;&gt;0,C478-CurrentMtgRatesDataTable8[[#This Row],[WA CC]],0)</f>
        <v>0</v>
      </c>
      <c r="L479" s="16">
        <f>IF(CurrentMtgRatesDataTable8[[#This Row],[Servicing Spread]]&lt;=0,L478,CurrentMtgRatesDataTable8[[#This Row],[Servicing Spread]])</f>
        <v>0.88844338887899754</v>
      </c>
      <c r="M479" s="16">
        <f>CurrentMtgRatesDataTable8[[#This Row],[Servicing Spread Non-Zero]]-L478</f>
        <v>0</v>
      </c>
      <c r="N479" s="16">
        <f>IF(J478&lt;&gt;0,CurrentMtgRatesDataTable8[[#This Row],[Rate]]-C478,N478)</f>
        <v>-8.9999999999999858E-2</v>
      </c>
    </row>
    <row r="480" spans="1:14">
      <c r="A480" s="12" t="s">
        <v>539</v>
      </c>
      <c r="B480" s="13">
        <v>3.3514861848067001</v>
      </c>
      <c r="C480" s="13">
        <v>4.2050000000000001</v>
      </c>
      <c r="D480" s="15">
        <f t="shared" si="49"/>
        <v>2</v>
      </c>
      <c r="E480" s="15">
        <f t="shared" si="50"/>
        <v>0.2</v>
      </c>
      <c r="F480" s="15">
        <f t="shared" si="51"/>
        <v>2</v>
      </c>
      <c r="G480" s="15">
        <f t="shared" si="52"/>
        <v>1.3377013501495942</v>
      </c>
      <c r="H480" s="15">
        <f t="shared" si="53"/>
        <v>0.4</v>
      </c>
      <c r="I480" s="15">
        <f t="shared" si="54"/>
        <v>0</v>
      </c>
      <c r="J480" s="15">
        <f t="shared" si="55"/>
        <v>0</v>
      </c>
      <c r="K480" s="15">
        <f>IF(CurrentMtgRatesDataTable8[[#This Row],[WA CC]]&lt;&gt;0,C479-CurrentMtgRatesDataTable8[[#This Row],[WA CC]],0)</f>
        <v>0</v>
      </c>
      <c r="L480" s="16">
        <f>IF(CurrentMtgRatesDataTable8[[#This Row],[Servicing Spread]]&lt;=0,L479,CurrentMtgRatesDataTable8[[#This Row],[Servicing Spread]])</f>
        <v>0.88844338887899754</v>
      </c>
      <c r="M480" s="16">
        <f>CurrentMtgRatesDataTable8[[#This Row],[Servicing Spread Non-Zero]]-L479</f>
        <v>0</v>
      </c>
      <c r="N480" s="16">
        <f>IF(J479&lt;&gt;0,CurrentMtgRatesDataTable8[[#This Row],[Rate]]-C479,N479)</f>
        <v>-8.9999999999999858E-2</v>
      </c>
    </row>
    <row r="481" spans="1:14">
      <c r="A481" s="12" t="s">
        <v>393</v>
      </c>
      <c r="B481" s="13">
        <v>3.32529881785555</v>
      </c>
      <c r="C481" s="13">
        <v>4.2050000000000001</v>
      </c>
      <c r="D481" s="15">
        <f t="shared" si="49"/>
        <v>5</v>
      </c>
      <c r="E481" s="15">
        <f t="shared" si="50"/>
        <v>0.2</v>
      </c>
      <c r="F481" s="15">
        <f t="shared" si="51"/>
        <v>3</v>
      </c>
      <c r="G481" s="15">
        <f t="shared" si="52"/>
        <v>2.0027611137207044</v>
      </c>
      <c r="H481" s="15">
        <f t="shared" si="53"/>
        <v>0.60000000000000009</v>
      </c>
      <c r="I481" s="15">
        <f t="shared" si="54"/>
        <v>0</v>
      </c>
      <c r="J481" s="15">
        <f t="shared" si="55"/>
        <v>0</v>
      </c>
      <c r="K481" s="15">
        <f>IF(CurrentMtgRatesDataTable8[[#This Row],[WA CC]]&lt;&gt;0,C480-CurrentMtgRatesDataTable8[[#This Row],[WA CC]],0)</f>
        <v>0</v>
      </c>
      <c r="L481" s="16">
        <f>IF(CurrentMtgRatesDataTable8[[#This Row],[Servicing Spread]]&lt;=0,L480,CurrentMtgRatesDataTable8[[#This Row],[Servicing Spread]])</f>
        <v>0.88844338887899754</v>
      </c>
      <c r="M481" s="16">
        <f>CurrentMtgRatesDataTable8[[#This Row],[Servicing Spread Non-Zero]]-L480</f>
        <v>0</v>
      </c>
      <c r="N481" s="16">
        <f>IF(J480&lt;&gt;0,CurrentMtgRatesDataTable8[[#This Row],[Rate]]-C480,N480)</f>
        <v>-8.9999999999999858E-2</v>
      </c>
    </row>
    <row r="482" spans="1:14">
      <c r="A482" s="12" t="s">
        <v>261</v>
      </c>
      <c r="B482" s="13">
        <v>3.3983132593490502</v>
      </c>
      <c r="C482" s="13">
        <v>4.2050000000000001</v>
      </c>
      <c r="D482" s="15">
        <f t="shared" si="49"/>
        <v>6</v>
      </c>
      <c r="E482" s="15">
        <f t="shared" si="50"/>
        <v>0.2</v>
      </c>
      <c r="F482" s="15">
        <f t="shared" si="51"/>
        <v>4</v>
      </c>
      <c r="G482" s="15">
        <f t="shared" si="52"/>
        <v>2.6824237655905145</v>
      </c>
      <c r="H482" s="15">
        <f t="shared" si="53"/>
        <v>0.8</v>
      </c>
      <c r="I482" s="15">
        <f t="shared" si="54"/>
        <v>0</v>
      </c>
      <c r="J482" s="15">
        <f t="shared" si="55"/>
        <v>0</v>
      </c>
      <c r="K482" s="15">
        <f>IF(CurrentMtgRatesDataTable8[[#This Row],[WA CC]]&lt;&gt;0,C481-CurrentMtgRatesDataTable8[[#This Row],[WA CC]],0)</f>
        <v>0</v>
      </c>
      <c r="L482" s="16">
        <f>IF(CurrentMtgRatesDataTable8[[#This Row],[Servicing Spread]]&lt;=0,L481,CurrentMtgRatesDataTable8[[#This Row],[Servicing Spread]])</f>
        <v>0.88844338887899754</v>
      </c>
      <c r="M482" s="16">
        <f>CurrentMtgRatesDataTable8[[#This Row],[Servicing Spread Non-Zero]]-L481</f>
        <v>0</v>
      </c>
      <c r="N482" s="16">
        <f>IF(J481&lt;&gt;0,CurrentMtgRatesDataTable8[[#This Row],[Rate]]-C481,N481)</f>
        <v>-8.9999999999999858E-2</v>
      </c>
    </row>
    <row r="483" spans="1:14">
      <c r="A483" s="12" t="s">
        <v>116</v>
      </c>
      <c r="B483" s="13">
        <v>3.40151851180392</v>
      </c>
      <c r="C483" s="13">
        <v>4.2050000000000001</v>
      </c>
      <c r="D483" s="15">
        <f t="shared" si="49"/>
        <v>7</v>
      </c>
      <c r="E483" s="15">
        <f t="shared" si="50"/>
        <v>0.2</v>
      </c>
      <c r="F483" s="15">
        <f t="shared" si="51"/>
        <v>5</v>
      </c>
      <c r="G483" s="15">
        <f t="shared" si="52"/>
        <v>3.3627274679512986</v>
      </c>
      <c r="H483" s="15">
        <f t="shared" si="53"/>
        <v>1</v>
      </c>
      <c r="I483" s="15">
        <f t="shared" si="54"/>
        <v>1</v>
      </c>
      <c r="J483" s="15">
        <f t="shared" si="55"/>
        <v>3.3627274679512986</v>
      </c>
      <c r="K483" s="15">
        <f>IF(CurrentMtgRatesDataTable8[[#This Row],[WA CC]]&lt;&gt;0,C482-CurrentMtgRatesDataTable8[[#This Row],[WA CC]],0)</f>
        <v>0.84227253204870145</v>
      </c>
      <c r="L483" s="16">
        <f>IF(CurrentMtgRatesDataTable8[[#This Row],[Servicing Spread]]&lt;=0,L482,CurrentMtgRatesDataTable8[[#This Row],[Servicing Spread]])</f>
        <v>0.84227253204870145</v>
      </c>
      <c r="M483" s="16">
        <f>CurrentMtgRatesDataTable8[[#This Row],[Servicing Spread Non-Zero]]-L482</f>
        <v>-4.6170856830296092E-2</v>
      </c>
      <c r="N483" s="16">
        <f>IF(J482&lt;&gt;0,CurrentMtgRatesDataTable8[[#This Row],[Rate]]-C482,N482)</f>
        <v>-8.9999999999999858E-2</v>
      </c>
    </row>
    <row r="484" spans="1:14">
      <c r="A484" s="12" t="s">
        <v>680</v>
      </c>
      <c r="B484" s="13">
        <v>3.4237035729301399</v>
      </c>
      <c r="C484" s="13">
        <v>4.2700000000000005</v>
      </c>
      <c r="D484" s="15">
        <f t="shared" si="49"/>
        <v>1</v>
      </c>
      <c r="E484" s="15">
        <f t="shared" si="50"/>
        <v>0.2</v>
      </c>
      <c r="F484" s="15">
        <f t="shared" si="51"/>
        <v>1</v>
      </c>
      <c r="G484" s="15">
        <f t="shared" si="52"/>
        <v>0.68474071458602803</v>
      </c>
      <c r="H484" s="15">
        <f t="shared" si="53"/>
        <v>0.2</v>
      </c>
      <c r="I484" s="15">
        <f t="shared" si="54"/>
        <v>0</v>
      </c>
      <c r="J484" s="15">
        <f t="shared" si="55"/>
        <v>0</v>
      </c>
      <c r="K484" s="15">
        <f>IF(CurrentMtgRatesDataTable8[[#This Row],[WA CC]]&lt;&gt;0,C483-CurrentMtgRatesDataTable8[[#This Row],[WA CC]],0)</f>
        <v>0</v>
      </c>
      <c r="L484" s="16">
        <f>IF(CurrentMtgRatesDataTable8[[#This Row],[Servicing Spread]]&lt;=0,L483,CurrentMtgRatesDataTable8[[#This Row],[Servicing Spread]])</f>
        <v>0.84227253204870145</v>
      </c>
      <c r="M484" s="16">
        <f>CurrentMtgRatesDataTable8[[#This Row],[Servicing Spread Non-Zero]]-L483</f>
        <v>0</v>
      </c>
      <c r="N484" s="16">
        <f>IF(J483&lt;&gt;0,CurrentMtgRatesDataTable8[[#This Row],[Rate]]-C483,N483)</f>
        <v>6.5000000000000391E-2</v>
      </c>
    </row>
    <row r="485" spans="1:14">
      <c r="A485" s="12" t="s">
        <v>540</v>
      </c>
      <c r="B485" s="13">
        <v>3.4613667705973898</v>
      </c>
      <c r="C485" s="13">
        <v>4.2700000000000005</v>
      </c>
      <c r="D485" s="15">
        <f t="shared" si="49"/>
        <v>2</v>
      </c>
      <c r="E485" s="15">
        <f t="shared" si="50"/>
        <v>0.2</v>
      </c>
      <c r="F485" s="15">
        <f t="shared" si="51"/>
        <v>2</v>
      </c>
      <c r="G485" s="15">
        <f t="shared" si="52"/>
        <v>1.3770140687055061</v>
      </c>
      <c r="H485" s="15">
        <f t="shared" si="53"/>
        <v>0.4</v>
      </c>
      <c r="I485" s="15">
        <f t="shared" si="54"/>
        <v>0</v>
      </c>
      <c r="J485" s="15">
        <f t="shared" si="55"/>
        <v>0</v>
      </c>
      <c r="K485" s="15">
        <f>IF(CurrentMtgRatesDataTable8[[#This Row],[WA CC]]&lt;&gt;0,C484-CurrentMtgRatesDataTable8[[#This Row],[WA CC]],0)</f>
        <v>0</v>
      </c>
      <c r="L485" s="16">
        <f>IF(CurrentMtgRatesDataTable8[[#This Row],[Servicing Spread]]&lt;=0,L484,CurrentMtgRatesDataTable8[[#This Row],[Servicing Spread]])</f>
        <v>0.84227253204870145</v>
      </c>
      <c r="M485" s="16">
        <f>CurrentMtgRatesDataTable8[[#This Row],[Servicing Spread Non-Zero]]-L484</f>
        <v>0</v>
      </c>
      <c r="N485" s="16">
        <f>IF(J484&lt;&gt;0,CurrentMtgRatesDataTable8[[#This Row],[Rate]]-C484,N484)</f>
        <v>6.5000000000000391E-2</v>
      </c>
    </row>
    <row r="486" spans="1:14">
      <c r="A486" s="12" t="s">
        <v>394</v>
      </c>
      <c r="B486" s="13">
        <v>3.4465671397565498</v>
      </c>
      <c r="C486" s="13">
        <v>4.2700000000000005</v>
      </c>
      <c r="D486" s="15">
        <f t="shared" si="49"/>
        <v>5</v>
      </c>
      <c r="E486" s="15">
        <f t="shared" si="50"/>
        <v>0.2</v>
      </c>
      <c r="F486" s="15">
        <f t="shared" si="51"/>
        <v>3</v>
      </c>
      <c r="G486" s="15">
        <f t="shared" si="52"/>
        <v>2.0663274966568164</v>
      </c>
      <c r="H486" s="15">
        <f t="shared" si="53"/>
        <v>0.60000000000000009</v>
      </c>
      <c r="I486" s="15">
        <f t="shared" si="54"/>
        <v>0</v>
      </c>
      <c r="J486" s="15">
        <f t="shared" si="55"/>
        <v>0</v>
      </c>
      <c r="K486" s="15">
        <f>IF(CurrentMtgRatesDataTable8[[#This Row],[WA CC]]&lt;&gt;0,C485-CurrentMtgRatesDataTable8[[#This Row],[WA CC]],0)</f>
        <v>0</v>
      </c>
      <c r="L486" s="16">
        <f>IF(CurrentMtgRatesDataTable8[[#This Row],[Servicing Spread]]&lt;=0,L485,CurrentMtgRatesDataTable8[[#This Row],[Servicing Spread]])</f>
        <v>0.84227253204870145</v>
      </c>
      <c r="M486" s="16">
        <f>CurrentMtgRatesDataTable8[[#This Row],[Servicing Spread Non-Zero]]-L485</f>
        <v>0</v>
      </c>
      <c r="N486" s="16">
        <f>IF(J485&lt;&gt;0,CurrentMtgRatesDataTable8[[#This Row],[Rate]]-C485,N485)</f>
        <v>6.5000000000000391E-2</v>
      </c>
    </row>
    <row r="487" spans="1:14">
      <c r="A487" s="12" t="s">
        <v>262</v>
      </c>
      <c r="B487" s="13">
        <v>3.4438493655509599</v>
      </c>
      <c r="C487" s="13">
        <v>4.2700000000000005</v>
      </c>
      <c r="D487" s="15">
        <f t="shared" si="49"/>
        <v>6</v>
      </c>
      <c r="E487" s="15">
        <f t="shared" si="50"/>
        <v>0.2</v>
      </c>
      <c r="F487" s="15">
        <f t="shared" si="51"/>
        <v>4</v>
      </c>
      <c r="G487" s="15">
        <f t="shared" si="52"/>
        <v>2.7550973697670083</v>
      </c>
      <c r="H487" s="15">
        <f t="shared" si="53"/>
        <v>0.8</v>
      </c>
      <c r="I487" s="15">
        <f t="shared" si="54"/>
        <v>0</v>
      </c>
      <c r="J487" s="15">
        <f t="shared" si="55"/>
        <v>0</v>
      </c>
      <c r="K487" s="15">
        <f>IF(CurrentMtgRatesDataTable8[[#This Row],[WA CC]]&lt;&gt;0,C486-CurrentMtgRatesDataTable8[[#This Row],[WA CC]],0)</f>
        <v>0</v>
      </c>
      <c r="L487" s="16">
        <f>IF(CurrentMtgRatesDataTable8[[#This Row],[Servicing Spread]]&lt;=0,L486,CurrentMtgRatesDataTable8[[#This Row],[Servicing Spread]])</f>
        <v>0.84227253204870145</v>
      </c>
      <c r="M487" s="16">
        <f>CurrentMtgRatesDataTable8[[#This Row],[Servicing Spread Non-Zero]]-L486</f>
        <v>0</v>
      </c>
      <c r="N487" s="16">
        <f>IF(J486&lt;&gt;0,CurrentMtgRatesDataTable8[[#This Row],[Rate]]-C486,N486)</f>
        <v>6.5000000000000391E-2</v>
      </c>
    </row>
    <row r="488" spans="1:14">
      <c r="A488" s="12" t="s">
        <v>117</v>
      </c>
      <c r="B488" s="13">
        <v>3.4085893370598099</v>
      </c>
      <c r="C488" s="13">
        <v>4.2700000000000005</v>
      </c>
      <c r="D488" s="15">
        <f t="shared" si="49"/>
        <v>7</v>
      </c>
      <c r="E488" s="15">
        <f t="shared" si="50"/>
        <v>0.2</v>
      </c>
      <c r="F488" s="15">
        <f t="shared" si="51"/>
        <v>5</v>
      </c>
      <c r="G488" s="15">
        <f t="shared" si="52"/>
        <v>3.4368152371789704</v>
      </c>
      <c r="H488" s="15">
        <f t="shared" si="53"/>
        <v>1</v>
      </c>
      <c r="I488" s="15">
        <f t="shared" si="54"/>
        <v>1</v>
      </c>
      <c r="J488" s="15">
        <f t="shared" si="55"/>
        <v>3.4368152371789704</v>
      </c>
      <c r="K488" s="15">
        <f>IF(CurrentMtgRatesDataTable8[[#This Row],[WA CC]]&lt;&gt;0,C487-CurrentMtgRatesDataTable8[[#This Row],[WA CC]],0)</f>
        <v>0.83318476282103004</v>
      </c>
      <c r="L488" s="16">
        <f>IF(CurrentMtgRatesDataTable8[[#This Row],[Servicing Spread]]&lt;=0,L487,CurrentMtgRatesDataTable8[[#This Row],[Servicing Spread]])</f>
        <v>0.83318476282103004</v>
      </c>
      <c r="M488" s="16">
        <f>CurrentMtgRatesDataTable8[[#This Row],[Servicing Spread Non-Zero]]-L487</f>
        <v>-9.087769227671405E-3</v>
      </c>
      <c r="N488" s="16">
        <f>IF(J487&lt;&gt;0,CurrentMtgRatesDataTable8[[#This Row],[Rate]]-C487,N487)</f>
        <v>6.5000000000000391E-2</v>
      </c>
    </row>
    <row r="489" spans="1:14">
      <c r="A489" s="12" t="s">
        <v>681</v>
      </c>
      <c r="B489" s="13">
        <v>3.34843875975199</v>
      </c>
      <c r="C489" s="13">
        <v>4.2200000000000006</v>
      </c>
      <c r="D489" s="15">
        <f t="shared" si="49"/>
        <v>1</v>
      </c>
      <c r="E489" s="15">
        <f t="shared" si="50"/>
        <v>0.2</v>
      </c>
      <c r="F489" s="15">
        <f t="shared" si="51"/>
        <v>1</v>
      </c>
      <c r="G489" s="15">
        <f t="shared" si="52"/>
        <v>0.66968775195039809</v>
      </c>
      <c r="H489" s="15">
        <f t="shared" si="53"/>
        <v>0.2</v>
      </c>
      <c r="I489" s="15">
        <f t="shared" si="54"/>
        <v>0</v>
      </c>
      <c r="J489" s="15">
        <f t="shared" si="55"/>
        <v>0</v>
      </c>
      <c r="K489" s="15">
        <f>IF(CurrentMtgRatesDataTable8[[#This Row],[WA CC]]&lt;&gt;0,C488-CurrentMtgRatesDataTable8[[#This Row],[WA CC]],0)</f>
        <v>0</v>
      </c>
      <c r="L489" s="16">
        <f>IF(CurrentMtgRatesDataTable8[[#This Row],[Servicing Spread]]&lt;=0,L488,CurrentMtgRatesDataTable8[[#This Row],[Servicing Spread]])</f>
        <v>0.83318476282103004</v>
      </c>
      <c r="M489" s="16">
        <f>CurrentMtgRatesDataTable8[[#This Row],[Servicing Spread Non-Zero]]-L488</f>
        <v>0</v>
      </c>
      <c r="N489" s="16">
        <f>IF(J488&lt;&gt;0,CurrentMtgRatesDataTable8[[#This Row],[Rate]]-C488,N488)</f>
        <v>-4.9999999999999822E-2</v>
      </c>
    </row>
    <row r="490" spans="1:14">
      <c r="A490" s="12" t="s">
        <v>541</v>
      </c>
      <c r="B490" s="13">
        <v>3.3634875299273701</v>
      </c>
      <c r="C490" s="13">
        <v>4.2200000000000006</v>
      </c>
      <c r="D490" s="15">
        <f t="shared" si="49"/>
        <v>2</v>
      </c>
      <c r="E490" s="15">
        <f t="shared" si="50"/>
        <v>0.2</v>
      </c>
      <c r="F490" s="15">
        <f t="shared" si="51"/>
        <v>2</v>
      </c>
      <c r="G490" s="15">
        <f t="shared" si="52"/>
        <v>1.3423852579358722</v>
      </c>
      <c r="H490" s="15">
        <f t="shared" si="53"/>
        <v>0.4</v>
      </c>
      <c r="I490" s="15">
        <f t="shared" si="54"/>
        <v>0</v>
      </c>
      <c r="J490" s="15">
        <f t="shared" si="55"/>
        <v>0</v>
      </c>
      <c r="K490" s="15">
        <f>IF(CurrentMtgRatesDataTable8[[#This Row],[WA CC]]&lt;&gt;0,C489-CurrentMtgRatesDataTable8[[#This Row],[WA CC]],0)</f>
        <v>0</v>
      </c>
      <c r="L490" s="16">
        <f>IF(CurrentMtgRatesDataTable8[[#This Row],[Servicing Spread]]&lt;=0,L489,CurrentMtgRatesDataTable8[[#This Row],[Servicing Spread]])</f>
        <v>0.83318476282103004</v>
      </c>
      <c r="M490" s="16">
        <f>CurrentMtgRatesDataTable8[[#This Row],[Servicing Spread Non-Zero]]-L489</f>
        <v>0</v>
      </c>
      <c r="N490" s="16">
        <f>IF(J489&lt;&gt;0,CurrentMtgRatesDataTable8[[#This Row],[Rate]]-C489,N489)</f>
        <v>-4.9999999999999822E-2</v>
      </c>
    </row>
    <row r="491" spans="1:14">
      <c r="A491" s="12" t="s">
        <v>395</v>
      </c>
      <c r="B491" s="13">
        <v>3.4174617229589801</v>
      </c>
      <c r="C491" s="13">
        <v>4.2200000000000006</v>
      </c>
      <c r="D491" s="15">
        <f t="shared" si="49"/>
        <v>5</v>
      </c>
      <c r="E491" s="15">
        <f t="shared" si="50"/>
        <v>0.2</v>
      </c>
      <c r="F491" s="15">
        <f t="shared" si="51"/>
        <v>3</v>
      </c>
      <c r="G491" s="15">
        <f t="shared" si="52"/>
        <v>2.0258776025276681</v>
      </c>
      <c r="H491" s="15">
        <f t="shared" si="53"/>
        <v>0.60000000000000009</v>
      </c>
      <c r="I491" s="15">
        <f t="shared" si="54"/>
        <v>0</v>
      </c>
      <c r="J491" s="15">
        <f t="shared" si="55"/>
        <v>0</v>
      </c>
      <c r="K491" s="15">
        <f>IF(CurrentMtgRatesDataTable8[[#This Row],[WA CC]]&lt;&gt;0,C490-CurrentMtgRatesDataTable8[[#This Row],[WA CC]],0)</f>
        <v>0</v>
      </c>
      <c r="L491" s="16">
        <f>IF(CurrentMtgRatesDataTable8[[#This Row],[Servicing Spread]]&lt;=0,L490,CurrentMtgRatesDataTable8[[#This Row],[Servicing Spread]])</f>
        <v>0.83318476282103004</v>
      </c>
      <c r="M491" s="16">
        <f>CurrentMtgRatesDataTable8[[#This Row],[Servicing Spread Non-Zero]]-L490</f>
        <v>0</v>
      </c>
      <c r="N491" s="16">
        <f>IF(J490&lt;&gt;0,CurrentMtgRatesDataTable8[[#This Row],[Rate]]-C490,N490)</f>
        <v>-4.9999999999999822E-2</v>
      </c>
    </row>
    <row r="492" spans="1:14">
      <c r="A492" s="12" t="s">
        <v>263</v>
      </c>
      <c r="B492" s="13">
        <v>3.3942283451593398</v>
      </c>
      <c r="C492" s="13">
        <v>4.2200000000000006</v>
      </c>
      <c r="D492" s="15">
        <f t="shared" si="49"/>
        <v>6</v>
      </c>
      <c r="E492" s="15">
        <f t="shared" si="50"/>
        <v>0.2</v>
      </c>
      <c r="F492" s="15">
        <f t="shared" si="51"/>
        <v>4</v>
      </c>
      <c r="G492" s="15">
        <f t="shared" si="52"/>
        <v>2.7047232715595362</v>
      </c>
      <c r="H492" s="15">
        <f t="shared" si="53"/>
        <v>0.8</v>
      </c>
      <c r="I492" s="15">
        <f t="shared" si="54"/>
        <v>0</v>
      </c>
      <c r="J492" s="15">
        <f t="shared" si="55"/>
        <v>0</v>
      </c>
      <c r="K492" s="15">
        <f>IF(CurrentMtgRatesDataTable8[[#This Row],[WA CC]]&lt;&gt;0,C491-CurrentMtgRatesDataTable8[[#This Row],[WA CC]],0)</f>
        <v>0</v>
      </c>
      <c r="L492" s="16">
        <f>IF(CurrentMtgRatesDataTable8[[#This Row],[Servicing Spread]]&lt;=0,L491,CurrentMtgRatesDataTable8[[#This Row],[Servicing Spread]])</f>
        <v>0.83318476282103004</v>
      </c>
      <c r="M492" s="16">
        <f>CurrentMtgRatesDataTable8[[#This Row],[Servicing Spread Non-Zero]]-L491</f>
        <v>0</v>
      </c>
      <c r="N492" s="16">
        <f>IF(J491&lt;&gt;0,CurrentMtgRatesDataTable8[[#This Row],[Rate]]-C491,N491)</f>
        <v>-4.9999999999999822E-2</v>
      </c>
    </row>
    <row r="493" spans="1:14">
      <c r="A493" s="12" t="s">
        <v>118</v>
      </c>
      <c r="B493" s="13">
        <v>3.4724096295378999</v>
      </c>
      <c r="C493" s="13">
        <v>4.2200000000000006</v>
      </c>
      <c r="D493" s="15">
        <f t="shared" si="49"/>
        <v>7</v>
      </c>
      <c r="E493" s="15">
        <f t="shared" si="50"/>
        <v>0.2</v>
      </c>
      <c r="F493" s="15">
        <f t="shared" si="51"/>
        <v>5</v>
      </c>
      <c r="G493" s="15">
        <f t="shared" si="52"/>
        <v>3.3992051974671162</v>
      </c>
      <c r="H493" s="15">
        <f t="shared" si="53"/>
        <v>1</v>
      </c>
      <c r="I493" s="15">
        <f t="shared" si="54"/>
        <v>1</v>
      </c>
      <c r="J493" s="15">
        <f t="shared" si="55"/>
        <v>3.3992051974671162</v>
      </c>
      <c r="K493" s="15">
        <f>IF(CurrentMtgRatesDataTable8[[#This Row],[WA CC]]&lt;&gt;0,C492-CurrentMtgRatesDataTable8[[#This Row],[WA CC]],0)</f>
        <v>0.82079480253288439</v>
      </c>
      <c r="L493" s="16">
        <f>IF(CurrentMtgRatesDataTable8[[#This Row],[Servicing Spread]]&lt;=0,L492,CurrentMtgRatesDataTable8[[#This Row],[Servicing Spread]])</f>
        <v>0.82079480253288439</v>
      </c>
      <c r="M493" s="16">
        <f>CurrentMtgRatesDataTable8[[#This Row],[Servicing Spread Non-Zero]]-L492</f>
        <v>-1.2389960288145652E-2</v>
      </c>
      <c r="N493" s="16">
        <f>IF(J492&lt;&gt;0,CurrentMtgRatesDataTable8[[#This Row],[Rate]]-C492,N492)</f>
        <v>-4.9999999999999822E-2</v>
      </c>
    </row>
    <row r="494" spans="1:14">
      <c r="A494" s="12" t="s">
        <v>682</v>
      </c>
      <c r="B494" s="13">
        <v>3.4858096996422701</v>
      </c>
      <c r="C494" s="13">
        <v>4.3000000000000007</v>
      </c>
      <c r="D494" s="15">
        <f t="shared" si="49"/>
        <v>1</v>
      </c>
      <c r="E494" s="15">
        <f t="shared" si="50"/>
        <v>0.2</v>
      </c>
      <c r="F494" s="15">
        <f t="shared" si="51"/>
        <v>1</v>
      </c>
      <c r="G494" s="15">
        <f t="shared" si="52"/>
        <v>0.6971619399284541</v>
      </c>
      <c r="H494" s="15">
        <f t="shared" si="53"/>
        <v>0.2</v>
      </c>
      <c r="I494" s="15">
        <f t="shared" si="54"/>
        <v>0</v>
      </c>
      <c r="J494" s="15">
        <f t="shared" si="55"/>
        <v>0</v>
      </c>
      <c r="K494" s="15">
        <f>IF(CurrentMtgRatesDataTable8[[#This Row],[WA CC]]&lt;&gt;0,C493-CurrentMtgRatesDataTable8[[#This Row],[WA CC]],0)</f>
        <v>0</v>
      </c>
      <c r="L494" s="16">
        <f>IF(CurrentMtgRatesDataTable8[[#This Row],[Servicing Spread]]&lt;=0,L493,CurrentMtgRatesDataTable8[[#This Row],[Servicing Spread]])</f>
        <v>0.82079480253288439</v>
      </c>
      <c r="M494" s="16">
        <f>CurrentMtgRatesDataTable8[[#This Row],[Servicing Spread Non-Zero]]-L493</f>
        <v>0</v>
      </c>
      <c r="N494" s="16">
        <f>IF(J493&lt;&gt;0,CurrentMtgRatesDataTable8[[#This Row],[Rate]]-C493,N493)</f>
        <v>8.0000000000000071E-2</v>
      </c>
    </row>
    <row r="495" spans="1:14">
      <c r="A495" s="12" t="s">
        <v>542</v>
      </c>
      <c r="B495" s="13">
        <v>3.4523536219729101</v>
      </c>
      <c r="C495" s="13">
        <v>4.3000000000000007</v>
      </c>
      <c r="D495" s="15">
        <f t="shared" si="49"/>
        <v>2</v>
      </c>
      <c r="E495" s="15">
        <f t="shared" si="50"/>
        <v>0.2</v>
      </c>
      <c r="F495" s="15">
        <f t="shared" si="51"/>
        <v>2</v>
      </c>
      <c r="G495" s="15">
        <f t="shared" si="52"/>
        <v>1.3876326643230361</v>
      </c>
      <c r="H495" s="15">
        <f t="shared" si="53"/>
        <v>0.4</v>
      </c>
      <c r="I495" s="15">
        <f t="shared" si="54"/>
        <v>0</v>
      </c>
      <c r="J495" s="15">
        <f t="shared" si="55"/>
        <v>0</v>
      </c>
      <c r="K495" s="15">
        <f>IF(CurrentMtgRatesDataTable8[[#This Row],[WA CC]]&lt;&gt;0,C494-CurrentMtgRatesDataTable8[[#This Row],[WA CC]],0)</f>
        <v>0</v>
      </c>
      <c r="L495" s="16">
        <f>IF(CurrentMtgRatesDataTable8[[#This Row],[Servicing Spread]]&lt;=0,L494,CurrentMtgRatesDataTable8[[#This Row],[Servicing Spread]])</f>
        <v>0.82079480253288439</v>
      </c>
      <c r="M495" s="16">
        <f>CurrentMtgRatesDataTable8[[#This Row],[Servicing Spread Non-Zero]]-L494</f>
        <v>0</v>
      </c>
      <c r="N495" s="16">
        <f>IF(J494&lt;&gt;0,CurrentMtgRatesDataTable8[[#This Row],[Rate]]-C494,N494)</f>
        <v>8.0000000000000071E-2</v>
      </c>
    </row>
    <row r="496" spans="1:14">
      <c r="A496" s="12" t="s">
        <v>396</v>
      </c>
      <c r="B496" s="13">
        <v>3.45266754883475</v>
      </c>
      <c r="C496" s="13">
        <v>4.3000000000000007</v>
      </c>
      <c r="D496" s="15">
        <f t="shared" si="49"/>
        <v>5</v>
      </c>
      <c r="E496" s="15">
        <f t="shared" si="50"/>
        <v>0.2</v>
      </c>
      <c r="F496" s="15">
        <f t="shared" si="51"/>
        <v>3</v>
      </c>
      <c r="G496" s="15">
        <f t="shared" si="52"/>
        <v>2.0781661740899864</v>
      </c>
      <c r="H496" s="15">
        <f t="shared" si="53"/>
        <v>0.60000000000000009</v>
      </c>
      <c r="I496" s="15">
        <f t="shared" si="54"/>
        <v>0</v>
      </c>
      <c r="J496" s="15">
        <f t="shared" si="55"/>
        <v>0</v>
      </c>
      <c r="K496" s="15">
        <f>IF(CurrentMtgRatesDataTable8[[#This Row],[WA CC]]&lt;&gt;0,C495-CurrentMtgRatesDataTable8[[#This Row],[WA CC]],0)</f>
        <v>0</v>
      </c>
      <c r="L496" s="16">
        <f>IF(CurrentMtgRatesDataTable8[[#This Row],[Servicing Spread]]&lt;=0,L495,CurrentMtgRatesDataTable8[[#This Row],[Servicing Spread]])</f>
        <v>0.82079480253288439</v>
      </c>
      <c r="M496" s="16">
        <f>CurrentMtgRatesDataTable8[[#This Row],[Servicing Spread Non-Zero]]-L495</f>
        <v>0</v>
      </c>
      <c r="N496" s="16">
        <f>IF(J495&lt;&gt;0,CurrentMtgRatesDataTable8[[#This Row],[Rate]]-C495,N495)</f>
        <v>8.0000000000000071E-2</v>
      </c>
    </row>
    <row r="497" spans="1:14">
      <c r="A497" s="12" t="s">
        <v>264</v>
      </c>
      <c r="B497" s="13">
        <v>3.4519694257459901</v>
      </c>
      <c r="C497" s="13">
        <v>4.3000000000000007</v>
      </c>
      <c r="D497" s="15">
        <f t="shared" si="49"/>
        <v>6</v>
      </c>
      <c r="E497" s="15">
        <f t="shared" si="50"/>
        <v>0.2</v>
      </c>
      <c r="F497" s="15">
        <f t="shared" si="51"/>
        <v>4</v>
      </c>
      <c r="G497" s="15">
        <f t="shared" si="52"/>
        <v>2.7685600592391846</v>
      </c>
      <c r="H497" s="15">
        <f t="shared" si="53"/>
        <v>0.8</v>
      </c>
      <c r="I497" s="15">
        <f t="shared" si="54"/>
        <v>0</v>
      </c>
      <c r="J497" s="15">
        <f t="shared" si="55"/>
        <v>0</v>
      </c>
      <c r="K497" s="15">
        <f>IF(CurrentMtgRatesDataTable8[[#This Row],[WA CC]]&lt;&gt;0,C496-CurrentMtgRatesDataTable8[[#This Row],[WA CC]],0)</f>
        <v>0</v>
      </c>
      <c r="L497" s="16">
        <f>IF(CurrentMtgRatesDataTable8[[#This Row],[Servicing Spread]]&lt;=0,L496,CurrentMtgRatesDataTable8[[#This Row],[Servicing Spread]])</f>
        <v>0.82079480253288439</v>
      </c>
      <c r="M497" s="16">
        <f>CurrentMtgRatesDataTable8[[#This Row],[Servicing Spread Non-Zero]]-L496</f>
        <v>0</v>
      </c>
      <c r="N497" s="16">
        <f>IF(J496&lt;&gt;0,CurrentMtgRatesDataTable8[[#This Row],[Rate]]-C496,N496)</f>
        <v>8.0000000000000071E-2</v>
      </c>
    </row>
    <row r="498" spans="1:14">
      <c r="A498" s="12" t="s">
        <v>119</v>
      </c>
      <c r="B498" s="13">
        <v>3.4217405544715098</v>
      </c>
      <c r="C498" s="13">
        <v>4.3000000000000007</v>
      </c>
      <c r="D498" s="15">
        <f t="shared" si="49"/>
        <v>7</v>
      </c>
      <c r="E498" s="15">
        <f t="shared" si="50"/>
        <v>0.2</v>
      </c>
      <c r="F498" s="15">
        <f t="shared" si="51"/>
        <v>5</v>
      </c>
      <c r="G498" s="15">
        <f t="shared" si="52"/>
        <v>3.4529081701334867</v>
      </c>
      <c r="H498" s="15">
        <f t="shared" si="53"/>
        <v>1</v>
      </c>
      <c r="I498" s="15">
        <f t="shared" si="54"/>
        <v>1</v>
      </c>
      <c r="J498" s="15">
        <f t="shared" si="55"/>
        <v>3.4529081701334867</v>
      </c>
      <c r="K498" s="15">
        <f>IF(CurrentMtgRatesDataTable8[[#This Row],[WA CC]]&lt;&gt;0,C497-CurrentMtgRatesDataTable8[[#This Row],[WA CC]],0)</f>
        <v>0.84709182986651399</v>
      </c>
      <c r="L498" s="16">
        <f>IF(CurrentMtgRatesDataTable8[[#This Row],[Servicing Spread]]&lt;=0,L497,CurrentMtgRatesDataTable8[[#This Row],[Servicing Spread]])</f>
        <v>0.84709182986651399</v>
      </c>
      <c r="M498" s="16">
        <f>CurrentMtgRatesDataTable8[[#This Row],[Servicing Spread Non-Zero]]-L497</f>
        <v>2.6297027333629597E-2</v>
      </c>
      <c r="N498" s="16">
        <f>IF(J497&lt;&gt;0,CurrentMtgRatesDataTable8[[#This Row],[Rate]]-C497,N497)</f>
        <v>8.0000000000000071E-2</v>
      </c>
    </row>
    <row r="499" spans="1:14">
      <c r="A499" s="12" t="s">
        <v>683</v>
      </c>
      <c r="B499" s="13">
        <v>3.4052671978447102</v>
      </c>
      <c r="C499" s="13">
        <v>4.335</v>
      </c>
      <c r="D499" s="15">
        <f t="shared" si="49"/>
        <v>1</v>
      </c>
      <c r="E499" s="15">
        <f t="shared" si="50"/>
        <v>0.2</v>
      </c>
      <c r="F499" s="15">
        <f t="shared" si="51"/>
        <v>1</v>
      </c>
      <c r="G499" s="15">
        <f t="shared" si="52"/>
        <v>0.68105343956894204</v>
      </c>
      <c r="H499" s="15">
        <f t="shared" si="53"/>
        <v>0.2</v>
      </c>
      <c r="I499" s="15">
        <f t="shared" si="54"/>
        <v>0</v>
      </c>
      <c r="J499" s="15">
        <f t="shared" si="55"/>
        <v>0</v>
      </c>
      <c r="K499" s="15">
        <f>IF(CurrentMtgRatesDataTable8[[#This Row],[WA CC]]&lt;&gt;0,C498-CurrentMtgRatesDataTable8[[#This Row],[WA CC]],0)</f>
        <v>0</v>
      </c>
      <c r="L499" s="16">
        <f>IF(CurrentMtgRatesDataTable8[[#This Row],[Servicing Spread]]&lt;=0,L498,CurrentMtgRatesDataTable8[[#This Row],[Servicing Spread]])</f>
        <v>0.84709182986651399</v>
      </c>
      <c r="M499" s="16">
        <f>CurrentMtgRatesDataTable8[[#This Row],[Servicing Spread Non-Zero]]-L498</f>
        <v>0</v>
      </c>
      <c r="N499" s="16">
        <f>IF(J498&lt;&gt;0,CurrentMtgRatesDataTable8[[#This Row],[Rate]]-C498,N498)</f>
        <v>3.4999999999999254E-2</v>
      </c>
    </row>
    <row r="500" spans="1:14">
      <c r="A500" s="12" t="s">
        <v>543</v>
      </c>
      <c r="B500" s="13">
        <v>3.4306094277170498</v>
      </c>
      <c r="C500" s="13">
        <v>4.335</v>
      </c>
      <c r="D500" s="15">
        <f t="shared" si="49"/>
        <v>2</v>
      </c>
      <c r="E500" s="15">
        <f t="shared" si="50"/>
        <v>0.2</v>
      </c>
      <c r="F500" s="15">
        <f t="shared" si="51"/>
        <v>2</v>
      </c>
      <c r="G500" s="15">
        <f t="shared" si="52"/>
        <v>1.3671753251123522</v>
      </c>
      <c r="H500" s="15">
        <f t="shared" si="53"/>
        <v>0.4</v>
      </c>
      <c r="I500" s="15">
        <f t="shared" si="54"/>
        <v>0</v>
      </c>
      <c r="J500" s="15">
        <f t="shared" si="55"/>
        <v>0</v>
      </c>
      <c r="K500" s="15">
        <f>IF(CurrentMtgRatesDataTable8[[#This Row],[WA CC]]&lt;&gt;0,C499-CurrentMtgRatesDataTable8[[#This Row],[WA CC]],0)</f>
        <v>0</v>
      </c>
      <c r="L500" s="16">
        <f>IF(CurrentMtgRatesDataTable8[[#This Row],[Servicing Spread]]&lt;=0,L499,CurrentMtgRatesDataTable8[[#This Row],[Servicing Spread]])</f>
        <v>0.84709182986651399</v>
      </c>
      <c r="M500" s="16">
        <f>CurrentMtgRatesDataTable8[[#This Row],[Servicing Spread Non-Zero]]-L499</f>
        <v>0</v>
      </c>
      <c r="N500" s="16">
        <f>IF(J499&lt;&gt;0,CurrentMtgRatesDataTable8[[#This Row],[Rate]]-C499,N499)</f>
        <v>3.4999999999999254E-2</v>
      </c>
    </row>
    <row r="501" spans="1:14">
      <c r="A501" s="12" t="s">
        <v>397</v>
      </c>
      <c r="B501" s="13">
        <v>3.44685935064701</v>
      </c>
      <c r="C501" s="13">
        <v>4.335</v>
      </c>
      <c r="D501" s="15">
        <f t="shared" si="49"/>
        <v>5</v>
      </c>
      <c r="E501" s="15">
        <f t="shared" si="50"/>
        <v>0.2</v>
      </c>
      <c r="F501" s="15">
        <f t="shared" si="51"/>
        <v>3</v>
      </c>
      <c r="G501" s="15">
        <f t="shared" si="52"/>
        <v>2.0565471952417544</v>
      </c>
      <c r="H501" s="15">
        <f t="shared" si="53"/>
        <v>0.60000000000000009</v>
      </c>
      <c r="I501" s="15">
        <f t="shared" si="54"/>
        <v>0</v>
      </c>
      <c r="J501" s="15">
        <f t="shared" si="55"/>
        <v>0</v>
      </c>
      <c r="K501" s="15">
        <f>IF(CurrentMtgRatesDataTable8[[#This Row],[WA CC]]&lt;&gt;0,C500-CurrentMtgRatesDataTable8[[#This Row],[WA CC]],0)</f>
        <v>0</v>
      </c>
      <c r="L501" s="16">
        <f>IF(CurrentMtgRatesDataTable8[[#This Row],[Servicing Spread]]&lt;=0,L500,CurrentMtgRatesDataTable8[[#This Row],[Servicing Spread]])</f>
        <v>0.84709182986651399</v>
      </c>
      <c r="M501" s="16">
        <f>CurrentMtgRatesDataTable8[[#This Row],[Servicing Spread Non-Zero]]-L500</f>
        <v>0</v>
      </c>
      <c r="N501" s="16">
        <f>IF(J500&lt;&gt;0,CurrentMtgRatesDataTable8[[#This Row],[Rate]]-C500,N500)</f>
        <v>3.4999999999999254E-2</v>
      </c>
    </row>
    <row r="502" spans="1:14">
      <c r="A502" s="12" t="s">
        <v>265</v>
      </c>
      <c r="B502" s="13">
        <v>3.4727016332033198</v>
      </c>
      <c r="C502" s="13">
        <v>4.335</v>
      </c>
      <c r="D502" s="15">
        <f t="shared" si="49"/>
        <v>6</v>
      </c>
      <c r="E502" s="15">
        <f t="shared" si="50"/>
        <v>0.2</v>
      </c>
      <c r="F502" s="15">
        <f t="shared" si="51"/>
        <v>4</v>
      </c>
      <c r="G502" s="15">
        <f t="shared" si="52"/>
        <v>2.7510875218824182</v>
      </c>
      <c r="H502" s="15">
        <f t="shared" si="53"/>
        <v>0.8</v>
      </c>
      <c r="I502" s="15">
        <f t="shared" si="54"/>
        <v>0</v>
      </c>
      <c r="J502" s="15">
        <f t="shared" si="55"/>
        <v>0</v>
      </c>
      <c r="K502" s="15">
        <f>IF(CurrentMtgRatesDataTable8[[#This Row],[WA CC]]&lt;&gt;0,C501-CurrentMtgRatesDataTable8[[#This Row],[WA CC]],0)</f>
        <v>0</v>
      </c>
      <c r="L502" s="16">
        <f>IF(CurrentMtgRatesDataTable8[[#This Row],[Servicing Spread]]&lt;=0,L501,CurrentMtgRatesDataTable8[[#This Row],[Servicing Spread]])</f>
        <v>0.84709182986651399</v>
      </c>
      <c r="M502" s="16">
        <f>CurrentMtgRatesDataTable8[[#This Row],[Servicing Spread Non-Zero]]-L501</f>
        <v>0</v>
      </c>
      <c r="N502" s="16">
        <f>IF(J501&lt;&gt;0,CurrentMtgRatesDataTable8[[#This Row],[Rate]]-C501,N501)</f>
        <v>3.4999999999999254E-2</v>
      </c>
    </row>
    <row r="503" spans="1:14">
      <c r="A503" s="12" t="s">
        <v>120</v>
      </c>
      <c r="B503" s="13">
        <v>3.5066269417846301</v>
      </c>
      <c r="C503" s="13">
        <v>4.335</v>
      </c>
      <c r="D503" s="15">
        <f t="shared" si="49"/>
        <v>7</v>
      </c>
      <c r="E503" s="15">
        <f t="shared" si="50"/>
        <v>0.2</v>
      </c>
      <c r="F503" s="15">
        <f t="shared" si="51"/>
        <v>5</v>
      </c>
      <c r="G503" s="15">
        <f t="shared" si="52"/>
        <v>3.4524129102393442</v>
      </c>
      <c r="H503" s="15">
        <f t="shared" si="53"/>
        <v>1</v>
      </c>
      <c r="I503" s="15">
        <f t="shared" si="54"/>
        <v>1</v>
      </c>
      <c r="J503" s="15">
        <f t="shared" si="55"/>
        <v>3.4524129102393442</v>
      </c>
      <c r="K503" s="15">
        <f>IF(CurrentMtgRatesDataTable8[[#This Row],[WA CC]]&lt;&gt;0,C502-CurrentMtgRatesDataTable8[[#This Row],[WA CC]],0)</f>
        <v>0.88258708976065581</v>
      </c>
      <c r="L503" s="16">
        <f>IF(CurrentMtgRatesDataTable8[[#This Row],[Servicing Spread]]&lt;=0,L502,CurrentMtgRatesDataTable8[[#This Row],[Servicing Spread]])</f>
        <v>0.88258708976065581</v>
      </c>
      <c r="M503" s="16">
        <f>CurrentMtgRatesDataTable8[[#This Row],[Servicing Spread Non-Zero]]-L502</f>
        <v>3.5495259894141817E-2</v>
      </c>
      <c r="N503" s="16">
        <f>IF(J502&lt;&gt;0,CurrentMtgRatesDataTable8[[#This Row],[Rate]]-C502,N502)</f>
        <v>3.4999999999999254E-2</v>
      </c>
    </row>
    <row r="504" spans="1:14">
      <c r="A504" s="12" t="s">
        <v>684</v>
      </c>
      <c r="B504" s="13">
        <v>3.4840318134841599</v>
      </c>
      <c r="C504" s="13">
        <v>4.2649999999999997</v>
      </c>
      <c r="D504" s="15">
        <f t="shared" si="49"/>
        <v>1</v>
      </c>
      <c r="E504" s="15">
        <f t="shared" si="50"/>
        <v>0.2</v>
      </c>
      <c r="F504" s="15">
        <f t="shared" si="51"/>
        <v>1</v>
      </c>
      <c r="G504" s="15">
        <f t="shared" si="52"/>
        <v>0.69680636269683205</v>
      </c>
      <c r="H504" s="15">
        <f t="shared" si="53"/>
        <v>0.2</v>
      </c>
      <c r="I504" s="15">
        <f t="shared" si="54"/>
        <v>0</v>
      </c>
      <c r="J504" s="15">
        <f t="shared" si="55"/>
        <v>0</v>
      </c>
      <c r="K504" s="15">
        <f>IF(CurrentMtgRatesDataTable8[[#This Row],[WA CC]]&lt;&gt;0,C503-CurrentMtgRatesDataTable8[[#This Row],[WA CC]],0)</f>
        <v>0</v>
      </c>
      <c r="L504" s="16">
        <f>IF(CurrentMtgRatesDataTable8[[#This Row],[Servicing Spread]]&lt;=0,L503,CurrentMtgRatesDataTable8[[#This Row],[Servicing Spread]])</f>
        <v>0.88258708976065581</v>
      </c>
      <c r="M504" s="16">
        <f>CurrentMtgRatesDataTable8[[#This Row],[Servicing Spread Non-Zero]]-L503</f>
        <v>0</v>
      </c>
      <c r="N504" s="16">
        <f>IF(J503&lt;&gt;0,CurrentMtgRatesDataTable8[[#This Row],[Rate]]-C503,N503)</f>
        <v>-7.0000000000000284E-2</v>
      </c>
    </row>
    <row r="505" spans="1:14">
      <c r="A505" s="12" t="s">
        <v>544</v>
      </c>
      <c r="B505" s="13">
        <v>3.4295560527023699</v>
      </c>
      <c r="C505" s="13">
        <v>4.2649999999999997</v>
      </c>
      <c r="D505" s="15">
        <f t="shared" si="49"/>
        <v>2</v>
      </c>
      <c r="E505" s="15">
        <f t="shared" si="50"/>
        <v>0.2</v>
      </c>
      <c r="F505" s="15">
        <f t="shared" si="51"/>
        <v>2</v>
      </c>
      <c r="G505" s="15">
        <f t="shared" si="52"/>
        <v>1.382717573237306</v>
      </c>
      <c r="H505" s="15">
        <f t="shared" si="53"/>
        <v>0.4</v>
      </c>
      <c r="I505" s="15">
        <f t="shared" si="54"/>
        <v>0</v>
      </c>
      <c r="J505" s="15">
        <f t="shared" si="55"/>
        <v>0</v>
      </c>
      <c r="K505" s="15">
        <f>IF(CurrentMtgRatesDataTable8[[#This Row],[WA CC]]&lt;&gt;0,C504-CurrentMtgRatesDataTable8[[#This Row],[WA CC]],0)</f>
        <v>0</v>
      </c>
      <c r="L505" s="16">
        <f>IF(CurrentMtgRatesDataTable8[[#This Row],[Servicing Spread]]&lt;=0,L504,CurrentMtgRatesDataTable8[[#This Row],[Servicing Spread]])</f>
        <v>0.88258708976065581</v>
      </c>
      <c r="M505" s="16">
        <f>CurrentMtgRatesDataTable8[[#This Row],[Servicing Spread Non-Zero]]-L504</f>
        <v>0</v>
      </c>
      <c r="N505" s="16">
        <f>IF(J504&lt;&gt;0,CurrentMtgRatesDataTable8[[#This Row],[Rate]]-C504,N504)</f>
        <v>-7.0000000000000284E-2</v>
      </c>
    </row>
    <row r="506" spans="1:14">
      <c r="A506" s="12" t="s">
        <v>398</v>
      </c>
      <c r="B506" s="13">
        <v>3.39509627944707</v>
      </c>
      <c r="C506" s="13">
        <v>4.2649999999999997</v>
      </c>
      <c r="D506" s="15">
        <f t="shared" si="49"/>
        <v>5</v>
      </c>
      <c r="E506" s="15">
        <f t="shared" si="50"/>
        <v>0.2</v>
      </c>
      <c r="F506" s="15">
        <f t="shared" si="51"/>
        <v>3</v>
      </c>
      <c r="G506" s="15">
        <f t="shared" si="52"/>
        <v>2.06173682912672</v>
      </c>
      <c r="H506" s="15">
        <f t="shared" si="53"/>
        <v>0.60000000000000009</v>
      </c>
      <c r="I506" s="15">
        <f t="shared" si="54"/>
        <v>0</v>
      </c>
      <c r="J506" s="15">
        <f t="shared" si="55"/>
        <v>0</v>
      </c>
      <c r="K506" s="15">
        <f>IF(CurrentMtgRatesDataTable8[[#This Row],[WA CC]]&lt;&gt;0,C505-CurrentMtgRatesDataTable8[[#This Row],[WA CC]],0)</f>
        <v>0</v>
      </c>
      <c r="L506" s="16">
        <f>IF(CurrentMtgRatesDataTable8[[#This Row],[Servicing Spread]]&lt;=0,L505,CurrentMtgRatesDataTable8[[#This Row],[Servicing Spread]])</f>
        <v>0.88258708976065581</v>
      </c>
      <c r="M506" s="16">
        <f>CurrentMtgRatesDataTable8[[#This Row],[Servicing Spread Non-Zero]]-L505</f>
        <v>0</v>
      </c>
      <c r="N506" s="16">
        <f>IF(J505&lt;&gt;0,CurrentMtgRatesDataTable8[[#This Row],[Rate]]-C505,N505)</f>
        <v>-7.0000000000000284E-2</v>
      </c>
    </row>
    <row r="507" spans="1:14">
      <c r="A507" s="12" t="s">
        <v>266</v>
      </c>
      <c r="B507" s="13">
        <v>3.3731827621311399</v>
      </c>
      <c r="C507" s="13">
        <v>4.2649999999999997</v>
      </c>
      <c r="D507" s="15">
        <f t="shared" si="49"/>
        <v>6</v>
      </c>
      <c r="E507" s="15">
        <f t="shared" si="50"/>
        <v>0.2</v>
      </c>
      <c r="F507" s="15">
        <f t="shared" si="51"/>
        <v>4</v>
      </c>
      <c r="G507" s="15">
        <f t="shared" si="52"/>
        <v>2.7363733815529478</v>
      </c>
      <c r="H507" s="15">
        <f t="shared" si="53"/>
        <v>0.8</v>
      </c>
      <c r="I507" s="15">
        <f t="shared" si="54"/>
        <v>0</v>
      </c>
      <c r="J507" s="15">
        <f t="shared" si="55"/>
        <v>0</v>
      </c>
      <c r="K507" s="15">
        <f>IF(CurrentMtgRatesDataTable8[[#This Row],[WA CC]]&lt;&gt;0,C506-CurrentMtgRatesDataTable8[[#This Row],[WA CC]],0)</f>
        <v>0</v>
      </c>
      <c r="L507" s="16">
        <f>IF(CurrentMtgRatesDataTable8[[#This Row],[Servicing Spread]]&lt;=0,L506,CurrentMtgRatesDataTable8[[#This Row],[Servicing Spread]])</f>
        <v>0.88258708976065581</v>
      </c>
      <c r="M507" s="16">
        <f>CurrentMtgRatesDataTable8[[#This Row],[Servicing Spread Non-Zero]]-L506</f>
        <v>0</v>
      </c>
      <c r="N507" s="16">
        <f>IF(J506&lt;&gt;0,CurrentMtgRatesDataTable8[[#This Row],[Rate]]-C506,N506)</f>
        <v>-7.0000000000000284E-2</v>
      </c>
    </row>
    <row r="508" spans="1:14">
      <c r="A508" s="12" t="s">
        <v>121</v>
      </c>
      <c r="B508" s="13">
        <v>3.3750941774744798</v>
      </c>
      <c r="C508" s="13">
        <v>4.2649999999999997</v>
      </c>
      <c r="D508" s="15">
        <f t="shared" si="49"/>
        <v>7</v>
      </c>
      <c r="E508" s="15">
        <f t="shared" si="50"/>
        <v>0.2</v>
      </c>
      <c r="F508" s="15">
        <f t="shared" si="51"/>
        <v>5</v>
      </c>
      <c r="G508" s="15">
        <f t="shared" si="52"/>
        <v>3.4113922170478439</v>
      </c>
      <c r="H508" s="15">
        <f t="shared" si="53"/>
        <v>1</v>
      </c>
      <c r="I508" s="15">
        <f t="shared" si="54"/>
        <v>1</v>
      </c>
      <c r="J508" s="15">
        <f t="shared" si="55"/>
        <v>3.4113922170478439</v>
      </c>
      <c r="K508" s="15">
        <f>IF(CurrentMtgRatesDataTable8[[#This Row],[WA CC]]&lt;&gt;0,C507-CurrentMtgRatesDataTable8[[#This Row],[WA CC]],0)</f>
        <v>0.85360778295215578</v>
      </c>
      <c r="L508" s="16">
        <f>IF(CurrentMtgRatesDataTable8[[#This Row],[Servicing Spread]]&lt;=0,L507,CurrentMtgRatesDataTable8[[#This Row],[Servicing Spread]])</f>
        <v>0.85360778295215578</v>
      </c>
      <c r="M508" s="16">
        <f>CurrentMtgRatesDataTable8[[#This Row],[Servicing Spread Non-Zero]]-L507</f>
        <v>-2.8979306808500027E-2</v>
      </c>
      <c r="N508" s="16">
        <f>IF(J507&lt;&gt;0,CurrentMtgRatesDataTable8[[#This Row],[Rate]]-C507,N507)</f>
        <v>-7.0000000000000284E-2</v>
      </c>
    </row>
    <row r="509" spans="1:14">
      <c r="A509" s="12" t="s">
        <v>685</v>
      </c>
      <c r="B509" s="13">
        <v>3.3155243251593798</v>
      </c>
      <c r="C509" s="13">
        <v>4.1949999999999994</v>
      </c>
      <c r="D509" s="15">
        <f t="shared" si="49"/>
        <v>1</v>
      </c>
      <c r="E509" s="15">
        <f t="shared" si="50"/>
        <v>0.2</v>
      </c>
      <c r="F509" s="15">
        <f t="shared" si="51"/>
        <v>1</v>
      </c>
      <c r="G509" s="15">
        <f t="shared" si="52"/>
        <v>0.66310486503187605</v>
      </c>
      <c r="H509" s="15">
        <f t="shared" si="53"/>
        <v>0.2</v>
      </c>
      <c r="I509" s="15">
        <f t="shared" si="54"/>
        <v>0</v>
      </c>
      <c r="J509" s="15">
        <f t="shared" si="55"/>
        <v>0</v>
      </c>
      <c r="K509" s="15">
        <f>IF(CurrentMtgRatesDataTable8[[#This Row],[WA CC]]&lt;&gt;0,C508-CurrentMtgRatesDataTable8[[#This Row],[WA CC]],0)</f>
        <v>0</v>
      </c>
      <c r="L509" s="16">
        <f>IF(CurrentMtgRatesDataTable8[[#This Row],[Servicing Spread]]&lt;=0,L508,CurrentMtgRatesDataTable8[[#This Row],[Servicing Spread]])</f>
        <v>0.85360778295215578</v>
      </c>
      <c r="M509" s="16">
        <f>CurrentMtgRatesDataTable8[[#This Row],[Servicing Spread Non-Zero]]-L508</f>
        <v>0</v>
      </c>
      <c r="N509" s="16">
        <f>IF(J508&lt;&gt;0,CurrentMtgRatesDataTable8[[#This Row],[Rate]]-C508,N508)</f>
        <v>-7.0000000000000284E-2</v>
      </c>
    </row>
    <row r="510" spans="1:14">
      <c r="A510" s="12" t="s">
        <v>545</v>
      </c>
      <c r="B510" s="13">
        <v>3.31617276522991</v>
      </c>
      <c r="C510" s="13">
        <v>4.1949999999999994</v>
      </c>
      <c r="D510" s="15">
        <f t="shared" si="49"/>
        <v>2</v>
      </c>
      <c r="E510" s="15">
        <f t="shared" si="50"/>
        <v>0.2</v>
      </c>
      <c r="F510" s="15">
        <f t="shared" si="51"/>
        <v>2</v>
      </c>
      <c r="G510" s="15">
        <f t="shared" si="52"/>
        <v>1.326339418077858</v>
      </c>
      <c r="H510" s="15">
        <f t="shared" si="53"/>
        <v>0.4</v>
      </c>
      <c r="I510" s="15">
        <f t="shared" si="54"/>
        <v>0</v>
      </c>
      <c r="J510" s="15">
        <f t="shared" si="55"/>
        <v>0</v>
      </c>
      <c r="K510" s="15">
        <f>IF(CurrentMtgRatesDataTable8[[#This Row],[WA CC]]&lt;&gt;0,C509-CurrentMtgRatesDataTable8[[#This Row],[WA CC]],0)</f>
        <v>0</v>
      </c>
      <c r="L510" s="16">
        <f>IF(CurrentMtgRatesDataTable8[[#This Row],[Servicing Spread]]&lt;=0,L509,CurrentMtgRatesDataTable8[[#This Row],[Servicing Spread]])</f>
        <v>0.85360778295215578</v>
      </c>
      <c r="M510" s="16">
        <f>CurrentMtgRatesDataTable8[[#This Row],[Servicing Spread Non-Zero]]-L509</f>
        <v>0</v>
      </c>
      <c r="N510" s="16">
        <f>IF(J509&lt;&gt;0,CurrentMtgRatesDataTable8[[#This Row],[Rate]]-C509,N509)</f>
        <v>-7.0000000000000284E-2</v>
      </c>
    </row>
    <row r="511" spans="1:14">
      <c r="A511" s="12" t="s">
        <v>399</v>
      </c>
      <c r="B511" s="13">
        <v>3.3408272423510099</v>
      </c>
      <c r="C511" s="13">
        <v>4.1949999999999994</v>
      </c>
      <c r="D511" s="15">
        <f t="shared" si="49"/>
        <v>5</v>
      </c>
      <c r="E511" s="15">
        <f t="shared" si="50"/>
        <v>0.2</v>
      </c>
      <c r="F511" s="15">
        <f t="shared" si="51"/>
        <v>3</v>
      </c>
      <c r="G511" s="15">
        <f t="shared" si="52"/>
        <v>1.99450486654806</v>
      </c>
      <c r="H511" s="15">
        <f t="shared" si="53"/>
        <v>0.60000000000000009</v>
      </c>
      <c r="I511" s="15">
        <f t="shared" si="54"/>
        <v>0</v>
      </c>
      <c r="J511" s="15">
        <f t="shared" si="55"/>
        <v>0</v>
      </c>
      <c r="K511" s="15">
        <f>IF(CurrentMtgRatesDataTable8[[#This Row],[WA CC]]&lt;&gt;0,C510-CurrentMtgRatesDataTable8[[#This Row],[WA CC]],0)</f>
        <v>0</v>
      </c>
      <c r="L511" s="16">
        <f>IF(CurrentMtgRatesDataTable8[[#This Row],[Servicing Spread]]&lt;=0,L510,CurrentMtgRatesDataTable8[[#This Row],[Servicing Spread]])</f>
        <v>0.85360778295215578</v>
      </c>
      <c r="M511" s="16">
        <f>CurrentMtgRatesDataTable8[[#This Row],[Servicing Spread Non-Zero]]-L510</f>
        <v>0</v>
      </c>
      <c r="N511" s="16">
        <f>IF(J510&lt;&gt;0,CurrentMtgRatesDataTable8[[#This Row],[Rate]]-C510,N510)</f>
        <v>-7.0000000000000284E-2</v>
      </c>
    </row>
    <row r="512" spans="1:14">
      <c r="A512" s="12" t="s">
        <v>267</v>
      </c>
      <c r="B512" s="13">
        <v>3.33793129587505</v>
      </c>
      <c r="C512" s="13">
        <v>4.1949999999999994</v>
      </c>
      <c r="D512" s="15">
        <f t="shared" si="49"/>
        <v>6</v>
      </c>
      <c r="E512" s="15">
        <f t="shared" si="50"/>
        <v>0.2</v>
      </c>
      <c r="F512" s="15">
        <f t="shared" si="51"/>
        <v>4</v>
      </c>
      <c r="G512" s="15">
        <f t="shared" si="52"/>
        <v>2.6620911257230699</v>
      </c>
      <c r="H512" s="15">
        <f t="shared" si="53"/>
        <v>0.8</v>
      </c>
      <c r="I512" s="15">
        <f t="shared" si="54"/>
        <v>0</v>
      </c>
      <c r="J512" s="15">
        <f t="shared" si="55"/>
        <v>0</v>
      </c>
      <c r="K512" s="15">
        <f>IF(CurrentMtgRatesDataTable8[[#This Row],[WA CC]]&lt;&gt;0,C511-CurrentMtgRatesDataTable8[[#This Row],[WA CC]],0)</f>
        <v>0</v>
      </c>
      <c r="L512" s="16">
        <f>IF(CurrentMtgRatesDataTable8[[#This Row],[Servicing Spread]]&lt;=0,L511,CurrentMtgRatesDataTable8[[#This Row],[Servicing Spread]])</f>
        <v>0.85360778295215578</v>
      </c>
      <c r="M512" s="16">
        <f>CurrentMtgRatesDataTable8[[#This Row],[Servicing Spread Non-Zero]]-L511</f>
        <v>0</v>
      </c>
      <c r="N512" s="16">
        <f>IF(J511&lt;&gt;0,CurrentMtgRatesDataTable8[[#This Row],[Rate]]-C511,N511)</f>
        <v>-7.0000000000000284E-2</v>
      </c>
    </row>
    <row r="513" spans="1:14">
      <c r="A513" s="12" t="s">
        <v>122</v>
      </c>
      <c r="B513" s="13">
        <v>3.35080102179215</v>
      </c>
      <c r="C513" s="13">
        <v>4.1949999999999994</v>
      </c>
      <c r="D513" s="15">
        <f t="shared" si="49"/>
        <v>7</v>
      </c>
      <c r="E513" s="15">
        <f t="shared" si="50"/>
        <v>0.2</v>
      </c>
      <c r="F513" s="15">
        <f t="shared" si="51"/>
        <v>5</v>
      </c>
      <c r="G513" s="15">
        <f t="shared" si="52"/>
        <v>3.3322513300815002</v>
      </c>
      <c r="H513" s="15">
        <f t="shared" si="53"/>
        <v>1</v>
      </c>
      <c r="I513" s="15">
        <f t="shared" si="54"/>
        <v>1</v>
      </c>
      <c r="J513" s="15">
        <f t="shared" si="55"/>
        <v>3.3322513300815002</v>
      </c>
      <c r="K513" s="15">
        <f>IF(CurrentMtgRatesDataTable8[[#This Row],[WA CC]]&lt;&gt;0,C512-CurrentMtgRatesDataTable8[[#This Row],[WA CC]],0)</f>
        <v>0.86274866991849919</v>
      </c>
      <c r="L513" s="16">
        <f>IF(CurrentMtgRatesDataTable8[[#This Row],[Servicing Spread]]&lt;=0,L512,CurrentMtgRatesDataTable8[[#This Row],[Servicing Spread]])</f>
        <v>0.86274866991849919</v>
      </c>
      <c r="M513" s="16">
        <f>CurrentMtgRatesDataTable8[[#This Row],[Servicing Spread Non-Zero]]-L512</f>
        <v>9.1408869663434089E-3</v>
      </c>
      <c r="N513" s="16">
        <f>IF(J512&lt;&gt;0,CurrentMtgRatesDataTable8[[#This Row],[Rate]]-C512,N512)</f>
        <v>-7.0000000000000284E-2</v>
      </c>
    </row>
    <row r="514" spans="1:14">
      <c r="A514" s="12" t="s">
        <v>686</v>
      </c>
      <c r="B514" s="13">
        <v>3.40802093158428</v>
      </c>
      <c r="C514" s="13">
        <v>4.2300000000000004</v>
      </c>
      <c r="D514" s="15">
        <f t="shared" si="49"/>
        <v>1</v>
      </c>
      <c r="E514" s="15">
        <f t="shared" si="50"/>
        <v>0.2</v>
      </c>
      <c r="F514" s="15">
        <f t="shared" si="51"/>
        <v>1</v>
      </c>
      <c r="G514" s="15">
        <f t="shared" si="52"/>
        <v>0.68160418631685604</v>
      </c>
      <c r="H514" s="15">
        <f t="shared" si="53"/>
        <v>0.2</v>
      </c>
      <c r="I514" s="15">
        <f t="shared" si="54"/>
        <v>0</v>
      </c>
      <c r="J514" s="15">
        <f t="shared" si="55"/>
        <v>0</v>
      </c>
      <c r="K514" s="15">
        <f>IF(CurrentMtgRatesDataTable8[[#This Row],[WA CC]]&lt;&gt;0,C513-CurrentMtgRatesDataTable8[[#This Row],[WA CC]],0)</f>
        <v>0</v>
      </c>
      <c r="L514" s="16">
        <f>IF(CurrentMtgRatesDataTable8[[#This Row],[Servicing Spread]]&lt;=0,L513,CurrentMtgRatesDataTable8[[#This Row],[Servicing Spread]])</f>
        <v>0.86274866991849919</v>
      </c>
      <c r="M514" s="16">
        <f>CurrentMtgRatesDataTable8[[#This Row],[Servicing Spread Non-Zero]]-L513</f>
        <v>0</v>
      </c>
      <c r="N514" s="16">
        <f>IF(J513&lt;&gt;0,CurrentMtgRatesDataTable8[[#This Row],[Rate]]-C513,N513)</f>
        <v>3.500000000000103E-2</v>
      </c>
    </row>
    <row r="515" spans="1:14">
      <c r="A515" s="12" t="s">
        <v>400</v>
      </c>
      <c r="B515" s="13">
        <v>3.4214944697037502</v>
      </c>
      <c r="C515" s="13">
        <v>4.2300000000000004</v>
      </c>
      <c r="D515" s="15">
        <f t="shared" si="49"/>
        <v>5</v>
      </c>
      <c r="E515" s="15">
        <f t="shared" si="50"/>
        <v>0.2</v>
      </c>
      <c r="F515" s="15">
        <f t="shared" si="51"/>
        <v>2</v>
      </c>
      <c r="G515" s="15">
        <f t="shared" si="52"/>
        <v>1.3659030802576062</v>
      </c>
      <c r="H515" s="15">
        <f t="shared" si="53"/>
        <v>0.4</v>
      </c>
      <c r="I515" s="15">
        <f t="shared" si="54"/>
        <v>0</v>
      </c>
      <c r="J515" s="15">
        <f t="shared" si="55"/>
        <v>0</v>
      </c>
      <c r="K515" s="15">
        <f>IF(CurrentMtgRatesDataTable8[[#This Row],[WA CC]]&lt;&gt;0,C514-CurrentMtgRatesDataTable8[[#This Row],[WA CC]],0)</f>
        <v>0</v>
      </c>
      <c r="L515" s="16">
        <f>IF(CurrentMtgRatesDataTable8[[#This Row],[Servicing Spread]]&lt;=0,L514,CurrentMtgRatesDataTable8[[#This Row],[Servicing Spread]])</f>
        <v>0.86274866991849919</v>
      </c>
      <c r="M515" s="16">
        <f>CurrentMtgRatesDataTable8[[#This Row],[Servicing Spread Non-Zero]]-L514</f>
        <v>0</v>
      </c>
      <c r="N515" s="16">
        <f>IF(J514&lt;&gt;0,CurrentMtgRatesDataTable8[[#This Row],[Rate]]-C514,N514)</f>
        <v>3.500000000000103E-2</v>
      </c>
    </row>
    <row r="516" spans="1:14">
      <c r="A516" s="12" t="s">
        <v>268</v>
      </c>
      <c r="B516" s="13">
        <v>3.41581155049382</v>
      </c>
      <c r="C516" s="13">
        <v>4.2300000000000004</v>
      </c>
      <c r="D516" s="15">
        <f t="shared" si="49"/>
        <v>6</v>
      </c>
      <c r="E516" s="15">
        <f t="shared" si="50"/>
        <v>0.2</v>
      </c>
      <c r="F516" s="15">
        <f t="shared" si="51"/>
        <v>3</v>
      </c>
      <c r="G516" s="15">
        <f t="shared" si="52"/>
        <v>2.04906539035637</v>
      </c>
      <c r="H516" s="15">
        <f t="shared" si="53"/>
        <v>0.60000000000000009</v>
      </c>
      <c r="I516" s="15">
        <f t="shared" si="54"/>
        <v>0</v>
      </c>
      <c r="J516" s="15">
        <f t="shared" si="55"/>
        <v>0</v>
      </c>
      <c r="K516" s="15">
        <f>IF(CurrentMtgRatesDataTable8[[#This Row],[WA CC]]&lt;&gt;0,C515-CurrentMtgRatesDataTable8[[#This Row],[WA CC]],0)</f>
        <v>0</v>
      </c>
      <c r="L516" s="16">
        <f>IF(CurrentMtgRatesDataTable8[[#This Row],[Servicing Spread]]&lt;=0,L515,CurrentMtgRatesDataTable8[[#This Row],[Servicing Spread]])</f>
        <v>0.86274866991849919</v>
      </c>
      <c r="M516" s="16">
        <f>CurrentMtgRatesDataTable8[[#This Row],[Servicing Spread Non-Zero]]-L515</f>
        <v>0</v>
      </c>
      <c r="N516" s="16">
        <f>IF(J515&lt;&gt;0,CurrentMtgRatesDataTable8[[#This Row],[Rate]]-C515,N515)</f>
        <v>3.500000000000103E-2</v>
      </c>
    </row>
    <row r="517" spans="1:14">
      <c r="A517" s="12" t="s">
        <v>123</v>
      </c>
      <c r="B517" s="13">
        <v>3.3712594555921802</v>
      </c>
      <c r="C517" s="13">
        <v>4.2300000000000004</v>
      </c>
      <c r="D517" s="15">
        <f t="shared" ref="D517:D580" si="56">WEEKDAY(A517,14)</f>
        <v>7</v>
      </c>
      <c r="E517" s="15">
        <f t="shared" ref="E517:E580" si="57">VLOOKUP(D517,Q$5:R$11,2,FALSE)</f>
        <v>0.2</v>
      </c>
      <c r="F517" s="15">
        <f t="shared" ref="F517:F580" si="58">IF(AND(D517&gt;D516,F516&lt;6),F516+1,1)</f>
        <v>4</v>
      </c>
      <c r="G517" s="15">
        <f t="shared" ref="G517:G580" si="59">IF(F517&gt;F516,G516+B517*E517,B517*E517)</f>
        <v>2.7233172814748059</v>
      </c>
      <c r="H517" s="15">
        <f t="shared" ref="H517:H580" si="60">IF(AND(F517&lt;6,F517&gt;F516),E517+H516,E517)</f>
        <v>0.8</v>
      </c>
      <c r="I517" s="15">
        <f t="shared" ref="I517:I580" si="61">IF(F517&gt;F518,1,0)</f>
        <v>1</v>
      </c>
      <c r="J517" s="15">
        <f t="shared" ref="J517:J580" si="62">IF(F517&gt;F518,G517/H517,0)</f>
        <v>3.4041466018435074</v>
      </c>
      <c r="K517" s="15">
        <f>IF(CurrentMtgRatesDataTable8[[#This Row],[WA CC]]&lt;&gt;0,C516-CurrentMtgRatesDataTable8[[#This Row],[WA CC]],0)</f>
        <v>0.82585339815649306</v>
      </c>
      <c r="L517" s="16">
        <f>IF(CurrentMtgRatesDataTable8[[#This Row],[Servicing Spread]]&lt;=0,L516,CurrentMtgRatesDataTable8[[#This Row],[Servicing Spread]])</f>
        <v>0.82585339815649306</v>
      </c>
      <c r="M517" s="16">
        <f>CurrentMtgRatesDataTable8[[#This Row],[Servicing Spread Non-Zero]]-L516</f>
        <v>-3.6895271762006132E-2</v>
      </c>
      <c r="N517" s="16">
        <f>IF(J516&lt;&gt;0,CurrentMtgRatesDataTable8[[#This Row],[Rate]]-C516,N516)</f>
        <v>3.500000000000103E-2</v>
      </c>
    </row>
    <row r="518" spans="1:14">
      <c r="A518" s="12" t="s">
        <v>687</v>
      </c>
      <c r="B518" s="13">
        <v>3.3653149178353798</v>
      </c>
      <c r="C518" s="13">
        <v>4.2149999999999999</v>
      </c>
      <c r="D518" s="15">
        <f t="shared" si="56"/>
        <v>1</v>
      </c>
      <c r="E518" s="15">
        <f t="shared" si="57"/>
        <v>0.2</v>
      </c>
      <c r="F518" s="15">
        <f t="shared" si="58"/>
        <v>1</v>
      </c>
      <c r="G518" s="15">
        <f t="shared" si="59"/>
        <v>0.67306298356707606</v>
      </c>
      <c r="H518" s="15">
        <f t="shared" si="60"/>
        <v>0.2</v>
      </c>
      <c r="I518" s="15">
        <f t="shared" si="61"/>
        <v>0</v>
      </c>
      <c r="J518" s="15">
        <f t="shared" si="62"/>
        <v>0</v>
      </c>
      <c r="K518" s="15">
        <f>IF(CurrentMtgRatesDataTable8[[#This Row],[WA CC]]&lt;&gt;0,C517-CurrentMtgRatesDataTable8[[#This Row],[WA CC]],0)</f>
        <v>0</v>
      </c>
      <c r="L518" s="16">
        <f>IF(CurrentMtgRatesDataTable8[[#This Row],[Servicing Spread]]&lt;=0,L517,CurrentMtgRatesDataTable8[[#This Row],[Servicing Spread]])</f>
        <v>0.82585339815649306</v>
      </c>
      <c r="M518" s="16">
        <f>CurrentMtgRatesDataTable8[[#This Row],[Servicing Spread Non-Zero]]-L517</f>
        <v>0</v>
      </c>
      <c r="N518" s="16">
        <f>IF(J517&lt;&gt;0,CurrentMtgRatesDataTable8[[#This Row],[Rate]]-C517,N517)</f>
        <v>-1.5000000000000568E-2</v>
      </c>
    </row>
    <row r="519" spans="1:14">
      <c r="A519" s="12" t="s">
        <v>546</v>
      </c>
      <c r="B519" s="13">
        <v>3.34407232938596</v>
      </c>
      <c r="C519" s="13">
        <v>4.2149999999999999</v>
      </c>
      <c r="D519" s="15">
        <f t="shared" si="56"/>
        <v>2</v>
      </c>
      <c r="E519" s="15">
        <f t="shared" si="57"/>
        <v>0.2</v>
      </c>
      <c r="F519" s="15">
        <f t="shared" si="58"/>
        <v>2</v>
      </c>
      <c r="G519" s="15">
        <f t="shared" si="59"/>
        <v>1.3418774494442682</v>
      </c>
      <c r="H519" s="15">
        <f t="shared" si="60"/>
        <v>0.4</v>
      </c>
      <c r="I519" s="15">
        <f t="shared" si="61"/>
        <v>0</v>
      </c>
      <c r="J519" s="15">
        <f t="shared" si="62"/>
        <v>0</v>
      </c>
      <c r="K519" s="15">
        <f>IF(CurrentMtgRatesDataTable8[[#This Row],[WA CC]]&lt;&gt;0,C518-CurrentMtgRatesDataTable8[[#This Row],[WA CC]],0)</f>
        <v>0</v>
      </c>
      <c r="L519" s="16">
        <f>IF(CurrentMtgRatesDataTable8[[#This Row],[Servicing Spread]]&lt;=0,L518,CurrentMtgRatesDataTable8[[#This Row],[Servicing Spread]])</f>
        <v>0.82585339815649306</v>
      </c>
      <c r="M519" s="16">
        <f>CurrentMtgRatesDataTable8[[#This Row],[Servicing Spread Non-Zero]]-L518</f>
        <v>0</v>
      </c>
      <c r="N519" s="16">
        <f>IF(J518&lt;&gt;0,CurrentMtgRatesDataTable8[[#This Row],[Rate]]-C518,N518)</f>
        <v>-1.5000000000000568E-2</v>
      </c>
    </row>
    <row r="520" spans="1:14">
      <c r="A520" s="12" t="s">
        <v>401</v>
      </c>
      <c r="B520" s="13">
        <v>3.3514611406408399</v>
      </c>
      <c r="C520" s="13">
        <v>4.2149999999999999</v>
      </c>
      <c r="D520" s="15">
        <f t="shared" si="56"/>
        <v>5</v>
      </c>
      <c r="E520" s="15">
        <f t="shared" si="57"/>
        <v>0.2</v>
      </c>
      <c r="F520" s="15">
        <f t="shared" si="58"/>
        <v>3</v>
      </c>
      <c r="G520" s="15">
        <f t="shared" si="59"/>
        <v>2.0121696775724365</v>
      </c>
      <c r="H520" s="15">
        <f t="shared" si="60"/>
        <v>0.60000000000000009</v>
      </c>
      <c r="I520" s="15">
        <f t="shared" si="61"/>
        <v>0</v>
      </c>
      <c r="J520" s="15">
        <f t="shared" si="62"/>
        <v>0</v>
      </c>
      <c r="K520" s="15">
        <f>IF(CurrentMtgRatesDataTable8[[#This Row],[WA CC]]&lt;&gt;0,C519-CurrentMtgRatesDataTable8[[#This Row],[WA CC]],0)</f>
        <v>0</v>
      </c>
      <c r="L520" s="16">
        <f>IF(CurrentMtgRatesDataTable8[[#This Row],[Servicing Spread]]&lt;=0,L519,CurrentMtgRatesDataTable8[[#This Row],[Servicing Spread]])</f>
        <v>0.82585339815649306</v>
      </c>
      <c r="M520" s="16">
        <f>CurrentMtgRatesDataTable8[[#This Row],[Servicing Spread Non-Zero]]-L519</f>
        <v>0</v>
      </c>
      <c r="N520" s="16">
        <f>IF(J519&lt;&gt;0,CurrentMtgRatesDataTable8[[#This Row],[Rate]]-C519,N519)</f>
        <v>-1.5000000000000568E-2</v>
      </c>
    </row>
    <row r="521" spans="1:14">
      <c r="A521" s="12" t="s">
        <v>269</v>
      </c>
      <c r="B521" s="13">
        <v>3.3733743387763999</v>
      </c>
      <c r="C521" s="13">
        <v>4.2149999999999999</v>
      </c>
      <c r="D521" s="15">
        <f t="shared" si="56"/>
        <v>6</v>
      </c>
      <c r="E521" s="15">
        <f t="shared" si="57"/>
        <v>0.2</v>
      </c>
      <c r="F521" s="15">
        <f t="shared" si="58"/>
        <v>4</v>
      </c>
      <c r="G521" s="15">
        <f t="shared" si="59"/>
        <v>2.6868445453277165</v>
      </c>
      <c r="H521" s="15">
        <f t="shared" si="60"/>
        <v>0.8</v>
      </c>
      <c r="I521" s="15">
        <f t="shared" si="61"/>
        <v>0</v>
      </c>
      <c r="J521" s="15">
        <f t="shared" si="62"/>
        <v>0</v>
      </c>
      <c r="K521" s="15">
        <f>IF(CurrentMtgRatesDataTable8[[#This Row],[WA CC]]&lt;&gt;0,C520-CurrentMtgRatesDataTable8[[#This Row],[WA CC]],0)</f>
        <v>0</v>
      </c>
      <c r="L521" s="16">
        <f>IF(CurrentMtgRatesDataTable8[[#This Row],[Servicing Spread]]&lt;=0,L520,CurrentMtgRatesDataTable8[[#This Row],[Servicing Spread]])</f>
        <v>0.82585339815649306</v>
      </c>
      <c r="M521" s="16">
        <f>CurrentMtgRatesDataTable8[[#This Row],[Servicing Spread Non-Zero]]-L520</f>
        <v>0</v>
      </c>
      <c r="N521" s="16">
        <f>IF(J520&lt;&gt;0,CurrentMtgRatesDataTable8[[#This Row],[Rate]]-C520,N520)</f>
        <v>-1.5000000000000568E-2</v>
      </c>
    </row>
    <row r="522" spans="1:14">
      <c r="A522" s="12" t="s">
        <v>124</v>
      </c>
      <c r="B522" s="13">
        <v>3.3274269650204</v>
      </c>
      <c r="C522" s="13">
        <v>4.2149999999999999</v>
      </c>
      <c r="D522" s="15">
        <f t="shared" si="56"/>
        <v>7</v>
      </c>
      <c r="E522" s="15">
        <f t="shared" si="57"/>
        <v>0.2</v>
      </c>
      <c r="F522" s="15">
        <f t="shared" si="58"/>
        <v>5</v>
      </c>
      <c r="G522" s="15">
        <f t="shared" si="59"/>
        <v>3.3523299383317964</v>
      </c>
      <c r="H522" s="15">
        <f t="shared" si="60"/>
        <v>1</v>
      </c>
      <c r="I522" s="15">
        <f t="shared" si="61"/>
        <v>1</v>
      </c>
      <c r="J522" s="15">
        <f t="shared" si="62"/>
        <v>3.3523299383317964</v>
      </c>
      <c r="K522" s="15">
        <f>IF(CurrentMtgRatesDataTable8[[#This Row],[WA CC]]&lt;&gt;0,C521-CurrentMtgRatesDataTable8[[#This Row],[WA CC]],0)</f>
        <v>0.86267006166820348</v>
      </c>
      <c r="L522" s="16">
        <f>IF(CurrentMtgRatesDataTable8[[#This Row],[Servicing Spread]]&lt;=0,L521,CurrentMtgRatesDataTable8[[#This Row],[Servicing Spread]])</f>
        <v>0.86267006166820348</v>
      </c>
      <c r="M522" s="16">
        <f>CurrentMtgRatesDataTable8[[#This Row],[Servicing Spread Non-Zero]]-L521</f>
        <v>3.6816663511710424E-2</v>
      </c>
      <c r="N522" s="16">
        <f>IF(J521&lt;&gt;0,CurrentMtgRatesDataTable8[[#This Row],[Rate]]-C521,N521)</f>
        <v>-1.5000000000000568E-2</v>
      </c>
    </row>
    <row r="523" spans="1:14">
      <c r="A523" s="12" t="s">
        <v>688</v>
      </c>
      <c r="B523" s="13">
        <v>3.2875255326595201</v>
      </c>
      <c r="C523" s="13">
        <v>4.1100000000000003</v>
      </c>
      <c r="D523" s="15">
        <f t="shared" si="56"/>
        <v>1</v>
      </c>
      <c r="E523" s="15">
        <f t="shared" si="57"/>
        <v>0.2</v>
      </c>
      <c r="F523" s="15">
        <f t="shared" si="58"/>
        <v>1</v>
      </c>
      <c r="G523" s="15">
        <f t="shared" si="59"/>
        <v>0.65750510653190408</v>
      </c>
      <c r="H523" s="15">
        <f t="shared" si="60"/>
        <v>0.2</v>
      </c>
      <c r="I523" s="15">
        <f t="shared" si="61"/>
        <v>0</v>
      </c>
      <c r="J523" s="15">
        <f t="shared" si="62"/>
        <v>0</v>
      </c>
      <c r="K523" s="15">
        <f>IF(CurrentMtgRatesDataTable8[[#This Row],[WA CC]]&lt;&gt;0,C522-CurrentMtgRatesDataTable8[[#This Row],[WA CC]],0)</f>
        <v>0</v>
      </c>
      <c r="L523" s="16">
        <f>IF(CurrentMtgRatesDataTable8[[#This Row],[Servicing Spread]]&lt;=0,L522,CurrentMtgRatesDataTable8[[#This Row],[Servicing Spread]])</f>
        <v>0.86267006166820348</v>
      </c>
      <c r="M523" s="16">
        <f>CurrentMtgRatesDataTable8[[#This Row],[Servicing Spread Non-Zero]]-L522</f>
        <v>0</v>
      </c>
      <c r="N523" s="16">
        <f>IF(J522&lt;&gt;0,CurrentMtgRatesDataTable8[[#This Row],[Rate]]-C522,N522)</f>
        <v>-0.10499999999999954</v>
      </c>
    </row>
    <row r="524" spans="1:14">
      <c r="A524" s="12" t="s">
        <v>547</v>
      </c>
      <c r="B524" s="13">
        <v>3.27582122809376</v>
      </c>
      <c r="C524" s="13">
        <v>4.1100000000000003</v>
      </c>
      <c r="D524" s="15">
        <f t="shared" si="56"/>
        <v>2</v>
      </c>
      <c r="E524" s="15">
        <f t="shared" si="57"/>
        <v>0.2</v>
      </c>
      <c r="F524" s="15">
        <f t="shared" si="58"/>
        <v>2</v>
      </c>
      <c r="G524" s="15">
        <f t="shared" si="59"/>
        <v>1.3126693521506563</v>
      </c>
      <c r="H524" s="15">
        <f t="shared" si="60"/>
        <v>0.4</v>
      </c>
      <c r="I524" s="15">
        <f t="shared" si="61"/>
        <v>0</v>
      </c>
      <c r="J524" s="15">
        <f t="shared" si="62"/>
        <v>0</v>
      </c>
      <c r="K524" s="15">
        <f>IF(CurrentMtgRatesDataTable8[[#This Row],[WA CC]]&lt;&gt;0,C523-CurrentMtgRatesDataTable8[[#This Row],[WA CC]],0)</f>
        <v>0</v>
      </c>
      <c r="L524" s="16">
        <f>IF(CurrentMtgRatesDataTable8[[#This Row],[Servicing Spread]]&lt;=0,L523,CurrentMtgRatesDataTable8[[#This Row],[Servicing Spread]])</f>
        <v>0.86267006166820348</v>
      </c>
      <c r="M524" s="16">
        <f>CurrentMtgRatesDataTable8[[#This Row],[Servicing Spread Non-Zero]]-L523</f>
        <v>0</v>
      </c>
      <c r="N524" s="16">
        <f>IF(J523&lt;&gt;0,CurrentMtgRatesDataTable8[[#This Row],[Rate]]-C523,N523)</f>
        <v>-0.10499999999999954</v>
      </c>
    </row>
    <row r="525" spans="1:14">
      <c r="A525" s="12" t="s">
        <v>402</v>
      </c>
      <c r="B525" s="13">
        <v>3.28849941945206</v>
      </c>
      <c r="C525" s="13">
        <v>4.1100000000000003</v>
      </c>
      <c r="D525" s="15">
        <f t="shared" si="56"/>
        <v>5</v>
      </c>
      <c r="E525" s="15">
        <f t="shared" si="57"/>
        <v>0.2</v>
      </c>
      <c r="F525" s="15">
        <f t="shared" si="58"/>
        <v>3</v>
      </c>
      <c r="G525" s="15">
        <f t="shared" si="59"/>
        <v>1.9703692360410683</v>
      </c>
      <c r="H525" s="15">
        <f t="shared" si="60"/>
        <v>0.60000000000000009</v>
      </c>
      <c r="I525" s="15">
        <f t="shared" si="61"/>
        <v>0</v>
      </c>
      <c r="J525" s="15">
        <f t="shared" si="62"/>
        <v>0</v>
      </c>
      <c r="K525" s="15">
        <f>IF(CurrentMtgRatesDataTable8[[#This Row],[WA CC]]&lt;&gt;0,C524-CurrentMtgRatesDataTable8[[#This Row],[WA CC]],0)</f>
        <v>0</v>
      </c>
      <c r="L525" s="16">
        <f>IF(CurrentMtgRatesDataTable8[[#This Row],[Servicing Spread]]&lt;=0,L524,CurrentMtgRatesDataTable8[[#This Row],[Servicing Spread]])</f>
        <v>0.86267006166820348</v>
      </c>
      <c r="M525" s="16">
        <f>CurrentMtgRatesDataTable8[[#This Row],[Servicing Spread Non-Zero]]-L524</f>
        <v>0</v>
      </c>
      <c r="N525" s="16">
        <f>IF(J524&lt;&gt;0,CurrentMtgRatesDataTable8[[#This Row],[Rate]]-C524,N524)</f>
        <v>-0.10499999999999954</v>
      </c>
    </row>
    <row r="526" spans="1:14">
      <c r="A526" s="12" t="s">
        <v>270</v>
      </c>
      <c r="B526" s="13">
        <v>3.2676928756403698</v>
      </c>
      <c r="C526" s="13">
        <v>4.1100000000000003</v>
      </c>
      <c r="D526" s="15">
        <f t="shared" si="56"/>
        <v>6</v>
      </c>
      <c r="E526" s="15">
        <f t="shared" si="57"/>
        <v>0.2</v>
      </c>
      <c r="F526" s="15">
        <f t="shared" si="58"/>
        <v>4</v>
      </c>
      <c r="G526" s="15">
        <f t="shared" si="59"/>
        <v>2.6239078111691425</v>
      </c>
      <c r="H526" s="15">
        <f t="shared" si="60"/>
        <v>0.8</v>
      </c>
      <c r="I526" s="15">
        <f t="shared" si="61"/>
        <v>0</v>
      </c>
      <c r="J526" s="15">
        <f t="shared" si="62"/>
        <v>0</v>
      </c>
      <c r="K526" s="15">
        <f>IF(CurrentMtgRatesDataTable8[[#This Row],[WA CC]]&lt;&gt;0,C525-CurrentMtgRatesDataTable8[[#This Row],[WA CC]],0)</f>
        <v>0</v>
      </c>
      <c r="L526" s="16">
        <f>IF(CurrentMtgRatesDataTable8[[#This Row],[Servicing Spread]]&lt;=0,L525,CurrentMtgRatesDataTable8[[#This Row],[Servicing Spread]])</f>
        <v>0.86267006166820348</v>
      </c>
      <c r="M526" s="16">
        <f>CurrentMtgRatesDataTable8[[#This Row],[Servicing Spread Non-Zero]]-L525</f>
        <v>0</v>
      </c>
      <c r="N526" s="16">
        <f>IF(J525&lt;&gt;0,CurrentMtgRatesDataTable8[[#This Row],[Rate]]-C525,N525)</f>
        <v>-0.10499999999999954</v>
      </c>
    </row>
    <row r="527" spans="1:14">
      <c r="A527" s="12" t="s">
        <v>125</v>
      </c>
      <c r="B527" s="13">
        <v>3.2365593112173601</v>
      </c>
      <c r="C527" s="13">
        <v>4.1100000000000003</v>
      </c>
      <c r="D527" s="15">
        <f t="shared" si="56"/>
        <v>7</v>
      </c>
      <c r="E527" s="15">
        <f t="shared" si="57"/>
        <v>0.2</v>
      </c>
      <c r="F527" s="15">
        <f t="shared" si="58"/>
        <v>5</v>
      </c>
      <c r="G527" s="15">
        <f t="shared" si="59"/>
        <v>3.2712196734126144</v>
      </c>
      <c r="H527" s="15">
        <f t="shared" si="60"/>
        <v>1</v>
      </c>
      <c r="I527" s="15">
        <f t="shared" si="61"/>
        <v>1</v>
      </c>
      <c r="J527" s="15">
        <f t="shared" si="62"/>
        <v>3.2712196734126144</v>
      </c>
      <c r="K527" s="15">
        <f>IF(CurrentMtgRatesDataTable8[[#This Row],[WA CC]]&lt;&gt;0,C526-CurrentMtgRatesDataTable8[[#This Row],[WA CC]],0)</f>
        <v>0.83878032658738588</v>
      </c>
      <c r="L527" s="16">
        <f>IF(CurrentMtgRatesDataTable8[[#This Row],[Servicing Spread]]&lt;=0,L526,CurrentMtgRatesDataTable8[[#This Row],[Servicing Spread]])</f>
        <v>0.83878032658738588</v>
      </c>
      <c r="M527" s="16">
        <f>CurrentMtgRatesDataTable8[[#This Row],[Servicing Spread Non-Zero]]-L526</f>
        <v>-2.3889735080817598E-2</v>
      </c>
      <c r="N527" s="16">
        <f>IF(J526&lt;&gt;0,CurrentMtgRatesDataTable8[[#This Row],[Rate]]-C526,N526)</f>
        <v>-0.10499999999999954</v>
      </c>
    </row>
    <row r="528" spans="1:14">
      <c r="A528" s="12" t="s">
        <v>689</v>
      </c>
      <c r="B528" s="13">
        <v>3.2302009300383201</v>
      </c>
      <c r="C528" s="13">
        <v>4.1000000000000005</v>
      </c>
      <c r="D528" s="15">
        <f t="shared" si="56"/>
        <v>1</v>
      </c>
      <c r="E528" s="15">
        <f t="shared" si="57"/>
        <v>0.2</v>
      </c>
      <c r="F528" s="15">
        <f t="shared" si="58"/>
        <v>1</v>
      </c>
      <c r="G528" s="15">
        <f t="shared" si="59"/>
        <v>0.64604018600766411</v>
      </c>
      <c r="H528" s="15">
        <f t="shared" si="60"/>
        <v>0.2</v>
      </c>
      <c r="I528" s="15">
        <f t="shared" si="61"/>
        <v>0</v>
      </c>
      <c r="J528" s="15">
        <f t="shared" si="62"/>
        <v>0</v>
      </c>
      <c r="K528" s="15">
        <f>IF(CurrentMtgRatesDataTable8[[#This Row],[WA CC]]&lt;&gt;0,C527-CurrentMtgRatesDataTable8[[#This Row],[WA CC]],0)</f>
        <v>0</v>
      </c>
      <c r="L528" s="16">
        <f>IF(CurrentMtgRatesDataTable8[[#This Row],[Servicing Spread]]&lt;=0,L527,CurrentMtgRatesDataTable8[[#This Row],[Servicing Spread]])</f>
        <v>0.83878032658738588</v>
      </c>
      <c r="M528" s="16">
        <f>CurrentMtgRatesDataTable8[[#This Row],[Servicing Spread Non-Zero]]-L527</f>
        <v>0</v>
      </c>
      <c r="N528" s="16">
        <f>IF(J527&lt;&gt;0,CurrentMtgRatesDataTable8[[#This Row],[Rate]]-C527,N527)</f>
        <v>-9.9999999999997868E-3</v>
      </c>
    </row>
    <row r="529" spans="1:14">
      <c r="A529" s="12" t="s">
        <v>548</v>
      </c>
      <c r="B529" s="13">
        <v>3.26793441628852</v>
      </c>
      <c r="C529" s="13">
        <v>4.1000000000000005</v>
      </c>
      <c r="D529" s="15">
        <f t="shared" si="56"/>
        <v>2</v>
      </c>
      <c r="E529" s="15">
        <f t="shared" si="57"/>
        <v>0.2</v>
      </c>
      <c r="F529" s="15">
        <f t="shared" si="58"/>
        <v>2</v>
      </c>
      <c r="G529" s="15">
        <f t="shared" si="59"/>
        <v>1.2996270692653682</v>
      </c>
      <c r="H529" s="15">
        <f t="shared" si="60"/>
        <v>0.4</v>
      </c>
      <c r="I529" s="15">
        <f t="shared" si="61"/>
        <v>0</v>
      </c>
      <c r="J529" s="15">
        <f t="shared" si="62"/>
        <v>0</v>
      </c>
      <c r="K529" s="15">
        <f>IF(CurrentMtgRatesDataTable8[[#This Row],[WA CC]]&lt;&gt;0,C528-CurrentMtgRatesDataTable8[[#This Row],[WA CC]],0)</f>
        <v>0</v>
      </c>
      <c r="L529" s="16">
        <f>IF(CurrentMtgRatesDataTable8[[#This Row],[Servicing Spread]]&lt;=0,L528,CurrentMtgRatesDataTable8[[#This Row],[Servicing Spread]])</f>
        <v>0.83878032658738588</v>
      </c>
      <c r="M529" s="16">
        <f>CurrentMtgRatesDataTable8[[#This Row],[Servicing Spread Non-Zero]]-L528</f>
        <v>0</v>
      </c>
      <c r="N529" s="16">
        <f>IF(J528&lt;&gt;0,CurrentMtgRatesDataTable8[[#This Row],[Rate]]-C528,N528)</f>
        <v>-9.9999999999997868E-3</v>
      </c>
    </row>
    <row r="530" spans="1:14">
      <c r="A530" s="12" t="s">
        <v>403</v>
      </c>
      <c r="B530" s="13">
        <v>3.2957313796738501</v>
      </c>
      <c r="C530" s="13">
        <v>4.1000000000000005</v>
      </c>
      <c r="D530" s="15">
        <f t="shared" si="56"/>
        <v>5</v>
      </c>
      <c r="E530" s="15">
        <f t="shared" si="57"/>
        <v>0.2</v>
      </c>
      <c r="F530" s="15">
        <f t="shared" si="58"/>
        <v>3</v>
      </c>
      <c r="G530" s="15">
        <f t="shared" si="59"/>
        <v>1.9587733452001381</v>
      </c>
      <c r="H530" s="15">
        <f t="shared" si="60"/>
        <v>0.60000000000000009</v>
      </c>
      <c r="I530" s="15">
        <f t="shared" si="61"/>
        <v>0</v>
      </c>
      <c r="J530" s="15">
        <f t="shared" si="62"/>
        <v>0</v>
      </c>
      <c r="K530" s="15">
        <f>IF(CurrentMtgRatesDataTable8[[#This Row],[WA CC]]&lt;&gt;0,C529-CurrentMtgRatesDataTable8[[#This Row],[WA CC]],0)</f>
        <v>0</v>
      </c>
      <c r="L530" s="16">
        <f>IF(CurrentMtgRatesDataTable8[[#This Row],[Servicing Spread]]&lt;=0,L529,CurrentMtgRatesDataTable8[[#This Row],[Servicing Spread]])</f>
        <v>0.83878032658738588</v>
      </c>
      <c r="M530" s="16">
        <f>CurrentMtgRatesDataTable8[[#This Row],[Servicing Spread Non-Zero]]-L529</f>
        <v>0</v>
      </c>
      <c r="N530" s="16">
        <f>IF(J529&lt;&gt;0,CurrentMtgRatesDataTable8[[#This Row],[Rate]]-C529,N529)</f>
        <v>-9.9999999999997868E-3</v>
      </c>
    </row>
    <row r="531" spans="1:14">
      <c r="A531" s="12" t="s">
        <v>271</v>
      </c>
      <c r="B531" s="13">
        <v>3.2728026621506001</v>
      </c>
      <c r="C531" s="13">
        <v>4.1000000000000005</v>
      </c>
      <c r="D531" s="15">
        <f t="shared" si="56"/>
        <v>6</v>
      </c>
      <c r="E531" s="15">
        <f t="shared" si="57"/>
        <v>0.2</v>
      </c>
      <c r="F531" s="15">
        <f t="shared" si="58"/>
        <v>4</v>
      </c>
      <c r="G531" s="15">
        <f t="shared" si="59"/>
        <v>2.6133338776302582</v>
      </c>
      <c r="H531" s="15">
        <f t="shared" si="60"/>
        <v>0.8</v>
      </c>
      <c r="I531" s="15">
        <f t="shared" si="61"/>
        <v>0</v>
      </c>
      <c r="J531" s="15">
        <f t="shared" si="62"/>
        <v>0</v>
      </c>
      <c r="K531" s="15">
        <f>IF(CurrentMtgRatesDataTable8[[#This Row],[WA CC]]&lt;&gt;0,C530-CurrentMtgRatesDataTable8[[#This Row],[WA CC]],0)</f>
        <v>0</v>
      </c>
      <c r="L531" s="16">
        <f>IF(CurrentMtgRatesDataTable8[[#This Row],[Servicing Spread]]&lt;=0,L530,CurrentMtgRatesDataTable8[[#This Row],[Servicing Spread]])</f>
        <v>0.83878032658738588</v>
      </c>
      <c r="M531" s="16">
        <f>CurrentMtgRatesDataTable8[[#This Row],[Servicing Spread Non-Zero]]-L530</f>
        <v>0</v>
      </c>
      <c r="N531" s="16">
        <f>IF(J530&lt;&gt;0,CurrentMtgRatesDataTable8[[#This Row],[Rate]]-C530,N530)</f>
        <v>-9.9999999999997868E-3</v>
      </c>
    </row>
    <row r="532" spans="1:14">
      <c r="A532" s="12" t="s">
        <v>126</v>
      </c>
      <c r="B532" s="13">
        <v>3.1970892272743101</v>
      </c>
      <c r="C532" s="13">
        <v>4.1000000000000005</v>
      </c>
      <c r="D532" s="15">
        <f t="shared" si="56"/>
        <v>7</v>
      </c>
      <c r="E532" s="15">
        <f t="shared" si="57"/>
        <v>0.2</v>
      </c>
      <c r="F532" s="15">
        <f t="shared" si="58"/>
        <v>5</v>
      </c>
      <c r="G532" s="15">
        <f t="shared" si="59"/>
        <v>3.2527517230851202</v>
      </c>
      <c r="H532" s="15">
        <f t="shared" si="60"/>
        <v>1</v>
      </c>
      <c r="I532" s="15">
        <f t="shared" si="61"/>
        <v>1</v>
      </c>
      <c r="J532" s="15">
        <f t="shared" si="62"/>
        <v>3.2527517230851202</v>
      </c>
      <c r="K532" s="15">
        <f>IF(CurrentMtgRatesDataTable8[[#This Row],[WA CC]]&lt;&gt;0,C531-CurrentMtgRatesDataTable8[[#This Row],[WA CC]],0)</f>
        <v>0.84724827691488036</v>
      </c>
      <c r="L532" s="16">
        <f>IF(CurrentMtgRatesDataTable8[[#This Row],[Servicing Spread]]&lt;=0,L531,CurrentMtgRatesDataTable8[[#This Row],[Servicing Spread]])</f>
        <v>0.84724827691488036</v>
      </c>
      <c r="M532" s="16">
        <f>CurrentMtgRatesDataTable8[[#This Row],[Servicing Spread Non-Zero]]-L531</f>
        <v>8.4679503274944778E-3</v>
      </c>
      <c r="N532" s="16">
        <f>IF(J531&lt;&gt;0,CurrentMtgRatesDataTable8[[#This Row],[Rate]]-C531,N531)</f>
        <v>-9.9999999999997868E-3</v>
      </c>
    </row>
    <row r="533" spans="1:14">
      <c r="A533" s="12" t="s">
        <v>690</v>
      </c>
      <c r="B533" s="13">
        <v>3.1795097734540301</v>
      </c>
      <c r="C533" s="13">
        <v>4.04</v>
      </c>
      <c r="D533" s="15">
        <f t="shared" si="56"/>
        <v>1</v>
      </c>
      <c r="E533" s="15">
        <f t="shared" si="57"/>
        <v>0.2</v>
      </c>
      <c r="F533" s="15">
        <f t="shared" si="58"/>
        <v>1</v>
      </c>
      <c r="G533" s="15">
        <f t="shared" si="59"/>
        <v>0.63590195469080601</v>
      </c>
      <c r="H533" s="15">
        <f t="shared" si="60"/>
        <v>0.2</v>
      </c>
      <c r="I533" s="15">
        <f t="shared" si="61"/>
        <v>0</v>
      </c>
      <c r="J533" s="15">
        <f t="shared" si="62"/>
        <v>0</v>
      </c>
      <c r="K533" s="15">
        <f>IF(CurrentMtgRatesDataTable8[[#This Row],[WA CC]]&lt;&gt;0,C532-CurrentMtgRatesDataTable8[[#This Row],[WA CC]],0)</f>
        <v>0</v>
      </c>
      <c r="L533" s="16">
        <f>IF(CurrentMtgRatesDataTable8[[#This Row],[Servicing Spread]]&lt;=0,L532,CurrentMtgRatesDataTable8[[#This Row],[Servicing Spread]])</f>
        <v>0.84724827691488036</v>
      </c>
      <c r="M533" s="16">
        <f>CurrentMtgRatesDataTable8[[#This Row],[Servicing Spread Non-Zero]]-L532</f>
        <v>0</v>
      </c>
      <c r="N533" s="16">
        <f>IF(J532&lt;&gt;0,CurrentMtgRatesDataTable8[[#This Row],[Rate]]-C532,N532)</f>
        <v>-6.0000000000000497E-2</v>
      </c>
    </row>
    <row r="534" spans="1:14">
      <c r="A534" s="12" t="s">
        <v>549</v>
      </c>
      <c r="B534" s="13">
        <v>3.2071722937792901</v>
      </c>
      <c r="C534" s="13">
        <v>4.04</v>
      </c>
      <c r="D534" s="15">
        <f t="shared" si="56"/>
        <v>2</v>
      </c>
      <c r="E534" s="15">
        <f t="shared" si="57"/>
        <v>0.2</v>
      </c>
      <c r="F534" s="15">
        <f t="shared" si="58"/>
        <v>2</v>
      </c>
      <c r="G534" s="15">
        <f t="shared" si="59"/>
        <v>1.277336413446664</v>
      </c>
      <c r="H534" s="15">
        <f t="shared" si="60"/>
        <v>0.4</v>
      </c>
      <c r="I534" s="15">
        <f t="shared" si="61"/>
        <v>0</v>
      </c>
      <c r="J534" s="15">
        <f t="shared" si="62"/>
        <v>0</v>
      </c>
      <c r="K534" s="15">
        <f>IF(CurrentMtgRatesDataTable8[[#This Row],[WA CC]]&lt;&gt;0,C533-CurrentMtgRatesDataTable8[[#This Row],[WA CC]],0)</f>
        <v>0</v>
      </c>
      <c r="L534" s="16">
        <f>IF(CurrentMtgRatesDataTable8[[#This Row],[Servicing Spread]]&lt;=0,L533,CurrentMtgRatesDataTable8[[#This Row],[Servicing Spread]])</f>
        <v>0.84724827691488036</v>
      </c>
      <c r="M534" s="16">
        <f>CurrentMtgRatesDataTable8[[#This Row],[Servicing Spread Non-Zero]]-L533</f>
        <v>0</v>
      </c>
      <c r="N534" s="16">
        <f>IF(J533&lt;&gt;0,CurrentMtgRatesDataTable8[[#This Row],[Rate]]-C533,N533)</f>
        <v>-6.0000000000000497E-2</v>
      </c>
    </row>
    <row r="535" spans="1:14">
      <c r="A535" s="12" t="s">
        <v>404</v>
      </c>
      <c r="B535" s="13">
        <v>3.2249711814966302</v>
      </c>
      <c r="C535" s="13">
        <v>4.04</v>
      </c>
      <c r="D535" s="15">
        <f t="shared" si="56"/>
        <v>5</v>
      </c>
      <c r="E535" s="15">
        <f t="shared" si="57"/>
        <v>0.2</v>
      </c>
      <c r="F535" s="15">
        <f t="shared" si="58"/>
        <v>3</v>
      </c>
      <c r="G535" s="15">
        <f t="shared" si="59"/>
        <v>1.92233064974599</v>
      </c>
      <c r="H535" s="15">
        <f t="shared" si="60"/>
        <v>0.60000000000000009</v>
      </c>
      <c r="I535" s="15">
        <f t="shared" si="61"/>
        <v>0</v>
      </c>
      <c r="J535" s="15">
        <f t="shared" si="62"/>
        <v>0</v>
      </c>
      <c r="K535" s="15">
        <f>IF(CurrentMtgRatesDataTable8[[#This Row],[WA CC]]&lt;&gt;0,C534-CurrentMtgRatesDataTable8[[#This Row],[WA CC]],0)</f>
        <v>0</v>
      </c>
      <c r="L535" s="16">
        <f>IF(CurrentMtgRatesDataTable8[[#This Row],[Servicing Spread]]&lt;=0,L534,CurrentMtgRatesDataTable8[[#This Row],[Servicing Spread]])</f>
        <v>0.84724827691488036</v>
      </c>
      <c r="M535" s="16">
        <f>CurrentMtgRatesDataTable8[[#This Row],[Servicing Spread Non-Zero]]-L534</f>
        <v>0</v>
      </c>
      <c r="N535" s="16">
        <f>IF(J534&lt;&gt;0,CurrentMtgRatesDataTable8[[#This Row],[Rate]]-C534,N534)</f>
        <v>-6.0000000000000497E-2</v>
      </c>
    </row>
    <row r="536" spans="1:14">
      <c r="A536" s="12" t="s">
        <v>272</v>
      </c>
      <c r="B536" s="13">
        <v>3.1906249352690699</v>
      </c>
      <c r="C536" s="13">
        <v>4.04</v>
      </c>
      <c r="D536" s="15">
        <f t="shared" si="56"/>
        <v>6</v>
      </c>
      <c r="E536" s="15">
        <f t="shared" si="57"/>
        <v>0.2</v>
      </c>
      <c r="F536" s="15">
        <f t="shared" si="58"/>
        <v>4</v>
      </c>
      <c r="G536" s="15">
        <f t="shared" si="59"/>
        <v>2.5604556367998041</v>
      </c>
      <c r="H536" s="15">
        <f t="shared" si="60"/>
        <v>0.8</v>
      </c>
      <c r="I536" s="15">
        <f t="shared" si="61"/>
        <v>0</v>
      </c>
      <c r="J536" s="15">
        <f t="shared" si="62"/>
        <v>0</v>
      </c>
      <c r="K536" s="15">
        <f>IF(CurrentMtgRatesDataTable8[[#This Row],[WA CC]]&lt;&gt;0,C535-CurrentMtgRatesDataTable8[[#This Row],[WA CC]],0)</f>
        <v>0</v>
      </c>
      <c r="L536" s="16">
        <f>IF(CurrentMtgRatesDataTable8[[#This Row],[Servicing Spread]]&lt;=0,L535,CurrentMtgRatesDataTable8[[#This Row],[Servicing Spread]])</f>
        <v>0.84724827691488036</v>
      </c>
      <c r="M536" s="16">
        <f>CurrentMtgRatesDataTable8[[#This Row],[Servicing Spread Non-Zero]]-L535</f>
        <v>0</v>
      </c>
      <c r="N536" s="16">
        <f>IF(J535&lt;&gt;0,CurrentMtgRatesDataTable8[[#This Row],[Rate]]-C535,N535)</f>
        <v>-6.0000000000000497E-2</v>
      </c>
    </row>
    <row r="537" spans="1:14">
      <c r="A537" s="12" t="s">
        <v>127</v>
      </c>
      <c r="B537" s="13">
        <v>3.2003729321605299</v>
      </c>
      <c r="C537" s="13">
        <v>4.04</v>
      </c>
      <c r="D537" s="15">
        <f t="shared" si="56"/>
        <v>7</v>
      </c>
      <c r="E537" s="15">
        <f t="shared" si="57"/>
        <v>0.2</v>
      </c>
      <c r="F537" s="15">
        <f t="shared" si="58"/>
        <v>5</v>
      </c>
      <c r="G537" s="15">
        <f t="shared" si="59"/>
        <v>3.2005302232319099</v>
      </c>
      <c r="H537" s="15">
        <f t="shared" si="60"/>
        <v>1</v>
      </c>
      <c r="I537" s="15">
        <f t="shared" si="61"/>
        <v>1</v>
      </c>
      <c r="J537" s="15">
        <f t="shared" si="62"/>
        <v>3.2005302232319099</v>
      </c>
      <c r="K537" s="15">
        <f>IF(CurrentMtgRatesDataTable8[[#This Row],[WA CC]]&lt;&gt;0,C536-CurrentMtgRatesDataTable8[[#This Row],[WA CC]],0)</f>
        <v>0.83946977676809009</v>
      </c>
      <c r="L537" s="16">
        <f>IF(CurrentMtgRatesDataTable8[[#This Row],[Servicing Spread]]&lt;=0,L536,CurrentMtgRatesDataTable8[[#This Row],[Servicing Spread]])</f>
        <v>0.83946977676809009</v>
      </c>
      <c r="M537" s="16">
        <f>CurrentMtgRatesDataTable8[[#This Row],[Servicing Spread Non-Zero]]-L536</f>
        <v>-7.7785001467902681E-3</v>
      </c>
      <c r="N537" s="16">
        <f>IF(J536&lt;&gt;0,CurrentMtgRatesDataTable8[[#This Row],[Rate]]-C536,N536)</f>
        <v>-6.0000000000000497E-2</v>
      </c>
    </row>
    <row r="538" spans="1:14">
      <c r="A538" s="12" t="s">
        <v>691</v>
      </c>
      <c r="B538" s="13">
        <v>3.2144312113226099</v>
      </c>
      <c r="C538" s="13">
        <v>4.0200000000000005</v>
      </c>
      <c r="D538" s="15">
        <f t="shared" si="56"/>
        <v>1</v>
      </c>
      <c r="E538" s="15">
        <f t="shared" si="57"/>
        <v>0.2</v>
      </c>
      <c r="F538" s="15">
        <f t="shared" si="58"/>
        <v>1</v>
      </c>
      <c r="G538" s="15">
        <f t="shared" si="59"/>
        <v>0.64288624226452207</v>
      </c>
      <c r="H538" s="15">
        <f t="shared" si="60"/>
        <v>0.2</v>
      </c>
      <c r="I538" s="15">
        <f t="shared" si="61"/>
        <v>0</v>
      </c>
      <c r="J538" s="15">
        <f t="shared" si="62"/>
        <v>0</v>
      </c>
      <c r="K538" s="15">
        <f>IF(CurrentMtgRatesDataTable8[[#This Row],[WA CC]]&lt;&gt;0,C537-CurrentMtgRatesDataTable8[[#This Row],[WA CC]],0)</f>
        <v>0</v>
      </c>
      <c r="L538" s="16">
        <f>IF(CurrentMtgRatesDataTable8[[#This Row],[Servicing Spread]]&lt;=0,L537,CurrentMtgRatesDataTable8[[#This Row],[Servicing Spread]])</f>
        <v>0.83946977676809009</v>
      </c>
      <c r="M538" s="16">
        <f>CurrentMtgRatesDataTable8[[#This Row],[Servicing Spread Non-Zero]]-L537</f>
        <v>0</v>
      </c>
      <c r="N538" s="16">
        <f>IF(J537&lt;&gt;0,CurrentMtgRatesDataTable8[[#This Row],[Rate]]-C537,N537)</f>
        <v>-1.9999999999999574E-2</v>
      </c>
    </row>
    <row r="539" spans="1:14">
      <c r="A539" s="12" t="s">
        <v>550</v>
      </c>
      <c r="B539" s="13">
        <v>3.2062850314999101</v>
      </c>
      <c r="C539" s="13">
        <v>4.0200000000000005</v>
      </c>
      <c r="D539" s="15">
        <f t="shared" si="56"/>
        <v>2</v>
      </c>
      <c r="E539" s="15">
        <f t="shared" si="57"/>
        <v>0.2</v>
      </c>
      <c r="F539" s="15">
        <f t="shared" si="58"/>
        <v>2</v>
      </c>
      <c r="G539" s="15">
        <f t="shared" si="59"/>
        <v>1.2841432485645041</v>
      </c>
      <c r="H539" s="15">
        <f t="shared" si="60"/>
        <v>0.4</v>
      </c>
      <c r="I539" s="15">
        <f t="shared" si="61"/>
        <v>0</v>
      </c>
      <c r="J539" s="15">
        <f t="shared" si="62"/>
        <v>0</v>
      </c>
      <c r="K539" s="15">
        <f>IF(CurrentMtgRatesDataTable8[[#This Row],[WA CC]]&lt;&gt;0,C538-CurrentMtgRatesDataTable8[[#This Row],[WA CC]],0)</f>
        <v>0</v>
      </c>
      <c r="L539" s="16">
        <f>IF(CurrentMtgRatesDataTable8[[#This Row],[Servicing Spread]]&lt;=0,L538,CurrentMtgRatesDataTable8[[#This Row],[Servicing Spread]])</f>
        <v>0.83946977676809009</v>
      </c>
      <c r="M539" s="16">
        <f>CurrentMtgRatesDataTable8[[#This Row],[Servicing Spread Non-Zero]]-L538</f>
        <v>0</v>
      </c>
      <c r="N539" s="16">
        <f>IF(J538&lt;&gt;0,CurrentMtgRatesDataTable8[[#This Row],[Rate]]-C538,N538)</f>
        <v>-1.9999999999999574E-2</v>
      </c>
    </row>
    <row r="540" spans="1:14">
      <c r="A540" s="12" t="s">
        <v>273</v>
      </c>
      <c r="B540" s="13">
        <v>3.1863361498629699</v>
      </c>
      <c r="C540" s="13">
        <v>4.0200000000000005</v>
      </c>
      <c r="D540" s="15">
        <f t="shared" si="56"/>
        <v>6</v>
      </c>
      <c r="E540" s="15">
        <f t="shared" si="57"/>
        <v>0.2</v>
      </c>
      <c r="F540" s="15">
        <f t="shared" si="58"/>
        <v>3</v>
      </c>
      <c r="G540" s="15">
        <f t="shared" si="59"/>
        <v>1.9214104785370982</v>
      </c>
      <c r="H540" s="15">
        <f t="shared" si="60"/>
        <v>0.60000000000000009</v>
      </c>
      <c r="I540" s="15">
        <f t="shared" si="61"/>
        <v>0</v>
      </c>
      <c r="J540" s="15">
        <f t="shared" si="62"/>
        <v>0</v>
      </c>
      <c r="K540" s="15">
        <f>IF(CurrentMtgRatesDataTable8[[#This Row],[WA CC]]&lt;&gt;0,C539-CurrentMtgRatesDataTable8[[#This Row],[WA CC]],0)</f>
        <v>0</v>
      </c>
      <c r="L540" s="16">
        <f>IF(CurrentMtgRatesDataTable8[[#This Row],[Servicing Spread]]&lt;=0,L539,CurrentMtgRatesDataTable8[[#This Row],[Servicing Spread]])</f>
        <v>0.83946977676809009</v>
      </c>
      <c r="M540" s="16">
        <f>CurrentMtgRatesDataTable8[[#This Row],[Servicing Spread Non-Zero]]-L539</f>
        <v>0</v>
      </c>
      <c r="N540" s="16">
        <f>IF(J539&lt;&gt;0,CurrentMtgRatesDataTable8[[#This Row],[Rate]]-C539,N539)</f>
        <v>-1.9999999999999574E-2</v>
      </c>
    </row>
    <row r="541" spans="1:14">
      <c r="A541" s="12" t="s">
        <v>128</v>
      </c>
      <c r="B541" s="13">
        <v>3.0965824543668101</v>
      </c>
      <c r="C541" s="13">
        <v>4.0200000000000005</v>
      </c>
      <c r="D541" s="15">
        <f t="shared" si="56"/>
        <v>7</v>
      </c>
      <c r="E541" s="15">
        <f t="shared" si="57"/>
        <v>0.2</v>
      </c>
      <c r="F541" s="15">
        <f t="shared" si="58"/>
        <v>4</v>
      </c>
      <c r="G541" s="15">
        <f t="shared" si="59"/>
        <v>2.5407269694104602</v>
      </c>
      <c r="H541" s="15">
        <f t="shared" si="60"/>
        <v>0.8</v>
      </c>
      <c r="I541" s="15">
        <f t="shared" si="61"/>
        <v>1</v>
      </c>
      <c r="J541" s="15">
        <f t="shared" si="62"/>
        <v>3.1759087117630749</v>
      </c>
      <c r="K541" s="15">
        <f>IF(CurrentMtgRatesDataTable8[[#This Row],[WA CC]]&lt;&gt;0,C540-CurrentMtgRatesDataTable8[[#This Row],[WA CC]],0)</f>
        <v>0.84409128823692559</v>
      </c>
      <c r="L541" s="16">
        <f>IF(CurrentMtgRatesDataTable8[[#This Row],[Servicing Spread]]&lt;=0,L540,CurrentMtgRatesDataTable8[[#This Row],[Servicing Spread]])</f>
        <v>0.84409128823692559</v>
      </c>
      <c r="M541" s="16">
        <f>CurrentMtgRatesDataTable8[[#This Row],[Servicing Spread Non-Zero]]-L540</f>
        <v>4.621511468835493E-3</v>
      </c>
      <c r="N541" s="16">
        <f>IF(J540&lt;&gt;0,CurrentMtgRatesDataTable8[[#This Row],[Rate]]-C540,N540)</f>
        <v>-1.9999999999999574E-2</v>
      </c>
    </row>
    <row r="542" spans="1:14">
      <c r="A542" s="12" t="s">
        <v>692</v>
      </c>
      <c r="B542" s="13">
        <v>3.12360003836893</v>
      </c>
      <c r="C542" s="13">
        <v>4.0149999999999997</v>
      </c>
      <c r="D542" s="15">
        <f t="shared" si="56"/>
        <v>1</v>
      </c>
      <c r="E542" s="15">
        <f t="shared" si="57"/>
        <v>0.2</v>
      </c>
      <c r="F542" s="15">
        <f t="shared" si="58"/>
        <v>1</v>
      </c>
      <c r="G542" s="15">
        <f t="shared" si="59"/>
        <v>0.62472000767378599</v>
      </c>
      <c r="H542" s="15">
        <f t="shared" si="60"/>
        <v>0.2</v>
      </c>
      <c r="I542" s="15">
        <f t="shared" si="61"/>
        <v>0</v>
      </c>
      <c r="J542" s="15">
        <f t="shared" si="62"/>
        <v>0</v>
      </c>
      <c r="K542" s="15">
        <f>IF(CurrentMtgRatesDataTable8[[#This Row],[WA CC]]&lt;&gt;0,C541-CurrentMtgRatesDataTable8[[#This Row],[WA CC]],0)</f>
        <v>0</v>
      </c>
      <c r="L542" s="16">
        <f>IF(CurrentMtgRatesDataTable8[[#This Row],[Servicing Spread]]&lt;=0,L541,CurrentMtgRatesDataTable8[[#This Row],[Servicing Spread]])</f>
        <v>0.84409128823692559</v>
      </c>
      <c r="M542" s="16">
        <f>CurrentMtgRatesDataTable8[[#This Row],[Servicing Spread Non-Zero]]-L541</f>
        <v>0</v>
      </c>
      <c r="N542" s="16">
        <f>IF(J541&lt;&gt;0,CurrentMtgRatesDataTable8[[#This Row],[Rate]]-C541,N541)</f>
        <v>-5.0000000000007816E-3</v>
      </c>
    </row>
    <row r="543" spans="1:14">
      <c r="A543" s="12" t="s">
        <v>551</v>
      </c>
      <c r="B543" s="13">
        <v>3.1327170492887499</v>
      </c>
      <c r="C543" s="13">
        <v>4.0149999999999997</v>
      </c>
      <c r="D543" s="15">
        <f t="shared" si="56"/>
        <v>2</v>
      </c>
      <c r="E543" s="15">
        <f t="shared" si="57"/>
        <v>0.2</v>
      </c>
      <c r="F543" s="15">
        <f t="shared" si="58"/>
        <v>2</v>
      </c>
      <c r="G543" s="15">
        <f t="shared" si="59"/>
        <v>1.251263417531536</v>
      </c>
      <c r="H543" s="15">
        <f t="shared" si="60"/>
        <v>0.4</v>
      </c>
      <c r="I543" s="15">
        <f t="shared" si="61"/>
        <v>0</v>
      </c>
      <c r="J543" s="15">
        <f t="shared" si="62"/>
        <v>0</v>
      </c>
      <c r="K543" s="15">
        <f>IF(CurrentMtgRatesDataTable8[[#This Row],[WA CC]]&lt;&gt;0,C542-CurrentMtgRatesDataTable8[[#This Row],[WA CC]],0)</f>
        <v>0</v>
      </c>
      <c r="L543" s="16">
        <f>IF(CurrentMtgRatesDataTable8[[#This Row],[Servicing Spread]]&lt;=0,L542,CurrentMtgRatesDataTable8[[#This Row],[Servicing Spread]])</f>
        <v>0.84409128823692559</v>
      </c>
      <c r="M543" s="16">
        <f>CurrentMtgRatesDataTable8[[#This Row],[Servicing Spread Non-Zero]]-L542</f>
        <v>0</v>
      </c>
      <c r="N543" s="16">
        <f>IF(J542&lt;&gt;0,CurrentMtgRatesDataTable8[[#This Row],[Rate]]-C542,N542)</f>
        <v>-5.0000000000007816E-3</v>
      </c>
    </row>
    <row r="544" spans="1:14">
      <c r="A544" s="12" t="s">
        <v>405</v>
      </c>
      <c r="B544" s="13">
        <v>3.2077358231055602</v>
      </c>
      <c r="C544" s="13">
        <v>4.0149999999999997</v>
      </c>
      <c r="D544" s="15">
        <f t="shared" si="56"/>
        <v>5</v>
      </c>
      <c r="E544" s="15">
        <f t="shared" si="57"/>
        <v>0.2</v>
      </c>
      <c r="F544" s="15">
        <f t="shared" si="58"/>
        <v>3</v>
      </c>
      <c r="G544" s="15">
        <f t="shared" si="59"/>
        <v>1.8928105821526482</v>
      </c>
      <c r="H544" s="15">
        <f t="shared" si="60"/>
        <v>0.60000000000000009</v>
      </c>
      <c r="I544" s="15">
        <f t="shared" si="61"/>
        <v>0</v>
      </c>
      <c r="J544" s="15">
        <f t="shared" si="62"/>
        <v>0</v>
      </c>
      <c r="K544" s="15">
        <f>IF(CurrentMtgRatesDataTable8[[#This Row],[WA CC]]&lt;&gt;0,C543-CurrentMtgRatesDataTable8[[#This Row],[WA CC]],0)</f>
        <v>0</v>
      </c>
      <c r="L544" s="16">
        <f>IF(CurrentMtgRatesDataTable8[[#This Row],[Servicing Spread]]&lt;=0,L543,CurrentMtgRatesDataTable8[[#This Row],[Servicing Spread]])</f>
        <v>0.84409128823692559</v>
      </c>
      <c r="M544" s="16">
        <f>CurrentMtgRatesDataTable8[[#This Row],[Servicing Spread Non-Zero]]-L543</f>
        <v>0</v>
      </c>
      <c r="N544" s="16">
        <f>IF(J543&lt;&gt;0,CurrentMtgRatesDataTable8[[#This Row],[Rate]]-C543,N543)</f>
        <v>-5.0000000000007816E-3</v>
      </c>
    </row>
    <row r="545" spans="1:14">
      <c r="A545" s="12" t="s">
        <v>274</v>
      </c>
      <c r="B545" s="13">
        <v>3.2594551208520199</v>
      </c>
      <c r="C545" s="13">
        <v>4.0149999999999997</v>
      </c>
      <c r="D545" s="15">
        <f t="shared" si="56"/>
        <v>6</v>
      </c>
      <c r="E545" s="15">
        <f t="shared" si="57"/>
        <v>0.2</v>
      </c>
      <c r="F545" s="15">
        <f t="shared" si="58"/>
        <v>4</v>
      </c>
      <c r="G545" s="15">
        <f t="shared" si="59"/>
        <v>2.5447016063230521</v>
      </c>
      <c r="H545" s="15">
        <f t="shared" si="60"/>
        <v>0.8</v>
      </c>
      <c r="I545" s="15">
        <f t="shared" si="61"/>
        <v>0</v>
      </c>
      <c r="J545" s="15">
        <f t="shared" si="62"/>
        <v>0</v>
      </c>
      <c r="K545" s="15">
        <f>IF(CurrentMtgRatesDataTable8[[#This Row],[WA CC]]&lt;&gt;0,C544-CurrentMtgRatesDataTable8[[#This Row],[WA CC]],0)</f>
        <v>0</v>
      </c>
      <c r="L545" s="16">
        <f>IF(CurrentMtgRatesDataTable8[[#This Row],[Servicing Spread]]&lt;=0,L544,CurrentMtgRatesDataTable8[[#This Row],[Servicing Spread]])</f>
        <v>0.84409128823692559</v>
      </c>
      <c r="M545" s="16">
        <f>CurrentMtgRatesDataTable8[[#This Row],[Servicing Spread Non-Zero]]-L544</f>
        <v>0</v>
      </c>
      <c r="N545" s="16">
        <f>IF(J544&lt;&gt;0,CurrentMtgRatesDataTable8[[#This Row],[Rate]]-C544,N544)</f>
        <v>-5.0000000000007816E-3</v>
      </c>
    </row>
    <row r="546" spans="1:14">
      <c r="A546" s="12" t="s">
        <v>129</v>
      </c>
      <c r="B546" s="13">
        <v>3.2635254657079802</v>
      </c>
      <c r="C546" s="13">
        <v>4.0149999999999997</v>
      </c>
      <c r="D546" s="15">
        <f t="shared" si="56"/>
        <v>7</v>
      </c>
      <c r="E546" s="15">
        <f t="shared" si="57"/>
        <v>0.2</v>
      </c>
      <c r="F546" s="15">
        <f t="shared" si="58"/>
        <v>5</v>
      </c>
      <c r="G546" s="15">
        <f t="shared" si="59"/>
        <v>3.197406699464648</v>
      </c>
      <c r="H546" s="15">
        <f t="shared" si="60"/>
        <v>1</v>
      </c>
      <c r="I546" s="15">
        <f t="shared" si="61"/>
        <v>1</v>
      </c>
      <c r="J546" s="15">
        <f t="shared" si="62"/>
        <v>3.197406699464648</v>
      </c>
      <c r="K546" s="15">
        <f>IF(CurrentMtgRatesDataTable8[[#This Row],[WA CC]]&lt;&gt;0,C545-CurrentMtgRatesDataTable8[[#This Row],[WA CC]],0)</f>
        <v>0.81759330053535173</v>
      </c>
      <c r="L546" s="16">
        <f>IF(CurrentMtgRatesDataTable8[[#This Row],[Servicing Spread]]&lt;=0,L545,CurrentMtgRatesDataTable8[[#This Row],[Servicing Spread]])</f>
        <v>0.81759330053535173</v>
      </c>
      <c r="M546" s="16">
        <f>CurrentMtgRatesDataTable8[[#This Row],[Servicing Spread Non-Zero]]-L545</f>
        <v>-2.6497987701573855E-2</v>
      </c>
      <c r="N546" s="16">
        <f>IF(J545&lt;&gt;0,CurrentMtgRatesDataTable8[[#This Row],[Rate]]-C545,N545)</f>
        <v>-5.0000000000007816E-3</v>
      </c>
    </row>
    <row r="547" spans="1:14">
      <c r="A547" s="12" t="s">
        <v>693</v>
      </c>
      <c r="B547" s="13">
        <v>3.2377628105001701</v>
      </c>
      <c r="C547" s="13">
        <v>4.1000000000000005</v>
      </c>
      <c r="D547" s="15">
        <f t="shared" si="56"/>
        <v>1</v>
      </c>
      <c r="E547" s="15">
        <f t="shared" si="57"/>
        <v>0.2</v>
      </c>
      <c r="F547" s="15">
        <f t="shared" si="58"/>
        <v>1</v>
      </c>
      <c r="G547" s="15">
        <f t="shared" si="59"/>
        <v>0.64755256210003409</v>
      </c>
      <c r="H547" s="15">
        <f t="shared" si="60"/>
        <v>0.2</v>
      </c>
      <c r="I547" s="15">
        <f t="shared" si="61"/>
        <v>0</v>
      </c>
      <c r="J547" s="15">
        <f t="shared" si="62"/>
        <v>0</v>
      </c>
      <c r="K547" s="15">
        <f>IF(CurrentMtgRatesDataTable8[[#This Row],[WA CC]]&lt;&gt;0,C546-CurrentMtgRatesDataTable8[[#This Row],[WA CC]],0)</f>
        <v>0</v>
      </c>
      <c r="L547" s="16">
        <f>IF(CurrentMtgRatesDataTable8[[#This Row],[Servicing Spread]]&lt;=0,L546,CurrentMtgRatesDataTable8[[#This Row],[Servicing Spread]])</f>
        <v>0.81759330053535173</v>
      </c>
      <c r="M547" s="16">
        <f>CurrentMtgRatesDataTable8[[#This Row],[Servicing Spread Non-Zero]]-L546</f>
        <v>0</v>
      </c>
      <c r="N547" s="16">
        <f>IF(J546&lt;&gt;0,CurrentMtgRatesDataTable8[[#This Row],[Rate]]-C546,N546)</f>
        <v>8.5000000000000853E-2</v>
      </c>
    </row>
    <row r="548" spans="1:14">
      <c r="A548" s="12" t="s">
        <v>552</v>
      </c>
      <c r="B548" s="13">
        <v>3.24953377621733</v>
      </c>
      <c r="C548" s="13">
        <v>4.1000000000000005</v>
      </c>
      <c r="D548" s="15">
        <f t="shared" si="56"/>
        <v>2</v>
      </c>
      <c r="E548" s="15">
        <f t="shared" si="57"/>
        <v>0.2</v>
      </c>
      <c r="F548" s="15">
        <f t="shared" si="58"/>
        <v>2</v>
      </c>
      <c r="G548" s="15">
        <f t="shared" si="59"/>
        <v>1.2974593173435003</v>
      </c>
      <c r="H548" s="15">
        <f t="shared" si="60"/>
        <v>0.4</v>
      </c>
      <c r="I548" s="15">
        <f t="shared" si="61"/>
        <v>0</v>
      </c>
      <c r="J548" s="15">
        <f t="shared" si="62"/>
        <v>0</v>
      </c>
      <c r="K548" s="15">
        <f>IF(CurrentMtgRatesDataTable8[[#This Row],[WA CC]]&lt;&gt;0,C547-CurrentMtgRatesDataTable8[[#This Row],[WA CC]],0)</f>
        <v>0</v>
      </c>
      <c r="L548" s="16">
        <f>IF(CurrentMtgRatesDataTable8[[#This Row],[Servicing Spread]]&lt;=0,L547,CurrentMtgRatesDataTable8[[#This Row],[Servicing Spread]])</f>
        <v>0.81759330053535173</v>
      </c>
      <c r="M548" s="16">
        <f>CurrentMtgRatesDataTable8[[#This Row],[Servicing Spread Non-Zero]]-L547</f>
        <v>0</v>
      </c>
      <c r="N548" s="16">
        <f>IF(J547&lt;&gt;0,CurrentMtgRatesDataTable8[[#This Row],[Rate]]-C547,N547)</f>
        <v>8.5000000000000853E-2</v>
      </c>
    </row>
    <row r="549" spans="1:14">
      <c r="A549" s="12" t="s">
        <v>406</v>
      </c>
      <c r="B549" s="13">
        <v>3.2647835350343399</v>
      </c>
      <c r="C549" s="13">
        <v>4.1000000000000005</v>
      </c>
      <c r="D549" s="15">
        <f t="shared" si="56"/>
        <v>5</v>
      </c>
      <c r="E549" s="15">
        <f t="shared" si="57"/>
        <v>0.2</v>
      </c>
      <c r="F549" s="15">
        <f t="shared" si="58"/>
        <v>3</v>
      </c>
      <c r="G549" s="15">
        <f t="shared" si="59"/>
        <v>1.9504160243503683</v>
      </c>
      <c r="H549" s="15">
        <f t="shared" si="60"/>
        <v>0.60000000000000009</v>
      </c>
      <c r="I549" s="15">
        <f t="shared" si="61"/>
        <v>0</v>
      </c>
      <c r="J549" s="15">
        <f t="shared" si="62"/>
        <v>0</v>
      </c>
      <c r="K549" s="15">
        <f>IF(CurrentMtgRatesDataTable8[[#This Row],[WA CC]]&lt;&gt;0,C548-CurrentMtgRatesDataTable8[[#This Row],[WA CC]],0)</f>
        <v>0</v>
      </c>
      <c r="L549" s="16">
        <f>IF(CurrentMtgRatesDataTable8[[#This Row],[Servicing Spread]]&lt;=0,L548,CurrentMtgRatesDataTable8[[#This Row],[Servicing Spread]])</f>
        <v>0.81759330053535173</v>
      </c>
      <c r="M549" s="16">
        <f>CurrentMtgRatesDataTable8[[#This Row],[Servicing Spread Non-Zero]]-L548</f>
        <v>0</v>
      </c>
      <c r="N549" s="16">
        <f>IF(J548&lt;&gt;0,CurrentMtgRatesDataTable8[[#This Row],[Rate]]-C548,N548)</f>
        <v>8.5000000000000853E-2</v>
      </c>
    </row>
    <row r="550" spans="1:14">
      <c r="A550" s="12" t="s">
        <v>275</v>
      </c>
      <c r="B550" s="13">
        <v>3.2863723435874199</v>
      </c>
      <c r="C550" s="13">
        <v>4.1000000000000005</v>
      </c>
      <c r="D550" s="15">
        <f t="shared" si="56"/>
        <v>6</v>
      </c>
      <c r="E550" s="15">
        <f t="shared" si="57"/>
        <v>0.2</v>
      </c>
      <c r="F550" s="15">
        <f t="shared" si="58"/>
        <v>4</v>
      </c>
      <c r="G550" s="15">
        <f t="shared" si="59"/>
        <v>2.6076904930678522</v>
      </c>
      <c r="H550" s="15">
        <f t="shared" si="60"/>
        <v>0.8</v>
      </c>
      <c r="I550" s="15">
        <f t="shared" si="61"/>
        <v>0</v>
      </c>
      <c r="J550" s="15">
        <f t="shared" si="62"/>
        <v>0</v>
      </c>
      <c r="K550" s="15">
        <f>IF(CurrentMtgRatesDataTable8[[#This Row],[WA CC]]&lt;&gt;0,C549-CurrentMtgRatesDataTable8[[#This Row],[WA CC]],0)</f>
        <v>0</v>
      </c>
      <c r="L550" s="16">
        <f>IF(CurrentMtgRatesDataTable8[[#This Row],[Servicing Spread]]&lt;=0,L549,CurrentMtgRatesDataTable8[[#This Row],[Servicing Spread]])</f>
        <v>0.81759330053535173</v>
      </c>
      <c r="M550" s="16">
        <f>CurrentMtgRatesDataTable8[[#This Row],[Servicing Spread Non-Zero]]-L549</f>
        <v>0</v>
      </c>
      <c r="N550" s="16">
        <f>IF(J549&lt;&gt;0,CurrentMtgRatesDataTable8[[#This Row],[Rate]]-C549,N549)</f>
        <v>8.5000000000000853E-2</v>
      </c>
    </row>
    <row r="551" spans="1:14">
      <c r="A551" s="12" t="s">
        <v>130</v>
      </c>
      <c r="B551" s="13">
        <v>3.2835967922496798</v>
      </c>
      <c r="C551" s="13">
        <v>4.1000000000000005</v>
      </c>
      <c r="D551" s="15">
        <f t="shared" si="56"/>
        <v>7</v>
      </c>
      <c r="E551" s="15">
        <f t="shared" si="57"/>
        <v>0.2</v>
      </c>
      <c r="F551" s="15">
        <f t="shared" si="58"/>
        <v>5</v>
      </c>
      <c r="G551" s="15">
        <f t="shared" si="59"/>
        <v>3.2644098515177884</v>
      </c>
      <c r="H551" s="15">
        <f t="shared" si="60"/>
        <v>1</v>
      </c>
      <c r="I551" s="15">
        <f t="shared" si="61"/>
        <v>1</v>
      </c>
      <c r="J551" s="15">
        <f t="shared" si="62"/>
        <v>3.2644098515177884</v>
      </c>
      <c r="K551" s="15">
        <f>IF(CurrentMtgRatesDataTable8[[#This Row],[WA CC]]&lt;&gt;0,C550-CurrentMtgRatesDataTable8[[#This Row],[WA CC]],0)</f>
        <v>0.83559014848221214</v>
      </c>
      <c r="L551" s="16">
        <f>IF(CurrentMtgRatesDataTable8[[#This Row],[Servicing Spread]]&lt;=0,L550,CurrentMtgRatesDataTable8[[#This Row],[Servicing Spread]])</f>
        <v>0.83559014848221214</v>
      </c>
      <c r="M551" s="16">
        <f>CurrentMtgRatesDataTable8[[#This Row],[Servicing Spread Non-Zero]]-L550</f>
        <v>1.7996847946860406E-2</v>
      </c>
      <c r="N551" s="16">
        <f>IF(J550&lt;&gt;0,CurrentMtgRatesDataTable8[[#This Row],[Rate]]-C550,N550)</f>
        <v>8.5000000000000853E-2</v>
      </c>
    </row>
    <row r="552" spans="1:14">
      <c r="A552" s="12" t="s">
        <v>694</v>
      </c>
      <c r="B552" s="13">
        <v>3.2368252535266899</v>
      </c>
      <c r="C552" s="13">
        <v>4.07</v>
      </c>
      <c r="D552" s="15">
        <f t="shared" si="56"/>
        <v>1</v>
      </c>
      <c r="E552" s="15">
        <f t="shared" si="57"/>
        <v>0.2</v>
      </c>
      <c r="F552" s="15">
        <f t="shared" si="58"/>
        <v>1</v>
      </c>
      <c r="G552" s="15">
        <f t="shared" si="59"/>
        <v>0.64736505070533801</v>
      </c>
      <c r="H552" s="15">
        <f t="shared" si="60"/>
        <v>0.2</v>
      </c>
      <c r="I552" s="15">
        <f t="shared" si="61"/>
        <v>0</v>
      </c>
      <c r="J552" s="15">
        <f t="shared" si="62"/>
        <v>0</v>
      </c>
      <c r="K552" s="15">
        <f>IF(CurrentMtgRatesDataTable8[[#This Row],[WA CC]]&lt;&gt;0,C551-CurrentMtgRatesDataTable8[[#This Row],[WA CC]],0)</f>
        <v>0</v>
      </c>
      <c r="L552" s="16">
        <f>IF(CurrentMtgRatesDataTable8[[#This Row],[Servicing Spread]]&lt;=0,L551,CurrentMtgRatesDataTable8[[#This Row],[Servicing Spread]])</f>
        <v>0.83559014848221214</v>
      </c>
      <c r="M552" s="16">
        <f>CurrentMtgRatesDataTable8[[#This Row],[Servicing Spread Non-Zero]]-L551</f>
        <v>0</v>
      </c>
      <c r="N552" s="16">
        <f>IF(J551&lt;&gt;0,CurrentMtgRatesDataTable8[[#This Row],[Rate]]-C551,N551)</f>
        <v>-3.0000000000000249E-2</v>
      </c>
    </row>
    <row r="553" spans="1:14">
      <c r="A553" s="12" t="s">
        <v>553</v>
      </c>
      <c r="B553" s="13">
        <v>3.2532056158969298</v>
      </c>
      <c r="C553" s="13">
        <v>4.07</v>
      </c>
      <c r="D553" s="15">
        <f t="shared" si="56"/>
        <v>2</v>
      </c>
      <c r="E553" s="15">
        <f t="shared" si="57"/>
        <v>0.2</v>
      </c>
      <c r="F553" s="15">
        <f t="shared" si="58"/>
        <v>2</v>
      </c>
      <c r="G553" s="15">
        <f t="shared" si="59"/>
        <v>1.2980061738847239</v>
      </c>
      <c r="H553" s="15">
        <f t="shared" si="60"/>
        <v>0.4</v>
      </c>
      <c r="I553" s="15">
        <f t="shared" si="61"/>
        <v>0</v>
      </c>
      <c r="J553" s="15">
        <f t="shared" si="62"/>
        <v>0</v>
      </c>
      <c r="K553" s="15">
        <f>IF(CurrentMtgRatesDataTable8[[#This Row],[WA CC]]&lt;&gt;0,C552-CurrentMtgRatesDataTable8[[#This Row],[WA CC]],0)</f>
        <v>0</v>
      </c>
      <c r="L553" s="16">
        <f>IF(CurrentMtgRatesDataTable8[[#This Row],[Servicing Spread]]&lt;=0,L552,CurrentMtgRatesDataTable8[[#This Row],[Servicing Spread]])</f>
        <v>0.83559014848221214</v>
      </c>
      <c r="M553" s="16">
        <f>CurrentMtgRatesDataTable8[[#This Row],[Servicing Spread Non-Zero]]-L552</f>
        <v>0</v>
      </c>
      <c r="N553" s="16">
        <f>IF(J552&lt;&gt;0,CurrentMtgRatesDataTable8[[#This Row],[Rate]]-C552,N552)</f>
        <v>-3.0000000000000249E-2</v>
      </c>
    </row>
    <row r="554" spans="1:14">
      <c r="A554" s="12" t="s">
        <v>407</v>
      </c>
      <c r="B554" s="13">
        <v>3.2401980086341502</v>
      </c>
      <c r="C554" s="13">
        <v>4.07</v>
      </c>
      <c r="D554" s="15">
        <f t="shared" si="56"/>
        <v>5</v>
      </c>
      <c r="E554" s="15">
        <f t="shared" si="57"/>
        <v>0.2</v>
      </c>
      <c r="F554" s="15">
        <f t="shared" si="58"/>
        <v>3</v>
      </c>
      <c r="G554" s="15">
        <f t="shared" si="59"/>
        <v>1.9460457756115539</v>
      </c>
      <c r="H554" s="15">
        <f t="shared" si="60"/>
        <v>0.60000000000000009</v>
      </c>
      <c r="I554" s="15">
        <f t="shared" si="61"/>
        <v>0</v>
      </c>
      <c r="J554" s="15">
        <f t="shared" si="62"/>
        <v>0</v>
      </c>
      <c r="K554" s="15">
        <f>IF(CurrentMtgRatesDataTable8[[#This Row],[WA CC]]&lt;&gt;0,C553-CurrentMtgRatesDataTable8[[#This Row],[WA CC]],0)</f>
        <v>0</v>
      </c>
      <c r="L554" s="16">
        <f>IF(CurrentMtgRatesDataTable8[[#This Row],[Servicing Spread]]&lt;=0,L553,CurrentMtgRatesDataTable8[[#This Row],[Servicing Spread]])</f>
        <v>0.83559014848221214</v>
      </c>
      <c r="M554" s="16">
        <f>CurrentMtgRatesDataTable8[[#This Row],[Servicing Spread Non-Zero]]-L553</f>
        <v>0</v>
      </c>
      <c r="N554" s="16">
        <f>IF(J553&lt;&gt;0,CurrentMtgRatesDataTable8[[#This Row],[Rate]]-C553,N553)</f>
        <v>-3.0000000000000249E-2</v>
      </c>
    </row>
    <row r="555" spans="1:14">
      <c r="A555" s="12" t="s">
        <v>276</v>
      </c>
      <c r="B555" s="13">
        <v>3.2955237008358602</v>
      </c>
      <c r="C555" s="13">
        <v>4.07</v>
      </c>
      <c r="D555" s="15">
        <f t="shared" si="56"/>
        <v>6</v>
      </c>
      <c r="E555" s="15">
        <f t="shared" si="57"/>
        <v>0.2</v>
      </c>
      <c r="F555" s="15">
        <f t="shared" si="58"/>
        <v>4</v>
      </c>
      <c r="G555" s="15">
        <f t="shared" si="59"/>
        <v>2.605150515778726</v>
      </c>
      <c r="H555" s="15">
        <f t="shared" si="60"/>
        <v>0.8</v>
      </c>
      <c r="I555" s="15">
        <f t="shared" si="61"/>
        <v>0</v>
      </c>
      <c r="J555" s="15">
        <f t="shared" si="62"/>
        <v>0</v>
      </c>
      <c r="K555" s="15">
        <f>IF(CurrentMtgRatesDataTable8[[#This Row],[WA CC]]&lt;&gt;0,C554-CurrentMtgRatesDataTable8[[#This Row],[WA CC]],0)</f>
        <v>0</v>
      </c>
      <c r="L555" s="16">
        <f>IF(CurrentMtgRatesDataTable8[[#This Row],[Servicing Spread]]&lt;=0,L554,CurrentMtgRatesDataTable8[[#This Row],[Servicing Spread]])</f>
        <v>0.83559014848221214</v>
      </c>
      <c r="M555" s="16">
        <f>CurrentMtgRatesDataTable8[[#This Row],[Servicing Spread Non-Zero]]-L554</f>
        <v>0</v>
      </c>
      <c r="N555" s="16">
        <f>IF(J554&lt;&gt;0,CurrentMtgRatesDataTable8[[#This Row],[Rate]]-C554,N554)</f>
        <v>-3.0000000000000249E-2</v>
      </c>
    </row>
    <row r="556" spans="1:14">
      <c r="A556" s="12" t="s">
        <v>131</v>
      </c>
      <c r="B556" s="13">
        <v>3.2554507349207298</v>
      </c>
      <c r="C556" s="13">
        <v>4.07</v>
      </c>
      <c r="D556" s="15">
        <f t="shared" si="56"/>
        <v>7</v>
      </c>
      <c r="E556" s="15">
        <f t="shared" si="57"/>
        <v>0.2</v>
      </c>
      <c r="F556" s="15">
        <f t="shared" si="58"/>
        <v>5</v>
      </c>
      <c r="G556" s="15">
        <f t="shared" si="59"/>
        <v>3.2562406627628722</v>
      </c>
      <c r="H556" s="15">
        <f t="shared" si="60"/>
        <v>1</v>
      </c>
      <c r="I556" s="15">
        <f t="shared" si="61"/>
        <v>1</v>
      </c>
      <c r="J556" s="15">
        <f t="shared" si="62"/>
        <v>3.2562406627628722</v>
      </c>
      <c r="K556" s="15">
        <f>IF(CurrentMtgRatesDataTable8[[#This Row],[WA CC]]&lt;&gt;0,C555-CurrentMtgRatesDataTable8[[#This Row],[WA CC]],0)</f>
        <v>0.81375933723712812</v>
      </c>
      <c r="L556" s="16">
        <f>IF(CurrentMtgRatesDataTable8[[#This Row],[Servicing Spread]]&lt;=0,L555,CurrentMtgRatesDataTable8[[#This Row],[Servicing Spread]])</f>
        <v>0.81375933723712812</v>
      </c>
      <c r="M556" s="16">
        <f>CurrentMtgRatesDataTable8[[#This Row],[Servicing Spread Non-Zero]]-L555</f>
        <v>-2.1830811245084014E-2</v>
      </c>
      <c r="N556" s="16">
        <f>IF(J555&lt;&gt;0,CurrentMtgRatesDataTable8[[#This Row],[Rate]]-C555,N555)</f>
        <v>-3.0000000000000249E-2</v>
      </c>
    </row>
    <row r="557" spans="1:14">
      <c r="A557" s="12" t="s">
        <v>695</v>
      </c>
      <c r="B557" s="13">
        <v>3.2406996477189098</v>
      </c>
      <c r="C557" s="13">
        <v>4.0149999999999997</v>
      </c>
      <c r="D557" s="15">
        <f t="shared" si="56"/>
        <v>1</v>
      </c>
      <c r="E557" s="15">
        <f t="shared" si="57"/>
        <v>0.2</v>
      </c>
      <c r="F557" s="15">
        <f t="shared" si="58"/>
        <v>1</v>
      </c>
      <c r="G557" s="15">
        <f t="shared" si="59"/>
        <v>0.64813992954378197</v>
      </c>
      <c r="H557" s="15">
        <f t="shared" si="60"/>
        <v>0.2</v>
      </c>
      <c r="I557" s="15">
        <f t="shared" si="61"/>
        <v>0</v>
      </c>
      <c r="J557" s="15">
        <f t="shared" si="62"/>
        <v>0</v>
      </c>
      <c r="K557" s="15">
        <f>IF(CurrentMtgRatesDataTable8[[#This Row],[WA CC]]&lt;&gt;0,C556-CurrentMtgRatesDataTable8[[#This Row],[WA CC]],0)</f>
        <v>0</v>
      </c>
      <c r="L557" s="16">
        <f>IF(CurrentMtgRatesDataTable8[[#This Row],[Servicing Spread]]&lt;=0,L556,CurrentMtgRatesDataTable8[[#This Row],[Servicing Spread]])</f>
        <v>0.81375933723712812</v>
      </c>
      <c r="M557" s="16">
        <f>CurrentMtgRatesDataTable8[[#This Row],[Servicing Spread Non-Zero]]-L556</f>
        <v>0</v>
      </c>
      <c r="N557" s="16">
        <f>IF(J556&lt;&gt;0,CurrentMtgRatesDataTable8[[#This Row],[Rate]]-C556,N556)</f>
        <v>-5.5000000000000604E-2</v>
      </c>
    </row>
    <row r="558" spans="1:14">
      <c r="A558" s="12" t="s">
        <v>554</v>
      </c>
      <c r="B558" s="13">
        <v>3.2387092672418598</v>
      </c>
      <c r="C558" s="13">
        <v>4.0149999999999997</v>
      </c>
      <c r="D558" s="15">
        <f t="shared" si="56"/>
        <v>2</v>
      </c>
      <c r="E558" s="15">
        <f t="shared" si="57"/>
        <v>0.2</v>
      </c>
      <c r="F558" s="15">
        <f t="shared" si="58"/>
        <v>2</v>
      </c>
      <c r="G558" s="15">
        <f t="shared" si="59"/>
        <v>1.2958817829921538</v>
      </c>
      <c r="H558" s="15">
        <f t="shared" si="60"/>
        <v>0.4</v>
      </c>
      <c r="I558" s="15">
        <f t="shared" si="61"/>
        <v>0</v>
      </c>
      <c r="J558" s="15">
        <f t="shared" si="62"/>
        <v>0</v>
      </c>
      <c r="K558" s="15">
        <f>IF(CurrentMtgRatesDataTable8[[#This Row],[WA CC]]&lt;&gt;0,C557-CurrentMtgRatesDataTable8[[#This Row],[WA CC]],0)</f>
        <v>0</v>
      </c>
      <c r="L558" s="16">
        <f>IF(CurrentMtgRatesDataTable8[[#This Row],[Servicing Spread]]&lt;=0,L557,CurrentMtgRatesDataTable8[[#This Row],[Servicing Spread]])</f>
        <v>0.81375933723712812</v>
      </c>
      <c r="M558" s="16">
        <f>CurrentMtgRatesDataTable8[[#This Row],[Servicing Spread Non-Zero]]-L557</f>
        <v>0</v>
      </c>
      <c r="N558" s="16">
        <f>IF(J557&lt;&gt;0,CurrentMtgRatesDataTable8[[#This Row],[Rate]]-C557,N557)</f>
        <v>-5.5000000000000604E-2</v>
      </c>
    </row>
    <row r="559" spans="1:14">
      <c r="A559" s="12" t="s">
        <v>408</v>
      </c>
      <c r="B559" s="13">
        <v>3.2420059350164898</v>
      </c>
      <c r="C559" s="13">
        <v>4.0149999999999997</v>
      </c>
      <c r="D559" s="15">
        <f t="shared" si="56"/>
        <v>5</v>
      </c>
      <c r="E559" s="15">
        <f t="shared" si="57"/>
        <v>0.2</v>
      </c>
      <c r="F559" s="15">
        <f t="shared" si="58"/>
        <v>3</v>
      </c>
      <c r="G559" s="15">
        <f t="shared" si="59"/>
        <v>1.9442829699954518</v>
      </c>
      <c r="H559" s="15">
        <f t="shared" si="60"/>
        <v>0.60000000000000009</v>
      </c>
      <c r="I559" s="15">
        <f t="shared" si="61"/>
        <v>0</v>
      </c>
      <c r="J559" s="15">
        <f t="shared" si="62"/>
        <v>0</v>
      </c>
      <c r="K559" s="15">
        <f>IF(CurrentMtgRatesDataTable8[[#This Row],[WA CC]]&lt;&gt;0,C558-CurrentMtgRatesDataTable8[[#This Row],[WA CC]],0)</f>
        <v>0</v>
      </c>
      <c r="L559" s="16">
        <f>IF(CurrentMtgRatesDataTable8[[#This Row],[Servicing Spread]]&lt;=0,L558,CurrentMtgRatesDataTable8[[#This Row],[Servicing Spread]])</f>
        <v>0.81375933723712812</v>
      </c>
      <c r="M559" s="16">
        <f>CurrentMtgRatesDataTable8[[#This Row],[Servicing Spread Non-Zero]]-L558</f>
        <v>0</v>
      </c>
      <c r="N559" s="16">
        <f>IF(J558&lt;&gt;0,CurrentMtgRatesDataTable8[[#This Row],[Rate]]-C558,N558)</f>
        <v>-5.5000000000000604E-2</v>
      </c>
    </row>
    <row r="560" spans="1:14">
      <c r="A560" s="12" t="s">
        <v>277</v>
      </c>
      <c r="B560" s="13">
        <v>3.2180523990892298</v>
      </c>
      <c r="C560" s="13">
        <v>4.0149999999999997</v>
      </c>
      <c r="D560" s="15">
        <f t="shared" si="56"/>
        <v>6</v>
      </c>
      <c r="E560" s="15">
        <f t="shared" si="57"/>
        <v>0.2</v>
      </c>
      <c r="F560" s="15">
        <f t="shared" si="58"/>
        <v>4</v>
      </c>
      <c r="G560" s="15">
        <f t="shared" si="59"/>
        <v>2.5878934498132979</v>
      </c>
      <c r="H560" s="15">
        <f t="shared" si="60"/>
        <v>0.8</v>
      </c>
      <c r="I560" s="15">
        <f t="shared" si="61"/>
        <v>0</v>
      </c>
      <c r="J560" s="15">
        <f t="shared" si="62"/>
        <v>0</v>
      </c>
      <c r="K560" s="15">
        <f>IF(CurrentMtgRatesDataTable8[[#This Row],[WA CC]]&lt;&gt;0,C559-CurrentMtgRatesDataTable8[[#This Row],[WA CC]],0)</f>
        <v>0</v>
      </c>
      <c r="L560" s="16">
        <f>IF(CurrentMtgRatesDataTable8[[#This Row],[Servicing Spread]]&lt;=0,L559,CurrentMtgRatesDataTable8[[#This Row],[Servicing Spread]])</f>
        <v>0.81375933723712812</v>
      </c>
      <c r="M560" s="16">
        <f>CurrentMtgRatesDataTable8[[#This Row],[Servicing Spread Non-Zero]]-L559</f>
        <v>0</v>
      </c>
      <c r="N560" s="16">
        <f>IF(J559&lt;&gt;0,CurrentMtgRatesDataTable8[[#This Row],[Rate]]-C559,N559)</f>
        <v>-5.5000000000000604E-2</v>
      </c>
    </row>
    <row r="561" spans="1:14">
      <c r="A561" s="12" t="s">
        <v>132</v>
      </c>
      <c r="B561" s="13">
        <v>3.1948973800231402</v>
      </c>
      <c r="C561" s="13">
        <v>4.0149999999999997</v>
      </c>
      <c r="D561" s="15">
        <f t="shared" si="56"/>
        <v>7</v>
      </c>
      <c r="E561" s="15">
        <f t="shared" si="57"/>
        <v>0.2</v>
      </c>
      <c r="F561" s="15">
        <f t="shared" si="58"/>
        <v>5</v>
      </c>
      <c r="G561" s="15">
        <f t="shared" si="59"/>
        <v>3.2268729258179261</v>
      </c>
      <c r="H561" s="15">
        <f t="shared" si="60"/>
        <v>1</v>
      </c>
      <c r="I561" s="15">
        <f t="shared" si="61"/>
        <v>1</v>
      </c>
      <c r="J561" s="15">
        <f t="shared" si="62"/>
        <v>3.2268729258179261</v>
      </c>
      <c r="K561" s="15">
        <f>IF(CurrentMtgRatesDataTable8[[#This Row],[WA CC]]&lt;&gt;0,C560-CurrentMtgRatesDataTable8[[#This Row],[WA CC]],0)</f>
        <v>0.78812707418207362</v>
      </c>
      <c r="L561" s="16">
        <f>IF(CurrentMtgRatesDataTable8[[#This Row],[Servicing Spread]]&lt;=0,L560,CurrentMtgRatesDataTable8[[#This Row],[Servicing Spread]])</f>
        <v>0.78812707418207362</v>
      </c>
      <c r="M561" s="16">
        <f>CurrentMtgRatesDataTable8[[#This Row],[Servicing Spread Non-Zero]]-L560</f>
        <v>-2.5632263055054505E-2</v>
      </c>
      <c r="N561" s="16">
        <f>IF(J560&lt;&gt;0,CurrentMtgRatesDataTable8[[#This Row],[Rate]]-C560,N560)</f>
        <v>-5.5000000000000604E-2</v>
      </c>
    </row>
    <row r="562" spans="1:14">
      <c r="A562" s="12" t="s">
        <v>696</v>
      </c>
      <c r="B562" s="13">
        <v>3.1705026484021301</v>
      </c>
      <c r="C562" s="13">
        <v>3.9950000000000001</v>
      </c>
      <c r="D562" s="15">
        <f t="shared" si="56"/>
        <v>1</v>
      </c>
      <c r="E562" s="15">
        <f t="shared" si="57"/>
        <v>0.2</v>
      </c>
      <c r="F562" s="15">
        <f t="shared" si="58"/>
        <v>1</v>
      </c>
      <c r="G562" s="15">
        <f t="shared" si="59"/>
        <v>0.63410052968042607</v>
      </c>
      <c r="H562" s="15">
        <f t="shared" si="60"/>
        <v>0.2</v>
      </c>
      <c r="I562" s="15">
        <f t="shared" si="61"/>
        <v>0</v>
      </c>
      <c r="J562" s="15">
        <f t="shared" si="62"/>
        <v>0</v>
      </c>
      <c r="K562" s="15">
        <f>IF(CurrentMtgRatesDataTable8[[#This Row],[WA CC]]&lt;&gt;0,C561-CurrentMtgRatesDataTable8[[#This Row],[WA CC]],0)</f>
        <v>0</v>
      </c>
      <c r="L562" s="16">
        <f>IF(CurrentMtgRatesDataTable8[[#This Row],[Servicing Spread]]&lt;=0,L561,CurrentMtgRatesDataTable8[[#This Row],[Servicing Spread]])</f>
        <v>0.78812707418207362</v>
      </c>
      <c r="M562" s="16">
        <f>CurrentMtgRatesDataTable8[[#This Row],[Servicing Spread Non-Zero]]-L561</f>
        <v>0</v>
      </c>
      <c r="N562" s="16">
        <f>IF(J561&lt;&gt;0,CurrentMtgRatesDataTable8[[#This Row],[Rate]]-C561,N561)</f>
        <v>-1.9999999999999574E-2</v>
      </c>
    </row>
    <row r="563" spans="1:14">
      <c r="A563" s="12" t="s">
        <v>555</v>
      </c>
      <c r="B563" s="13">
        <v>3.1723768258530498</v>
      </c>
      <c r="C563" s="13">
        <v>3.9950000000000001</v>
      </c>
      <c r="D563" s="15">
        <f t="shared" si="56"/>
        <v>2</v>
      </c>
      <c r="E563" s="15">
        <f t="shared" si="57"/>
        <v>0.2</v>
      </c>
      <c r="F563" s="15">
        <f t="shared" si="58"/>
        <v>2</v>
      </c>
      <c r="G563" s="15">
        <f t="shared" si="59"/>
        <v>1.2685758948510362</v>
      </c>
      <c r="H563" s="15">
        <f t="shared" si="60"/>
        <v>0.4</v>
      </c>
      <c r="I563" s="15">
        <f t="shared" si="61"/>
        <v>0</v>
      </c>
      <c r="J563" s="15">
        <f t="shared" si="62"/>
        <v>0</v>
      </c>
      <c r="K563" s="15">
        <f>IF(CurrentMtgRatesDataTable8[[#This Row],[WA CC]]&lt;&gt;0,C562-CurrentMtgRatesDataTable8[[#This Row],[WA CC]],0)</f>
        <v>0</v>
      </c>
      <c r="L563" s="16">
        <f>IF(CurrentMtgRatesDataTable8[[#This Row],[Servicing Spread]]&lt;=0,L562,CurrentMtgRatesDataTable8[[#This Row],[Servicing Spread]])</f>
        <v>0.78812707418207362</v>
      </c>
      <c r="M563" s="16">
        <f>CurrentMtgRatesDataTable8[[#This Row],[Servicing Spread Non-Zero]]-L562</f>
        <v>0</v>
      </c>
      <c r="N563" s="16">
        <f>IF(J562&lt;&gt;0,CurrentMtgRatesDataTable8[[#This Row],[Rate]]-C562,N562)</f>
        <v>-1.9999999999999574E-2</v>
      </c>
    </row>
    <row r="564" spans="1:14">
      <c r="A564" s="12" t="s">
        <v>409</v>
      </c>
      <c r="B564" s="13">
        <v>3.16005861973392</v>
      </c>
      <c r="C564" s="13">
        <v>3.9950000000000001</v>
      </c>
      <c r="D564" s="15">
        <f t="shared" si="56"/>
        <v>5</v>
      </c>
      <c r="E564" s="15">
        <f t="shared" si="57"/>
        <v>0.2</v>
      </c>
      <c r="F564" s="15">
        <f t="shared" si="58"/>
        <v>3</v>
      </c>
      <c r="G564" s="15">
        <f t="shared" si="59"/>
        <v>1.9005876187978203</v>
      </c>
      <c r="H564" s="15">
        <f t="shared" si="60"/>
        <v>0.60000000000000009</v>
      </c>
      <c r="I564" s="15">
        <f t="shared" si="61"/>
        <v>0</v>
      </c>
      <c r="J564" s="15">
        <f t="shared" si="62"/>
        <v>0</v>
      </c>
      <c r="K564" s="15">
        <f>IF(CurrentMtgRatesDataTable8[[#This Row],[WA CC]]&lt;&gt;0,C563-CurrentMtgRatesDataTable8[[#This Row],[WA CC]],0)</f>
        <v>0</v>
      </c>
      <c r="L564" s="16">
        <f>IF(CurrentMtgRatesDataTable8[[#This Row],[Servicing Spread]]&lt;=0,L563,CurrentMtgRatesDataTable8[[#This Row],[Servicing Spread]])</f>
        <v>0.78812707418207362</v>
      </c>
      <c r="M564" s="16">
        <f>CurrentMtgRatesDataTable8[[#This Row],[Servicing Spread Non-Zero]]-L563</f>
        <v>0</v>
      </c>
      <c r="N564" s="16">
        <f>IF(J563&lt;&gt;0,CurrentMtgRatesDataTable8[[#This Row],[Rate]]-C563,N563)</f>
        <v>-1.9999999999999574E-2</v>
      </c>
    </row>
    <row r="565" spans="1:14">
      <c r="A565" s="12" t="s">
        <v>278</v>
      </c>
      <c r="B565" s="13">
        <v>3.2107808202984001</v>
      </c>
      <c r="C565" s="13">
        <v>3.9950000000000001</v>
      </c>
      <c r="D565" s="15">
        <f t="shared" si="56"/>
        <v>6</v>
      </c>
      <c r="E565" s="15">
        <f t="shared" si="57"/>
        <v>0.2</v>
      </c>
      <c r="F565" s="15">
        <f t="shared" si="58"/>
        <v>4</v>
      </c>
      <c r="G565" s="15">
        <f t="shared" si="59"/>
        <v>2.5427437828575004</v>
      </c>
      <c r="H565" s="15">
        <f t="shared" si="60"/>
        <v>0.8</v>
      </c>
      <c r="I565" s="15">
        <f t="shared" si="61"/>
        <v>0</v>
      </c>
      <c r="J565" s="15">
        <f t="shared" si="62"/>
        <v>0</v>
      </c>
      <c r="K565" s="15">
        <f>IF(CurrentMtgRatesDataTable8[[#This Row],[WA CC]]&lt;&gt;0,C564-CurrentMtgRatesDataTable8[[#This Row],[WA CC]],0)</f>
        <v>0</v>
      </c>
      <c r="L565" s="16">
        <f>IF(CurrentMtgRatesDataTable8[[#This Row],[Servicing Spread]]&lt;=0,L564,CurrentMtgRatesDataTable8[[#This Row],[Servicing Spread]])</f>
        <v>0.78812707418207362</v>
      </c>
      <c r="M565" s="16">
        <f>CurrentMtgRatesDataTable8[[#This Row],[Servicing Spread Non-Zero]]-L564</f>
        <v>0</v>
      </c>
      <c r="N565" s="16">
        <f>IF(J564&lt;&gt;0,CurrentMtgRatesDataTable8[[#This Row],[Rate]]-C564,N564)</f>
        <v>-1.9999999999999574E-2</v>
      </c>
    </row>
    <row r="566" spans="1:14">
      <c r="A566" s="12" t="s">
        <v>133</v>
      </c>
      <c r="B566" s="13">
        <v>3.25804857470149</v>
      </c>
      <c r="C566" s="13">
        <v>3.9950000000000001</v>
      </c>
      <c r="D566" s="15">
        <f t="shared" si="56"/>
        <v>7</v>
      </c>
      <c r="E566" s="15">
        <f t="shared" si="57"/>
        <v>0.2</v>
      </c>
      <c r="F566" s="15">
        <f t="shared" si="58"/>
        <v>5</v>
      </c>
      <c r="G566" s="15">
        <f t="shared" si="59"/>
        <v>3.1943534977977985</v>
      </c>
      <c r="H566" s="15">
        <f t="shared" si="60"/>
        <v>1</v>
      </c>
      <c r="I566" s="15">
        <f t="shared" si="61"/>
        <v>1</v>
      </c>
      <c r="J566" s="15">
        <f t="shared" si="62"/>
        <v>3.1943534977977985</v>
      </c>
      <c r="K566" s="15">
        <f>IF(CurrentMtgRatesDataTable8[[#This Row],[WA CC]]&lt;&gt;0,C565-CurrentMtgRatesDataTable8[[#This Row],[WA CC]],0)</f>
        <v>0.80064650220220157</v>
      </c>
      <c r="L566" s="16">
        <f>IF(CurrentMtgRatesDataTable8[[#This Row],[Servicing Spread]]&lt;=0,L565,CurrentMtgRatesDataTable8[[#This Row],[Servicing Spread]])</f>
        <v>0.80064650220220157</v>
      </c>
      <c r="M566" s="16">
        <f>CurrentMtgRatesDataTable8[[#This Row],[Servicing Spread Non-Zero]]-L565</f>
        <v>1.2519428020127954E-2</v>
      </c>
      <c r="N566" s="16">
        <f>IF(J565&lt;&gt;0,CurrentMtgRatesDataTable8[[#This Row],[Rate]]-C565,N565)</f>
        <v>-1.9999999999999574E-2</v>
      </c>
    </row>
    <row r="567" spans="1:14">
      <c r="A567" s="12" t="s">
        <v>697</v>
      </c>
      <c r="B567" s="13">
        <v>3.2816971853818702</v>
      </c>
      <c r="C567" s="13">
        <v>4.0750000000000002</v>
      </c>
      <c r="D567" s="15">
        <f t="shared" si="56"/>
        <v>1</v>
      </c>
      <c r="E567" s="15">
        <f t="shared" si="57"/>
        <v>0.2</v>
      </c>
      <c r="F567" s="15">
        <f t="shared" si="58"/>
        <v>1</v>
      </c>
      <c r="G567" s="15">
        <f t="shared" si="59"/>
        <v>0.6563394370763741</v>
      </c>
      <c r="H567" s="15">
        <f t="shared" si="60"/>
        <v>0.2</v>
      </c>
      <c r="I567" s="15">
        <f t="shared" si="61"/>
        <v>0</v>
      </c>
      <c r="J567" s="15">
        <f t="shared" si="62"/>
        <v>0</v>
      </c>
      <c r="K567" s="15">
        <f>IF(CurrentMtgRatesDataTable8[[#This Row],[WA CC]]&lt;&gt;0,C566-CurrentMtgRatesDataTable8[[#This Row],[WA CC]],0)</f>
        <v>0</v>
      </c>
      <c r="L567" s="16">
        <f>IF(CurrentMtgRatesDataTable8[[#This Row],[Servicing Spread]]&lt;=0,L566,CurrentMtgRatesDataTable8[[#This Row],[Servicing Spread]])</f>
        <v>0.80064650220220157</v>
      </c>
      <c r="M567" s="16">
        <f>CurrentMtgRatesDataTable8[[#This Row],[Servicing Spread Non-Zero]]-L566</f>
        <v>0</v>
      </c>
      <c r="N567" s="16">
        <f>IF(J566&lt;&gt;0,CurrentMtgRatesDataTable8[[#This Row],[Rate]]-C566,N566)</f>
        <v>8.0000000000000071E-2</v>
      </c>
    </row>
    <row r="568" spans="1:14">
      <c r="A568" s="12" t="s">
        <v>410</v>
      </c>
      <c r="B568" s="13">
        <v>3.2664759262762</v>
      </c>
      <c r="C568" s="13">
        <v>4.0750000000000002</v>
      </c>
      <c r="D568" s="15">
        <f t="shared" si="56"/>
        <v>5</v>
      </c>
      <c r="E568" s="15">
        <f t="shared" si="57"/>
        <v>0.2</v>
      </c>
      <c r="F568" s="15">
        <f t="shared" si="58"/>
        <v>2</v>
      </c>
      <c r="G568" s="15">
        <f t="shared" si="59"/>
        <v>1.3096346223316142</v>
      </c>
      <c r="H568" s="15">
        <f t="shared" si="60"/>
        <v>0.4</v>
      </c>
      <c r="I568" s="15">
        <f t="shared" si="61"/>
        <v>0</v>
      </c>
      <c r="J568" s="15">
        <f t="shared" si="62"/>
        <v>0</v>
      </c>
      <c r="K568" s="15">
        <f>IF(CurrentMtgRatesDataTable8[[#This Row],[WA CC]]&lt;&gt;0,C567-CurrentMtgRatesDataTable8[[#This Row],[WA CC]],0)</f>
        <v>0</v>
      </c>
      <c r="L568" s="16">
        <f>IF(CurrentMtgRatesDataTable8[[#This Row],[Servicing Spread]]&lt;=0,L567,CurrentMtgRatesDataTable8[[#This Row],[Servicing Spread]])</f>
        <v>0.80064650220220157</v>
      </c>
      <c r="M568" s="16">
        <f>CurrentMtgRatesDataTable8[[#This Row],[Servicing Spread Non-Zero]]-L567</f>
        <v>0</v>
      </c>
      <c r="N568" s="16">
        <f>IF(J567&lt;&gt;0,CurrentMtgRatesDataTable8[[#This Row],[Rate]]-C567,N567)</f>
        <v>8.0000000000000071E-2</v>
      </c>
    </row>
    <row r="569" spans="1:14">
      <c r="A569" s="12" t="s">
        <v>279</v>
      </c>
      <c r="B569" s="13">
        <v>3.2329417252497299</v>
      </c>
      <c r="C569" s="13">
        <v>4.0750000000000002</v>
      </c>
      <c r="D569" s="15">
        <f t="shared" si="56"/>
        <v>6</v>
      </c>
      <c r="E569" s="15">
        <f t="shared" si="57"/>
        <v>0.2</v>
      </c>
      <c r="F569" s="15">
        <f t="shared" si="58"/>
        <v>3</v>
      </c>
      <c r="G569" s="15">
        <f t="shared" si="59"/>
        <v>1.9562229673815601</v>
      </c>
      <c r="H569" s="15">
        <f t="shared" si="60"/>
        <v>0.60000000000000009</v>
      </c>
      <c r="I569" s="15">
        <f t="shared" si="61"/>
        <v>0</v>
      </c>
      <c r="J569" s="15">
        <f t="shared" si="62"/>
        <v>0</v>
      </c>
      <c r="K569" s="15">
        <f>IF(CurrentMtgRatesDataTable8[[#This Row],[WA CC]]&lt;&gt;0,C568-CurrentMtgRatesDataTable8[[#This Row],[WA CC]],0)</f>
        <v>0</v>
      </c>
      <c r="L569" s="16">
        <f>IF(CurrentMtgRatesDataTable8[[#This Row],[Servicing Spread]]&lt;=0,L568,CurrentMtgRatesDataTable8[[#This Row],[Servicing Spread]])</f>
        <v>0.80064650220220157</v>
      </c>
      <c r="M569" s="16">
        <f>CurrentMtgRatesDataTable8[[#This Row],[Servicing Spread Non-Zero]]-L568</f>
        <v>0</v>
      </c>
      <c r="N569" s="16">
        <f>IF(J568&lt;&gt;0,CurrentMtgRatesDataTable8[[#This Row],[Rate]]-C568,N568)</f>
        <v>8.0000000000000071E-2</v>
      </c>
    </row>
    <row r="570" spans="1:14">
      <c r="A570" s="12" t="s">
        <v>134</v>
      </c>
      <c r="B570" s="13">
        <v>3.2185084565507598</v>
      </c>
      <c r="C570" s="13">
        <v>4.0750000000000002</v>
      </c>
      <c r="D570" s="15">
        <f t="shared" si="56"/>
        <v>7</v>
      </c>
      <c r="E570" s="15">
        <f t="shared" si="57"/>
        <v>0.2</v>
      </c>
      <c r="F570" s="15">
        <f t="shared" si="58"/>
        <v>4</v>
      </c>
      <c r="G570" s="15">
        <f t="shared" si="59"/>
        <v>2.599924658691712</v>
      </c>
      <c r="H570" s="15">
        <f t="shared" si="60"/>
        <v>0.8</v>
      </c>
      <c r="I570" s="15">
        <f t="shared" si="61"/>
        <v>1</v>
      </c>
      <c r="J570" s="15">
        <f t="shared" si="62"/>
        <v>3.2499058233646396</v>
      </c>
      <c r="K570" s="15">
        <f>IF(CurrentMtgRatesDataTable8[[#This Row],[WA CC]]&lt;&gt;0,C569-CurrentMtgRatesDataTable8[[#This Row],[WA CC]],0)</f>
        <v>0.82509417663536055</v>
      </c>
      <c r="L570" s="16">
        <f>IF(CurrentMtgRatesDataTable8[[#This Row],[Servicing Spread]]&lt;=0,L569,CurrentMtgRatesDataTable8[[#This Row],[Servicing Spread]])</f>
        <v>0.82509417663536055</v>
      </c>
      <c r="M570" s="16">
        <f>CurrentMtgRatesDataTable8[[#This Row],[Servicing Spread Non-Zero]]-L569</f>
        <v>2.4447674433158983E-2</v>
      </c>
      <c r="N570" s="16">
        <f>IF(J569&lt;&gt;0,CurrentMtgRatesDataTable8[[#This Row],[Rate]]-C569,N569)</f>
        <v>8.0000000000000071E-2</v>
      </c>
    </row>
    <row r="571" spans="1:14">
      <c r="A571" s="12" t="s">
        <v>698</v>
      </c>
      <c r="B571" s="13">
        <v>3.20098644724558</v>
      </c>
      <c r="C571" s="13">
        <v>4.03</v>
      </c>
      <c r="D571" s="15">
        <f t="shared" si="56"/>
        <v>1</v>
      </c>
      <c r="E571" s="15">
        <f t="shared" si="57"/>
        <v>0.2</v>
      </c>
      <c r="F571" s="15">
        <f t="shared" si="58"/>
        <v>1</v>
      </c>
      <c r="G571" s="15">
        <f t="shared" si="59"/>
        <v>0.64019728944911602</v>
      </c>
      <c r="H571" s="15">
        <f t="shared" si="60"/>
        <v>0.2</v>
      </c>
      <c r="I571" s="15">
        <f t="shared" si="61"/>
        <v>0</v>
      </c>
      <c r="J571" s="15">
        <f t="shared" si="62"/>
        <v>0</v>
      </c>
      <c r="K571" s="15">
        <f>IF(CurrentMtgRatesDataTable8[[#This Row],[WA CC]]&lt;&gt;0,C570-CurrentMtgRatesDataTable8[[#This Row],[WA CC]],0)</f>
        <v>0</v>
      </c>
      <c r="L571" s="16">
        <f>IF(CurrentMtgRatesDataTable8[[#This Row],[Servicing Spread]]&lt;=0,L570,CurrentMtgRatesDataTable8[[#This Row],[Servicing Spread]])</f>
        <v>0.82509417663536055</v>
      </c>
      <c r="M571" s="16">
        <f>CurrentMtgRatesDataTable8[[#This Row],[Servicing Spread Non-Zero]]-L570</f>
        <v>0</v>
      </c>
      <c r="N571" s="16">
        <f>IF(J570&lt;&gt;0,CurrentMtgRatesDataTable8[[#This Row],[Rate]]-C570,N570)</f>
        <v>-4.4999999999999929E-2</v>
      </c>
    </row>
    <row r="572" spans="1:14">
      <c r="A572" s="12" t="s">
        <v>556</v>
      </c>
      <c r="B572" s="13">
        <v>3.1874045932907902</v>
      </c>
      <c r="C572" s="13">
        <v>4.03</v>
      </c>
      <c r="D572" s="15">
        <f t="shared" si="56"/>
        <v>2</v>
      </c>
      <c r="E572" s="15">
        <f t="shared" si="57"/>
        <v>0.2</v>
      </c>
      <c r="F572" s="15">
        <f t="shared" si="58"/>
        <v>2</v>
      </c>
      <c r="G572" s="15">
        <f t="shared" si="59"/>
        <v>1.2776782081072739</v>
      </c>
      <c r="H572" s="15">
        <f t="shared" si="60"/>
        <v>0.4</v>
      </c>
      <c r="I572" s="15">
        <f t="shared" si="61"/>
        <v>0</v>
      </c>
      <c r="J572" s="15">
        <f t="shared" si="62"/>
        <v>0</v>
      </c>
      <c r="K572" s="15">
        <f>IF(CurrentMtgRatesDataTable8[[#This Row],[WA CC]]&lt;&gt;0,C571-CurrentMtgRatesDataTable8[[#This Row],[WA CC]],0)</f>
        <v>0</v>
      </c>
      <c r="L572" s="16">
        <f>IF(CurrentMtgRatesDataTable8[[#This Row],[Servicing Spread]]&lt;=0,L571,CurrentMtgRatesDataTable8[[#This Row],[Servicing Spread]])</f>
        <v>0.82509417663536055</v>
      </c>
      <c r="M572" s="16">
        <f>CurrentMtgRatesDataTable8[[#This Row],[Servicing Spread Non-Zero]]-L571</f>
        <v>0</v>
      </c>
      <c r="N572" s="16">
        <f>IF(J571&lt;&gt;0,CurrentMtgRatesDataTable8[[#This Row],[Rate]]-C571,N571)</f>
        <v>-4.4999999999999929E-2</v>
      </c>
    </row>
    <row r="573" spans="1:14">
      <c r="A573" s="12" t="s">
        <v>411</v>
      </c>
      <c r="B573" s="13">
        <v>3.22381281335216</v>
      </c>
      <c r="C573" s="13">
        <v>4.03</v>
      </c>
      <c r="D573" s="15">
        <f t="shared" si="56"/>
        <v>5</v>
      </c>
      <c r="E573" s="15">
        <f t="shared" si="57"/>
        <v>0.2</v>
      </c>
      <c r="F573" s="15">
        <f t="shared" si="58"/>
        <v>3</v>
      </c>
      <c r="G573" s="15">
        <f t="shared" si="59"/>
        <v>1.922440770777706</v>
      </c>
      <c r="H573" s="15">
        <f t="shared" si="60"/>
        <v>0.60000000000000009</v>
      </c>
      <c r="I573" s="15">
        <f t="shared" si="61"/>
        <v>0</v>
      </c>
      <c r="J573" s="15">
        <f t="shared" si="62"/>
        <v>0</v>
      </c>
      <c r="K573" s="15">
        <f>IF(CurrentMtgRatesDataTable8[[#This Row],[WA CC]]&lt;&gt;0,C572-CurrentMtgRatesDataTable8[[#This Row],[WA CC]],0)</f>
        <v>0</v>
      </c>
      <c r="L573" s="16">
        <f>IF(CurrentMtgRatesDataTable8[[#This Row],[Servicing Spread]]&lt;=0,L572,CurrentMtgRatesDataTable8[[#This Row],[Servicing Spread]])</f>
        <v>0.82509417663536055</v>
      </c>
      <c r="M573" s="16">
        <f>CurrentMtgRatesDataTable8[[#This Row],[Servicing Spread Non-Zero]]-L572</f>
        <v>0</v>
      </c>
      <c r="N573" s="16">
        <f>IF(J572&lt;&gt;0,CurrentMtgRatesDataTable8[[#This Row],[Rate]]-C572,N572)</f>
        <v>-4.4999999999999929E-2</v>
      </c>
    </row>
    <row r="574" spans="1:14">
      <c r="A574" s="12" t="s">
        <v>280</v>
      </c>
      <c r="B574" s="13">
        <v>3.2327612765480098</v>
      </c>
      <c r="C574" s="13">
        <v>4.03</v>
      </c>
      <c r="D574" s="15">
        <f t="shared" si="56"/>
        <v>6</v>
      </c>
      <c r="E574" s="15">
        <f t="shared" si="57"/>
        <v>0.2</v>
      </c>
      <c r="F574" s="15">
        <f t="shared" si="58"/>
        <v>4</v>
      </c>
      <c r="G574" s="15">
        <f t="shared" si="59"/>
        <v>2.5689930260873082</v>
      </c>
      <c r="H574" s="15">
        <f t="shared" si="60"/>
        <v>0.8</v>
      </c>
      <c r="I574" s="15">
        <f t="shared" si="61"/>
        <v>0</v>
      </c>
      <c r="J574" s="15">
        <f t="shared" si="62"/>
        <v>0</v>
      </c>
      <c r="K574" s="15">
        <f>IF(CurrentMtgRatesDataTable8[[#This Row],[WA CC]]&lt;&gt;0,C573-CurrentMtgRatesDataTable8[[#This Row],[WA CC]],0)</f>
        <v>0</v>
      </c>
      <c r="L574" s="16">
        <f>IF(CurrentMtgRatesDataTable8[[#This Row],[Servicing Spread]]&lt;=0,L573,CurrentMtgRatesDataTable8[[#This Row],[Servicing Spread]])</f>
        <v>0.82509417663536055</v>
      </c>
      <c r="M574" s="16">
        <f>CurrentMtgRatesDataTable8[[#This Row],[Servicing Spread Non-Zero]]-L573</f>
        <v>0</v>
      </c>
      <c r="N574" s="16">
        <f>IF(J573&lt;&gt;0,CurrentMtgRatesDataTable8[[#This Row],[Rate]]-C573,N573)</f>
        <v>-4.4999999999999929E-2</v>
      </c>
    </row>
    <row r="575" spans="1:14">
      <c r="A575" s="12" t="s">
        <v>135</v>
      </c>
      <c r="B575" s="13">
        <v>3.23587971649664</v>
      </c>
      <c r="C575" s="13">
        <v>4.03</v>
      </c>
      <c r="D575" s="15">
        <f t="shared" si="56"/>
        <v>7</v>
      </c>
      <c r="E575" s="15">
        <f t="shared" si="57"/>
        <v>0.2</v>
      </c>
      <c r="F575" s="15">
        <f t="shared" si="58"/>
        <v>5</v>
      </c>
      <c r="G575" s="15">
        <f t="shared" si="59"/>
        <v>3.2161689693866364</v>
      </c>
      <c r="H575" s="15">
        <f t="shared" si="60"/>
        <v>1</v>
      </c>
      <c r="I575" s="15">
        <f t="shared" si="61"/>
        <v>1</v>
      </c>
      <c r="J575" s="15">
        <f t="shared" si="62"/>
        <v>3.2161689693866364</v>
      </c>
      <c r="K575" s="15">
        <f>IF(CurrentMtgRatesDataTable8[[#This Row],[WA CC]]&lt;&gt;0,C574-CurrentMtgRatesDataTable8[[#This Row],[WA CC]],0)</f>
        <v>0.81383103061336382</v>
      </c>
      <c r="L575" s="16">
        <f>IF(CurrentMtgRatesDataTable8[[#This Row],[Servicing Spread]]&lt;=0,L574,CurrentMtgRatesDataTable8[[#This Row],[Servicing Spread]])</f>
        <v>0.81383103061336382</v>
      </c>
      <c r="M575" s="16">
        <f>CurrentMtgRatesDataTable8[[#This Row],[Servicing Spread Non-Zero]]-L574</f>
        <v>-1.1263146021996739E-2</v>
      </c>
      <c r="N575" s="16">
        <f>IF(J574&lt;&gt;0,CurrentMtgRatesDataTable8[[#This Row],[Rate]]-C574,N574)</f>
        <v>-4.4999999999999929E-2</v>
      </c>
    </row>
    <row r="576" spans="1:14">
      <c r="A576" s="12" t="s">
        <v>699</v>
      </c>
      <c r="B576" s="13">
        <v>3.1839990162061</v>
      </c>
      <c r="C576" s="13">
        <v>4.03</v>
      </c>
      <c r="D576" s="15">
        <f t="shared" si="56"/>
        <v>1</v>
      </c>
      <c r="E576" s="15">
        <f t="shared" si="57"/>
        <v>0.2</v>
      </c>
      <c r="F576" s="15">
        <f t="shared" si="58"/>
        <v>1</v>
      </c>
      <c r="G576" s="15">
        <f t="shared" si="59"/>
        <v>0.6367998032412201</v>
      </c>
      <c r="H576" s="15">
        <f t="shared" si="60"/>
        <v>0.2</v>
      </c>
      <c r="I576" s="15">
        <f t="shared" si="61"/>
        <v>0</v>
      </c>
      <c r="J576" s="15">
        <f t="shared" si="62"/>
        <v>0</v>
      </c>
      <c r="K576" s="15">
        <f>IF(CurrentMtgRatesDataTable8[[#This Row],[WA CC]]&lt;&gt;0,C575-CurrentMtgRatesDataTable8[[#This Row],[WA CC]],0)</f>
        <v>0</v>
      </c>
      <c r="L576" s="16">
        <f>IF(CurrentMtgRatesDataTable8[[#This Row],[Servicing Spread]]&lt;=0,L575,CurrentMtgRatesDataTable8[[#This Row],[Servicing Spread]])</f>
        <v>0.81383103061336382</v>
      </c>
      <c r="M576" s="16">
        <f>CurrentMtgRatesDataTable8[[#This Row],[Servicing Spread Non-Zero]]-L575</f>
        <v>0</v>
      </c>
      <c r="N576" s="16">
        <f>IF(J575&lt;&gt;0,CurrentMtgRatesDataTable8[[#This Row],[Rate]]-C575,N575)</f>
        <v>0</v>
      </c>
    </row>
    <row r="577" spans="1:14">
      <c r="A577" s="12" t="s">
        <v>557</v>
      </c>
      <c r="B577" s="13">
        <v>3.1834552504580702</v>
      </c>
      <c r="C577" s="13">
        <v>4.03</v>
      </c>
      <c r="D577" s="15">
        <f t="shared" si="56"/>
        <v>2</v>
      </c>
      <c r="E577" s="15">
        <f t="shared" si="57"/>
        <v>0.2</v>
      </c>
      <c r="F577" s="15">
        <f t="shared" si="58"/>
        <v>2</v>
      </c>
      <c r="G577" s="15">
        <f t="shared" si="59"/>
        <v>1.2734908533328342</v>
      </c>
      <c r="H577" s="15">
        <f t="shared" si="60"/>
        <v>0.4</v>
      </c>
      <c r="I577" s="15">
        <f t="shared" si="61"/>
        <v>0</v>
      </c>
      <c r="J577" s="15">
        <f t="shared" si="62"/>
        <v>0</v>
      </c>
      <c r="K577" s="15">
        <f>IF(CurrentMtgRatesDataTable8[[#This Row],[WA CC]]&lt;&gt;0,C576-CurrentMtgRatesDataTable8[[#This Row],[WA CC]],0)</f>
        <v>0</v>
      </c>
      <c r="L577" s="16">
        <f>IF(CurrentMtgRatesDataTable8[[#This Row],[Servicing Spread]]&lt;=0,L576,CurrentMtgRatesDataTable8[[#This Row],[Servicing Spread]])</f>
        <v>0.81383103061336382</v>
      </c>
      <c r="M577" s="16">
        <f>CurrentMtgRatesDataTable8[[#This Row],[Servicing Spread Non-Zero]]-L576</f>
        <v>0</v>
      </c>
      <c r="N577" s="16">
        <f>IF(J576&lt;&gt;0,CurrentMtgRatesDataTable8[[#This Row],[Rate]]-C576,N576)</f>
        <v>0</v>
      </c>
    </row>
    <row r="578" spans="1:14">
      <c r="A578" s="12" t="s">
        <v>412</v>
      </c>
      <c r="B578" s="13">
        <v>3.1797287048205698</v>
      </c>
      <c r="C578" s="13">
        <v>4.03</v>
      </c>
      <c r="D578" s="15">
        <f t="shared" si="56"/>
        <v>5</v>
      </c>
      <c r="E578" s="15">
        <f t="shared" si="57"/>
        <v>0.2</v>
      </c>
      <c r="F578" s="15">
        <f t="shared" si="58"/>
        <v>3</v>
      </c>
      <c r="G578" s="15">
        <f t="shared" si="59"/>
        <v>1.9094365942969482</v>
      </c>
      <c r="H578" s="15">
        <f t="shared" si="60"/>
        <v>0.60000000000000009</v>
      </c>
      <c r="I578" s="15">
        <f t="shared" si="61"/>
        <v>0</v>
      </c>
      <c r="J578" s="15">
        <f t="shared" si="62"/>
        <v>0</v>
      </c>
      <c r="K578" s="15">
        <f>IF(CurrentMtgRatesDataTable8[[#This Row],[WA CC]]&lt;&gt;0,C577-CurrentMtgRatesDataTable8[[#This Row],[WA CC]],0)</f>
        <v>0</v>
      </c>
      <c r="L578" s="16">
        <f>IF(CurrentMtgRatesDataTable8[[#This Row],[Servicing Spread]]&lt;=0,L577,CurrentMtgRatesDataTable8[[#This Row],[Servicing Spread]])</f>
        <v>0.81383103061336382</v>
      </c>
      <c r="M578" s="16">
        <f>CurrentMtgRatesDataTable8[[#This Row],[Servicing Spread Non-Zero]]-L577</f>
        <v>0</v>
      </c>
      <c r="N578" s="16">
        <f>IF(J577&lt;&gt;0,CurrentMtgRatesDataTable8[[#This Row],[Rate]]-C577,N577)</f>
        <v>0</v>
      </c>
    </row>
    <row r="579" spans="1:14">
      <c r="A579" s="12" t="s">
        <v>281</v>
      </c>
      <c r="B579" s="13">
        <v>3.1713427686584299</v>
      </c>
      <c r="C579" s="13">
        <v>4.03</v>
      </c>
      <c r="D579" s="15">
        <f t="shared" si="56"/>
        <v>6</v>
      </c>
      <c r="E579" s="15">
        <f t="shared" si="57"/>
        <v>0.2</v>
      </c>
      <c r="F579" s="15">
        <f t="shared" si="58"/>
        <v>4</v>
      </c>
      <c r="G579" s="15">
        <f t="shared" si="59"/>
        <v>2.5437051480286343</v>
      </c>
      <c r="H579" s="15">
        <f t="shared" si="60"/>
        <v>0.8</v>
      </c>
      <c r="I579" s="15">
        <f t="shared" si="61"/>
        <v>0</v>
      </c>
      <c r="J579" s="15">
        <f t="shared" si="62"/>
        <v>0</v>
      </c>
      <c r="K579" s="15">
        <f>IF(CurrentMtgRatesDataTable8[[#This Row],[WA CC]]&lt;&gt;0,C578-CurrentMtgRatesDataTable8[[#This Row],[WA CC]],0)</f>
        <v>0</v>
      </c>
      <c r="L579" s="16">
        <f>IF(CurrentMtgRatesDataTable8[[#This Row],[Servicing Spread]]&lt;=0,L578,CurrentMtgRatesDataTable8[[#This Row],[Servicing Spread]])</f>
        <v>0.81383103061336382</v>
      </c>
      <c r="M579" s="16">
        <f>CurrentMtgRatesDataTable8[[#This Row],[Servicing Spread Non-Zero]]-L578</f>
        <v>0</v>
      </c>
      <c r="N579" s="16">
        <f>IF(J578&lt;&gt;0,CurrentMtgRatesDataTable8[[#This Row],[Rate]]-C578,N578)</f>
        <v>0</v>
      </c>
    </row>
    <row r="580" spans="1:14">
      <c r="A580" s="12" t="s">
        <v>136</v>
      </c>
      <c r="B580" s="13">
        <v>3.18443166753908</v>
      </c>
      <c r="C580" s="13">
        <v>4.03</v>
      </c>
      <c r="D580" s="15">
        <f t="shared" si="56"/>
        <v>7</v>
      </c>
      <c r="E580" s="15">
        <f t="shared" si="57"/>
        <v>0.2</v>
      </c>
      <c r="F580" s="15">
        <f t="shared" si="58"/>
        <v>5</v>
      </c>
      <c r="G580" s="15">
        <f t="shared" si="59"/>
        <v>3.1805914815364504</v>
      </c>
      <c r="H580" s="15">
        <f t="shared" si="60"/>
        <v>1</v>
      </c>
      <c r="I580" s="15">
        <f t="shared" si="61"/>
        <v>1</v>
      </c>
      <c r="J580" s="15">
        <f t="shared" si="62"/>
        <v>3.1805914815364504</v>
      </c>
      <c r="K580" s="15">
        <f>IF(CurrentMtgRatesDataTable8[[#This Row],[WA CC]]&lt;&gt;0,C579-CurrentMtgRatesDataTable8[[#This Row],[WA CC]],0)</f>
        <v>0.84940851846354981</v>
      </c>
      <c r="L580" s="16">
        <f>IF(CurrentMtgRatesDataTable8[[#This Row],[Servicing Spread]]&lt;=0,L579,CurrentMtgRatesDataTable8[[#This Row],[Servicing Spread]])</f>
        <v>0.84940851846354981</v>
      </c>
      <c r="M580" s="16">
        <f>CurrentMtgRatesDataTable8[[#This Row],[Servicing Spread Non-Zero]]-L579</f>
        <v>3.5577487850185996E-2</v>
      </c>
      <c r="N580" s="16">
        <f>IF(J579&lt;&gt;0,CurrentMtgRatesDataTable8[[#This Row],[Rate]]-C579,N579)</f>
        <v>0</v>
      </c>
    </row>
    <row r="581" spans="1:14">
      <c r="A581" s="12" t="s">
        <v>700</v>
      </c>
      <c r="B581" s="13">
        <v>3.2359256063250199</v>
      </c>
      <c r="C581" s="13">
        <v>4.0200000000000005</v>
      </c>
      <c r="D581" s="15">
        <f t="shared" ref="D581:D644" si="63">WEEKDAY(A581,14)</f>
        <v>1</v>
      </c>
      <c r="E581" s="15">
        <f t="shared" ref="E581:E644" si="64">VLOOKUP(D581,Q$5:R$11,2,FALSE)</f>
        <v>0.2</v>
      </c>
      <c r="F581" s="15">
        <f t="shared" ref="F581:F644" si="65">IF(AND(D581&gt;D580,F580&lt;6),F580+1,1)</f>
        <v>1</v>
      </c>
      <c r="G581" s="15">
        <f t="shared" ref="G581:G644" si="66">IF(F581&gt;F580,G580+B581*E581,B581*E581)</f>
        <v>0.64718512126500405</v>
      </c>
      <c r="H581" s="15">
        <f t="shared" ref="H581:H644" si="67">IF(AND(F581&lt;6,F581&gt;F580),E581+H580,E581)</f>
        <v>0.2</v>
      </c>
      <c r="I581" s="15">
        <f t="shared" ref="I581:I644" si="68">IF(F581&gt;F582,1,0)</f>
        <v>0</v>
      </c>
      <c r="J581" s="15">
        <f t="shared" ref="J581:J644" si="69">IF(F581&gt;F582,G581/H581,0)</f>
        <v>0</v>
      </c>
      <c r="K581" s="15">
        <f>IF(CurrentMtgRatesDataTable8[[#This Row],[WA CC]]&lt;&gt;0,C580-CurrentMtgRatesDataTable8[[#This Row],[WA CC]],0)</f>
        <v>0</v>
      </c>
      <c r="L581" s="16">
        <f>IF(CurrentMtgRatesDataTable8[[#This Row],[Servicing Spread]]&lt;=0,L580,CurrentMtgRatesDataTable8[[#This Row],[Servicing Spread]])</f>
        <v>0.84940851846354981</v>
      </c>
      <c r="M581" s="16">
        <f>CurrentMtgRatesDataTable8[[#This Row],[Servicing Spread Non-Zero]]-L580</f>
        <v>0</v>
      </c>
      <c r="N581" s="16">
        <f>IF(J580&lt;&gt;0,CurrentMtgRatesDataTable8[[#This Row],[Rate]]-C580,N580)</f>
        <v>-9.9999999999997868E-3</v>
      </c>
    </row>
    <row r="582" spans="1:14">
      <c r="A582" s="12" t="s">
        <v>558</v>
      </c>
      <c r="B582" s="13">
        <v>3.1915306555493599</v>
      </c>
      <c r="C582" s="13">
        <v>4.0200000000000005</v>
      </c>
      <c r="D582" s="15">
        <f t="shared" si="63"/>
        <v>2</v>
      </c>
      <c r="E582" s="15">
        <f t="shared" si="64"/>
        <v>0.2</v>
      </c>
      <c r="F582" s="15">
        <f t="shared" si="65"/>
        <v>2</v>
      </c>
      <c r="G582" s="15">
        <f t="shared" si="66"/>
        <v>1.285491252374876</v>
      </c>
      <c r="H582" s="15">
        <f t="shared" si="67"/>
        <v>0.4</v>
      </c>
      <c r="I582" s="15">
        <f t="shared" si="68"/>
        <v>0</v>
      </c>
      <c r="J582" s="15">
        <f t="shared" si="69"/>
        <v>0</v>
      </c>
      <c r="K582" s="15">
        <f>IF(CurrentMtgRatesDataTable8[[#This Row],[WA CC]]&lt;&gt;0,C581-CurrentMtgRatesDataTable8[[#This Row],[WA CC]],0)</f>
        <v>0</v>
      </c>
      <c r="L582" s="16">
        <f>IF(CurrentMtgRatesDataTable8[[#This Row],[Servicing Spread]]&lt;=0,L581,CurrentMtgRatesDataTable8[[#This Row],[Servicing Spread]])</f>
        <v>0.84940851846354981</v>
      </c>
      <c r="M582" s="16">
        <f>CurrentMtgRatesDataTable8[[#This Row],[Servicing Spread Non-Zero]]-L581</f>
        <v>0</v>
      </c>
      <c r="N582" s="16">
        <f>IF(J581&lt;&gt;0,CurrentMtgRatesDataTable8[[#This Row],[Rate]]-C581,N581)</f>
        <v>-9.9999999999997868E-3</v>
      </c>
    </row>
    <row r="583" spans="1:14">
      <c r="A583" s="12" t="s">
        <v>413</v>
      </c>
      <c r="B583" s="13">
        <v>3.2049602013827001</v>
      </c>
      <c r="C583" s="13">
        <v>4.0200000000000005</v>
      </c>
      <c r="D583" s="15">
        <f t="shared" si="63"/>
        <v>5</v>
      </c>
      <c r="E583" s="15">
        <f t="shared" si="64"/>
        <v>0.2</v>
      </c>
      <c r="F583" s="15">
        <f t="shared" si="65"/>
        <v>3</v>
      </c>
      <c r="G583" s="15">
        <f t="shared" si="66"/>
        <v>1.9264832926514162</v>
      </c>
      <c r="H583" s="15">
        <f t="shared" si="67"/>
        <v>0.60000000000000009</v>
      </c>
      <c r="I583" s="15">
        <f t="shared" si="68"/>
        <v>0</v>
      </c>
      <c r="J583" s="15">
        <f t="shared" si="69"/>
        <v>0</v>
      </c>
      <c r="K583" s="15">
        <f>IF(CurrentMtgRatesDataTable8[[#This Row],[WA CC]]&lt;&gt;0,C582-CurrentMtgRatesDataTable8[[#This Row],[WA CC]],0)</f>
        <v>0</v>
      </c>
      <c r="L583" s="16">
        <f>IF(CurrentMtgRatesDataTable8[[#This Row],[Servicing Spread]]&lt;=0,L582,CurrentMtgRatesDataTable8[[#This Row],[Servicing Spread]])</f>
        <v>0.84940851846354981</v>
      </c>
      <c r="M583" s="16">
        <f>CurrentMtgRatesDataTable8[[#This Row],[Servicing Spread Non-Zero]]-L582</f>
        <v>0</v>
      </c>
      <c r="N583" s="16">
        <f>IF(J582&lt;&gt;0,CurrentMtgRatesDataTable8[[#This Row],[Rate]]-C582,N582)</f>
        <v>-9.9999999999997868E-3</v>
      </c>
    </row>
    <row r="584" spans="1:14">
      <c r="A584" s="12" t="s">
        <v>282</v>
      </c>
      <c r="B584" s="13">
        <v>3.1823757597493798</v>
      </c>
      <c r="C584" s="13">
        <v>4.0200000000000005</v>
      </c>
      <c r="D584" s="15">
        <f t="shared" si="63"/>
        <v>6</v>
      </c>
      <c r="E584" s="15">
        <f t="shared" si="64"/>
        <v>0.2</v>
      </c>
      <c r="F584" s="15">
        <f t="shared" si="65"/>
        <v>4</v>
      </c>
      <c r="G584" s="15">
        <f t="shared" si="66"/>
        <v>2.5629584446012923</v>
      </c>
      <c r="H584" s="15">
        <f t="shared" si="67"/>
        <v>0.8</v>
      </c>
      <c r="I584" s="15">
        <f t="shared" si="68"/>
        <v>0</v>
      </c>
      <c r="J584" s="15">
        <f t="shared" si="69"/>
        <v>0</v>
      </c>
      <c r="K584" s="15">
        <f>IF(CurrentMtgRatesDataTable8[[#This Row],[WA CC]]&lt;&gt;0,C583-CurrentMtgRatesDataTable8[[#This Row],[WA CC]],0)</f>
        <v>0</v>
      </c>
      <c r="L584" s="16">
        <f>IF(CurrentMtgRatesDataTable8[[#This Row],[Servicing Spread]]&lt;=0,L583,CurrentMtgRatesDataTable8[[#This Row],[Servicing Spread]])</f>
        <v>0.84940851846354981</v>
      </c>
      <c r="M584" s="16">
        <f>CurrentMtgRatesDataTable8[[#This Row],[Servicing Spread Non-Zero]]-L583</f>
        <v>0</v>
      </c>
      <c r="N584" s="16">
        <f>IF(J583&lt;&gt;0,CurrentMtgRatesDataTable8[[#This Row],[Rate]]-C583,N583)</f>
        <v>-9.9999999999997868E-3</v>
      </c>
    </row>
    <row r="585" spans="1:14">
      <c r="A585" s="12" t="s">
        <v>137</v>
      </c>
      <c r="B585" s="13">
        <v>3.2657922043638301</v>
      </c>
      <c r="C585" s="13">
        <v>4.0200000000000005</v>
      </c>
      <c r="D585" s="15">
        <f t="shared" si="63"/>
        <v>7</v>
      </c>
      <c r="E585" s="15">
        <f t="shared" si="64"/>
        <v>0.2</v>
      </c>
      <c r="F585" s="15">
        <f t="shared" si="65"/>
        <v>5</v>
      </c>
      <c r="G585" s="15">
        <f t="shared" si="66"/>
        <v>3.2161168854740585</v>
      </c>
      <c r="H585" s="15">
        <f t="shared" si="67"/>
        <v>1</v>
      </c>
      <c r="I585" s="15">
        <f t="shared" si="68"/>
        <v>1</v>
      </c>
      <c r="J585" s="15">
        <f t="shared" si="69"/>
        <v>3.2161168854740585</v>
      </c>
      <c r="K585" s="15">
        <f>IF(CurrentMtgRatesDataTable8[[#This Row],[WA CC]]&lt;&gt;0,C584-CurrentMtgRatesDataTable8[[#This Row],[WA CC]],0)</f>
        <v>0.80388311452594197</v>
      </c>
      <c r="L585" s="16">
        <f>IF(CurrentMtgRatesDataTable8[[#This Row],[Servicing Spread]]&lt;=0,L584,CurrentMtgRatesDataTable8[[#This Row],[Servicing Spread]])</f>
        <v>0.80388311452594197</v>
      </c>
      <c r="M585" s="16">
        <f>CurrentMtgRatesDataTable8[[#This Row],[Servicing Spread Non-Zero]]-L584</f>
        <v>-4.5525403937607845E-2</v>
      </c>
      <c r="N585" s="16">
        <f>IF(J584&lt;&gt;0,CurrentMtgRatesDataTable8[[#This Row],[Rate]]-C584,N584)</f>
        <v>-9.9999999999997868E-3</v>
      </c>
    </row>
    <row r="586" spans="1:14">
      <c r="A586" s="12" t="s">
        <v>701</v>
      </c>
      <c r="B586" s="13">
        <v>3.2761065930147799</v>
      </c>
      <c r="C586" s="13">
        <v>4.0649999999999995</v>
      </c>
      <c r="D586" s="15">
        <f t="shared" si="63"/>
        <v>1</v>
      </c>
      <c r="E586" s="15">
        <f t="shared" si="64"/>
        <v>0.2</v>
      </c>
      <c r="F586" s="15">
        <f t="shared" si="65"/>
        <v>1</v>
      </c>
      <c r="G586" s="15">
        <f t="shared" si="66"/>
        <v>0.65522131860295607</v>
      </c>
      <c r="H586" s="15">
        <f t="shared" si="67"/>
        <v>0.2</v>
      </c>
      <c r="I586" s="15">
        <f t="shared" si="68"/>
        <v>0</v>
      </c>
      <c r="J586" s="15">
        <f t="shared" si="69"/>
        <v>0</v>
      </c>
      <c r="K586" s="15">
        <f>IF(CurrentMtgRatesDataTable8[[#This Row],[WA CC]]&lt;&gt;0,C585-CurrentMtgRatesDataTable8[[#This Row],[WA CC]],0)</f>
        <v>0</v>
      </c>
      <c r="L586" s="16">
        <f>IF(CurrentMtgRatesDataTable8[[#This Row],[Servicing Spread]]&lt;=0,L585,CurrentMtgRatesDataTable8[[#This Row],[Servicing Spread]])</f>
        <v>0.80388311452594197</v>
      </c>
      <c r="M586" s="16">
        <f>CurrentMtgRatesDataTable8[[#This Row],[Servicing Spread Non-Zero]]-L585</f>
        <v>0</v>
      </c>
      <c r="N586" s="16">
        <f>IF(J585&lt;&gt;0,CurrentMtgRatesDataTable8[[#This Row],[Rate]]-C585,N585)</f>
        <v>4.4999999999999041E-2</v>
      </c>
    </row>
    <row r="587" spans="1:14">
      <c r="A587" s="12" t="s">
        <v>559</v>
      </c>
      <c r="B587" s="13">
        <v>3.2284236378811801</v>
      </c>
      <c r="C587" s="13">
        <v>4.0649999999999995</v>
      </c>
      <c r="D587" s="15">
        <f t="shared" si="63"/>
        <v>2</v>
      </c>
      <c r="E587" s="15">
        <f t="shared" si="64"/>
        <v>0.2</v>
      </c>
      <c r="F587" s="15">
        <f t="shared" si="65"/>
        <v>2</v>
      </c>
      <c r="G587" s="15">
        <f t="shared" si="66"/>
        <v>1.3009060461791921</v>
      </c>
      <c r="H587" s="15">
        <f t="shared" si="67"/>
        <v>0.4</v>
      </c>
      <c r="I587" s="15">
        <f t="shared" si="68"/>
        <v>0</v>
      </c>
      <c r="J587" s="15">
        <f t="shared" si="69"/>
        <v>0</v>
      </c>
      <c r="K587" s="15">
        <f>IF(CurrentMtgRatesDataTable8[[#This Row],[WA CC]]&lt;&gt;0,C586-CurrentMtgRatesDataTable8[[#This Row],[WA CC]],0)</f>
        <v>0</v>
      </c>
      <c r="L587" s="16">
        <f>IF(CurrentMtgRatesDataTable8[[#This Row],[Servicing Spread]]&lt;=0,L586,CurrentMtgRatesDataTable8[[#This Row],[Servicing Spread]])</f>
        <v>0.80388311452594197</v>
      </c>
      <c r="M587" s="16">
        <f>CurrentMtgRatesDataTable8[[#This Row],[Servicing Spread Non-Zero]]-L586</f>
        <v>0</v>
      </c>
      <c r="N587" s="16">
        <f>IF(J586&lt;&gt;0,CurrentMtgRatesDataTable8[[#This Row],[Rate]]-C586,N586)</f>
        <v>4.4999999999999041E-2</v>
      </c>
    </row>
    <row r="588" spans="1:14">
      <c r="A588" s="12" t="s">
        <v>414</v>
      </c>
      <c r="B588" s="13">
        <v>3.2178217897536898</v>
      </c>
      <c r="C588" s="13">
        <v>4.0649999999999995</v>
      </c>
      <c r="D588" s="15">
        <f t="shared" si="63"/>
        <v>5</v>
      </c>
      <c r="E588" s="15">
        <f t="shared" si="64"/>
        <v>0.2</v>
      </c>
      <c r="F588" s="15">
        <f t="shared" si="65"/>
        <v>3</v>
      </c>
      <c r="G588" s="15">
        <f t="shared" si="66"/>
        <v>1.9444704041299301</v>
      </c>
      <c r="H588" s="15">
        <f t="shared" si="67"/>
        <v>0.60000000000000009</v>
      </c>
      <c r="I588" s="15">
        <f t="shared" si="68"/>
        <v>0</v>
      </c>
      <c r="J588" s="15">
        <f t="shared" si="69"/>
        <v>0</v>
      </c>
      <c r="K588" s="15">
        <f>IF(CurrentMtgRatesDataTable8[[#This Row],[WA CC]]&lt;&gt;0,C587-CurrentMtgRatesDataTable8[[#This Row],[WA CC]],0)</f>
        <v>0</v>
      </c>
      <c r="L588" s="16">
        <f>IF(CurrentMtgRatesDataTable8[[#This Row],[Servicing Spread]]&lt;=0,L587,CurrentMtgRatesDataTable8[[#This Row],[Servicing Spread]])</f>
        <v>0.80388311452594197</v>
      </c>
      <c r="M588" s="16">
        <f>CurrentMtgRatesDataTable8[[#This Row],[Servicing Spread Non-Zero]]-L587</f>
        <v>0</v>
      </c>
      <c r="N588" s="16">
        <f>IF(J587&lt;&gt;0,CurrentMtgRatesDataTable8[[#This Row],[Rate]]-C587,N587)</f>
        <v>4.4999999999999041E-2</v>
      </c>
    </row>
    <row r="589" spans="1:14">
      <c r="A589" s="12" t="s">
        <v>283</v>
      </c>
      <c r="B589" s="13">
        <v>3.21632428795722</v>
      </c>
      <c r="C589" s="13">
        <v>4.0649999999999995</v>
      </c>
      <c r="D589" s="15">
        <f t="shared" si="63"/>
        <v>6</v>
      </c>
      <c r="E589" s="15">
        <f t="shared" si="64"/>
        <v>0.2</v>
      </c>
      <c r="F589" s="15">
        <f t="shared" si="65"/>
        <v>4</v>
      </c>
      <c r="G589" s="15">
        <f t="shared" si="66"/>
        <v>2.5877352617213742</v>
      </c>
      <c r="H589" s="15">
        <f t="shared" si="67"/>
        <v>0.8</v>
      </c>
      <c r="I589" s="15">
        <f t="shared" si="68"/>
        <v>0</v>
      </c>
      <c r="J589" s="15">
        <f t="shared" si="69"/>
        <v>0</v>
      </c>
      <c r="K589" s="15">
        <f>IF(CurrentMtgRatesDataTable8[[#This Row],[WA CC]]&lt;&gt;0,C588-CurrentMtgRatesDataTable8[[#This Row],[WA CC]],0)</f>
        <v>0</v>
      </c>
      <c r="L589" s="16">
        <f>IF(CurrentMtgRatesDataTable8[[#This Row],[Servicing Spread]]&lt;=0,L588,CurrentMtgRatesDataTable8[[#This Row],[Servicing Spread]])</f>
        <v>0.80388311452594197</v>
      </c>
      <c r="M589" s="16">
        <f>CurrentMtgRatesDataTable8[[#This Row],[Servicing Spread Non-Zero]]-L588</f>
        <v>0</v>
      </c>
      <c r="N589" s="16">
        <f>IF(J588&lt;&gt;0,CurrentMtgRatesDataTable8[[#This Row],[Rate]]-C588,N588)</f>
        <v>4.4999999999999041E-2</v>
      </c>
    </row>
    <row r="590" spans="1:14">
      <c r="A590" s="12" t="s">
        <v>138</v>
      </c>
      <c r="B590" s="13">
        <v>3.2168042301856699</v>
      </c>
      <c r="C590" s="13">
        <v>4.0649999999999995</v>
      </c>
      <c r="D590" s="15">
        <f t="shared" si="63"/>
        <v>7</v>
      </c>
      <c r="E590" s="15">
        <f t="shared" si="64"/>
        <v>0.2</v>
      </c>
      <c r="F590" s="15">
        <f t="shared" si="65"/>
        <v>5</v>
      </c>
      <c r="G590" s="15">
        <f t="shared" si="66"/>
        <v>3.2310961077585083</v>
      </c>
      <c r="H590" s="15">
        <f t="shared" si="67"/>
        <v>1</v>
      </c>
      <c r="I590" s="15">
        <f t="shared" si="68"/>
        <v>1</v>
      </c>
      <c r="J590" s="15">
        <f t="shared" si="69"/>
        <v>3.2310961077585083</v>
      </c>
      <c r="K590" s="15">
        <f>IF(CurrentMtgRatesDataTable8[[#This Row],[WA CC]]&lt;&gt;0,C589-CurrentMtgRatesDataTable8[[#This Row],[WA CC]],0)</f>
        <v>0.8339038922414912</v>
      </c>
      <c r="L590" s="16">
        <f>IF(CurrentMtgRatesDataTable8[[#This Row],[Servicing Spread]]&lt;=0,L589,CurrentMtgRatesDataTable8[[#This Row],[Servicing Spread]])</f>
        <v>0.8339038922414912</v>
      </c>
      <c r="M590" s="16">
        <f>CurrentMtgRatesDataTable8[[#This Row],[Servicing Spread Non-Zero]]-L589</f>
        <v>3.0020777715549229E-2</v>
      </c>
      <c r="N590" s="16">
        <f>IF(J589&lt;&gt;0,CurrentMtgRatesDataTable8[[#This Row],[Rate]]-C589,N589)</f>
        <v>4.4999999999999041E-2</v>
      </c>
    </row>
    <row r="591" spans="1:14">
      <c r="A591" s="12" t="s">
        <v>702</v>
      </c>
      <c r="B591" s="13">
        <v>3.1812952620623198</v>
      </c>
      <c r="C591" s="13">
        <v>4.0200000000000005</v>
      </c>
      <c r="D591" s="15">
        <f t="shared" si="63"/>
        <v>1</v>
      </c>
      <c r="E591" s="15">
        <f t="shared" si="64"/>
        <v>0.2</v>
      </c>
      <c r="F591" s="15">
        <f t="shared" si="65"/>
        <v>1</v>
      </c>
      <c r="G591" s="15">
        <f t="shared" si="66"/>
        <v>0.63625905241246405</v>
      </c>
      <c r="H591" s="15">
        <f t="shared" si="67"/>
        <v>0.2</v>
      </c>
      <c r="I591" s="15">
        <f t="shared" si="68"/>
        <v>0</v>
      </c>
      <c r="J591" s="15">
        <f t="shared" si="69"/>
        <v>0</v>
      </c>
      <c r="K591" s="15">
        <f>IF(CurrentMtgRatesDataTable8[[#This Row],[WA CC]]&lt;&gt;0,C590-CurrentMtgRatesDataTable8[[#This Row],[WA CC]],0)</f>
        <v>0</v>
      </c>
      <c r="L591" s="16">
        <f>IF(CurrentMtgRatesDataTable8[[#This Row],[Servicing Spread]]&lt;=0,L590,CurrentMtgRatesDataTable8[[#This Row],[Servicing Spread]])</f>
        <v>0.8339038922414912</v>
      </c>
      <c r="M591" s="16">
        <f>CurrentMtgRatesDataTable8[[#This Row],[Servicing Spread Non-Zero]]-L590</f>
        <v>0</v>
      </c>
      <c r="N591" s="16">
        <f>IF(J590&lt;&gt;0,CurrentMtgRatesDataTable8[[#This Row],[Rate]]-C590,N590)</f>
        <v>-4.4999999999999041E-2</v>
      </c>
    </row>
    <row r="592" spans="1:14">
      <c r="A592" s="12" t="s">
        <v>560</v>
      </c>
      <c r="B592" s="13">
        <v>3.1721768972748698</v>
      </c>
      <c r="C592" s="13">
        <v>4.0200000000000005</v>
      </c>
      <c r="D592" s="15">
        <f t="shared" si="63"/>
        <v>2</v>
      </c>
      <c r="E592" s="15">
        <f t="shared" si="64"/>
        <v>0.2</v>
      </c>
      <c r="F592" s="15">
        <f t="shared" si="65"/>
        <v>2</v>
      </c>
      <c r="G592" s="15">
        <f t="shared" si="66"/>
        <v>1.270694431867438</v>
      </c>
      <c r="H592" s="15">
        <f t="shared" si="67"/>
        <v>0.4</v>
      </c>
      <c r="I592" s="15">
        <f t="shared" si="68"/>
        <v>0</v>
      </c>
      <c r="J592" s="15">
        <f t="shared" si="69"/>
        <v>0</v>
      </c>
      <c r="K592" s="15">
        <f>IF(CurrentMtgRatesDataTable8[[#This Row],[WA CC]]&lt;&gt;0,C591-CurrentMtgRatesDataTable8[[#This Row],[WA CC]],0)</f>
        <v>0</v>
      </c>
      <c r="L592" s="16">
        <f>IF(CurrentMtgRatesDataTable8[[#This Row],[Servicing Spread]]&lt;=0,L591,CurrentMtgRatesDataTable8[[#This Row],[Servicing Spread]])</f>
        <v>0.8339038922414912</v>
      </c>
      <c r="M592" s="16">
        <f>CurrentMtgRatesDataTable8[[#This Row],[Servicing Spread Non-Zero]]-L591</f>
        <v>0</v>
      </c>
      <c r="N592" s="16">
        <f>IF(J591&lt;&gt;0,CurrentMtgRatesDataTable8[[#This Row],[Rate]]-C591,N591)</f>
        <v>-4.4999999999999041E-2</v>
      </c>
    </row>
    <row r="593" spans="1:14">
      <c r="A593" s="12" t="s">
        <v>415</v>
      </c>
      <c r="B593" s="13">
        <v>3.1826449451887</v>
      </c>
      <c r="C593" s="13">
        <v>4.0200000000000005</v>
      </c>
      <c r="D593" s="15">
        <f t="shared" si="63"/>
        <v>5</v>
      </c>
      <c r="E593" s="15">
        <f t="shared" si="64"/>
        <v>0.2</v>
      </c>
      <c r="F593" s="15">
        <f t="shared" si="65"/>
        <v>3</v>
      </c>
      <c r="G593" s="15">
        <f t="shared" si="66"/>
        <v>1.9072234209051779</v>
      </c>
      <c r="H593" s="15">
        <f t="shared" si="67"/>
        <v>0.60000000000000009</v>
      </c>
      <c r="I593" s="15">
        <f t="shared" si="68"/>
        <v>0</v>
      </c>
      <c r="J593" s="15">
        <f t="shared" si="69"/>
        <v>0</v>
      </c>
      <c r="K593" s="15">
        <f>IF(CurrentMtgRatesDataTable8[[#This Row],[WA CC]]&lt;&gt;0,C592-CurrentMtgRatesDataTable8[[#This Row],[WA CC]],0)</f>
        <v>0</v>
      </c>
      <c r="L593" s="16">
        <f>IF(CurrentMtgRatesDataTable8[[#This Row],[Servicing Spread]]&lt;=0,L592,CurrentMtgRatesDataTable8[[#This Row],[Servicing Spread]])</f>
        <v>0.8339038922414912</v>
      </c>
      <c r="M593" s="16">
        <f>CurrentMtgRatesDataTable8[[#This Row],[Servicing Spread Non-Zero]]-L592</f>
        <v>0</v>
      </c>
      <c r="N593" s="16">
        <f>IF(J592&lt;&gt;0,CurrentMtgRatesDataTable8[[#This Row],[Rate]]-C592,N592)</f>
        <v>-4.4999999999999041E-2</v>
      </c>
    </row>
    <row r="594" spans="1:14">
      <c r="A594" s="12" t="s">
        <v>284</v>
      </c>
      <c r="B594" s="13">
        <v>3.1921232293895798</v>
      </c>
      <c r="C594" s="13">
        <v>4.0200000000000005</v>
      </c>
      <c r="D594" s="15">
        <f t="shared" si="63"/>
        <v>6</v>
      </c>
      <c r="E594" s="15">
        <f t="shared" si="64"/>
        <v>0.2</v>
      </c>
      <c r="F594" s="15">
        <f t="shared" si="65"/>
        <v>4</v>
      </c>
      <c r="G594" s="15">
        <f t="shared" si="66"/>
        <v>2.5456480667830941</v>
      </c>
      <c r="H594" s="15">
        <f t="shared" si="67"/>
        <v>0.8</v>
      </c>
      <c r="I594" s="15">
        <f t="shared" si="68"/>
        <v>0</v>
      </c>
      <c r="J594" s="15">
        <f t="shared" si="69"/>
        <v>0</v>
      </c>
      <c r="K594" s="15">
        <f>IF(CurrentMtgRatesDataTable8[[#This Row],[WA CC]]&lt;&gt;0,C593-CurrentMtgRatesDataTable8[[#This Row],[WA CC]],0)</f>
        <v>0</v>
      </c>
      <c r="L594" s="16">
        <f>IF(CurrentMtgRatesDataTable8[[#This Row],[Servicing Spread]]&lt;=0,L593,CurrentMtgRatesDataTable8[[#This Row],[Servicing Spread]])</f>
        <v>0.8339038922414912</v>
      </c>
      <c r="M594" s="16">
        <f>CurrentMtgRatesDataTable8[[#This Row],[Servicing Spread Non-Zero]]-L593</f>
        <v>0</v>
      </c>
      <c r="N594" s="16">
        <f>IF(J593&lt;&gt;0,CurrentMtgRatesDataTable8[[#This Row],[Rate]]-C593,N593)</f>
        <v>-4.4999999999999041E-2</v>
      </c>
    </row>
    <row r="595" spans="1:14">
      <c r="A595" s="12" t="s">
        <v>139</v>
      </c>
      <c r="B595" s="13">
        <v>3.1611594965890202</v>
      </c>
      <c r="C595" s="13">
        <v>4.0200000000000005</v>
      </c>
      <c r="D595" s="15">
        <f t="shared" si="63"/>
        <v>7</v>
      </c>
      <c r="E595" s="15">
        <f t="shared" si="64"/>
        <v>0.2</v>
      </c>
      <c r="F595" s="15">
        <f t="shared" si="65"/>
        <v>5</v>
      </c>
      <c r="G595" s="15">
        <f t="shared" si="66"/>
        <v>3.1778799661008983</v>
      </c>
      <c r="H595" s="15">
        <f t="shared" si="67"/>
        <v>1</v>
      </c>
      <c r="I595" s="15">
        <f t="shared" si="68"/>
        <v>1</v>
      </c>
      <c r="J595" s="15">
        <f t="shared" si="69"/>
        <v>3.1778799661008983</v>
      </c>
      <c r="K595" s="15">
        <f>IF(CurrentMtgRatesDataTable8[[#This Row],[WA CC]]&lt;&gt;0,C594-CurrentMtgRatesDataTable8[[#This Row],[WA CC]],0)</f>
        <v>0.84212003389910217</v>
      </c>
      <c r="L595" s="16">
        <f>IF(CurrentMtgRatesDataTable8[[#This Row],[Servicing Spread]]&lt;=0,L594,CurrentMtgRatesDataTable8[[#This Row],[Servicing Spread]])</f>
        <v>0.84212003389910217</v>
      </c>
      <c r="M595" s="16">
        <f>CurrentMtgRatesDataTable8[[#This Row],[Servicing Spread Non-Zero]]-L594</f>
        <v>8.2161416576109758E-3</v>
      </c>
      <c r="N595" s="16">
        <f>IF(J594&lt;&gt;0,CurrentMtgRatesDataTable8[[#This Row],[Rate]]-C594,N594)</f>
        <v>-4.4999999999999041E-2</v>
      </c>
    </row>
    <row r="596" spans="1:14">
      <c r="A596" s="12" t="s">
        <v>703</v>
      </c>
      <c r="B596" s="13">
        <v>3.1399551635126901</v>
      </c>
      <c r="C596" s="13">
        <v>3.9749999999999996</v>
      </c>
      <c r="D596" s="15">
        <f t="shared" si="63"/>
        <v>1</v>
      </c>
      <c r="E596" s="15">
        <f t="shared" si="64"/>
        <v>0.2</v>
      </c>
      <c r="F596" s="15">
        <f t="shared" si="65"/>
        <v>1</v>
      </c>
      <c r="G596" s="15">
        <f t="shared" si="66"/>
        <v>0.62799103270253809</v>
      </c>
      <c r="H596" s="15">
        <f t="shared" si="67"/>
        <v>0.2</v>
      </c>
      <c r="I596" s="15">
        <f t="shared" si="68"/>
        <v>0</v>
      </c>
      <c r="J596" s="15">
        <f t="shared" si="69"/>
        <v>0</v>
      </c>
      <c r="K596" s="15">
        <f>IF(CurrentMtgRatesDataTable8[[#This Row],[WA CC]]&lt;&gt;0,C595-CurrentMtgRatesDataTable8[[#This Row],[WA CC]],0)</f>
        <v>0</v>
      </c>
      <c r="L596" s="16">
        <f>IF(CurrentMtgRatesDataTable8[[#This Row],[Servicing Spread]]&lt;=0,L595,CurrentMtgRatesDataTable8[[#This Row],[Servicing Spread]])</f>
        <v>0.84212003389910217</v>
      </c>
      <c r="M596" s="16">
        <f>CurrentMtgRatesDataTable8[[#This Row],[Servicing Spread Non-Zero]]-L595</f>
        <v>0</v>
      </c>
      <c r="N596" s="16">
        <f>IF(J595&lt;&gt;0,CurrentMtgRatesDataTable8[[#This Row],[Rate]]-C595,N595)</f>
        <v>-4.5000000000000817E-2</v>
      </c>
    </row>
    <row r="597" spans="1:14">
      <c r="A597" s="12" t="s">
        <v>561</v>
      </c>
      <c r="B597" s="13">
        <v>3.0935764216510502</v>
      </c>
      <c r="C597" s="13">
        <v>3.9749999999999996</v>
      </c>
      <c r="D597" s="15">
        <f t="shared" si="63"/>
        <v>2</v>
      </c>
      <c r="E597" s="15">
        <f t="shared" si="64"/>
        <v>0.2</v>
      </c>
      <c r="F597" s="15">
        <f t="shared" si="65"/>
        <v>2</v>
      </c>
      <c r="G597" s="15">
        <f t="shared" si="66"/>
        <v>1.2467063170327481</v>
      </c>
      <c r="H597" s="15">
        <f t="shared" si="67"/>
        <v>0.4</v>
      </c>
      <c r="I597" s="15">
        <f t="shared" si="68"/>
        <v>0</v>
      </c>
      <c r="J597" s="15">
        <f t="shared" si="69"/>
        <v>0</v>
      </c>
      <c r="K597" s="15">
        <f>IF(CurrentMtgRatesDataTable8[[#This Row],[WA CC]]&lt;&gt;0,C596-CurrentMtgRatesDataTable8[[#This Row],[WA CC]],0)</f>
        <v>0</v>
      </c>
      <c r="L597" s="16">
        <f>IF(CurrentMtgRatesDataTable8[[#This Row],[Servicing Spread]]&lt;=0,L596,CurrentMtgRatesDataTable8[[#This Row],[Servicing Spread]])</f>
        <v>0.84212003389910217</v>
      </c>
      <c r="M597" s="16">
        <f>CurrentMtgRatesDataTable8[[#This Row],[Servicing Spread Non-Zero]]-L596</f>
        <v>0</v>
      </c>
      <c r="N597" s="16">
        <f>IF(J596&lt;&gt;0,CurrentMtgRatesDataTable8[[#This Row],[Rate]]-C596,N596)</f>
        <v>-4.5000000000000817E-2</v>
      </c>
    </row>
    <row r="598" spans="1:14">
      <c r="A598" s="12" t="s">
        <v>416</v>
      </c>
      <c r="B598" s="13">
        <v>3.1399786597886301</v>
      </c>
      <c r="C598" s="13">
        <v>3.9749999999999996</v>
      </c>
      <c r="D598" s="15">
        <f t="shared" si="63"/>
        <v>5</v>
      </c>
      <c r="E598" s="15">
        <f t="shared" si="64"/>
        <v>0.2</v>
      </c>
      <c r="F598" s="15">
        <f t="shared" si="65"/>
        <v>3</v>
      </c>
      <c r="G598" s="15">
        <f t="shared" si="66"/>
        <v>1.8747020489904742</v>
      </c>
      <c r="H598" s="15">
        <f t="shared" si="67"/>
        <v>0.60000000000000009</v>
      </c>
      <c r="I598" s="15">
        <f t="shared" si="68"/>
        <v>0</v>
      </c>
      <c r="J598" s="15">
        <f t="shared" si="69"/>
        <v>0</v>
      </c>
      <c r="K598" s="15">
        <f>IF(CurrentMtgRatesDataTable8[[#This Row],[WA CC]]&lt;&gt;0,C597-CurrentMtgRatesDataTable8[[#This Row],[WA CC]],0)</f>
        <v>0</v>
      </c>
      <c r="L598" s="16">
        <f>IF(CurrentMtgRatesDataTable8[[#This Row],[Servicing Spread]]&lt;=0,L597,CurrentMtgRatesDataTable8[[#This Row],[Servicing Spread]])</f>
        <v>0.84212003389910217</v>
      </c>
      <c r="M598" s="16">
        <f>CurrentMtgRatesDataTable8[[#This Row],[Servicing Spread Non-Zero]]-L597</f>
        <v>0</v>
      </c>
      <c r="N598" s="16">
        <f>IF(J597&lt;&gt;0,CurrentMtgRatesDataTable8[[#This Row],[Rate]]-C597,N597)</f>
        <v>-4.5000000000000817E-2</v>
      </c>
    </row>
    <row r="599" spans="1:14">
      <c r="A599" s="12" t="s">
        <v>285</v>
      </c>
      <c r="B599" s="13">
        <v>3.1648384217316798</v>
      </c>
      <c r="C599" s="13">
        <v>3.9749999999999996</v>
      </c>
      <c r="D599" s="15">
        <f t="shared" si="63"/>
        <v>6</v>
      </c>
      <c r="E599" s="15">
        <f t="shared" si="64"/>
        <v>0.2</v>
      </c>
      <c r="F599" s="15">
        <f t="shared" si="65"/>
        <v>4</v>
      </c>
      <c r="G599" s="15">
        <f t="shared" si="66"/>
        <v>2.5076697333368103</v>
      </c>
      <c r="H599" s="15">
        <f t="shared" si="67"/>
        <v>0.8</v>
      </c>
      <c r="I599" s="15">
        <f t="shared" si="68"/>
        <v>0</v>
      </c>
      <c r="J599" s="15">
        <f t="shared" si="69"/>
        <v>0</v>
      </c>
      <c r="K599" s="15">
        <f>IF(CurrentMtgRatesDataTable8[[#This Row],[WA CC]]&lt;&gt;0,C598-CurrentMtgRatesDataTable8[[#This Row],[WA CC]],0)</f>
        <v>0</v>
      </c>
      <c r="L599" s="16">
        <f>IF(CurrentMtgRatesDataTable8[[#This Row],[Servicing Spread]]&lt;=0,L598,CurrentMtgRatesDataTable8[[#This Row],[Servicing Spread]])</f>
        <v>0.84212003389910217</v>
      </c>
      <c r="M599" s="16">
        <f>CurrentMtgRatesDataTable8[[#This Row],[Servicing Spread Non-Zero]]-L598</f>
        <v>0</v>
      </c>
      <c r="N599" s="16">
        <f>IF(J598&lt;&gt;0,CurrentMtgRatesDataTable8[[#This Row],[Rate]]-C598,N598)</f>
        <v>-4.5000000000000817E-2</v>
      </c>
    </row>
    <row r="600" spans="1:14">
      <c r="A600" s="12" t="s">
        <v>140</v>
      </c>
      <c r="B600" s="13">
        <v>3.1828839679523702</v>
      </c>
      <c r="C600" s="13">
        <v>3.9749999999999996</v>
      </c>
      <c r="D600" s="15">
        <f t="shared" si="63"/>
        <v>7</v>
      </c>
      <c r="E600" s="15">
        <f t="shared" si="64"/>
        <v>0.2</v>
      </c>
      <c r="F600" s="15">
        <f t="shared" si="65"/>
        <v>5</v>
      </c>
      <c r="G600" s="15">
        <f t="shared" si="66"/>
        <v>3.1442465269272843</v>
      </c>
      <c r="H600" s="15">
        <f t="shared" si="67"/>
        <v>1</v>
      </c>
      <c r="I600" s="15">
        <f t="shared" si="68"/>
        <v>1</v>
      </c>
      <c r="J600" s="15">
        <f t="shared" si="69"/>
        <v>3.1442465269272843</v>
      </c>
      <c r="K600" s="15">
        <f>IF(CurrentMtgRatesDataTable8[[#This Row],[WA CC]]&lt;&gt;0,C599-CurrentMtgRatesDataTable8[[#This Row],[WA CC]],0)</f>
        <v>0.8307534730727153</v>
      </c>
      <c r="L600" s="16">
        <f>IF(CurrentMtgRatesDataTable8[[#This Row],[Servicing Spread]]&lt;=0,L599,CurrentMtgRatesDataTable8[[#This Row],[Servicing Spread]])</f>
        <v>0.8307534730727153</v>
      </c>
      <c r="M600" s="16">
        <f>CurrentMtgRatesDataTable8[[#This Row],[Servicing Spread Non-Zero]]-L599</f>
        <v>-1.1366560826386873E-2</v>
      </c>
      <c r="N600" s="16">
        <f>IF(J599&lt;&gt;0,CurrentMtgRatesDataTable8[[#This Row],[Rate]]-C599,N599)</f>
        <v>-4.5000000000000817E-2</v>
      </c>
    </row>
    <row r="601" spans="1:14">
      <c r="A601" s="12" t="s">
        <v>704</v>
      </c>
      <c r="B601" s="13">
        <v>3.1567795766011701</v>
      </c>
      <c r="C601" s="13">
        <v>3.9749999999999996</v>
      </c>
      <c r="D601" s="15">
        <f t="shared" si="63"/>
        <v>1</v>
      </c>
      <c r="E601" s="15">
        <f t="shared" si="64"/>
        <v>0.2</v>
      </c>
      <c r="F601" s="15">
        <f t="shared" si="65"/>
        <v>1</v>
      </c>
      <c r="G601" s="15">
        <f t="shared" si="66"/>
        <v>0.63135591532023405</v>
      </c>
      <c r="H601" s="15">
        <f t="shared" si="67"/>
        <v>0.2</v>
      </c>
      <c r="I601" s="15">
        <f t="shared" si="68"/>
        <v>0</v>
      </c>
      <c r="J601" s="15">
        <f t="shared" si="69"/>
        <v>0</v>
      </c>
      <c r="K601" s="15">
        <f>IF(CurrentMtgRatesDataTable8[[#This Row],[WA CC]]&lt;&gt;0,C600-CurrentMtgRatesDataTable8[[#This Row],[WA CC]],0)</f>
        <v>0</v>
      </c>
      <c r="L601" s="16">
        <f>IF(CurrentMtgRatesDataTable8[[#This Row],[Servicing Spread]]&lt;=0,L600,CurrentMtgRatesDataTable8[[#This Row],[Servicing Spread]])</f>
        <v>0.8307534730727153</v>
      </c>
      <c r="M601" s="16">
        <f>CurrentMtgRatesDataTable8[[#This Row],[Servicing Spread Non-Zero]]-L600</f>
        <v>0</v>
      </c>
      <c r="N601" s="16">
        <f>IF(J600&lt;&gt;0,CurrentMtgRatesDataTable8[[#This Row],[Rate]]-C600,N600)</f>
        <v>0</v>
      </c>
    </row>
    <row r="602" spans="1:14">
      <c r="A602" s="12" t="s">
        <v>562</v>
      </c>
      <c r="B602" s="13">
        <v>3.1508216358267802</v>
      </c>
      <c r="C602" s="13">
        <v>3.9749999999999996</v>
      </c>
      <c r="D602" s="15">
        <f t="shared" si="63"/>
        <v>2</v>
      </c>
      <c r="E602" s="15">
        <f t="shared" si="64"/>
        <v>0.2</v>
      </c>
      <c r="F602" s="15">
        <f t="shared" si="65"/>
        <v>2</v>
      </c>
      <c r="G602" s="15">
        <f t="shared" si="66"/>
        <v>1.2615202424855902</v>
      </c>
      <c r="H602" s="15">
        <f t="shared" si="67"/>
        <v>0.4</v>
      </c>
      <c r="I602" s="15">
        <f t="shared" si="68"/>
        <v>0</v>
      </c>
      <c r="J602" s="15">
        <f t="shared" si="69"/>
        <v>0</v>
      </c>
      <c r="K602" s="15">
        <f>IF(CurrentMtgRatesDataTable8[[#This Row],[WA CC]]&lt;&gt;0,C601-CurrentMtgRatesDataTable8[[#This Row],[WA CC]],0)</f>
        <v>0</v>
      </c>
      <c r="L602" s="16">
        <f>IF(CurrentMtgRatesDataTable8[[#This Row],[Servicing Spread]]&lt;=0,L601,CurrentMtgRatesDataTable8[[#This Row],[Servicing Spread]])</f>
        <v>0.8307534730727153</v>
      </c>
      <c r="M602" s="16">
        <f>CurrentMtgRatesDataTable8[[#This Row],[Servicing Spread Non-Zero]]-L601</f>
        <v>0</v>
      </c>
      <c r="N602" s="16">
        <f>IF(J601&lt;&gt;0,CurrentMtgRatesDataTable8[[#This Row],[Rate]]-C601,N601)</f>
        <v>0</v>
      </c>
    </row>
    <row r="603" spans="1:14">
      <c r="A603" s="12" t="s">
        <v>417</v>
      </c>
      <c r="B603" s="13">
        <v>3.1385592562937199</v>
      </c>
      <c r="C603" s="13">
        <v>3.9749999999999996</v>
      </c>
      <c r="D603" s="15">
        <f t="shared" si="63"/>
        <v>5</v>
      </c>
      <c r="E603" s="15">
        <f t="shared" si="64"/>
        <v>0.2</v>
      </c>
      <c r="F603" s="15">
        <f t="shared" si="65"/>
        <v>3</v>
      </c>
      <c r="G603" s="15">
        <f t="shared" si="66"/>
        <v>1.8892320937443343</v>
      </c>
      <c r="H603" s="15">
        <f t="shared" si="67"/>
        <v>0.60000000000000009</v>
      </c>
      <c r="I603" s="15">
        <f t="shared" si="68"/>
        <v>0</v>
      </c>
      <c r="J603" s="15">
        <f t="shared" si="69"/>
        <v>0</v>
      </c>
      <c r="K603" s="15">
        <f>IF(CurrentMtgRatesDataTable8[[#This Row],[WA CC]]&lt;&gt;0,C602-CurrentMtgRatesDataTable8[[#This Row],[WA CC]],0)</f>
        <v>0</v>
      </c>
      <c r="L603" s="16">
        <f>IF(CurrentMtgRatesDataTable8[[#This Row],[Servicing Spread]]&lt;=0,L602,CurrentMtgRatesDataTable8[[#This Row],[Servicing Spread]])</f>
        <v>0.8307534730727153</v>
      </c>
      <c r="M603" s="16">
        <f>CurrentMtgRatesDataTable8[[#This Row],[Servicing Spread Non-Zero]]-L602</f>
        <v>0</v>
      </c>
      <c r="N603" s="16">
        <f>IF(J602&lt;&gt;0,CurrentMtgRatesDataTable8[[#This Row],[Rate]]-C602,N602)</f>
        <v>0</v>
      </c>
    </row>
    <row r="604" spans="1:14">
      <c r="A604" s="12" t="s">
        <v>286</v>
      </c>
      <c r="B604" s="13">
        <v>3.12943696082093</v>
      </c>
      <c r="C604" s="13">
        <v>3.9749999999999996</v>
      </c>
      <c r="D604" s="15">
        <f t="shared" si="63"/>
        <v>6</v>
      </c>
      <c r="E604" s="15">
        <f t="shared" si="64"/>
        <v>0.2</v>
      </c>
      <c r="F604" s="15">
        <f t="shared" si="65"/>
        <v>4</v>
      </c>
      <c r="G604" s="15">
        <f t="shared" si="66"/>
        <v>2.5151194859085204</v>
      </c>
      <c r="H604" s="15">
        <f t="shared" si="67"/>
        <v>0.8</v>
      </c>
      <c r="I604" s="15">
        <f t="shared" si="68"/>
        <v>0</v>
      </c>
      <c r="J604" s="15">
        <f t="shared" si="69"/>
        <v>0</v>
      </c>
      <c r="K604" s="15">
        <f>IF(CurrentMtgRatesDataTable8[[#This Row],[WA CC]]&lt;&gt;0,C603-CurrentMtgRatesDataTable8[[#This Row],[WA CC]],0)</f>
        <v>0</v>
      </c>
      <c r="L604" s="16">
        <f>IF(CurrentMtgRatesDataTable8[[#This Row],[Servicing Spread]]&lt;=0,L603,CurrentMtgRatesDataTable8[[#This Row],[Servicing Spread]])</f>
        <v>0.8307534730727153</v>
      </c>
      <c r="M604" s="16">
        <f>CurrentMtgRatesDataTable8[[#This Row],[Servicing Spread Non-Zero]]-L603</f>
        <v>0</v>
      </c>
      <c r="N604" s="16">
        <f>IF(J603&lt;&gt;0,CurrentMtgRatesDataTable8[[#This Row],[Rate]]-C603,N603)</f>
        <v>0</v>
      </c>
    </row>
    <row r="605" spans="1:14">
      <c r="A605" s="12" t="s">
        <v>141</v>
      </c>
      <c r="B605" s="13">
        <v>3.09887022841253</v>
      </c>
      <c r="C605" s="13">
        <v>3.9749999999999996</v>
      </c>
      <c r="D605" s="15">
        <f t="shared" si="63"/>
        <v>7</v>
      </c>
      <c r="E605" s="15">
        <f t="shared" si="64"/>
        <v>0.2</v>
      </c>
      <c r="F605" s="15">
        <f t="shared" si="65"/>
        <v>5</v>
      </c>
      <c r="G605" s="15">
        <f t="shared" si="66"/>
        <v>3.1348935315910262</v>
      </c>
      <c r="H605" s="15">
        <f t="shared" si="67"/>
        <v>1</v>
      </c>
      <c r="I605" s="15">
        <f t="shared" si="68"/>
        <v>1</v>
      </c>
      <c r="J605" s="15">
        <f t="shared" si="69"/>
        <v>3.1348935315910262</v>
      </c>
      <c r="K605" s="15">
        <f>IF(CurrentMtgRatesDataTable8[[#This Row],[WA CC]]&lt;&gt;0,C604-CurrentMtgRatesDataTable8[[#This Row],[WA CC]],0)</f>
        <v>0.84010646840897341</v>
      </c>
      <c r="L605" s="16">
        <f>IF(CurrentMtgRatesDataTable8[[#This Row],[Servicing Spread]]&lt;=0,L604,CurrentMtgRatesDataTable8[[#This Row],[Servicing Spread]])</f>
        <v>0.84010646840897341</v>
      </c>
      <c r="M605" s="16">
        <f>CurrentMtgRatesDataTable8[[#This Row],[Servicing Spread Non-Zero]]-L604</f>
        <v>9.3529953362581075E-3</v>
      </c>
      <c r="N605" s="16">
        <f>IF(J604&lt;&gt;0,CurrentMtgRatesDataTable8[[#This Row],[Rate]]-C604,N604)</f>
        <v>0</v>
      </c>
    </row>
    <row r="606" spans="1:14">
      <c r="A606" s="12" t="s">
        <v>705</v>
      </c>
      <c r="B606" s="13">
        <v>3.0781225342059799</v>
      </c>
      <c r="C606" s="13">
        <v>3.9749999999999996</v>
      </c>
      <c r="D606" s="15">
        <f t="shared" si="63"/>
        <v>1</v>
      </c>
      <c r="E606" s="15">
        <f t="shared" si="64"/>
        <v>0.2</v>
      </c>
      <c r="F606" s="15">
        <f t="shared" si="65"/>
        <v>1</v>
      </c>
      <c r="G606" s="15">
        <f t="shared" si="66"/>
        <v>0.61562450684119607</v>
      </c>
      <c r="H606" s="15">
        <f t="shared" si="67"/>
        <v>0.2</v>
      </c>
      <c r="I606" s="15">
        <f t="shared" si="68"/>
        <v>0</v>
      </c>
      <c r="J606" s="15">
        <f t="shared" si="69"/>
        <v>0</v>
      </c>
      <c r="K606" s="15">
        <f>IF(CurrentMtgRatesDataTable8[[#This Row],[WA CC]]&lt;&gt;0,C605-CurrentMtgRatesDataTable8[[#This Row],[WA CC]],0)</f>
        <v>0</v>
      </c>
      <c r="L606" s="16">
        <f>IF(CurrentMtgRatesDataTable8[[#This Row],[Servicing Spread]]&lt;=0,L605,CurrentMtgRatesDataTable8[[#This Row],[Servicing Spread]])</f>
        <v>0.84010646840897341</v>
      </c>
      <c r="M606" s="16">
        <f>CurrentMtgRatesDataTable8[[#This Row],[Servicing Spread Non-Zero]]-L605</f>
        <v>0</v>
      </c>
      <c r="N606" s="16">
        <f>IF(J605&lt;&gt;0,CurrentMtgRatesDataTable8[[#This Row],[Rate]]-C605,N605)</f>
        <v>0</v>
      </c>
    </row>
    <row r="607" spans="1:14">
      <c r="A607" s="12" t="s">
        <v>563</v>
      </c>
      <c r="B607" s="13">
        <v>3.0803371977218901</v>
      </c>
      <c r="C607" s="13">
        <v>3.9749999999999996</v>
      </c>
      <c r="D607" s="15">
        <f t="shared" si="63"/>
        <v>2</v>
      </c>
      <c r="E607" s="15">
        <f t="shared" si="64"/>
        <v>0.2</v>
      </c>
      <c r="F607" s="15">
        <f t="shared" si="65"/>
        <v>2</v>
      </c>
      <c r="G607" s="15">
        <f t="shared" si="66"/>
        <v>1.231691946385574</v>
      </c>
      <c r="H607" s="15">
        <f t="shared" si="67"/>
        <v>0.4</v>
      </c>
      <c r="I607" s="15">
        <f t="shared" si="68"/>
        <v>0</v>
      </c>
      <c r="J607" s="15">
        <f t="shared" si="69"/>
        <v>0</v>
      </c>
      <c r="K607" s="15">
        <f>IF(CurrentMtgRatesDataTable8[[#This Row],[WA CC]]&lt;&gt;0,C606-CurrentMtgRatesDataTable8[[#This Row],[WA CC]],0)</f>
        <v>0</v>
      </c>
      <c r="L607" s="16">
        <f>IF(CurrentMtgRatesDataTable8[[#This Row],[Servicing Spread]]&lt;=0,L606,CurrentMtgRatesDataTable8[[#This Row],[Servicing Spread]])</f>
        <v>0.84010646840897341</v>
      </c>
      <c r="M607" s="16">
        <f>CurrentMtgRatesDataTable8[[#This Row],[Servicing Spread Non-Zero]]-L606</f>
        <v>0</v>
      </c>
      <c r="N607" s="16">
        <f>IF(J606&lt;&gt;0,CurrentMtgRatesDataTable8[[#This Row],[Rate]]-C606,N606)</f>
        <v>0</v>
      </c>
    </row>
    <row r="608" spans="1:14">
      <c r="A608" s="12" t="s">
        <v>287</v>
      </c>
      <c r="B608" s="13">
        <v>3.1334692922129599</v>
      </c>
      <c r="C608" s="13">
        <v>3.9749999999999996</v>
      </c>
      <c r="D608" s="15">
        <f t="shared" si="63"/>
        <v>6</v>
      </c>
      <c r="E608" s="15">
        <f t="shared" si="64"/>
        <v>0.2</v>
      </c>
      <c r="F608" s="15">
        <f t="shared" si="65"/>
        <v>3</v>
      </c>
      <c r="G608" s="15">
        <f t="shared" si="66"/>
        <v>1.8583858048281661</v>
      </c>
      <c r="H608" s="15">
        <f t="shared" si="67"/>
        <v>0.60000000000000009</v>
      </c>
      <c r="I608" s="15">
        <f t="shared" si="68"/>
        <v>0</v>
      </c>
      <c r="J608" s="15">
        <f t="shared" si="69"/>
        <v>0</v>
      </c>
      <c r="K608" s="15">
        <f>IF(CurrentMtgRatesDataTable8[[#This Row],[WA CC]]&lt;&gt;0,C607-CurrentMtgRatesDataTable8[[#This Row],[WA CC]],0)</f>
        <v>0</v>
      </c>
      <c r="L608" s="16">
        <f>IF(CurrentMtgRatesDataTable8[[#This Row],[Servicing Spread]]&lt;=0,L607,CurrentMtgRatesDataTable8[[#This Row],[Servicing Spread]])</f>
        <v>0.84010646840897341</v>
      </c>
      <c r="M608" s="16">
        <f>CurrentMtgRatesDataTable8[[#This Row],[Servicing Spread Non-Zero]]-L607</f>
        <v>0</v>
      </c>
      <c r="N608" s="16">
        <f>IF(J607&lt;&gt;0,CurrentMtgRatesDataTable8[[#This Row],[Rate]]-C607,N607)</f>
        <v>0</v>
      </c>
    </row>
    <row r="609" spans="1:14">
      <c r="A609" s="12" t="s">
        <v>142</v>
      </c>
      <c r="B609" s="13">
        <v>3.1253552915520499</v>
      </c>
      <c r="C609" s="13">
        <v>3.9749999999999996</v>
      </c>
      <c r="D609" s="15">
        <f t="shared" si="63"/>
        <v>7</v>
      </c>
      <c r="E609" s="15">
        <f t="shared" si="64"/>
        <v>0.2</v>
      </c>
      <c r="F609" s="15">
        <f t="shared" si="65"/>
        <v>4</v>
      </c>
      <c r="G609" s="15">
        <f t="shared" si="66"/>
        <v>2.4834568631385761</v>
      </c>
      <c r="H609" s="15">
        <f t="shared" si="67"/>
        <v>0.8</v>
      </c>
      <c r="I609" s="15">
        <f t="shared" si="68"/>
        <v>1</v>
      </c>
      <c r="J609" s="15">
        <f t="shared" si="69"/>
        <v>3.1043210789232201</v>
      </c>
      <c r="K609" s="15">
        <f>IF(CurrentMtgRatesDataTable8[[#This Row],[WA CC]]&lt;&gt;0,C608-CurrentMtgRatesDataTable8[[#This Row],[WA CC]],0)</f>
        <v>0.87067892107677958</v>
      </c>
      <c r="L609" s="16">
        <f>IF(CurrentMtgRatesDataTable8[[#This Row],[Servicing Spread]]&lt;=0,L608,CurrentMtgRatesDataTable8[[#This Row],[Servicing Spread]])</f>
        <v>0.87067892107677958</v>
      </c>
      <c r="M609" s="16">
        <f>CurrentMtgRatesDataTable8[[#This Row],[Servicing Spread Non-Zero]]-L608</f>
        <v>3.0572452667806171E-2</v>
      </c>
      <c r="N609" s="16">
        <f>IF(J608&lt;&gt;0,CurrentMtgRatesDataTable8[[#This Row],[Rate]]-C608,N608)</f>
        <v>0</v>
      </c>
    </row>
    <row r="610" spans="1:14">
      <c r="A610" s="12" t="s">
        <v>706</v>
      </c>
      <c r="B610" s="13">
        <v>3.1528316914569898</v>
      </c>
      <c r="C610" s="13">
        <v>3.9950000000000001</v>
      </c>
      <c r="D610" s="15">
        <f t="shared" si="63"/>
        <v>1</v>
      </c>
      <c r="E610" s="15">
        <f t="shared" si="64"/>
        <v>0.2</v>
      </c>
      <c r="F610" s="15">
        <f t="shared" si="65"/>
        <v>1</v>
      </c>
      <c r="G610" s="15">
        <f t="shared" si="66"/>
        <v>0.63056633829139797</v>
      </c>
      <c r="H610" s="15">
        <f t="shared" si="67"/>
        <v>0.2</v>
      </c>
      <c r="I610" s="15">
        <f t="shared" si="68"/>
        <v>0</v>
      </c>
      <c r="J610" s="15">
        <f t="shared" si="69"/>
        <v>0</v>
      </c>
      <c r="K610" s="15">
        <f>IF(CurrentMtgRatesDataTable8[[#This Row],[WA CC]]&lt;&gt;0,C609-CurrentMtgRatesDataTable8[[#This Row],[WA CC]],0)</f>
        <v>0</v>
      </c>
      <c r="L610" s="16">
        <f>IF(CurrentMtgRatesDataTable8[[#This Row],[Servicing Spread]]&lt;=0,L609,CurrentMtgRatesDataTable8[[#This Row],[Servicing Spread]])</f>
        <v>0.87067892107677958</v>
      </c>
      <c r="M610" s="16">
        <f>CurrentMtgRatesDataTable8[[#This Row],[Servicing Spread Non-Zero]]-L609</f>
        <v>0</v>
      </c>
      <c r="N610" s="16">
        <f>IF(J609&lt;&gt;0,CurrentMtgRatesDataTable8[[#This Row],[Rate]]-C609,N609)</f>
        <v>2.0000000000000462E-2</v>
      </c>
    </row>
    <row r="611" spans="1:14">
      <c r="A611" s="12" t="s">
        <v>564</v>
      </c>
      <c r="B611" s="13">
        <v>3.1681849384338299</v>
      </c>
      <c r="C611" s="13">
        <v>3.9950000000000001</v>
      </c>
      <c r="D611" s="15">
        <f t="shared" si="63"/>
        <v>2</v>
      </c>
      <c r="E611" s="15">
        <f t="shared" si="64"/>
        <v>0.2</v>
      </c>
      <c r="F611" s="15">
        <f t="shared" si="65"/>
        <v>2</v>
      </c>
      <c r="G611" s="15">
        <f t="shared" si="66"/>
        <v>1.264203325978164</v>
      </c>
      <c r="H611" s="15">
        <f t="shared" si="67"/>
        <v>0.4</v>
      </c>
      <c r="I611" s="15">
        <f t="shared" si="68"/>
        <v>0</v>
      </c>
      <c r="J611" s="15">
        <f t="shared" si="69"/>
        <v>0</v>
      </c>
      <c r="K611" s="15">
        <f>IF(CurrentMtgRatesDataTable8[[#This Row],[WA CC]]&lt;&gt;0,C610-CurrentMtgRatesDataTable8[[#This Row],[WA CC]],0)</f>
        <v>0</v>
      </c>
      <c r="L611" s="16">
        <f>IF(CurrentMtgRatesDataTable8[[#This Row],[Servicing Spread]]&lt;=0,L610,CurrentMtgRatesDataTable8[[#This Row],[Servicing Spread]])</f>
        <v>0.87067892107677958</v>
      </c>
      <c r="M611" s="16">
        <f>CurrentMtgRatesDataTable8[[#This Row],[Servicing Spread Non-Zero]]-L610</f>
        <v>0</v>
      </c>
      <c r="N611" s="16">
        <f>IF(J610&lt;&gt;0,CurrentMtgRatesDataTable8[[#This Row],[Rate]]-C610,N610)</f>
        <v>2.0000000000000462E-2</v>
      </c>
    </row>
    <row r="612" spans="1:14">
      <c r="A612" s="12" t="s">
        <v>418</v>
      </c>
      <c r="B612" s="13">
        <v>3.1760802516618698</v>
      </c>
      <c r="C612" s="13">
        <v>3.9950000000000001</v>
      </c>
      <c r="D612" s="15">
        <f t="shared" si="63"/>
        <v>5</v>
      </c>
      <c r="E612" s="15">
        <f t="shared" si="64"/>
        <v>0.2</v>
      </c>
      <c r="F612" s="15">
        <f t="shared" si="65"/>
        <v>3</v>
      </c>
      <c r="G612" s="15">
        <f t="shared" si="66"/>
        <v>1.899419376310538</v>
      </c>
      <c r="H612" s="15">
        <f t="shared" si="67"/>
        <v>0.60000000000000009</v>
      </c>
      <c r="I612" s="15">
        <f t="shared" si="68"/>
        <v>0</v>
      </c>
      <c r="J612" s="15">
        <f t="shared" si="69"/>
        <v>0</v>
      </c>
      <c r="K612" s="15">
        <f>IF(CurrentMtgRatesDataTable8[[#This Row],[WA CC]]&lt;&gt;0,C611-CurrentMtgRatesDataTable8[[#This Row],[WA CC]],0)</f>
        <v>0</v>
      </c>
      <c r="L612" s="16">
        <f>IF(CurrentMtgRatesDataTable8[[#This Row],[Servicing Spread]]&lt;=0,L611,CurrentMtgRatesDataTable8[[#This Row],[Servicing Spread]])</f>
        <v>0.87067892107677958</v>
      </c>
      <c r="M612" s="16">
        <f>CurrentMtgRatesDataTable8[[#This Row],[Servicing Spread Non-Zero]]-L611</f>
        <v>0</v>
      </c>
      <c r="N612" s="16">
        <f>IF(J611&lt;&gt;0,CurrentMtgRatesDataTable8[[#This Row],[Rate]]-C611,N611)</f>
        <v>2.0000000000000462E-2</v>
      </c>
    </row>
    <row r="613" spans="1:14">
      <c r="A613" s="12" t="s">
        <v>288</v>
      </c>
      <c r="B613" s="13">
        <v>3.20426354311416</v>
      </c>
      <c r="C613" s="13">
        <v>3.9950000000000001</v>
      </c>
      <c r="D613" s="15">
        <f t="shared" si="63"/>
        <v>6</v>
      </c>
      <c r="E613" s="15">
        <f t="shared" si="64"/>
        <v>0.2</v>
      </c>
      <c r="F613" s="15">
        <f t="shared" si="65"/>
        <v>4</v>
      </c>
      <c r="G613" s="15">
        <f t="shared" si="66"/>
        <v>2.54027208493337</v>
      </c>
      <c r="H613" s="15">
        <f t="shared" si="67"/>
        <v>0.8</v>
      </c>
      <c r="I613" s="15">
        <f t="shared" si="68"/>
        <v>0</v>
      </c>
      <c r="J613" s="15">
        <f t="shared" si="69"/>
        <v>0</v>
      </c>
      <c r="K613" s="15">
        <f>IF(CurrentMtgRatesDataTable8[[#This Row],[WA CC]]&lt;&gt;0,C612-CurrentMtgRatesDataTable8[[#This Row],[WA CC]],0)</f>
        <v>0</v>
      </c>
      <c r="L613" s="16">
        <f>IF(CurrentMtgRatesDataTable8[[#This Row],[Servicing Spread]]&lt;=0,L612,CurrentMtgRatesDataTable8[[#This Row],[Servicing Spread]])</f>
        <v>0.87067892107677958</v>
      </c>
      <c r="M613" s="16">
        <f>CurrentMtgRatesDataTable8[[#This Row],[Servicing Spread Non-Zero]]-L612</f>
        <v>0</v>
      </c>
      <c r="N613" s="16">
        <f>IF(J612&lt;&gt;0,CurrentMtgRatesDataTable8[[#This Row],[Rate]]-C612,N612)</f>
        <v>2.0000000000000462E-2</v>
      </c>
    </row>
    <row r="614" spans="1:14">
      <c r="A614" s="12" t="s">
        <v>143</v>
      </c>
      <c r="B614" s="13">
        <v>3.23966504008277</v>
      </c>
      <c r="C614" s="13">
        <v>3.9950000000000001</v>
      </c>
      <c r="D614" s="15">
        <f t="shared" si="63"/>
        <v>7</v>
      </c>
      <c r="E614" s="15">
        <f t="shared" si="64"/>
        <v>0.2</v>
      </c>
      <c r="F614" s="15">
        <f t="shared" si="65"/>
        <v>5</v>
      </c>
      <c r="G614" s="15">
        <f t="shared" si="66"/>
        <v>3.1882050929499242</v>
      </c>
      <c r="H614" s="15">
        <f t="shared" si="67"/>
        <v>1</v>
      </c>
      <c r="I614" s="15">
        <f t="shared" si="68"/>
        <v>1</v>
      </c>
      <c r="J614" s="15">
        <f t="shared" si="69"/>
        <v>3.1882050929499242</v>
      </c>
      <c r="K614" s="15">
        <f>IF(CurrentMtgRatesDataTable8[[#This Row],[WA CC]]&lt;&gt;0,C613-CurrentMtgRatesDataTable8[[#This Row],[WA CC]],0)</f>
        <v>0.80679490705007595</v>
      </c>
      <c r="L614" s="16">
        <f>IF(CurrentMtgRatesDataTable8[[#This Row],[Servicing Spread]]&lt;=0,L613,CurrentMtgRatesDataTable8[[#This Row],[Servicing Spread]])</f>
        <v>0.80679490705007595</v>
      </c>
      <c r="M614" s="16">
        <f>CurrentMtgRatesDataTable8[[#This Row],[Servicing Spread Non-Zero]]-L613</f>
        <v>-6.3884014026703628E-2</v>
      </c>
      <c r="N614" s="16">
        <f>IF(J613&lt;&gt;0,CurrentMtgRatesDataTable8[[#This Row],[Rate]]-C613,N613)</f>
        <v>2.0000000000000462E-2</v>
      </c>
    </row>
    <row r="615" spans="1:14">
      <c r="A615" s="12" t="s">
        <v>707</v>
      </c>
      <c r="B615" s="13">
        <v>3.2385398598967701</v>
      </c>
      <c r="C615" s="13">
        <v>4.1050000000000004</v>
      </c>
      <c r="D615" s="15">
        <f t="shared" si="63"/>
        <v>1</v>
      </c>
      <c r="E615" s="15">
        <f t="shared" si="64"/>
        <v>0.2</v>
      </c>
      <c r="F615" s="15">
        <f t="shared" si="65"/>
        <v>1</v>
      </c>
      <c r="G615" s="15">
        <f t="shared" si="66"/>
        <v>0.64770797197935404</v>
      </c>
      <c r="H615" s="15">
        <f t="shared" si="67"/>
        <v>0.2</v>
      </c>
      <c r="I615" s="15">
        <f t="shared" si="68"/>
        <v>0</v>
      </c>
      <c r="J615" s="15">
        <f t="shared" si="69"/>
        <v>0</v>
      </c>
      <c r="K615" s="15">
        <f>IF(CurrentMtgRatesDataTable8[[#This Row],[WA CC]]&lt;&gt;0,C614-CurrentMtgRatesDataTable8[[#This Row],[WA CC]],0)</f>
        <v>0</v>
      </c>
      <c r="L615" s="16">
        <f>IF(CurrentMtgRatesDataTable8[[#This Row],[Servicing Spread]]&lt;=0,L614,CurrentMtgRatesDataTable8[[#This Row],[Servicing Spread]])</f>
        <v>0.80679490705007595</v>
      </c>
      <c r="M615" s="16">
        <f>CurrentMtgRatesDataTable8[[#This Row],[Servicing Spread Non-Zero]]-L614</f>
        <v>0</v>
      </c>
      <c r="N615" s="16">
        <f>IF(J614&lt;&gt;0,CurrentMtgRatesDataTable8[[#This Row],[Rate]]-C614,N614)</f>
        <v>0.11000000000000032</v>
      </c>
    </row>
    <row r="616" spans="1:14">
      <c r="A616" s="12" t="s">
        <v>565</v>
      </c>
      <c r="B616" s="13">
        <v>3.3013053863626398</v>
      </c>
      <c r="C616" s="13">
        <v>4.1050000000000004</v>
      </c>
      <c r="D616" s="15">
        <f t="shared" si="63"/>
        <v>2</v>
      </c>
      <c r="E616" s="15">
        <f t="shared" si="64"/>
        <v>0.2</v>
      </c>
      <c r="F616" s="15">
        <f t="shared" si="65"/>
        <v>2</v>
      </c>
      <c r="G616" s="15">
        <f t="shared" si="66"/>
        <v>1.3079690492518821</v>
      </c>
      <c r="H616" s="15">
        <f t="shared" si="67"/>
        <v>0.4</v>
      </c>
      <c r="I616" s="15">
        <f t="shared" si="68"/>
        <v>0</v>
      </c>
      <c r="J616" s="15">
        <f t="shared" si="69"/>
        <v>0</v>
      </c>
      <c r="K616" s="15">
        <f>IF(CurrentMtgRatesDataTable8[[#This Row],[WA CC]]&lt;&gt;0,C615-CurrentMtgRatesDataTable8[[#This Row],[WA CC]],0)</f>
        <v>0</v>
      </c>
      <c r="L616" s="16">
        <f>IF(CurrentMtgRatesDataTable8[[#This Row],[Servicing Spread]]&lt;=0,L615,CurrentMtgRatesDataTable8[[#This Row],[Servicing Spread]])</f>
        <v>0.80679490705007595</v>
      </c>
      <c r="M616" s="16">
        <f>CurrentMtgRatesDataTable8[[#This Row],[Servicing Spread Non-Zero]]-L615</f>
        <v>0</v>
      </c>
      <c r="N616" s="16">
        <f>IF(J615&lt;&gt;0,CurrentMtgRatesDataTable8[[#This Row],[Rate]]-C615,N615)</f>
        <v>0.11000000000000032</v>
      </c>
    </row>
    <row r="617" spans="1:14">
      <c r="A617" s="12" t="s">
        <v>419</v>
      </c>
      <c r="B617" s="13">
        <v>3.2813411057709199</v>
      </c>
      <c r="C617" s="13">
        <v>4.1050000000000004</v>
      </c>
      <c r="D617" s="15">
        <f t="shared" si="63"/>
        <v>5</v>
      </c>
      <c r="E617" s="15">
        <f t="shared" si="64"/>
        <v>0.2</v>
      </c>
      <c r="F617" s="15">
        <f t="shared" si="65"/>
        <v>3</v>
      </c>
      <c r="G617" s="15">
        <f t="shared" si="66"/>
        <v>1.9642372704060662</v>
      </c>
      <c r="H617" s="15">
        <f t="shared" si="67"/>
        <v>0.60000000000000009</v>
      </c>
      <c r="I617" s="15">
        <f t="shared" si="68"/>
        <v>0</v>
      </c>
      <c r="J617" s="15">
        <f t="shared" si="69"/>
        <v>0</v>
      </c>
      <c r="K617" s="15">
        <f>IF(CurrentMtgRatesDataTable8[[#This Row],[WA CC]]&lt;&gt;0,C616-CurrentMtgRatesDataTable8[[#This Row],[WA CC]],0)</f>
        <v>0</v>
      </c>
      <c r="L617" s="16">
        <f>IF(CurrentMtgRatesDataTable8[[#This Row],[Servicing Spread]]&lt;=0,L616,CurrentMtgRatesDataTable8[[#This Row],[Servicing Spread]])</f>
        <v>0.80679490705007595</v>
      </c>
      <c r="M617" s="16">
        <f>CurrentMtgRatesDataTable8[[#This Row],[Servicing Spread Non-Zero]]-L616</f>
        <v>0</v>
      </c>
      <c r="N617" s="16">
        <f>IF(J616&lt;&gt;0,CurrentMtgRatesDataTable8[[#This Row],[Rate]]-C616,N616)</f>
        <v>0.11000000000000032</v>
      </c>
    </row>
    <row r="618" spans="1:14">
      <c r="A618" s="12" t="s">
        <v>289</v>
      </c>
      <c r="B618" s="13">
        <v>3.28408302284724</v>
      </c>
      <c r="C618" s="13">
        <v>4.1050000000000004</v>
      </c>
      <c r="D618" s="15">
        <f t="shared" si="63"/>
        <v>6</v>
      </c>
      <c r="E618" s="15">
        <f t="shared" si="64"/>
        <v>0.2</v>
      </c>
      <c r="F618" s="15">
        <f t="shared" si="65"/>
        <v>4</v>
      </c>
      <c r="G618" s="15">
        <f t="shared" si="66"/>
        <v>2.6210538749755141</v>
      </c>
      <c r="H618" s="15">
        <f t="shared" si="67"/>
        <v>0.8</v>
      </c>
      <c r="I618" s="15">
        <f t="shared" si="68"/>
        <v>0</v>
      </c>
      <c r="J618" s="15">
        <f t="shared" si="69"/>
        <v>0</v>
      </c>
      <c r="K618" s="15">
        <f>IF(CurrentMtgRatesDataTable8[[#This Row],[WA CC]]&lt;&gt;0,C617-CurrentMtgRatesDataTable8[[#This Row],[WA CC]],0)</f>
        <v>0</v>
      </c>
      <c r="L618" s="16">
        <f>IF(CurrentMtgRatesDataTable8[[#This Row],[Servicing Spread]]&lt;=0,L617,CurrentMtgRatesDataTable8[[#This Row],[Servicing Spread]])</f>
        <v>0.80679490705007595</v>
      </c>
      <c r="M618" s="16">
        <f>CurrentMtgRatesDataTable8[[#This Row],[Servicing Spread Non-Zero]]-L617</f>
        <v>0</v>
      </c>
      <c r="N618" s="16">
        <f>IF(J617&lt;&gt;0,CurrentMtgRatesDataTable8[[#This Row],[Rate]]-C617,N617)</f>
        <v>0.11000000000000032</v>
      </c>
    </row>
    <row r="619" spans="1:14">
      <c r="A619" s="12" t="s">
        <v>144</v>
      </c>
      <c r="B619" s="13">
        <v>3.2889456294412902</v>
      </c>
      <c r="C619" s="13">
        <v>4.1050000000000004</v>
      </c>
      <c r="D619" s="15">
        <f t="shared" si="63"/>
        <v>7</v>
      </c>
      <c r="E619" s="15">
        <f t="shared" si="64"/>
        <v>0.2</v>
      </c>
      <c r="F619" s="15">
        <f t="shared" si="65"/>
        <v>5</v>
      </c>
      <c r="G619" s="15">
        <f t="shared" si="66"/>
        <v>3.2788430008637723</v>
      </c>
      <c r="H619" s="15">
        <f t="shared" si="67"/>
        <v>1</v>
      </c>
      <c r="I619" s="15">
        <f t="shared" si="68"/>
        <v>1</v>
      </c>
      <c r="J619" s="15">
        <f t="shared" si="69"/>
        <v>3.2788430008637723</v>
      </c>
      <c r="K619" s="15">
        <f>IF(CurrentMtgRatesDataTable8[[#This Row],[WA CC]]&lt;&gt;0,C618-CurrentMtgRatesDataTable8[[#This Row],[WA CC]],0)</f>
        <v>0.82615699913622809</v>
      </c>
      <c r="L619" s="16">
        <f>IF(CurrentMtgRatesDataTable8[[#This Row],[Servicing Spread]]&lt;=0,L618,CurrentMtgRatesDataTable8[[#This Row],[Servicing Spread]])</f>
        <v>0.82615699913622809</v>
      </c>
      <c r="M619" s="16">
        <f>CurrentMtgRatesDataTable8[[#This Row],[Servicing Spread Non-Zero]]-L618</f>
        <v>1.9362092086152138E-2</v>
      </c>
      <c r="N619" s="16">
        <f>IF(J618&lt;&gt;0,CurrentMtgRatesDataTable8[[#This Row],[Rate]]-C618,N618)</f>
        <v>0.11000000000000032</v>
      </c>
    </row>
    <row r="620" spans="1:14">
      <c r="A620" s="12" t="s">
        <v>708</v>
      </c>
      <c r="B620" s="13">
        <v>3.3001731665241301</v>
      </c>
      <c r="C620" s="13">
        <v>4.0750000000000002</v>
      </c>
      <c r="D620" s="15">
        <f t="shared" si="63"/>
        <v>1</v>
      </c>
      <c r="E620" s="15">
        <f t="shared" si="64"/>
        <v>0.2</v>
      </c>
      <c r="F620" s="15">
        <f t="shared" si="65"/>
        <v>1</v>
      </c>
      <c r="G620" s="15">
        <f t="shared" si="66"/>
        <v>0.66003463330482603</v>
      </c>
      <c r="H620" s="15">
        <f t="shared" si="67"/>
        <v>0.2</v>
      </c>
      <c r="I620" s="15">
        <f t="shared" si="68"/>
        <v>0</v>
      </c>
      <c r="J620" s="15">
        <f t="shared" si="69"/>
        <v>0</v>
      </c>
      <c r="K620" s="15">
        <f>IF(CurrentMtgRatesDataTable8[[#This Row],[WA CC]]&lt;&gt;0,C619-CurrentMtgRatesDataTable8[[#This Row],[WA CC]],0)</f>
        <v>0</v>
      </c>
      <c r="L620" s="16">
        <f>IF(CurrentMtgRatesDataTable8[[#This Row],[Servicing Spread]]&lt;=0,L619,CurrentMtgRatesDataTable8[[#This Row],[Servicing Spread]])</f>
        <v>0.82615699913622809</v>
      </c>
      <c r="M620" s="16">
        <f>CurrentMtgRatesDataTable8[[#This Row],[Servicing Spread Non-Zero]]-L619</f>
        <v>0</v>
      </c>
      <c r="N620" s="16">
        <f>IF(J619&lt;&gt;0,CurrentMtgRatesDataTable8[[#This Row],[Rate]]-C619,N619)</f>
        <v>-3.0000000000000249E-2</v>
      </c>
    </row>
    <row r="621" spans="1:14">
      <c r="A621" s="12" t="s">
        <v>566</v>
      </c>
      <c r="B621" s="13">
        <v>3.2564979130093699</v>
      </c>
      <c r="C621" s="13">
        <v>4.0750000000000002</v>
      </c>
      <c r="D621" s="15">
        <f t="shared" si="63"/>
        <v>2</v>
      </c>
      <c r="E621" s="15">
        <f t="shared" si="64"/>
        <v>0.2</v>
      </c>
      <c r="F621" s="15">
        <f t="shared" si="65"/>
        <v>2</v>
      </c>
      <c r="G621" s="15">
        <f t="shared" si="66"/>
        <v>1.3113342159067001</v>
      </c>
      <c r="H621" s="15">
        <f t="shared" si="67"/>
        <v>0.4</v>
      </c>
      <c r="I621" s="15">
        <f t="shared" si="68"/>
        <v>0</v>
      </c>
      <c r="J621" s="15">
        <f t="shared" si="69"/>
        <v>0</v>
      </c>
      <c r="K621" s="15">
        <f>IF(CurrentMtgRatesDataTable8[[#This Row],[WA CC]]&lt;&gt;0,C620-CurrentMtgRatesDataTable8[[#This Row],[WA CC]],0)</f>
        <v>0</v>
      </c>
      <c r="L621" s="16">
        <f>IF(CurrentMtgRatesDataTable8[[#This Row],[Servicing Spread]]&lt;=0,L620,CurrentMtgRatesDataTable8[[#This Row],[Servicing Spread]])</f>
        <v>0.82615699913622809</v>
      </c>
      <c r="M621" s="16">
        <f>CurrentMtgRatesDataTable8[[#This Row],[Servicing Spread Non-Zero]]-L620</f>
        <v>0</v>
      </c>
      <c r="N621" s="16">
        <f>IF(J620&lt;&gt;0,CurrentMtgRatesDataTable8[[#This Row],[Rate]]-C620,N620)</f>
        <v>-3.0000000000000249E-2</v>
      </c>
    </row>
    <row r="622" spans="1:14">
      <c r="A622" s="12" t="s">
        <v>420</v>
      </c>
      <c r="B622" s="13">
        <v>3.2397623305872298</v>
      </c>
      <c r="C622" s="13">
        <v>4.0750000000000002</v>
      </c>
      <c r="D622" s="15">
        <f t="shared" si="63"/>
        <v>5</v>
      </c>
      <c r="E622" s="15">
        <f t="shared" si="64"/>
        <v>0.2</v>
      </c>
      <c r="F622" s="15">
        <f t="shared" si="65"/>
        <v>3</v>
      </c>
      <c r="G622" s="15">
        <f t="shared" si="66"/>
        <v>1.9592866820241461</v>
      </c>
      <c r="H622" s="15">
        <f t="shared" si="67"/>
        <v>0.60000000000000009</v>
      </c>
      <c r="I622" s="15">
        <f t="shared" si="68"/>
        <v>0</v>
      </c>
      <c r="J622" s="15">
        <f t="shared" si="69"/>
        <v>0</v>
      </c>
      <c r="K622" s="15">
        <f>IF(CurrentMtgRatesDataTable8[[#This Row],[WA CC]]&lt;&gt;0,C621-CurrentMtgRatesDataTable8[[#This Row],[WA CC]],0)</f>
        <v>0</v>
      </c>
      <c r="L622" s="16">
        <f>IF(CurrentMtgRatesDataTable8[[#This Row],[Servicing Spread]]&lt;=0,L621,CurrentMtgRatesDataTable8[[#This Row],[Servicing Spread]])</f>
        <v>0.82615699913622809</v>
      </c>
      <c r="M622" s="16">
        <f>CurrentMtgRatesDataTable8[[#This Row],[Servicing Spread Non-Zero]]-L621</f>
        <v>0</v>
      </c>
      <c r="N622" s="16">
        <f>IF(J621&lt;&gt;0,CurrentMtgRatesDataTable8[[#This Row],[Rate]]-C621,N621)</f>
        <v>-3.0000000000000249E-2</v>
      </c>
    </row>
    <row r="623" spans="1:14">
      <c r="A623" s="12" t="s">
        <v>290</v>
      </c>
      <c r="B623" s="13">
        <v>3.2147148443632201</v>
      </c>
      <c r="C623" s="13">
        <v>4.0750000000000002</v>
      </c>
      <c r="D623" s="15">
        <f t="shared" si="63"/>
        <v>6</v>
      </c>
      <c r="E623" s="15">
        <f t="shared" si="64"/>
        <v>0.2</v>
      </c>
      <c r="F623" s="15">
        <f t="shared" si="65"/>
        <v>4</v>
      </c>
      <c r="G623" s="15">
        <f t="shared" si="66"/>
        <v>2.6022296508967901</v>
      </c>
      <c r="H623" s="15">
        <f t="shared" si="67"/>
        <v>0.8</v>
      </c>
      <c r="I623" s="15">
        <f t="shared" si="68"/>
        <v>0</v>
      </c>
      <c r="J623" s="15">
        <f t="shared" si="69"/>
        <v>0</v>
      </c>
      <c r="K623" s="15">
        <f>IF(CurrentMtgRatesDataTable8[[#This Row],[WA CC]]&lt;&gt;0,C622-CurrentMtgRatesDataTable8[[#This Row],[WA CC]],0)</f>
        <v>0</v>
      </c>
      <c r="L623" s="16">
        <f>IF(CurrentMtgRatesDataTable8[[#This Row],[Servicing Spread]]&lt;=0,L622,CurrentMtgRatesDataTable8[[#This Row],[Servicing Spread]])</f>
        <v>0.82615699913622809</v>
      </c>
      <c r="M623" s="16">
        <f>CurrentMtgRatesDataTable8[[#This Row],[Servicing Spread Non-Zero]]-L622</f>
        <v>0</v>
      </c>
      <c r="N623" s="16">
        <f>IF(J622&lt;&gt;0,CurrentMtgRatesDataTable8[[#This Row],[Rate]]-C622,N622)</f>
        <v>-3.0000000000000249E-2</v>
      </c>
    </row>
    <row r="624" spans="1:14">
      <c r="A624" s="12" t="s">
        <v>145</v>
      </c>
      <c r="B624" s="13">
        <v>3.24020380359058</v>
      </c>
      <c r="C624" s="13">
        <v>4.0750000000000002</v>
      </c>
      <c r="D624" s="15">
        <f t="shared" si="63"/>
        <v>7</v>
      </c>
      <c r="E624" s="15">
        <f t="shared" si="64"/>
        <v>0.2</v>
      </c>
      <c r="F624" s="15">
        <f t="shared" si="65"/>
        <v>5</v>
      </c>
      <c r="G624" s="15">
        <f t="shared" si="66"/>
        <v>3.2502704116149062</v>
      </c>
      <c r="H624" s="15">
        <f t="shared" si="67"/>
        <v>1</v>
      </c>
      <c r="I624" s="15">
        <f t="shared" si="68"/>
        <v>1</v>
      </c>
      <c r="J624" s="15">
        <f t="shared" si="69"/>
        <v>3.2502704116149062</v>
      </c>
      <c r="K624" s="15">
        <f>IF(CurrentMtgRatesDataTable8[[#This Row],[WA CC]]&lt;&gt;0,C623-CurrentMtgRatesDataTable8[[#This Row],[WA CC]],0)</f>
        <v>0.82472958838509403</v>
      </c>
      <c r="L624" s="16">
        <f>IF(CurrentMtgRatesDataTable8[[#This Row],[Servicing Spread]]&lt;=0,L623,CurrentMtgRatesDataTable8[[#This Row],[Servicing Spread]])</f>
        <v>0.82472958838509403</v>
      </c>
      <c r="M624" s="16">
        <f>CurrentMtgRatesDataTable8[[#This Row],[Servicing Spread Non-Zero]]-L623</f>
        <v>-1.4274107511340617E-3</v>
      </c>
      <c r="N624" s="16">
        <f>IF(J623&lt;&gt;0,CurrentMtgRatesDataTable8[[#This Row],[Rate]]-C623,N623)</f>
        <v>-3.0000000000000249E-2</v>
      </c>
    </row>
    <row r="625" spans="1:14">
      <c r="A625" s="12" t="s">
        <v>709</v>
      </c>
      <c r="B625" s="13">
        <v>3.19667473354923</v>
      </c>
      <c r="C625" s="13">
        <v>4.04</v>
      </c>
      <c r="D625" s="15">
        <f t="shared" si="63"/>
        <v>1</v>
      </c>
      <c r="E625" s="15">
        <f t="shared" si="64"/>
        <v>0.2</v>
      </c>
      <c r="F625" s="15">
        <f t="shared" si="65"/>
        <v>1</v>
      </c>
      <c r="G625" s="15">
        <f t="shared" si="66"/>
        <v>0.63933494670984603</v>
      </c>
      <c r="H625" s="15">
        <f t="shared" si="67"/>
        <v>0.2</v>
      </c>
      <c r="I625" s="15">
        <f t="shared" si="68"/>
        <v>0</v>
      </c>
      <c r="J625" s="15">
        <f t="shared" si="69"/>
        <v>0</v>
      </c>
      <c r="K625" s="15">
        <f>IF(CurrentMtgRatesDataTable8[[#This Row],[WA CC]]&lt;&gt;0,C624-CurrentMtgRatesDataTable8[[#This Row],[WA CC]],0)</f>
        <v>0</v>
      </c>
      <c r="L625" s="16">
        <f>IF(CurrentMtgRatesDataTable8[[#This Row],[Servicing Spread]]&lt;=0,L624,CurrentMtgRatesDataTable8[[#This Row],[Servicing Spread]])</f>
        <v>0.82472958838509403</v>
      </c>
      <c r="M625" s="16">
        <f>CurrentMtgRatesDataTable8[[#This Row],[Servicing Spread Non-Zero]]-L624</f>
        <v>0</v>
      </c>
      <c r="N625" s="16">
        <f>IF(J624&lt;&gt;0,CurrentMtgRatesDataTable8[[#This Row],[Rate]]-C624,N624)</f>
        <v>-3.5000000000000142E-2</v>
      </c>
    </row>
    <row r="626" spans="1:14">
      <c r="A626" s="12" t="s">
        <v>567</v>
      </c>
      <c r="B626" s="13">
        <v>3.21516848659176</v>
      </c>
      <c r="C626" s="13">
        <v>4.04</v>
      </c>
      <c r="D626" s="15">
        <f t="shared" si="63"/>
        <v>2</v>
      </c>
      <c r="E626" s="15">
        <f t="shared" si="64"/>
        <v>0.2</v>
      </c>
      <c r="F626" s="15">
        <f t="shared" si="65"/>
        <v>2</v>
      </c>
      <c r="G626" s="15">
        <f t="shared" si="66"/>
        <v>1.2823686440281981</v>
      </c>
      <c r="H626" s="15">
        <f t="shared" si="67"/>
        <v>0.4</v>
      </c>
      <c r="I626" s="15">
        <f t="shared" si="68"/>
        <v>0</v>
      </c>
      <c r="J626" s="15">
        <f t="shared" si="69"/>
        <v>0</v>
      </c>
      <c r="K626" s="15">
        <f>IF(CurrentMtgRatesDataTable8[[#This Row],[WA CC]]&lt;&gt;0,C625-CurrentMtgRatesDataTable8[[#This Row],[WA CC]],0)</f>
        <v>0</v>
      </c>
      <c r="L626" s="16">
        <f>IF(CurrentMtgRatesDataTable8[[#This Row],[Servicing Spread]]&lt;=0,L625,CurrentMtgRatesDataTable8[[#This Row],[Servicing Spread]])</f>
        <v>0.82472958838509403</v>
      </c>
      <c r="M626" s="16">
        <f>CurrentMtgRatesDataTable8[[#This Row],[Servicing Spread Non-Zero]]-L625</f>
        <v>0</v>
      </c>
      <c r="N626" s="16">
        <f>IF(J625&lt;&gt;0,CurrentMtgRatesDataTable8[[#This Row],[Rate]]-C625,N625)</f>
        <v>-3.5000000000000142E-2</v>
      </c>
    </row>
    <row r="627" spans="1:14">
      <c r="A627" s="12" t="s">
        <v>421</v>
      </c>
      <c r="B627" s="13">
        <v>3.1926835363021802</v>
      </c>
      <c r="C627" s="13">
        <v>4.04</v>
      </c>
      <c r="D627" s="15">
        <f t="shared" si="63"/>
        <v>5</v>
      </c>
      <c r="E627" s="15">
        <f t="shared" si="64"/>
        <v>0.2</v>
      </c>
      <c r="F627" s="15">
        <f t="shared" si="65"/>
        <v>3</v>
      </c>
      <c r="G627" s="15">
        <f t="shared" si="66"/>
        <v>1.920905351288634</v>
      </c>
      <c r="H627" s="15">
        <f t="shared" si="67"/>
        <v>0.60000000000000009</v>
      </c>
      <c r="I627" s="15">
        <f t="shared" si="68"/>
        <v>0</v>
      </c>
      <c r="J627" s="15">
        <f t="shared" si="69"/>
        <v>0</v>
      </c>
      <c r="K627" s="15">
        <f>IF(CurrentMtgRatesDataTable8[[#This Row],[WA CC]]&lt;&gt;0,C626-CurrentMtgRatesDataTable8[[#This Row],[WA CC]],0)</f>
        <v>0</v>
      </c>
      <c r="L627" s="16">
        <f>IF(CurrentMtgRatesDataTable8[[#This Row],[Servicing Spread]]&lt;=0,L626,CurrentMtgRatesDataTable8[[#This Row],[Servicing Spread]])</f>
        <v>0.82472958838509403</v>
      </c>
      <c r="M627" s="16">
        <f>CurrentMtgRatesDataTable8[[#This Row],[Servicing Spread Non-Zero]]-L626</f>
        <v>0</v>
      </c>
      <c r="N627" s="16">
        <f>IF(J626&lt;&gt;0,CurrentMtgRatesDataTable8[[#This Row],[Rate]]-C626,N626)</f>
        <v>-3.5000000000000142E-2</v>
      </c>
    </row>
    <row r="628" spans="1:14">
      <c r="A628" s="12" t="s">
        <v>291</v>
      </c>
      <c r="B628" s="13">
        <v>3.2078957125058598</v>
      </c>
      <c r="C628" s="13">
        <v>4.04</v>
      </c>
      <c r="D628" s="15">
        <f t="shared" si="63"/>
        <v>6</v>
      </c>
      <c r="E628" s="15">
        <f t="shared" si="64"/>
        <v>0.2</v>
      </c>
      <c r="F628" s="15">
        <f t="shared" si="65"/>
        <v>4</v>
      </c>
      <c r="G628" s="15">
        <f t="shared" si="66"/>
        <v>2.5624844937898059</v>
      </c>
      <c r="H628" s="15">
        <f t="shared" si="67"/>
        <v>0.8</v>
      </c>
      <c r="I628" s="15">
        <f t="shared" si="68"/>
        <v>0</v>
      </c>
      <c r="J628" s="15">
        <f t="shared" si="69"/>
        <v>0</v>
      </c>
      <c r="K628" s="15">
        <f>IF(CurrentMtgRatesDataTable8[[#This Row],[WA CC]]&lt;&gt;0,C627-CurrentMtgRatesDataTable8[[#This Row],[WA CC]],0)</f>
        <v>0</v>
      </c>
      <c r="L628" s="16">
        <f>IF(CurrentMtgRatesDataTable8[[#This Row],[Servicing Spread]]&lt;=0,L627,CurrentMtgRatesDataTable8[[#This Row],[Servicing Spread]])</f>
        <v>0.82472958838509403</v>
      </c>
      <c r="M628" s="16">
        <f>CurrentMtgRatesDataTable8[[#This Row],[Servicing Spread Non-Zero]]-L627</f>
        <v>0</v>
      </c>
      <c r="N628" s="16">
        <f>IF(J627&lt;&gt;0,CurrentMtgRatesDataTable8[[#This Row],[Rate]]-C627,N627)</f>
        <v>-3.5000000000000142E-2</v>
      </c>
    </row>
    <row r="629" spans="1:14">
      <c r="A629" s="12" t="s">
        <v>146</v>
      </c>
      <c r="B629" s="13">
        <v>3.1187867017573798</v>
      </c>
      <c r="C629" s="13">
        <v>4.04</v>
      </c>
      <c r="D629" s="15">
        <f t="shared" si="63"/>
        <v>7</v>
      </c>
      <c r="E629" s="15">
        <f t="shared" si="64"/>
        <v>0.2</v>
      </c>
      <c r="F629" s="15">
        <f t="shared" si="65"/>
        <v>5</v>
      </c>
      <c r="G629" s="15">
        <f t="shared" si="66"/>
        <v>3.1862418341412821</v>
      </c>
      <c r="H629" s="15">
        <f t="shared" si="67"/>
        <v>1</v>
      </c>
      <c r="I629" s="15">
        <f t="shared" si="68"/>
        <v>1</v>
      </c>
      <c r="J629" s="15">
        <f t="shared" si="69"/>
        <v>3.1862418341412821</v>
      </c>
      <c r="K629" s="15">
        <f>IF(CurrentMtgRatesDataTable8[[#This Row],[WA CC]]&lt;&gt;0,C628-CurrentMtgRatesDataTable8[[#This Row],[WA CC]],0)</f>
        <v>0.85375816585871789</v>
      </c>
      <c r="L629" s="16">
        <f>IF(CurrentMtgRatesDataTable8[[#This Row],[Servicing Spread]]&lt;=0,L628,CurrentMtgRatesDataTable8[[#This Row],[Servicing Spread]])</f>
        <v>0.85375816585871789</v>
      </c>
      <c r="M629" s="16">
        <f>CurrentMtgRatesDataTable8[[#This Row],[Servicing Spread Non-Zero]]-L628</f>
        <v>2.9028577473623862E-2</v>
      </c>
      <c r="N629" s="16">
        <f>IF(J628&lt;&gt;0,CurrentMtgRatesDataTable8[[#This Row],[Rate]]-C628,N628)</f>
        <v>-3.5000000000000142E-2</v>
      </c>
    </row>
    <row r="630" spans="1:14">
      <c r="A630" s="12" t="s">
        <v>710</v>
      </c>
      <c r="B630" s="13">
        <v>3.13610168579967</v>
      </c>
      <c r="C630" s="13">
        <v>3.9950000000000001</v>
      </c>
      <c r="D630" s="15">
        <f t="shared" si="63"/>
        <v>1</v>
      </c>
      <c r="E630" s="15">
        <f t="shared" si="64"/>
        <v>0.2</v>
      </c>
      <c r="F630" s="15">
        <f t="shared" si="65"/>
        <v>1</v>
      </c>
      <c r="G630" s="15">
        <f t="shared" si="66"/>
        <v>0.62722033715993408</v>
      </c>
      <c r="H630" s="15">
        <f t="shared" si="67"/>
        <v>0.2</v>
      </c>
      <c r="I630" s="15">
        <f t="shared" si="68"/>
        <v>0</v>
      </c>
      <c r="J630" s="15">
        <f t="shared" si="69"/>
        <v>0</v>
      </c>
      <c r="K630" s="15">
        <f>IF(CurrentMtgRatesDataTable8[[#This Row],[WA CC]]&lt;&gt;0,C629-CurrentMtgRatesDataTable8[[#This Row],[WA CC]],0)</f>
        <v>0</v>
      </c>
      <c r="L630" s="16">
        <f>IF(CurrentMtgRatesDataTable8[[#This Row],[Servicing Spread]]&lt;=0,L629,CurrentMtgRatesDataTable8[[#This Row],[Servicing Spread]])</f>
        <v>0.85375816585871789</v>
      </c>
      <c r="M630" s="16">
        <f>CurrentMtgRatesDataTable8[[#This Row],[Servicing Spread Non-Zero]]-L629</f>
        <v>0</v>
      </c>
      <c r="N630" s="16">
        <f>IF(J629&lt;&gt;0,CurrentMtgRatesDataTable8[[#This Row],[Rate]]-C629,N629)</f>
        <v>-4.4999999999999929E-2</v>
      </c>
    </row>
    <row r="631" spans="1:14">
      <c r="A631" s="12" t="s">
        <v>568</v>
      </c>
      <c r="B631" s="13">
        <v>3.14080245533752</v>
      </c>
      <c r="C631" s="13">
        <v>3.9950000000000001</v>
      </c>
      <c r="D631" s="15">
        <f t="shared" si="63"/>
        <v>2</v>
      </c>
      <c r="E631" s="15">
        <f t="shared" si="64"/>
        <v>0.2</v>
      </c>
      <c r="F631" s="15">
        <f t="shared" si="65"/>
        <v>2</v>
      </c>
      <c r="G631" s="15">
        <f t="shared" si="66"/>
        <v>1.2553808282274381</v>
      </c>
      <c r="H631" s="15">
        <f t="shared" si="67"/>
        <v>0.4</v>
      </c>
      <c r="I631" s="15">
        <f t="shared" si="68"/>
        <v>0</v>
      </c>
      <c r="J631" s="15">
        <f t="shared" si="69"/>
        <v>0</v>
      </c>
      <c r="K631" s="15">
        <f>IF(CurrentMtgRatesDataTable8[[#This Row],[WA CC]]&lt;&gt;0,C630-CurrentMtgRatesDataTable8[[#This Row],[WA CC]],0)</f>
        <v>0</v>
      </c>
      <c r="L631" s="16">
        <f>IF(CurrentMtgRatesDataTable8[[#This Row],[Servicing Spread]]&lt;=0,L630,CurrentMtgRatesDataTable8[[#This Row],[Servicing Spread]])</f>
        <v>0.85375816585871789</v>
      </c>
      <c r="M631" s="16">
        <f>CurrentMtgRatesDataTable8[[#This Row],[Servicing Spread Non-Zero]]-L630</f>
        <v>0</v>
      </c>
      <c r="N631" s="16">
        <f>IF(J630&lt;&gt;0,CurrentMtgRatesDataTable8[[#This Row],[Rate]]-C630,N630)</f>
        <v>-4.4999999999999929E-2</v>
      </c>
    </row>
    <row r="632" spans="1:14">
      <c r="A632" s="12" t="s">
        <v>422</v>
      </c>
      <c r="B632" s="13">
        <v>3.12297819640008</v>
      </c>
      <c r="C632" s="13">
        <v>3.9950000000000001</v>
      </c>
      <c r="D632" s="15">
        <f t="shared" si="63"/>
        <v>5</v>
      </c>
      <c r="E632" s="15">
        <f t="shared" si="64"/>
        <v>0.2</v>
      </c>
      <c r="F632" s="15">
        <f t="shared" si="65"/>
        <v>3</v>
      </c>
      <c r="G632" s="15">
        <f t="shared" si="66"/>
        <v>1.8799764675074542</v>
      </c>
      <c r="H632" s="15">
        <f t="shared" si="67"/>
        <v>0.60000000000000009</v>
      </c>
      <c r="I632" s="15">
        <f t="shared" si="68"/>
        <v>0</v>
      </c>
      <c r="J632" s="15">
        <f t="shared" si="69"/>
        <v>0</v>
      </c>
      <c r="K632" s="15">
        <f>IF(CurrentMtgRatesDataTable8[[#This Row],[WA CC]]&lt;&gt;0,C631-CurrentMtgRatesDataTable8[[#This Row],[WA CC]],0)</f>
        <v>0</v>
      </c>
      <c r="L632" s="16">
        <f>IF(CurrentMtgRatesDataTable8[[#This Row],[Servicing Spread]]&lt;=0,L631,CurrentMtgRatesDataTable8[[#This Row],[Servicing Spread]])</f>
        <v>0.85375816585871789</v>
      </c>
      <c r="M632" s="16">
        <f>CurrentMtgRatesDataTable8[[#This Row],[Servicing Spread Non-Zero]]-L631</f>
        <v>0</v>
      </c>
      <c r="N632" s="16">
        <f>IF(J631&lt;&gt;0,CurrentMtgRatesDataTable8[[#This Row],[Rate]]-C631,N631)</f>
        <v>-4.4999999999999929E-2</v>
      </c>
    </row>
    <row r="633" spans="1:14">
      <c r="A633" s="12" t="s">
        <v>292</v>
      </c>
      <c r="B633" s="13">
        <v>3.05716566753143</v>
      </c>
      <c r="C633" s="13">
        <v>3.9950000000000001</v>
      </c>
      <c r="D633" s="15">
        <f t="shared" si="63"/>
        <v>6</v>
      </c>
      <c r="E633" s="15">
        <f t="shared" si="64"/>
        <v>0.2</v>
      </c>
      <c r="F633" s="15">
        <f t="shared" si="65"/>
        <v>4</v>
      </c>
      <c r="G633" s="15">
        <f t="shared" si="66"/>
        <v>2.4914096010137401</v>
      </c>
      <c r="H633" s="15">
        <f t="shared" si="67"/>
        <v>0.8</v>
      </c>
      <c r="I633" s="15">
        <f t="shared" si="68"/>
        <v>0</v>
      </c>
      <c r="J633" s="15">
        <f t="shared" si="69"/>
        <v>0</v>
      </c>
      <c r="K633" s="15">
        <f>IF(CurrentMtgRatesDataTable8[[#This Row],[WA CC]]&lt;&gt;0,C632-CurrentMtgRatesDataTable8[[#This Row],[WA CC]],0)</f>
        <v>0</v>
      </c>
      <c r="L633" s="16">
        <f>IF(CurrentMtgRatesDataTable8[[#This Row],[Servicing Spread]]&lt;=0,L632,CurrentMtgRatesDataTable8[[#This Row],[Servicing Spread]])</f>
        <v>0.85375816585871789</v>
      </c>
      <c r="M633" s="16">
        <f>CurrentMtgRatesDataTable8[[#This Row],[Servicing Spread Non-Zero]]-L632</f>
        <v>0</v>
      </c>
      <c r="N633" s="16">
        <f>IF(J632&lt;&gt;0,CurrentMtgRatesDataTable8[[#This Row],[Rate]]-C632,N632)</f>
        <v>-4.4999999999999929E-2</v>
      </c>
    </row>
    <row r="634" spans="1:14">
      <c r="A634" s="12" t="s">
        <v>147</v>
      </c>
      <c r="B634" s="13">
        <v>3.00695688776984</v>
      </c>
      <c r="C634" s="13">
        <v>3.9950000000000001</v>
      </c>
      <c r="D634" s="15">
        <f t="shared" si="63"/>
        <v>7</v>
      </c>
      <c r="E634" s="15">
        <f t="shared" si="64"/>
        <v>0.2</v>
      </c>
      <c r="F634" s="15">
        <f t="shared" si="65"/>
        <v>5</v>
      </c>
      <c r="G634" s="15">
        <f t="shared" si="66"/>
        <v>3.0928009785677082</v>
      </c>
      <c r="H634" s="15">
        <f t="shared" si="67"/>
        <v>1</v>
      </c>
      <c r="I634" s="15">
        <f t="shared" si="68"/>
        <v>1</v>
      </c>
      <c r="J634" s="15">
        <f t="shared" si="69"/>
        <v>3.0928009785677082</v>
      </c>
      <c r="K634" s="15">
        <f>IF(CurrentMtgRatesDataTable8[[#This Row],[WA CC]]&lt;&gt;0,C633-CurrentMtgRatesDataTable8[[#This Row],[WA CC]],0)</f>
        <v>0.90219902143229191</v>
      </c>
      <c r="L634" s="16">
        <f>IF(CurrentMtgRatesDataTable8[[#This Row],[Servicing Spread]]&lt;=0,L633,CurrentMtgRatesDataTable8[[#This Row],[Servicing Spread]])</f>
        <v>0.90219902143229191</v>
      </c>
      <c r="M634" s="16">
        <f>CurrentMtgRatesDataTable8[[#This Row],[Servicing Spread Non-Zero]]-L633</f>
        <v>4.8440855573574026E-2</v>
      </c>
      <c r="N634" s="16">
        <f>IF(J633&lt;&gt;0,CurrentMtgRatesDataTable8[[#This Row],[Rate]]-C633,N633)</f>
        <v>-4.4999999999999929E-2</v>
      </c>
    </row>
    <row r="635" spans="1:14">
      <c r="A635" s="12" t="s">
        <v>711</v>
      </c>
      <c r="B635" s="13">
        <v>3.0093512074845101</v>
      </c>
      <c r="C635" s="13">
        <v>3.8450000000000002</v>
      </c>
      <c r="D635" s="15">
        <f t="shared" si="63"/>
        <v>1</v>
      </c>
      <c r="E635" s="15">
        <f t="shared" si="64"/>
        <v>0.2</v>
      </c>
      <c r="F635" s="15">
        <f t="shared" si="65"/>
        <v>1</v>
      </c>
      <c r="G635" s="15">
        <f t="shared" si="66"/>
        <v>0.60187024149690205</v>
      </c>
      <c r="H635" s="15">
        <f t="shared" si="67"/>
        <v>0.2</v>
      </c>
      <c r="I635" s="15">
        <f t="shared" si="68"/>
        <v>0</v>
      </c>
      <c r="J635" s="15">
        <f t="shared" si="69"/>
        <v>0</v>
      </c>
      <c r="K635" s="15">
        <f>IF(CurrentMtgRatesDataTable8[[#This Row],[WA CC]]&lt;&gt;0,C634-CurrentMtgRatesDataTable8[[#This Row],[WA CC]],0)</f>
        <v>0</v>
      </c>
      <c r="L635" s="16">
        <f>IF(CurrentMtgRatesDataTable8[[#This Row],[Servicing Spread]]&lt;=0,L634,CurrentMtgRatesDataTable8[[#This Row],[Servicing Spread]])</f>
        <v>0.90219902143229191</v>
      </c>
      <c r="M635" s="16">
        <f>CurrentMtgRatesDataTable8[[#This Row],[Servicing Spread Non-Zero]]-L634</f>
        <v>0</v>
      </c>
      <c r="N635" s="16">
        <f>IF(J634&lt;&gt;0,CurrentMtgRatesDataTable8[[#This Row],[Rate]]-C634,N634)</f>
        <v>-0.14999999999999991</v>
      </c>
    </row>
    <row r="636" spans="1:14">
      <c r="A636" s="12" t="s">
        <v>569</v>
      </c>
      <c r="B636" s="13">
        <v>3.0064713691768699</v>
      </c>
      <c r="C636" s="13">
        <v>3.8450000000000002</v>
      </c>
      <c r="D636" s="15">
        <f t="shared" si="63"/>
        <v>2</v>
      </c>
      <c r="E636" s="15">
        <f t="shared" si="64"/>
        <v>0.2</v>
      </c>
      <c r="F636" s="15">
        <f t="shared" si="65"/>
        <v>2</v>
      </c>
      <c r="G636" s="15">
        <f t="shared" si="66"/>
        <v>1.2031645153322761</v>
      </c>
      <c r="H636" s="15">
        <f t="shared" si="67"/>
        <v>0.4</v>
      </c>
      <c r="I636" s="15">
        <f t="shared" si="68"/>
        <v>0</v>
      </c>
      <c r="J636" s="15">
        <f t="shared" si="69"/>
        <v>0</v>
      </c>
      <c r="K636" s="15">
        <f>IF(CurrentMtgRatesDataTable8[[#This Row],[WA CC]]&lt;&gt;0,C635-CurrentMtgRatesDataTable8[[#This Row],[WA CC]],0)</f>
        <v>0</v>
      </c>
      <c r="L636" s="16">
        <f>IF(CurrentMtgRatesDataTable8[[#This Row],[Servicing Spread]]&lt;=0,L635,CurrentMtgRatesDataTable8[[#This Row],[Servicing Spread]])</f>
        <v>0.90219902143229191</v>
      </c>
      <c r="M636" s="16">
        <f>CurrentMtgRatesDataTable8[[#This Row],[Servicing Spread Non-Zero]]-L635</f>
        <v>0</v>
      </c>
      <c r="N636" s="16">
        <f>IF(J635&lt;&gt;0,CurrentMtgRatesDataTable8[[#This Row],[Rate]]-C635,N635)</f>
        <v>-0.14999999999999991</v>
      </c>
    </row>
    <row r="637" spans="1:14">
      <c r="A637" s="12" t="s">
        <v>293</v>
      </c>
      <c r="B637" s="13">
        <v>2.9156735260487601</v>
      </c>
      <c r="C637" s="13">
        <v>3.8450000000000002</v>
      </c>
      <c r="D637" s="15">
        <f t="shared" si="63"/>
        <v>6</v>
      </c>
      <c r="E637" s="15">
        <f t="shared" si="64"/>
        <v>0.2</v>
      </c>
      <c r="F637" s="15">
        <f t="shared" si="65"/>
        <v>3</v>
      </c>
      <c r="G637" s="15">
        <f t="shared" si="66"/>
        <v>1.7862992205420283</v>
      </c>
      <c r="H637" s="15">
        <f t="shared" si="67"/>
        <v>0.60000000000000009</v>
      </c>
      <c r="I637" s="15">
        <f t="shared" si="68"/>
        <v>0</v>
      </c>
      <c r="J637" s="15">
        <f t="shared" si="69"/>
        <v>0</v>
      </c>
      <c r="K637" s="15">
        <f>IF(CurrentMtgRatesDataTable8[[#This Row],[WA CC]]&lt;&gt;0,C636-CurrentMtgRatesDataTable8[[#This Row],[WA CC]],0)</f>
        <v>0</v>
      </c>
      <c r="L637" s="16">
        <f>IF(CurrentMtgRatesDataTable8[[#This Row],[Servicing Spread]]&lt;=0,L636,CurrentMtgRatesDataTable8[[#This Row],[Servicing Spread]])</f>
        <v>0.90219902143229191</v>
      </c>
      <c r="M637" s="16">
        <f>CurrentMtgRatesDataTable8[[#This Row],[Servicing Spread Non-Zero]]-L636</f>
        <v>0</v>
      </c>
      <c r="N637" s="16">
        <f>IF(J636&lt;&gt;0,CurrentMtgRatesDataTable8[[#This Row],[Rate]]-C636,N636)</f>
        <v>-0.14999999999999991</v>
      </c>
    </row>
    <row r="638" spans="1:14">
      <c r="A638" s="12" t="s">
        <v>148</v>
      </c>
      <c r="B638" s="13">
        <v>2.8012763487796</v>
      </c>
      <c r="C638" s="13">
        <v>3.8450000000000002</v>
      </c>
      <c r="D638" s="15">
        <f t="shared" si="63"/>
        <v>7</v>
      </c>
      <c r="E638" s="15">
        <f t="shared" si="64"/>
        <v>0.2</v>
      </c>
      <c r="F638" s="15">
        <f t="shared" si="65"/>
        <v>4</v>
      </c>
      <c r="G638" s="15">
        <f t="shared" si="66"/>
        <v>2.3465544902979483</v>
      </c>
      <c r="H638" s="15">
        <f t="shared" si="67"/>
        <v>0.8</v>
      </c>
      <c r="I638" s="15">
        <f t="shared" si="68"/>
        <v>1</v>
      </c>
      <c r="J638" s="15">
        <f t="shared" si="69"/>
        <v>2.9331931128724351</v>
      </c>
      <c r="K638" s="15">
        <f>IF(CurrentMtgRatesDataTable8[[#This Row],[WA CC]]&lt;&gt;0,C637-CurrentMtgRatesDataTable8[[#This Row],[WA CC]],0)</f>
        <v>0.91180688712756508</v>
      </c>
      <c r="L638" s="16">
        <f>IF(CurrentMtgRatesDataTable8[[#This Row],[Servicing Spread]]&lt;=0,L637,CurrentMtgRatesDataTable8[[#This Row],[Servicing Spread]])</f>
        <v>0.91180688712756508</v>
      </c>
      <c r="M638" s="16">
        <f>CurrentMtgRatesDataTable8[[#This Row],[Servicing Spread Non-Zero]]-L637</f>
        <v>9.6078656952731656E-3</v>
      </c>
      <c r="N638" s="16">
        <f>IF(J637&lt;&gt;0,CurrentMtgRatesDataTable8[[#This Row],[Rate]]-C637,N637)</f>
        <v>-0.14999999999999991</v>
      </c>
    </row>
    <row r="639" spans="1:14">
      <c r="A639" s="12" t="s">
        <v>712</v>
      </c>
      <c r="B639" s="13">
        <v>2.88997696662019</v>
      </c>
      <c r="C639" s="13">
        <v>3.7949999999999999</v>
      </c>
      <c r="D639" s="15">
        <f t="shared" si="63"/>
        <v>1</v>
      </c>
      <c r="E639" s="15">
        <f t="shared" si="64"/>
        <v>0.2</v>
      </c>
      <c r="F639" s="15">
        <f t="shared" si="65"/>
        <v>1</v>
      </c>
      <c r="G639" s="15">
        <f t="shared" si="66"/>
        <v>0.57799539332403804</v>
      </c>
      <c r="H639" s="15">
        <f t="shared" si="67"/>
        <v>0.2</v>
      </c>
      <c r="I639" s="15">
        <f t="shared" si="68"/>
        <v>0</v>
      </c>
      <c r="J639" s="15">
        <f t="shared" si="69"/>
        <v>0</v>
      </c>
      <c r="K639" s="15">
        <f>IF(CurrentMtgRatesDataTable8[[#This Row],[WA CC]]&lt;&gt;0,C638-CurrentMtgRatesDataTable8[[#This Row],[WA CC]],0)</f>
        <v>0</v>
      </c>
      <c r="L639" s="16">
        <f>IF(CurrentMtgRatesDataTable8[[#This Row],[Servicing Spread]]&lt;=0,L638,CurrentMtgRatesDataTable8[[#This Row],[Servicing Spread]])</f>
        <v>0.91180688712756508</v>
      </c>
      <c r="M639" s="16">
        <f>CurrentMtgRatesDataTable8[[#This Row],[Servicing Spread Non-Zero]]-L638</f>
        <v>0</v>
      </c>
      <c r="N639" s="16">
        <f>IF(J638&lt;&gt;0,CurrentMtgRatesDataTable8[[#This Row],[Rate]]-C638,N638)</f>
        <v>-5.0000000000000266E-2</v>
      </c>
    </row>
    <row r="640" spans="1:14">
      <c r="A640" s="12" t="s">
        <v>570</v>
      </c>
      <c r="B640" s="13">
        <v>2.9089681552965998</v>
      </c>
      <c r="C640" s="13">
        <v>3.7949999999999999</v>
      </c>
      <c r="D640" s="15">
        <f t="shared" si="63"/>
        <v>2</v>
      </c>
      <c r="E640" s="15">
        <f t="shared" si="64"/>
        <v>0.2</v>
      </c>
      <c r="F640" s="15">
        <f t="shared" si="65"/>
        <v>2</v>
      </c>
      <c r="G640" s="15">
        <f t="shared" si="66"/>
        <v>1.159789024383358</v>
      </c>
      <c r="H640" s="15">
        <f t="shared" si="67"/>
        <v>0.4</v>
      </c>
      <c r="I640" s="15">
        <f t="shared" si="68"/>
        <v>0</v>
      </c>
      <c r="J640" s="15">
        <f t="shared" si="69"/>
        <v>0</v>
      </c>
      <c r="K640" s="15">
        <f>IF(CurrentMtgRatesDataTable8[[#This Row],[WA CC]]&lt;&gt;0,C639-CurrentMtgRatesDataTable8[[#This Row],[WA CC]],0)</f>
        <v>0</v>
      </c>
      <c r="L640" s="16">
        <f>IF(CurrentMtgRatesDataTable8[[#This Row],[Servicing Spread]]&lt;=0,L639,CurrentMtgRatesDataTable8[[#This Row],[Servicing Spread]])</f>
        <v>0.91180688712756508</v>
      </c>
      <c r="M640" s="16">
        <f>CurrentMtgRatesDataTable8[[#This Row],[Servicing Spread Non-Zero]]-L639</f>
        <v>0</v>
      </c>
      <c r="N640" s="16">
        <f>IF(J639&lt;&gt;0,CurrentMtgRatesDataTable8[[#This Row],[Rate]]-C639,N639)</f>
        <v>-5.0000000000000266E-2</v>
      </c>
    </row>
    <row r="641" spans="1:14">
      <c r="A641" s="12" t="s">
        <v>423</v>
      </c>
      <c r="B641" s="13">
        <v>2.88228276625992</v>
      </c>
      <c r="C641" s="13">
        <v>3.7949999999999999</v>
      </c>
      <c r="D641" s="15">
        <f t="shared" si="63"/>
        <v>5</v>
      </c>
      <c r="E641" s="15">
        <f t="shared" si="64"/>
        <v>0.2</v>
      </c>
      <c r="F641" s="15">
        <f t="shared" si="65"/>
        <v>3</v>
      </c>
      <c r="G641" s="15">
        <f t="shared" si="66"/>
        <v>1.736245577635342</v>
      </c>
      <c r="H641" s="15">
        <f t="shared" si="67"/>
        <v>0.60000000000000009</v>
      </c>
      <c r="I641" s="15">
        <f t="shared" si="68"/>
        <v>0</v>
      </c>
      <c r="J641" s="15">
        <f t="shared" si="69"/>
        <v>0</v>
      </c>
      <c r="K641" s="15">
        <f>IF(CurrentMtgRatesDataTable8[[#This Row],[WA CC]]&lt;&gt;0,C640-CurrentMtgRatesDataTable8[[#This Row],[WA CC]],0)</f>
        <v>0</v>
      </c>
      <c r="L641" s="16">
        <f>IF(CurrentMtgRatesDataTable8[[#This Row],[Servicing Spread]]&lt;=0,L640,CurrentMtgRatesDataTable8[[#This Row],[Servicing Spread]])</f>
        <v>0.91180688712756508</v>
      </c>
      <c r="M641" s="16">
        <f>CurrentMtgRatesDataTable8[[#This Row],[Servicing Spread Non-Zero]]-L640</f>
        <v>0</v>
      </c>
      <c r="N641" s="16">
        <f>IF(J640&lt;&gt;0,CurrentMtgRatesDataTable8[[#This Row],[Rate]]-C640,N640)</f>
        <v>-5.0000000000000266E-2</v>
      </c>
    </row>
    <row r="642" spans="1:14">
      <c r="A642" s="12" t="s">
        <v>294</v>
      </c>
      <c r="B642" s="13">
        <v>2.90260596221672</v>
      </c>
      <c r="C642" s="13">
        <v>3.7949999999999999</v>
      </c>
      <c r="D642" s="15">
        <f t="shared" si="63"/>
        <v>6</v>
      </c>
      <c r="E642" s="15">
        <f t="shared" si="64"/>
        <v>0.2</v>
      </c>
      <c r="F642" s="15">
        <f t="shared" si="65"/>
        <v>4</v>
      </c>
      <c r="G642" s="15">
        <f t="shared" si="66"/>
        <v>2.316766770078686</v>
      </c>
      <c r="H642" s="15">
        <f t="shared" si="67"/>
        <v>0.8</v>
      </c>
      <c r="I642" s="15">
        <f t="shared" si="68"/>
        <v>0</v>
      </c>
      <c r="J642" s="15">
        <f t="shared" si="69"/>
        <v>0</v>
      </c>
      <c r="K642" s="15">
        <f>IF(CurrentMtgRatesDataTable8[[#This Row],[WA CC]]&lt;&gt;0,C641-CurrentMtgRatesDataTable8[[#This Row],[WA CC]],0)</f>
        <v>0</v>
      </c>
      <c r="L642" s="16">
        <f>IF(CurrentMtgRatesDataTable8[[#This Row],[Servicing Spread]]&lt;=0,L641,CurrentMtgRatesDataTable8[[#This Row],[Servicing Spread]])</f>
        <v>0.91180688712756508</v>
      </c>
      <c r="M642" s="16">
        <f>CurrentMtgRatesDataTable8[[#This Row],[Servicing Spread Non-Zero]]-L641</f>
        <v>0</v>
      </c>
      <c r="N642" s="16">
        <f>IF(J641&lt;&gt;0,CurrentMtgRatesDataTable8[[#This Row],[Rate]]-C641,N641)</f>
        <v>-5.0000000000000266E-2</v>
      </c>
    </row>
    <row r="643" spans="1:14">
      <c r="A643" s="12" t="s">
        <v>149</v>
      </c>
      <c r="B643" s="13">
        <v>2.91560839979166</v>
      </c>
      <c r="C643" s="13">
        <v>3.7949999999999999</v>
      </c>
      <c r="D643" s="15">
        <f t="shared" si="63"/>
        <v>7</v>
      </c>
      <c r="E643" s="15">
        <f t="shared" si="64"/>
        <v>0.2</v>
      </c>
      <c r="F643" s="15">
        <f t="shared" si="65"/>
        <v>5</v>
      </c>
      <c r="G643" s="15">
        <f t="shared" si="66"/>
        <v>2.8998884500370181</v>
      </c>
      <c r="H643" s="15">
        <f t="shared" si="67"/>
        <v>1</v>
      </c>
      <c r="I643" s="15">
        <f t="shared" si="68"/>
        <v>1</v>
      </c>
      <c r="J643" s="15">
        <f t="shared" si="69"/>
        <v>2.8998884500370181</v>
      </c>
      <c r="K643" s="15">
        <f>IF(CurrentMtgRatesDataTable8[[#This Row],[WA CC]]&lt;&gt;0,C642-CurrentMtgRatesDataTable8[[#This Row],[WA CC]],0)</f>
        <v>0.89511154996298181</v>
      </c>
      <c r="L643" s="16">
        <f>IF(CurrentMtgRatesDataTable8[[#This Row],[Servicing Spread]]&lt;=0,L642,CurrentMtgRatesDataTable8[[#This Row],[Servicing Spread]])</f>
        <v>0.89511154996298181</v>
      </c>
      <c r="M643" s="16">
        <f>CurrentMtgRatesDataTable8[[#This Row],[Servicing Spread Non-Zero]]-L642</f>
        <v>-1.6695337164583268E-2</v>
      </c>
      <c r="N643" s="16">
        <f>IF(J642&lt;&gt;0,CurrentMtgRatesDataTable8[[#This Row],[Rate]]-C642,N642)</f>
        <v>-5.0000000000000266E-2</v>
      </c>
    </row>
    <row r="644" spans="1:14">
      <c r="A644" s="12" t="s">
        <v>713</v>
      </c>
      <c r="B644" s="13">
        <v>2.9569729972046299</v>
      </c>
      <c r="C644" s="13">
        <v>3.855</v>
      </c>
      <c r="D644" s="15">
        <f t="shared" si="63"/>
        <v>1</v>
      </c>
      <c r="E644" s="15">
        <f t="shared" si="64"/>
        <v>0.2</v>
      </c>
      <c r="F644" s="15">
        <f t="shared" si="65"/>
        <v>1</v>
      </c>
      <c r="G644" s="15">
        <f t="shared" si="66"/>
        <v>0.59139459944092598</v>
      </c>
      <c r="H644" s="15">
        <f t="shared" si="67"/>
        <v>0.2</v>
      </c>
      <c r="I644" s="15">
        <f t="shared" si="68"/>
        <v>0</v>
      </c>
      <c r="J644" s="15">
        <f t="shared" si="69"/>
        <v>0</v>
      </c>
      <c r="K644" s="15">
        <f>IF(CurrentMtgRatesDataTable8[[#This Row],[WA CC]]&lt;&gt;0,C643-CurrentMtgRatesDataTable8[[#This Row],[WA CC]],0)</f>
        <v>0</v>
      </c>
      <c r="L644" s="16">
        <f>IF(CurrentMtgRatesDataTable8[[#This Row],[Servicing Spread]]&lt;=0,L643,CurrentMtgRatesDataTable8[[#This Row],[Servicing Spread]])</f>
        <v>0.89511154996298181</v>
      </c>
      <c r="M644" s="16">
        <f>CurrentMtgRatesDataTable8[[#This Row],[Servicing Spread Non-Zero]]-L643</f>
        <v>0</v>
      </c>
      <c r="N644" s="16">
        <f>IF(J643&lt;&gt;0,CurrentMtgRatesDataTable8[[#This Row],[Rate]]-C643,N643)</f>
        <v>6.0000000000000053E-2</v>
      </c>
    </row>
    <row r="645" spans="1:14">
      <c r="A645" s="12" t="s">
        <v>571</v>
      </c>
      <c r="B645" s="13">
        <v>2.9670641789919698</v>
      </c>
      <c r="C645" s="13">
        <v>3.855</v>
      </c>
      <c r="D645" s="15">
        <f t="shared" ref="D645:D708" si="70">WEEKDAY(A645,14)</f>
        <v>2</v>
      </c>
      <c r="E645" s="15">
        <f t="shared" ref="E645:E708" si="71">VLOOKUP(D645,Q$5:R$11,2,FALSE)</f>
        <v>0.2</v>
      </c>
      <c r="F645" s="15">
        <f t="shared" ref="F645:F708" si="72">IF(AND(D645&gt;D644,F644&lt;6),F644+1,1)</f>
        <v>2</v>
      </c>
      <c r="G645" s="15">
        <f t="shared" ref="G645:G708" si="73">IF(F645&gt;F644,G644+B645*E645,B645*E645)</f>
        <v>1.1848074352393199</v>
      </c>
      <c r="H645" s="15">
        <f t="shared" ref="H645:H708" si="74">IF(AND(F645&lt;6,F645&gt;F644),E645+H644,E645)</f>
        <v>0.4</v>
      </c>
      <c r="I645" s="15">
        <f t="shared" ref="I645:I708" si="75">IF(F645&gt;F646,1,0)</f>
        <v>0</v>
      </c>
      <c r="J645" s="15">
        <f t="shared" ref="J645:J708" si="76">IF(F645&gt;F646,G645/H645,0)</f>
        <v>0</v>
      </c>
      <c r="K645" s="15">
        <f>IF(CurrentMtgRatesDataTable8[[#This Row],[WA CC]]&lt;&gt;0,C644-CurrentMtgRatesDataTable8[[#This Row],[WA CC]],0)</f>
        <v>0</v>
      </c>
      <c r="L645" s="16">
        <f>IF(CurrentMtgRatesDataTable8[[#This Row],[Servicing Spread]]&lt;=0,L644,CurrentMtgRatesDataTable8[[#This Row],[Servicing Spread]])</f>
        <v>0.89511154996298181</v>
      </c>
      <c r="M645" s="16">
        <f>CurrentMtgRatesDataTable8[[#This Row],[Servicing Spread Non-Zero]]-L644</f>
        <v>0</v>
      </c>
      <c r="N645" s="16">
        <f>IF(J644&lt;&gt;0,CurrentMtgRatesDataTable8[[#This Row],[Rate]]-C644,N644)</f>
        <v>6.0000000000000053E-2</v>
      </c>
    </row>
    <row r="646" spans="1:14">
      <c r="A646" s="12" t="s">
        <v>424</v>
      </c>
      <c r="B646" s="13">
        <v>2.95063055740501</v>
      </c>
      <c r="C646" s="13">
        <v>3.855</v>
      </c>
      <c r="D646" s="15">
        <f t="shared" si="70"/>
        <v>5</v>
      </c>
      <c r="E646" s="15">
        <f t="shared" si="71"/>
        <v>0.2</v>
      </c>
      <c r="F646" s="15">
        <f t="shared" si="72"/>
        <v>3</v>
      </c>
      <c r="G646" s="15">
        <f t="shared" si="73"/>
        <v>1.7749335467203218</v>
      </c>
      <c r="H646" s="15">
        <f t="shared" si="74"/>
        <v>0.60000000000000009</v>
      </c>
      <c r="I646" s="15">
        <f t="shared" si="75"/>
        <v>0</v>
      </c>
      <c r="J646" s="15">
        <f t="shared" si="76"/>
        <v>0</v>
      </c>
      <c r="K646" s="15">
        <f>IF(CurrentMtgRatesDataTable8[[#This Row],[WA CC]]&lt;&gt;0,C645-CurrentMtgRatesDataTable8[[#This Row],[WA CC]],0)</f>
        <v>0</v>
      </c>
      <c r="L646" s="16">
        <f>IF(CurrentMtgRatesDataTable8[[#This Row],[Servicing Spread]]&lt;=0,L645,CurrentMtgRatesDataTable8[[#This Row],[Servicing Spread]])</f>
        <v>0.89511154996298181</v>
      </c>
      <c r="M646" s="16">
        <f>CurrentMtgRatesDataTable8[[#This Row],[Servicing Spread Non-Zero]]-L645</f>
        <v>0</v>
      </c>
      <c r="N646" s="16">
        <f>IF(J645&lt;&gt;0,CurrentMtgRatesDataTable8[[#This Row],[Rate]]-C645,N645)</f>
        <v>6.0000000000000053E-2</v>
      </c>
    </row>
    <row r="647" spans="1:14">
      <c r="A647" s="12" t="s">
        <v>295</v>
      </c>
      <c r="B647" s="13">
        <v>2.9732615646767</v>
      </c>
      <c r="C647" s="13">
        <v>3.855</v>
      </c>
      <c r="D647" s="15">
        <f t="shared" si="70"/>
        <v>6</v>
      </c>
      <c r="E647" s="15">
        <f t="shared" si="71"/>
        <v>0.2</v>
      </c>
      <c r="F647" s="15">
        <f t="shared" si="72"/>
        <v>4</v>
      </c>
      <c r="G647" s="15">
        <f t="shared" si="73"/>
        <v>2.369585859655662</v>
      </c>
      <c r="H647" s="15">
        <f t="shared" si="74"/>
        <v>0.8</v>
      </c>
      <c r="I647" s="15">
        <f t="shared" si="75"/>
        <v>0</v>
      </c>
      <c r="J647" s="15">
        <f t="shared" si="76"/>
        <v>0</v>
      </c>
      <c r="K647" s="15">
        <f>IF(CurrentMtgRatesDataTable8[[#This Row],[WA CC]]&lt;&gt;0,C646-CurrentMtgRatesDataTable8[[#This Row],[WA CC]],0)</f>
        <v>0</v>
      </c>
      <c r="L647" s="16">
        <f>IF(CurrentMtgRatesDataTable8[[#This Row],[Servicing Spread]]&lt;=0,L646,CurrentMtgRatesDataTable8[[#This Row],[Servicing Spread]])</f>
        <v>0.89511154996298181</v>
      </c>
      <c r="M647" s="16">
        <f>CurrentMtgRatesDataTable8[[#This Row],[Servicing Spread Non-Zero]]-L646</f>
        <v>0</v>
      </c>
      <c r="N647" s="16">
        <f>IF(J646&lt;&gt;0,CurrentMtgRatesDataTable8[[#This Row],[Rate]]-C646,N646)</f>
        <v>6.0000000000000053E-2</v>
      </c>
    </row>
    <row r="648" spans="1:14">
      <c r="A648" s="12" t="s">
        <v>150</v>
      </c>
      <c r="B648" s="13">
        <v>3.0090985385111702</v>
      </c>
      <c r="C648" s="13">
        <v>3.855</v>
      </c>
      <c r="D648" s="15">
        <f t="shared" si="70"/>
        <v>7</v>
      </c>
      <c r="E648" s="15">
        <f t="shared" si="71"/>
        <v>0.2</v>
      </c>
      <c r="F648" s="15">
        <f t="shared" si="72"/>
        <v>5</v>
      </c>
      <c r="G648" s="15">
        <f t="shared" si="73"/>
        <v>2.9714055673578961</v>
      </c>
      <c r="H648" s="15">
        <f t="shared" si="74"/>
        <v>1</v>
      </c>
      <c r="I648" s="15">
        <f t="shared" si="75"/>
        <v>1</v>
      </c>
      <c r="J648" s="15">
        <f t="shared" si="76"/>
        <v>2.9714055673578961</v>
      </c>
      <c r="K648" s="15">
        <f>IF(CurrentMtgRatesDataTable8[[#This Row],[WA CC]]&lt;&gt;0,C647-CurrentMtgRatesDataTable8[[#This Row],[WA CC]],0)</f>
        <v>0.88359443264210391</v>
      </c>
      <c r="L648" s="16">
        <f>IF(CurrentMtgRatesDataTable8[[#This Row],[Servicing Spread]]&lt;=0,L647,CurrentMtgRatesDataTable8[[#This Row],[Servicing Spread]])</f>
        <v>0.88359443264210391</v>
      </c>
      <c r="M648" s="16">
        <f>CurrentMtgRatesDataTable8[[#This Row],[Servicing Spread Non-Zero]]-L647</f>
        <v>-1.1517117320877901E-2</v>
      </c>
      <c r="N648" s="16">
        <f>IF(J647&lt;&gt;0,CurrentMtgRatesDataTable8[[#This Row],[Rate]]-C647,N647)</f>
        <v>6.0000000000000053E-2</v>
      </c>
    </row>
    <row r="649" spans="1:14">
      <c r="A649" s="12" t="s">
        <v>714</v>
      </c>
      <c r="B649" s="13">
        <v>2.9884141965756501</v>
      </c>
      <c r="C649" s="13">
        <v>3.8949999999999996</v>
      </c>
      <c r="D649" s="15">
        <f t="shared" si="70"/>
        <v>1</v>
      </c>
      <c r="E649" s="15">
        <f t="shared" si="71"/>
        <v>0.2</v>
      </c>
      <c r="F649" s="15">
        <f t="shared" si="72"/>
        <v>1</v>
      </c>
      <c r="G649" s="15">
        <f t="shared" si="73"/>
        <v>0.59768283931513</v>
      </c>
      <c r="H649" s="15">
        <f t="shared" si="74"/>
        <v>0.2</v>
      </c>
      <c r="I649" s="15">
        <f t="shared" si="75"/>
        <v>0</v>
      </c>
      <c r="J649" s="15">
        <f t="shared" si="76"/>
        <v>0</v>
      </c>
      <c r="K649" s="15">
        <f>IF(CurrentMtgRatesDataTable8[[#This Row],[WA CC]]&lt;&gt;0,C648-CurrentMtgRatesDataTable8[[#This Row],[WA CC]],0)</f>
        <v>0</v>
      </c>
      <c r="L649" s="16">
        <f>IF(CurrentMtgRatesDataTable8[[#This Row],[Servicing Spread]]&lt;=0,L648,CurrentMtgRatesDataTable8[[#This Row],[Servicing Spread]])</f>
        <v>0.88359443264210391</v>
      </c>
      <c r="M649" s="16">
        <f>CurrentMtgRatesDataTable8[[#This Row],[Servicing Spread Non-Zero]]-L648</f>
        <v>0</v>
      </c>
      <c r="N649" s="16">
        <f>IF(J648&lt;&gt;0,CurrentMtgRatesDataTable8[[#This Row],[Rate]]-C648,N648)</f>
        <v>3.9999999999999591E-2</v>
      </c>
    </row>
    <row r="650" spans="1:14">
      <c r="A650" s="12" t="s">
        <v>572</v>
      </c>
      <c r="B650" s="13">
        <v>3.0097405474457601</v>
      </c>
      <c r="C650" s="13">
        <v>3.8949999999999996</v>
      </c>
      <c r="D650" s="15">
        <f t="shared" si="70"/>
        <v>2</v>
      </c>
      <c r="E650" s="15">
        <f t="shared" si="71"/>
        <v>0.2</v>
      </c>
      <c r="F650" s="15">
        <f t="shared" si="72"/>
        <v>2</v>
      </c>
      <c r="G650" s="15">
        <f t="shared" si="73"/>
        <v>1.1996309488042822</v>
      </c>
      <c r="H650" s="15">
        <f t="shared" si="74"/>
        <v>0.4</v>
      </c>
      <c r="I650" s="15">
        <f t="shared" si="75"/>
        <v>0</v>
      </c>
      <c r="J650" s="15">
        <f t="shared" si="76"/>
        <v>0</v>
      </c>
      <c r="K650" s="15">
        <f>IF(CurrentMtgRatesDataTable8[[#This Row],[WA CC]]&lt;&gt;0,C649-CurrentMtgRatesDataTable8[[#This Row],[WA CC]],0)</f>
        <v>0</v>
      </c>
      <c r="L650" s="16">
        <f>IF(CurrentMtgRatesDataTable8[[#This Row],[Servicing Spread]]&lt;=0,L649,CurrentMtgRatesDataTable8[[#This Row],[Servicing Spread]])</f>
        <v>0.88359443264210391</v>
      </c>
      <c r="M650" s="16">
        <f>CurrentMtgRatesDataTable8[[#This Row],[Servicing Spread Non-Zero]]-L649</f>
        <v>0</v>
      </c>
      <c r="N650" s="16">
        <f>IF(J649&lt;&gt;0,CurrentMtgRatesDataTable8[[#This Row],[Rate]]-C649,N649)</f>
        <v>3.9999999999999591E-2</v>
      </c>
    </row>
    <row r="651" spans="1:14">
      <c r="A651" s="12" t="s">
        <v>425</v>
      </c>
      <c r="B651" s="13">
        <v>3.04727792085342</v>
      </c>
      <c r="C651" s="13">
        <v>3.8949999999999996</v>
      </c>
      <c r="D651" s="15">
        <f t="shared" si="70"/>
        <v>5</v>
      </c>
      <c r="E651" s="15">
        <f t="shared" si="71"/>
        <v>0.2</v>
      </c>
      <c r="F651" s="15">
        <f t="shared" si="72"/>
        <v>3</v>
      </c>
      <c r="G651" s="15">
        <f t="shared" si="73"/>
        <v>1.8090865329749661</v>
      </c>
      <c r="H651" s="15">
        <f t="shared" si="74"/>
        <v>0.60000000000000009</v>
      </c>
      <c r="I651" s="15">
        <f t="shared" si="75"/>
        <v>0</v>
      </c>
      <c r="J651" s="15">
        <f t="shared" si="76"/>
        <v>0</v>
      </c>
      <c r="K651" s="15">
        <f>IF(CurrentMtgRatesDataTable8[[#This Row],[WA CC]]&lt;&gt;0,C650-CurrentMtgRatesDataTable8[[#This Row],[WA CC]],0)</f>
        <v>0</v>
      </c>
      <c r="L651" s="16">
        <f>IF(CurrentMtgRatesDataTable8[[#This Row],[Servicing Spread]]&lt;=0,L650,CurrentMtgRatesDataTable8[[#This Row],[Servicing Spread]])</f>
        <v>0.88359443264210391</v>
      </c>
      <c r="M651" s="16">
        <f>CurrentMtgRatesDataTable8[[#This Row],[Servicing Spread Non-Zero]]-L650</f>
        <v>0</v>
      </c>
      <c r="N651" s="16">
        <f>IF(J650&lt;&gt;0,CurrentMtgRatesDataTable8[[#This Row],[Rate]]-C650,N650)</f>
        <v>3.9999999999999591E-2</v>
      </c>
    </row>
    <row r="652" spans="1:14">
      <c r="A652" s="12" t="s">
        <v>296</v>
      </c>
      <c r="B652" s="13">
        <v>3.0442418004482401</v>
      </c>
      <c r="C652" s="13">
        <v>3.8949999999999996</v>
      </c>
      <c r="D652" s="15">
        <f t="shared" si="70"/>
        <v>6</v>
      </c>
      <c r="E652" s="15">
        <f t="shared" si="71"/>
        <v>0.2</v>
      </c>
      <c r="F652" s="15">
        <f t="shared" si="72"/>
        <v>4</v>
      </c>
      <c r="G652" s="15">
        <f t="shared" si="73"/>
        <v>2.4179348930646141</v>
      </c>
      <c r="H652" s="15">
        <f t="shared" si="74"/>
        <v>0.8</v>
      </c>
      <c r="I652" s="15">
        <f t="shared" si="75"/>
        <v>0</v>
      </c>
      <c r="J652" s="15">
        <f t="shared" si="76"/>
        <v>0</v>
      </c>
      <c r="K652" s="15">
        <f>IF(CurrentMtgRatesDataTable8[[#This Row],[WA CC]]&lt;&gt;0,C651-CurrentMtgRatesDataTable8[[#This Row],[WA CC]],0)</f>
        <v>0</v>
      </c>
      <c r="L652" s="16">
        <f>IF(CurrentMtgRatesDataTable8[[#This Row],[Servicing Spread]]&lt;=0,L651,CurrentMtgRatesDataTable8[[#This Row],[Servicing Spread]])</f>
        <v>0.88359443264210391</v>
      </c>
      <c r="M652" s="16">
        <f>CurrentMtgRatesDataTable8[[#This Row],[Servicing Spread Non-Zero]]-L651</f>
        <v>0</v>
      </c>
      <c r="N652" s="16">
        <f>IF(J651&lt;&gt;0,CurrentMtgRatesDataTable8[[#This Row],[Rate]]-C651,N651)</f>
        <v>3.9999999999999591E-2</v>
      </c>
    </row>
    <row r="653" spans="1:14">
      <c r="A653" s="12" t="s">
        <v>151</v>
      </c>
      <c r="B653" s="13">
        <v>3.04444949772784</v>
      </c>
      <c r="C653" s="13">
        <v>3.8949999999999996</v>
      </c>
      <c r="D653" s="15">
        <f t="shared" si="70"/>
        <v>7</v>
      </c>
      <c r="E653" s="15">
        <f t="shared" si="71"/>
        <v>0.2</v>
      </c>
      <c r="F653" s="15">
        <f t="shared" si="72"/>
        <v>5</v>
      </c>
      <c r="G653" s="15">
        <f t="shared" si="73"/>
        <v>3.0268247926101823</v>
      </c>
      <c r="H653" s="15">
        <f t="shared" si="74"/>
        <v>1</v>
      </c>
      <c r="I653" s="15">
        <f t="shared" si="75"/>
        <v>1</v>
      </c>
      <c r="J653" s="15">
        <f t="shared" si="76"/>
        <v>3.0268247926101823</v>
      </c>
      <c r="K653" s="15">
        <f>IF(CurrentMtgRatesDataTable8[[#This Row],[WA CC]]&lt;&gt;0,C652-CurrentMtgRatesDataTable8[[#This Row],[WA CC]],0)</f>
        <v>0.86817520738981724</v>
      </c>
      <c r="L653" s="16">
        <f>IF(CurrentMtgRatesDataTable8[[#This Row],[Servicing Spread]]&lt;=0,L652,CurrentMtgRatesDataTable8[[#This Row],[Servicing Spread]])</f>
        <v>0.86817520738981724</v>
      </c>
      <c r="M653" s="16">
        <f>CurrentMtgRatesDataTable8[[#This Row],[Servicing Spread Non-Zero]]-L652</f>
        <v>-1.5419225252286672E-2</v>
      </c>
      <c r="N653" s="16">
        <f>IF(J652&lt;&gt;0,CurrentMtgRatesDataTable8[[#This Row],[Rate]]-C652,N652)</f>
        <v>3.9999999999999591E-2</v>
      </c>
    </row>
    <row r="654" spans="1:14">
      <c r="A654" s="12" t="s">
        <v>715</v>
      </c>
      <c r="B654" s="13">
        <v>3.05201083744713</v>
      </c>
      <c r="C654" s="13">
        <v>3.8849999999999998</v>
      </c>
      <c r="D654" s="15">
        <f t="shared" si="70"/>
        <v>1</v>
      </c>
      <c r="E654" s="15">
        <f t="shared" si="71"/>
        <v>0.2</v>
      </c>
      <c r="F654" s="15">
        <f t="shared" si="72"/>
        <v>1</v>
      </c>
      <c r="G654" s="15">
        <f t="shared" si="73"/>
        <v>0.610402167489426</v>
      </c>
      <c r="H654" s="15">
        <f t="shared" si="74"/>
        <v>0.2</v>
      </c>
      <c r="I654" s="15">
        <f t="shared" si="75"/>
        <v>0</v>
      </c>
      <c r="J654" s="15">
        <f t="shared" si="76"/>
        <v>0</v>
      </c>
      <c r="K654" s="15">
        <f>IF(CurrentMtgRatesDataTable8[[#This Row],[WA CC]]&lt;&gt;0,C653-CurrentMtgRatesDataTable8[[#This Row],[WA CC]],0)</f>
        <v>0</v>
      </c>
      <c r="L654" s="16">
        <f>IF(CurrentMtgRatesDataTable8[[#This Row],[Servicing Spread]]&lt;=0,L653,CurrentMtgRatesDataTable8[[#This Row],[Servicing Spread]])</f>
        <v>0.86817520738981724</v>
      </c>
      <c r="M654" s="16">
        <f>CurrentMtgRatesDataTable8[[#This Row],[Servicing Spread Non-Zero]]-L653</f>
        <v>0</v>
      </c>
      <c r="N654" s="16">
        <f>IF(J653&lt;&gt;0,CurrentMtgRatesDataTable8[[#This Row],[Rate]]-C653,N653)</f>
        <v>-9.9999999999997868E-3</v>
      </c>
    </row>
    <row r="655" spans="1:14">
      <c r="A655" s="12" t="s">
        <v>573</v>
      </c>
      <c r="B655" s="13">
        <v>3.00136099640791</v>
      </c>
      <c r="C655" s="13">
        <v>3.8849999999999998</v>
      </c>
      <c r="D655" s="15">
        <f t="shared" si="70"/>
        <v>2</v>
      </c>
      <c r="E655" s="15">
        <f t="shared" si="71"/>
        <v>0.2</v>
      </c>
      <c r="F655" s="15">
        <f t="shared" si="72"/>
        <v>2</v>
      </c>
      <c r="G655" s="15">
        <f t="shared" si="73"/>
        <v>1.210674366771008</v>
      </c>
      <c r="H655" s="15">
        <f t="shared" si="74"/>
        <v>0.4</v>
      </c>
      <c r="I655" s="15">
        <f t="shared" si="75"/>
        <v>0</v>
      </c>
      <c r="J655" s="15">
        <f t="shared" si="76"/>
        <v>0</v>
      </c>
      <c r="K655" s="15">
        <f>IF(CurrentMtgRatesDataTable8[[#This Row],[WA CC]]&lt;&gt;0,C654-CurrentMtgRatesDataTable8[[#This Row],[WA CC]],0)</f>
        <v>0</v>
      </c>
      <c r="L655" s="16">
        <f>IF(CurrentMtgRatesDataTable8[[#This Row],[Servicing Spread]]&lt;=0,L654,CurrentMtgRatesDataTable8[[#This Row],[Servicing Spread]])</f>
        <v>0.86817520738981724</v>
      </c>
      <c r="M655" s="16">
        <f>CurrentMtgRatesDataTable8[[#This Row],[Servicing Spread Non-Zero]]-L654</f>
        <v>0</v>
      </c>
      <c r="N655" s="16">
        <f>IF(J654&lt;&gt;0,CurrentMtgRatesDataTable8[[#This Row],[Rate]]-C654,N654)</f>
        <v>-9.9999999999997868E-3</v>
      </c>
    </row>
    <row r="656" spans="1:14">
      <c r="A656" s="12" t="s">
        <v>426</v>
      </c>
      <c r="B656" s="13">
        <v>3.0363365323845302</v>
      </c>
      <c r="C656" s="13">
        <v>3.8849999999999998</v>
      </c>
      <c r="D656" s="15">
        <f t="shared" si="70"/>
        <v>5</v>
      </c>
      <c r="E656" s="15">
        <f t="shared" si="71"/>
        <v>0.2</v>
      </c>
      <c r="F656" s="15">
        <f t="shared" si="72"/>
        <v>3</v>
      </c>
      <c r="G656" s="15">
        <f t="shared" si="73"/>
        <v>1.8179416732479141</v>
      </c>
      <c r="H656" s="15">
        <f t="shared" si="74"/>
        <v>0.60000000000000009</v>
      </c>
      <c r="I656" s="15">
        <f t="shared" si="75"/>
        <v>0</v>
      </c>
      <c r="J656" s="15">
        <f t="shared" si="76"/>
        <v>0</v>
      </c>
      <c r="K656" s="15">
        <f>IF(CurrentMtgRatesDataTable8[[#This Row],[WA CC]]&lt;&gt;0,C655-CurrentMtgRatesDataTable8[[#This Row],[WA CC]],0)</f>
        <v>0</v>
      </c>
      <c r="L656" s="16">
        <f>IF(CurrentMtgRatesDataTable8[[#This Row],[Servicing Spread]]&lt;=0,L655,CurrentMtgRatesDataTable8[[#This Row],[Servicing Spread]])</f>
        <v>0.86817520738981724</v>
      </c>
      <c r="M656" s="16">
        <f>CurrentMtgRatesDataTable8[[#This Row],[Servicing Spread Non-Zero]]-L655</f>
        <v>0</v>
      </c>
      <c r="N656" s="16">
        <f>IF(J655&lt;&gt;0,CurrentMtgRatesDataTable8[[#This Row],[Rate]]-C655,N655)</f>
        <v>-9.9999999999997868E-3</v>
      </c>
    </row>
    <row r="657" spans="1:14">
      <c r="A657" s="12" t="s">
        <v>152</v>
      </c>
      <c r="B657" s="13">
        <v>3.03648433223462</v>
      </c>
      <c r="C657" s="13">
        <v>3.8849999999999998</v>
      </c>
      <c r="D657" s="15">
        <f t="shared" si="70"/>
        <v>7</v>
      </c>
      <c r="E657" s="15">
        <f t="shared" si="71"/>
        <v>0.2</v>
      </c>
      <c r="F657" s="15">
        <f t="shared" si="72"/>
        <v>4</v>
      </c>
      <c r="G657" s="15">
        <f t="shared" si="73"/>
        <v>2.4252385396948384</v>
      </c>
      <c r="H657" s="15">
        <f t="shared" si="74"/>
        <v>0.8</v>
      </c>
      <c r="I657" s="15">
        <f t="shared" si="75"/>
        <v>1</v>
      </c>
      <c r="J657" s="15">
        <f t="shared" si="76"/>
        <v>3.031548174618548</v>
      </c>
      <c r="K657" s="15">
        <f>IF(CurrentMtgRatesDataTable8[[#This Row],[WA CC]]&lt;&gt;0,C656-CurrentMtgRatesDataTable8[[#This Row],[WA CC]],0)</f>
        <v>0.85345182538145181</v>
      </c>
      <c r="L657" s="16">
        <f>IF(CurrentMtgRatesDataTable8[[#This Row],[Servicing Spread]]&lt;=0,L656,CurrentMtgRatesDataTable8[[#This Row],[Servicing Spread]])</f>
        <v>0.85345182538145181</v>
      </c>
      <c r="M657" s="16">
        <f>CurrentMtgRatesDataTable8[[#This Row],[Servicing Spread Non-Zero]]-L656</f>
        <v>-1.4723382008365427E-2</v>
      </c>
      <c r="N657" s="16">
        <f>IF(J656&lt;&gt;0,CurrentMtgRatesDataTable8[[#This Row],[Rate]]-C656,N656)</f>
        <v>-9.9999999999997868E-3</v>
      </c>
    </row>
    <row r="658" spans="1:14">
      <c r="A658" s="12" t="s">
        <v>716</v>
      </c>
      <c r="B658" s="13">
        <v>3.0240880311784402</v>
      </c>
      <c r="C658" s="13">
        <v>3.8650000000000002</v>
      </c>
      <c r="D658" s="15">
        <f t="shared" si="70"/>
        <v>1</v>
      </c>
      <c r="E658" s="15">
        <f t="shared" si="71"/>
        <v>0.2</v>
      </c>
      <c r="F658" s="15">
        <f t="shared" si="72"/>
        <v>1</v>
      </c>
      <c r="G658" s="15">
        <f t="shared" si="73"/>
        <v>0.60481760623568803</v>
      </c>
      <c r="H658" s="15">
        <f t="shared" si="74"/>
        <v>0.2</v>
      </c>
      <c r="I658" s="15">
        <f t="shared" si="75"/>
        <v>0</v>
      </c>
      <c r="J658" s="15">
        <f t="shared" si="76"/>
        <v>0</v>
      </c>
      <c r="K658" s="15">
        <f>IF(CurrentMtgRatesDataTable8[[#This Row],[WA CC]]&lt;&gt;0,C657-CurrentMtgRatesDataTable8[[#This Row],[WA CC]],0)</f>
        <v>0</v>
      </c>
      <c r="L658" s="16">
        <f>IF(CurrentMtgRatesDataTable8[[#This Row],[Servicing Spread]]&lt;=0,L657,CurrentMtgRatesDataTable8[[#This Row],[Servicing Spread]])</f>
        <v>0.85345182538145181</v>
      </c>
      <c r="M658" s="16">
        <f>CurrentMtgRatesDataTable8[[#This Row],[Servicing Spread Non-Zero]]-L657</f>
        <v>0</v>
      </c>
      <c r="N658" s="16">
        <f>IF(J657&lt;&gt;0,CurrentMtgRatesDataTable8[[#This Row],[Rate]]-C657,N657)</f>
        <v>-1.9999999999999574E-2</v>
      </c>
    </row>
    <row r="659" spans="1:14">
      <c r="A659" s="12" t="s">
        <v>574</v>
      </c>
      <c r="B659" s="13">
        <v>2.9883080633805301</v>
      </c>
      <c r="C659" s="13">
        <v>3.8650000000000002</v>
      </c>
      <c r="D659" s="15">
        <f t="shared" si="70"/>
        <v>2</v>
      </c>
      <c r="E659" s="15">
        <f t="shared" si="71"/>
        <v>0.2</v>
      </c>
      <c r="F659" s="15">
        <f t="shared" si="72"/>
        <v>2</v>
      </c>
      <c r="G659" s="15">
        <f t="shared" si="73"/>
        <v>1.2024792189117941</v>
      </c>
      <c r="H659" s="15">
        <f t="shared" si="74"/>
        <v>0.4</v>
      </c>
      <c r="I659" s="15">
        <f t="shared" si="75"/>
        <v>0</v>
      </c>
      <c r="J659" s="15">
        <f t="shared" si="76"/>
        <v>0</v>
      </c>
      <c r="K659" s="15">
        <f>IF(CurrentMtgRatesDataTable8[[#This Row],[WA CC]]&lt;&gt;0,C658-CurrentMtgRatesDataTable8[[#This Row],[WA CC]],0)</f>
        <v>0</v>
      </c>
      <c r="L659" s="16">
        <f>IF(CurrentMtgRatesDataTable8[[#This Row],[Servicing Spread]]&lt;=0,L658,CurrentMtgRatesDataTable8[[#This Row],[Servicing Spread]])</f>
        <v>0.85345182538145181</v>
      </c>
      <c r="M659" s="16">
        <f>CurrentMtgRatesDataTable8[[#This Row],[Servicing Spread Non-Zero]]-L658</f>
        <v>0</v>
      </c>
      <c r="N659" s="16">
        <f>IF(J658&lt;&gt;0,CurrentMtgRatesDataTable8[[#This Row],[Rate]]-C658,N658)</f>
        <v>-1.9999999999999574E-2</v>
      </c>
    </row>
    <row r="660" spans="1:14">
      <c r="A660" s="12" t="s">
        <v>427</v>
      </c>
      <c r="B660" s="13">
        <v>2.9940977333827501</v>
      </c>
      <c r="C660" s="13">
        <v>3.8650000000000002</v>
      </c>
      <c r="D660" s="15">
        <f t="shared" si="70"/>
        <v>5</v>
      </c>
      <c r="E660" s="15">
        <f t="shared" si="71"/>
        <v>0.2</v>
      </c>
      <c r="F660" s="15">
        <f t="shared" si="72"/>
        <v>3</v>
      </c>
      <c r="G660" s="15">
        <f t="shared" si="73"/>
        <v>1.8012987655883441</v>
      </c>
      <c r="H660" s="15">
        <f t="shared" si="74"/>
        <v>0.60000000000000009</v>
      </c>
      <c r="I660" s="15">
        <f t="shared" si="75"/>
        <v>0</v>
      </c>
      <c r="J660" s="15">
        <f t="shared" si="76"/>
        <v>0</v>
      </c>
      <c r="K660" s="15">
        <f>IF(CurrentMtgRatesDataTable8[[#This Row],[WA CC]]&lt;&gt;0,C659-CurrentMtgRatesDataTable8[[#This Row],[WA CC]],0)</f>
        <v>0</v>
      </c>
      <c r="L660" s="16">
        <f>IF(CurrentMtgRatesDataTable8[[#This Row],[Servicing Spread]]&lt;=0,L659,CurrentMtgRatesDataTable8[[#This Row],[Servicing Spread]])</f>
        <v>0.85345182538145181</v>
      </c>
      <c r="M660" s="16">
        <f>CurrentMtgRatesDataTable8[[#This Row],[Servicing Spread Non-Zero]]-L659</f>
        <v>0</v>
      </c>
      <c r="N660" s="16">
        <f>IF(J659&lt;&gt;0,CurrentMtgRatesDataTable8[[#This Row],[Rate]]-C659,N659)</f>
        <v>-1.9999999999999574E-2</v>
      </c>
    </row>
    <row r="661" spans="1:14">
      <c r="A661" s="12" t="s">
        <v>297</v>
      </c>
      <c r="B661" s="13">
        <v>2.98225794262494</v>
      </c>
      <c r="C661" s="13">
        <v>3.8650000000000002</v>
      </c>
      <c r="D661" s="15">
        <f t="shared" si="70"/>
        <v>6</v>
      </c>
      <c r="E661" s="15">
        <f t="shared" si="71"/>
        <v>0.2</v>
      </c>
      <c r="F661" s="15">
        <f t="shared" si="72"/>
        <v>4</v>
      </c>
      <c r="G661" s="15">
        <f t="shared" si="73"/>
        <v>2.3977503541133323</v>
      </c>
      <c r="H661" s="15">
        <f t="shared" si="74"/>
        <v>0.8</v>
      </c>
      <c r="I661" s="15">
        <f t="shared" si="75"/>
        <v>0</v>
      </c>
      <c r="J661" s="15">
        <f t="shared" si="76"/>
        <v>0</v>
      </c>
      <c r="K661" s="15">
        <f>IF(CurrentMtgRatesDataTable8[[#This Row],[WA CC]]&lt;&gt;0,C660-CurrentMtgRatesDataTable8[[#This Row],[WA CC]],0)</f>
        <v>0</v>
      </c>
      <c r="L661" s="16">
        <f>IF(CurrentMtgRatesDataTable8[[#This Row],[Servicing Spread]]&lt;=0,L660,CurrentMtgRatesDataTable8[[#This Row],[Servicing Spread]])</f>
        <v>0.85345182538145181</v>
      </c>
      <c r="M661" s="16">
        <f>CurrentMtgRatesDataTable8[[#This Row],[Servicing Spread Non-Zero]]-L660</f>
        <v>0</v>
      </c>
      <c r="N661" s="16">
        <f>IF(J660&lt;&gt;0,CurrentMtgRatesDataTable8[[#This Row],[Rate]]-C660,N660)</f>
        <v>-1.9999999999999574E-2</v>
      </c>
    </row>
    <row r="662" spans="1:14">
      <c r="A662" s="12" t="s">
        <v>153</v>
      </c>
      <c r="B662" s="13">
        <v>3.0039537946355401</v>
      </c>
      <c r="C662" s="13">
        <v>3.8650000000000002</v>
      </c>
      <c r="D662" s="15">
        <f t="shared" si="70"/>
        <v>7</v>
      </c>
      <c r="E662" s="15">
        <f t="shared" si="71"/>
        <v>0.2</v>
      </c>
      <c r="F662" s="15">
        <f t="shared" si="72"/>
        <v>5</v>
      </c>
      <c r="G662" s="15">
        <f t="shared" si="73"/>
        <v>2.9985411130404405</v>
      </c>
      <c r="H662" s="15">
        <f t="shared" si="74"/>
        <v>1</v>
      </c>
      <c r="I662" s="15">
        <f t="shared" si="75"/>
        <v>1</v>
      </c>
      <c r="J662" s="15">
        <f t="shared" si="76"/>
        <v>2.9985411130404405</v>
      </c>
      <c r="K662" s="15">
        <f>IF(CurrentMtgRatesDataTable8[[#This Row],[WA CC]]&lt;&gt;0,C661-CurrentMtgRatesDataTable8[[#This Row],[WA CC]],0)</f>
        <v>0.86645888695955975</v>
      </c>
      <c r="L662" s="16">
        <f>IF(CurrentMtgRatesDataTable8[[#This Row],[Servicing Spread]]&lt;=0,L661,CurrentMtgRatesDataTable8[[#This Row],[Servicing Spread]])</f>
        <v>0.86645888695955975</v>
      </c>
      <c r="M662" s="16">
        <f>CurrentMtgRatesDataTable8[[#This Row],[Servicing Spread Non-Zero]]-L661</f>
        <v>1.3007061578107937E-2</v>
      </c>
      <c r="N662" s="16">
        <f>IF(J661&lt;&gt;0,CurrentMtgRatesDataTable8[[#This Row],[Rate]]-C661,N661)</f>
        <v>-1.9999999999999574E-2</v>
      </c>
    </row>
    <row r="663" spans="1:14">
      <c r="A663" s="12" t="s">
        <v>575</v>
      </c>
      <c r="B663" s="13">
        <v>2.9824542230370898</v>
      </c>
      <c r="C663" s="13">
        <v>3.8450000000000002</v>
      </c>
      <c r="D663" s="15">
        <f t="shared" si="70"/>
        <v>1</v>
      </c>
      <c r="E663" s="15">
        <f t="shared" si="71"/>
        <v>0.2</v>
      </c>
      <c r="F663" s="15">
        <f t="shared" si="72"/>
        <v>1</v>
      </c>
      <c r="G663" s="15">
        <f t="shared" si="73"/>
        <v>0.59649084460741797</v>
      </c>
      <c r="H663" s="15">
        <f t="shared" si="74"/>
        <v>0.2</v>
      </c>
      <c r="I663" s="15">
        <f t="shared" si="75"/>
        <v>0</v>
      </c>
      <c r="J663" s="15">
        <f t="shared" si="76"/>
        <v>0</v>
      </c>
      <c r="K663" s="15">
        <f>IF(CurrentMtgRatesDataTable8[[#This Row],[WA CC]]&lt;&gt;0,C662-CurrentMtgRatesDataTable8[[#This Row],[WA CC]],0)</f>
        <v>0</v>
      </c>
      <c r="L663" s="16">
        <f>IF(CurrentMtgRatesDataTable8[[#This Row],[Servicing Spread]]&lt;=0,L662,CurrentMtgRatesDataTable8[[#This Row],[Servicing Spread]])</f>
        <v>0.86645888695955975</v>
      </c>
      <c r="M663" s="16">
        <f>CurrentMtgRatesDataTable8[[#This Row],[Servicing Spread Non-Zero]]-L662</f>
        <v>0</v>
      </c>
      <c r="N663" s="16">
        <f>IF(J662&lt;&gt;0,CurrentMtgRatesDataTable8[[#This Row],[Rate]]-C662,N662)</f>
        <v>-2.0000000000000018E-2</v>
      </c>
    </row>
    <row r="664" spans="1:14">
      <c r="A664" s="12" t="s">
        <v>438</v>
      </c>
      <c r="B664" s="13">
        <v>2.96503071609644</v>
      </c>
      <c r="C664" s="13">
        <v>3.8450000000000002</v>
      </c>
      <c r="D664" s="15">
        <f t="shared" si="70"/>
        <v>2</v>
      </c>
      <c r="E664" s="15">
        <f t="shared" si="71"/>
        <v>0.2</v>
      </c>
      <c r="F664" s="15">
        <f t="shared" si="72"/>
        <v>2</v>
      </c>
      <c r="G664" s="15">
        <f t="shared" si="73"/>
        <v>1.1894969878267059</v>
      </c>
      <c r="H664" s="15">
        <f t="shared" si="74"/>
        <v>0.4</v>
      </c>
      <c r="I664" s="15">
        <f t="shared" si="75"/>
        <v>0</v>
      </c>
      <c r="J664" s="15">
        <f t="shared" si="76"/>
        <v>0</v>
      </c>
      <c r="K664" s="15">
        <f>IF(CurrentMtgRatesDataTable8[[#This Row],[WA CC]]&lt;&gt;0,C663-CurrentMtgRatesDataTable8[[#This Row],[WA CC]],0)</f>
        <v>0</v>
      </c>
      <c r="L664" s="16">
        <f>IF(CurrentMtgRatesDataTable8[[#This Row],[Servicing Spread]]&lt;=0,L663,CurrentMtgRatesDataTable8[[#This Row],[Servicing Spread]])</f>
        <v>0.86645888695955975</v>
      </c>
      <c r="M664" s="16">
        <f>CurrentMtgRatesDataTable8[[#This Row],[Servicing Spread Non-Zero]]-L663</f>
        <v>0</v>
      </c>
      <c r="N664" s="16">
        <f>IF(J663&lt;&gt;0,CurrentMtgRatesDataTable8[[#This Row],[Rate]]-C663,N663)</f>
        <v>-2.0000000000000018E-2</v>
      </c>
    </row>
    <row r="665" spans="1:14">
      <c r="A665" s="12" t="s">
        <v>298</v>
      </c>
      <c r="B665" s="13">
        <v>2.9533754292471799</v>
      </c>
      <c r="C665" s="13">
        <v>3.8450000000000002</v>
      </c>
      <c r="D665" s="15">
        <f t="shared" si="70"/>
        <v>5</v>
      </c>
      <c r="E665" s="15">
        <f t="shared" si="71"/>
        <v>0.2</v>
      </c>
      <c r="F665" s="15">
        <f t="shared" si="72"/>
        <v>3</v>
      </c>
      <c r="G665" s="15">
        <f t="shared" si="73"/>
        <v>1.7801720736761419</v>
      </c>
      <c r="H665" s="15">
        <f t="shared" si="74"/>
        <v>0.60000000000000009</v>
      </c>
      <c r="I665" s="15">
        <f t="shared" si="75"/>
        <v>0</v>
      </c>
      <c r="J665" s="15">
        <f t="shared" si="76"/>
        <v>0</v>
      </c>
      <c r="K665" s="15">
        <f>IF(CurrentMtgRatesDataTable8[[#This Row],[WA CC]]&lt;&gt;0,C664-CurrentMtgRatesDataTable8[[#This Row],[WA CC]],0)</f>
        <v>0</v>
      </c>
      <c r="L665" s="16">
        <f>IF(CurrentMtgRatesDataTable8[[#This Row],[Servicing Spread]]&lt;=0,L664,CurrentMtgRatesDataTable8[[#This Row],[Servicing Spread]])</f>
        <v>0.86645888695955975</v>
      </c>
      <c r="M665" s="16">
        <f>CurrentMtgRatesDataTable8[[#This Row],[Servicing Spread Non-Zero]]-L664</f>
        <v>0</v>
      </c>
      <c r="N665" s="16">
        <f>IF(J664&lt;&gt;0,CurrentMtgRatesDataTable8[[#This Row],[Rate]]-C664,N664)</f>
        <v>-2.0000000000000018E-2</v>
      </c>
    </row>
    <row r="666" spans="1:14">
      <c r="A666" s="12" t="s">
        <v>154</v>
      </c>
      <c r="B666" s="13">
        <v>2.8987235748393099</v>
      </c>
      <c r="C666" s="13">
        <v>3.8450000000000002</v>
      </c>
      <c r="D666" s="15">
        <f t="shared" si="70"/>
        <v>6</v>
      </c>
      <c r="E666" s="15">
        <f t="shared" si="71"/>
        <v>0.2</v>
      </c>
      <c r="F666" s="15">
        <f t="shared" si="72"/>
        <v>4</v>
      </c>
      <c r="G666" s="15">
        <f t="shared" si="73"/>
        <v>2.359916788644004</v>
      </c>
      <c r="H666" s="15">
        <f t="shared" si="74"/>
        <v>0.8</v>
      </c>
      <c r="I666" s="15">
        <f t="shared" si="75"/>
        <v>0</v>
      </c>
      <c r="J666" s="15">
        <f t="shared" si="76"/>
        <v>0</v>
      </c>
      <c r="K666" s="15">
        <f>IF(CurrentMtgRatesDataTable8[[#This Row],[WA CC]]&lt;&gt;0,C665-CurrentMtgRatesDataTable8[[#This Row],[WA CC]],0)</f>
        <v>0</v>
      </c>
      <c r="L666" s="16">
        <f>IF(CurrentMtgRatesDataTable8[[#This Row],[Servicing Spread]]&lt;=0,L665,CurrentMtgRatesDataTable8[[#This Row],[Servicing Spread]])</f>
        <v>0.86645888695955975</v>
      </c>
      <c r="M666" s="16">
        <f>CurrentMtgRatesDataTable8[[#This Row],[Servicing Spread Non-Zero]]-L665</f>
        <v>0</v>
      </c>
      <c r="N666" s="16">
        <f>IF(J665&lt;&gt;0,CurrentMtgRatesDataTable8[[#This Row],[Rate]]-C665,N665)</f>
        <v>-2.0000000000000018E-2</v>
      </c>
    </row>
    <row r="667" spans="1:14">
      <c r="A667" s="12" t="s">
        <v>984</v>
      </c>
      <c r="B667" s="13">
        <v>2.8840952878375998</v>
      </c>
      <c r="C667" s="13">
        <v>3.8450000000000002</v>
      </c>
      <c r="D667" s="15">
        <f t="shared" si="70"/>
        <v>7</v>
      </c>
      <c r="E667" s="15">
        <f t="shared" si="71"/>
        <v>0.2</v>
      </c>
      <c r="F667" s="15">
        <f t="shared" si="72"/>
        <v>5</v>
      </c>
      <c r="G667" s="15">
        <f t="shared" si="73"/>
        <v>2.9367358462115241</v>
      </c>
      <c r="H667" s="15">
        <f t="shared" si="74"/>
        <v>1</v>
      </c>
      <c r="I667" s="15">
        <f t="shared" si="75"/>
        <v>1</v>
      </c>
      <c r="J667" s="15">
        <f t="shared" si="76"/>
        <v>2.9367358462115241</v>
      </c>
      <c r="K667" s="15">
        <f>IF(CurrentMtgRatesDataTable8[[#This Row],[WA CC]]&lt;&gt;0,C666-CurrentMtgRatesDataTable8[[#This Row],[WA CC]],0)</f>
        <v>0.90826415378847614</v>
      </c>
      <c r="L667" s="16">
        <f>IF(CurrentMtgRatesDataTable8[[#This Row],[Servicing Spread]]&lt;=0,L666,CurrentMtgRatesDataTable8[[#This Row],[Servicing Spread]])</f>
        <v>0.90826415378847614</v>
      </c>
      <c r="M667" s="16">
        <f>CurrentMtgRatesDataTable8[[#This Row],[Servicing Spread Non-Zero]]-L666</f>
        <v>4.1805266828916388E-2</v>
      </c>
      <c r="N667" s="16">
        <f>IF(J666&lt;&gt;0,CurrentMtgRatesDataTable8[[#This Row],[Rate]]-C666,N666)</f>
        <v>-2.0000000000000018E-2</v>
      </c>
    </row>
    <row r="668" spans="1:14">
      <c r="A668" s="12" t="s">
        <v>576</v>
      </c>
      <c r="B668" s="13">
        <v>2.84568526355815</v>
      </c>
      <c r="C668" s="13">
        <v>3.7650000000000001</v>
      </c>
      <c r="D668" s="15">
        <f t="shared" si="70"/>
        <v>2</v>
      </c>
      <c r="E668" s="15">
        <f t="shared" si="71"/>
        <v>0.2</v>
      </c>
      <c r="F668" s="15">
        <f t="shared" si="72"/>
        <v>1</v>
      </c>
      <c r="G668" s="15">
        <f t="shared" si="73"/>
        <v>0.56913705271163006</v>
      </c>
      <c r="H668" s="15">
        <f t="shared" si="74"/>
        <v>0.2</v>
      </c>
      <c r="I668" s="15">
        <f t="shared" si="75"/>
        <v>0</v>
      </c>
      <c r="J668" s="15">
        <f t="shared" si="76"/>
        <v>0</v>
      </c>
      <c r="K668" s="15">
        <f>IF(CurrentMtgRatesDataTable8[[#This Row],[WA CC]]&lt;&gt;0,C667-CurrentMtgRatesDataTable8[[#This Row],[WA CC]],0)</f>
        <v>0</v>
      </c>
      <c r="L668" s="16">
        <f>IF(CurrentMtgRatesDataTable8[[#This Row],[Servicing Spread]]&lt;=0,L667,CurrentMtgRatesDataTable8[[#This Row],[Servicing Spread]])</f>
        <v>0.90826415378847614</v>
      </c>
      <c r="M668" s="16">
        <f>CurrentMtgRatesDataTable8[[#This Row],[Servicing Spread Non-Zero]]-L667</f>
        <v>0</v>
      </c>
      <c r="N668" s="16">
        <f>IF(J667&lt;&gt;0,CurrentMtgRatesDataTable8[[#This Row],[Rate]]-C667,N667)</f>
        <v>-8.0000000000000071E-2</v>
      </c>
    </row>
    <row r="669" spans="1:14">
      <c r="A669" s="12" t="s">
        <v>428</v>
      </c>
      <c r="B669" s="13">
        <v>2.8622800897906999</v>
      </c>
      <c r="C669" s="13">
        <v>3.7650000000000001</v>
      </c>
      <c r="D669" s="15">
        <f t="shared" si="70"/>
        <v>5</v>
      </c>
      <c r="E669" s="15">
        <f t="shared" si="71"/>
        <v>0.2</v>
      </c>
      <c r="F669" s="15">
        <f t="shared" si="72"/>
        <v>2</v>
      </c>
      <c r="G669" s="15">
        <f t="shared" si="73"/>
        <v>1.1415930706697701</v>
      </c>
      <c r="H669" s="15">
        <f t="shared" si="74"/>
        <v>0.4</v>
      </c>
      <c r="I669" s="15">
        <f t="shared" si="75"/>
        <v>0</v>
      </c>
      <c r="J669" s="15">
        <f t="shared" si="76"/>
        <v>0</v>
      </c>
      <c r="K669" s="15">
        <f>IF(CurrentMtgRatesDataTable8[[#This Row],[WA CC]]&lt;&gt;0,C668-CurrentMtgRatesDataTable8[[#This Row],[WA CC]],0)</f>
        <v>0</v>
      </c>
      <c r="L669" s="16">
        <f>IF(CurrentMtgRatesDataTable8[[#This Row],[Servicing Spread]]&lt;=0,L668,CurrentMtgRatesDataTable8[[#This Row],[Servicing Spread]])</f>
        <v>0.90826415378847614</v>
      </c>
      <c r="M669" s="16">
        <f>CurrentMtgRatesDataTable8[[#This Row],[Servicing Spread Non-Zero]]-L668</f>
        <v>0</v>
      </c>
      <c r="N669" s="16">
        <f>IF(J668&lt;&gt;0,CurrentMtgRatesDataTable8[[#This Row],[Rate]]-C668,N668)</f>
        <v>-8.0000000000000071E-2</v>
      </c>
    </row>
    <row r="670" spans="1:14">
      <c r="A670" s="12" t="s">
        <v>299</v>
      </c>
      <c r="B670" s="13">
        <v>2.92504129119764</v>
      </c>
      <c r="C670" s="13">
        <v>3.7650000000000001</v>
      </c>
      <c r="D670" s="15">
        <f t="shared" si="70"/>
        <v>6</v>
      </c>
      <c r="E670" s="15">
        <f t="shared" si="71"/>
        <v>0.2</v>
      </c>
      <c r="F670" s="15">
        <f t="shared" si="72"/>
        <v>3</v>
      </c>
      <c r="G670" s="15">
        <f t="shared" si="73"/>
        <v>1.7266013289092981</v>
      </c>
      <c r="H670" s="15">
        <f t="shared" si="74"/>
        <v>0.60000000000000009</v>
      </c>
      <c r="I670" s="15">
        <f t="shared" si="75"/>
        <v>0</v>
      </c>
      <c r="J670" s="15">
        <f t="shared" si="76"/>
        <v>0</v>
      </c>
      <c r="K670" s="15">
        <f>IF(CurrentMtgRatesDataTable8[[#This Row],[WA CC]]&lt;&gt;0,C669-CurrentMtgRatesDataTable8[[#This Row],[WA CC]],0)</f>
        <v>0</v>
      </c>
      <c r="L670" s="16">
        <f>IF(CurrentMtgRatesDataTable8[[#This Row],[Servicing Spread]]&lt;=0,L669,CurrentMtgRatesDataTable8[[#This Row],[Servicing Spread]])</f>
        <v>0.90826415378847614</v>
      </c>
      <c r="M670" s="16">
        <f>CurrentMtgRatesDataTable8[[#This Row],[Servicing Spread Non-Zero]]-L669</f>
        <v>0</v>
      </c>
      <c r="N670" s="16">
        <f>IF(J669&lt;&gt;0,CurrentMtgRatesDataTable8[[#This Row],[Rate]]-C669,N669)</f>
        <v>-8.0000000000000071E-2</v>
      </c>
    </row>
    <row r="671" spans="1:14">
      <c r="A671" s="12" t="s">
        <v>155</v>
      </c>
      <c r="B671" s="13">
        <v>2.9323159668402701</v>
      </c>
      <c r="C671" s="13">
        <v>3.7650000000000001</v>
      </c>
      <c r="D671" s="15">
        <f t="shared" si="70"/>
        <v>7</v>
      </c>
      <c r="E671" s="15">
        <f t="shared" si="71"/>
        <v>0.2</v>
      </c>
      <c r="F671" s="15">
        <f t="shared" si="72"/>
        <v>4</v>
      </c>
      <c r="G671" s="15">
        <f t="shared" si="73"/>
        <v>2.3130645222773523</v>
      </c>
      <c r="H671" s="15">
        <f t="shared" si="74"/>
        <v>0.8</v>
      </c>
      <c r="I671" s="15">
        <f t="shared" si="75"/>
        <v>1</v>
      </c>
      <c r="J671" s="15">
        <f t="shared" si="76"/>
        <v>2.89133065284669</v>
      </c>
      <c r="K671" s="15">
        <f>IF(CurrentMtgRatesDataTable8[[#This Row],[WA CC]]&lt;&gt;0,C670-CurrentMtgRatesDataTable8[[#This Row],[WA CC]],0)</f>
        <v>0.87366934715331013</v>
      </c>
      <c r="L671" s="16">
        <f>IF(CurrentMtgRatesDataTable8[[#This Row],[Servicing Spread]]&lt;=0,L670,CurrentMtgRatesDataTable8[[#This Row],[Servicing Spread]])</f>
        <v>0.87366934715331013</v>
      </c>
      <c r="M671" s="16">
        <f>CurrentMtgRatesDataTable8[[#This Row],[Servicing Spread Non-Zero]]-L670</f>
        <v>-3.4594806635166009E-2</v>
      </c>
      <c r="N671" s="16">
        <f>IF(J670&lt;&gt;0,CurrentMtgRatesDataTable8[[#This Row],[Rate]]-C670,N670)</f>
        <v>-8.0000000000000071E-2</v>
      </c>
    </row>
    <row r="672" spans="1:14">
      <c r="A672" s="12" t="s">
        <v>717</v>
      </c>
      <c r="B672" s="13">
        <v>2.90250988237801</v>
      </c>
      <c r="C672" s="13">
        <v>3.8050000000000002</v>
      </c>
      <c r="D672" s="15">
        <f t="shared" si="70"/>
        <v>1</v>
      </c>
      <c r="E672" s="15">
        <f t="shared" si="71"/>
        <v>0.2</v>
      </c>
      <c r="F672" s="15">
        <f t="shared" si="72"/>
        <v>1</v>
      </c>
      <c r="G672" s="15">
        <f t="shared" si="73"/>
        <v>0.58050197647560198</v>
      </c>
      <c r="H672" s="15">
        <f t="shared" si="74"/>
        <v>0.2</v>
      </c>
      <c r="I672" s="15">
        <f t="shared" si="75"/>
        <v>0</v>
      </c>
      <c r="J672" s="15">
        <f t="shared" si="76"/>
        <v>0</v>
      </c>
      <c r="K672" s="15">
        <f>IF(CurrentMtgRatesDataTable8[[#This Row],[WA CC]]&lt;&gt;0,C671-CurrentMtgRatesDataTable8[[#This Row],[WA CC]],0)</f>
        <v>0</v>
      </c>
      <c r="L672" s="16">
        <f>IF(CurrentMtgRatesDataTable8[[#This Row],[Servicing Spread]]&lt;=0,L671,CurrentMtgRatesDataTable8[[#This Row],[Servicing Spread]])</f>
        <v>0.87366934715331013</v>
      </c>
      <c r="M672" s="16">
        <f>CurrentMtgRatesDataTable8[[#This Row],[Servicing Spread Non-Zero]]-L671</f>
        <v>0</v>
      </c>
      <c r="N672" s="16">
        <f>IF(J671&lt;&gt;0,CurrentMtgRatesDataTable8[[#This Row],[Rate]]-C671,N671)</f>
        <v>4.0000000000000036E-2</v>
      </c>
    </row>
    <row r="673" spans="1:14">
      <c r="A673" s="12" t="s">
        <v>577</v>
      </c>
      <c r="B673" s="13">
        <v>2.9546349103912699</v>
      </c>
      <c r="C673" s="13">
        <v>3.8050000000000002</v>
      </c>
      <c r="D673" s="15">
        <f t="shared" si="70"/>
        <v>2</v>
      </c>
      <c r="E673" s="15">
        <f t="shared" si="71"/>
        <v>0.2</v>
      </c>
      <c r="F673" s="15">
        <f t="shared" si="72"/>
        <v>2</v>
      </c>
      <c r="G673" s="15">
        <f t="shared" si="73"/>
        <v>1.171428958553856</v>
      </c>
      <c r="H673" s="15">
        <f t="shared" si="74"/>
        <v>0.4</v>
      </c>
      <c r="I673" s="15">
        <f t="shared" si="75"/>
        <v>0</v>
      </c>
      <c r="J673" s="15">
        <f t="shared" si="76"/>
        <v>0</v>
      </c>
      <c r="K673" s="15">
        <f>IF(CurrentMtgRatesDataTable8[[#This Row],[WA CC]]&lt;&gt;0,C672-CurrentMtgRatesDataTable8[[#This Row],[WA CC]],0)</f>
        <v>0</v>
      </c>
      <c r="L673" s="16">
        <f>IF(CurrentMtgRatesDataTable8[[#This Row],[Servicing Spread]]&lt;=0,L672,CurrentMtgRatesDataTable8[[#This Row],[Servicing Spread]])</f>
        <v>0.87366934715331013</v>
      </c>
      <c r="M673" s="16">
        <f>CurrentMtgRatesDataTable8[[#This Row],[Servicing Spread Non-Zero]]-L672</f>
        <v>0</v>
      </c>
      <c r="N673" s="16">
        <f>IF(J672&lt;&gt;0,CurrentMtgRatesDataTable8[[#This Row],[Rate]]-C672,N672)</f>
        <v>4.0000000000000036E-2</v>
      </c>
    </row>
    <row r="674" spans="1:14">
      <c r="A674" s="12" t="s">
        <v>429</v>
      </c>
      <c r="B674" s="13">
        <v>2.9087586637234901</v>
      </c>
      <c r="C674" s="13">
        <v>3.8050000000000002</v>
      </c>
      <c r="D674" s="15">
        <f t="shared" si="70"/>
        <v>5</v>
      </c>
      <c r="E674" s="15">
        <f t="shared" si="71"/>
        <v>0.2</v>
      </c>
      <c r="F674" s="15">
        <f t="shared" si="72"/>
        <v>3</v>
      </c>
      <c r="G674" s="15">
        <f t="shared" si="73"/>
        <v>1.7531806912985539</v>
      </c>
      <c r="H674" s="15">
        <f t="shared" si="74"/>
        <v>0.60000000000000009</v>
      </c>
      <c r="I674" s="15">
        <f t="shared" si="75"/>
        <v>0</v>
      </c>
      <c r="J674" s="15">
        <f t="shared" si="76"/>
        <v>0</v>
      </c>
      <c r="K674" s="15">
        <f>IF(CurrentMtgRatesDataTable8[[#This Row],[WA CC]]&lt;&gt;0,C673-CurrentMtgRatesDataTable8[[#This Row],[WA CC]],0)</f>
        <v>0</v>
      </c>
      <c r="L674" s="16">
        <f>IF(CurrentMtgRatesDataTable8[[#This Row],[Servicing Spread]]&lt;=0,L673,CurrentMtgRatesDataTable8[[#This Row],[Servicing Spread]])</f>
        <v>0.87366934715331013</v>
      </c>
      <c r="M674" s="16">
        <f>CurrentMtgRatesDataTable8[[#This Row],[Servicing Spread Non-Zero]]-L673</f>
        <v>0</v>
      </c>
      <c r="N674" s="16">
        <f>IF(J673&lt;&gt;0,CurrentMtgRatesDataTable8[[#This Row],[Rate]]-C673,N673)</f>
        <v>4.0000000000000036E-2</v>
      </c>
    </row>
    <row r="675" spans="1:14">
      <c r="A675" s="12" t="s">
        <v>300</v>
      </c>
      <c r="B675" s="13">
        <v>2.8860238028398202</v>
      </c>
      <c r="C675" s="13">
        <v>3.8050000000000002</v>
      </c>
      <c r="D675" s="15">
        <f t="shared" si="70"/>
        <v>6</v>
      </c>
      <c r="E675" s="15">
        <f t="shared" si="71"/>
        <v>0.2</v>
      </c>
      <c r="F675" s="15">
        <f t="shared" si="72"/>
        <v>4</v>
      </c>
      <c r="G675" s="15">
        <f t="shared" si="73"/>
        <v>2.3303854518665181</v>
      </c>
      <c r="H675" s="15">
        <f t="shared" si="74"/>
        <v>0.8</v>
      </c>
      <c r="I675" s="15">
        <f t="shared" si="75"/>
        <v>0</v>
      </c>
      <c r="J675" s="15">
        <f t="shared" si="76"/>
        <v>0</v>
      </c>
      <c r="K675" s="15">
        <f>IF(CurrentMtgRatesDataTable8[[#This Row],[WA CC]]&lt;&gt;0,C674-CurrentMtgRatesDataTable8[[#This Row],[WA CC]],0)</f>
        <v>0</v>
      </c>
      <c r="L675" s="16">
        <f>IF(CurrentMtgRatesDataTable8[[#This Row],[Servicing Spread]]&lt;=0,L674,CurrentMtgRatesDataTable8[[#This Row],[Servicing Spread]])</f>
        <v>0.87366934715331013</v>
      </c>
      <c r="M675" s="16">
        <f>CurrentMtgRatesDataTable8[[#This Row],[Servicing Spread Non-Zero]]-L674</f>
        <v>0</v>
      </c>
      <c r="N675" s="16">
        <f>IF(J674&lt;&gt;0,CurrentMtgRatesDataTable8[[#This Row],[Rate]]-C674,N674)</f>
        <v>4.0000000000000036E-2</v>
      </c>
    </row>
    <row r="676" spans="1:14">
      <c r="A676" s="12" t="s">
        <v>156</v>
      </c>
      <c r="B676" s="13">
        <v>2.8515070487427501</v>
      </c>
      <c r="C676" s="13">
        <v>3.8050000000000002</v>
      </c>
      <c r="D676" s="15">
        <f t="shared" si="70"/>
        <v>7</v>
      </c>
      <c r="E676" s="15">
        <f t="shared" si="71"/>
        <v>0.2</v>
      </c>
      <c r="F676" s="15">
        <f t="shared" si="72"/>
        <v>5</v>
      </c>
      <c r="G676" s="15">
        <f t="shared" si="73"/>
        <v>2.9006868616150681</v>
      </c>
      <c r="H676" s="15">
        <f t="shared" si="74"/>
        <v>1</v>
      </c>
      <c r="I676" s="15">
        <f t="shared" si="75"/>
        <v>1</v>
      </c>
      <c r="J676" s="15">
        <f t="shared" si="76"/>
        <v>2.9006868616150681</v>
      </c>
      <c r="K676" s="15">
        <f>IF(CurrentMtgRatesDataTable8[[#This Row],[WA CC]]&lt;&gt;0,C675-CurrentMtgRatesDataTable8[[#This Row],[WA CC]],0)</f>
        <v>0.9043131383849321</v>
      </c>
      <c r="L676" s="16">
        <f>IF(CurrentMtgRatesDataTable8[[#This Row],[Servicing Spread]]&lt;=0,L675,CurrentMtgRatesDataTable8[[#This Row],[Servicing Spread]])</f>
        <v>0.9043131383849321</v>
      </c>
      <c r="M676" s="16">
        <f>CurrentMtgRatesDataTable8[[#This Row],[Servicing Spread Non-Zero]]-L675</f>
        <v>3.0643791231621975E-2</v>
      </c>
      <c r="N676" s="16">
        <f>IF(J675&lt;&gt;0,CurrentMtgRatesDataTable8[[#This Row],[Rate]]-C675,N675)</f>
        <v>4.0000000000000036E-2</v>
      </c>
    </row>
    <row r="677" spans="1:14">
      <c r="A677" s="12" t="s">
        <v>718</v>
      </c>
      <c r="B677" s="13">
        <v>2.8634343397483599</v>
      </c>
      <c r="C677" s="13">
        <v>3.6999999999999997</v>
      </c>
      <c r="D677" s="15">
        <f t="shared" si="70"/>
        <v>1</v>
      </c>
      <c r="E677" s="15">
        <f t="shared" si="71"/>
        <v>0.2</v>
      </c>
      <c r="F677" s="15">
        <f t="shared" si="72"/>
        <v>1</v>
      </c>
      <c r="G677" s="15">
        <f t="shared" si="73"/>
        <v>0.57268686794967205</v>
      </c>
      <c r="H677" s="15">
        <f t="shared" si="74"/>
        <v>0.2</v>
      </c>
      <c r="I677" s="15">
        <f t="shared" si="75"/>
        <v>0</v>
      </c>
      <c r="J677" s="15">
        <f t="shared" si="76"/>
        <v>0</v>
      </c>
      <c r="K677" s="15">
        <f>IF(CurrentMtgRatesDataTable8[[#This Row],[WA CC]]&lt;&gt;0,C676-CurrentMtgRatesDataTable8[[#This Row],[WA CC]],0)</f>
        <v>0</v>
      </c>
      <c r="L677" s="16">
        <f>IF(CurrentMtgRatesDataTable8[[#This Row],[Servicing Spread]]&lt;=0,L676,CurrentMtgRatesDataTable8[[#This Row],[Servicing Spread]])</f>
        <v>0.9043131383849321</v>
      </c>
      <c r="M677" s="16">
        <f>CurrentMtgRatesDataTable8[[#This Row],[Servicing Spread Non-Zero]]-L676</f>
        <v>0</v>
      </c>
      <c r="N677" s="16">
        <f>IF(J676&lt;&gt;0,CurrentMtgRatesDataTable8[[#This Row],[Rate]]-C676,N676)</f>
        <v>-0.10500000000000043</v>
      </c>
    </row>
    <row r="678" spans="1:14">
      <c r="A678" s="12" t="s">
        <v>578</v>
      </c>
      <c r="B678" s="13">
        <v>2.80057780204395</v>
      </c>
      <c r="C678" s="13">
        <v>3.6999999999999997</v>
      </c>
      <c r="D678" s="15">
        <f t="shared" si="70"/>
        <v>2</v>
      </c>
      <c r="E678" s="15">
        <f t="shared" si="71"/>
        <v>0.2</v>
      </c>
      <c r="F678" s="15">
        <f t="shared" si="72"/>
        <v>2</v>
      </c>
      <c r="G678" s="15">
        <f t="shared" si="73"/>
        <v>1.1328024283584621</v>
      </c>
      <c r="H678" s="15">
        <f t="shared" si="74"/>
        <v>0.4</v>
      </c>
      <c r="I678" s="15">
        <f t="shared" si="75"/>
        <v>0</v>
      </c>
      <c r="J678" s="15">
        <f t="shared" si="76"/>
        <v>0</v>
      </c>
      <c r="K678" s="15">
        <f>IF(CurrentMtgRatesDataTable8[[#This Row],[WA CC]]&lt;&gt;0,C677-CurrentMtgRatesDataTable8[[#This Row],[WA CC]],0)</f>
        <v>0</v>
      </c>
      <c r="L678" s="16">
        <f>IF(CurrentMtgRatesDataTable8[[#This Row],[Servicing Spread]]&lt;=0,L677,CurrentMtgRatesDataTable8[[#This Row],[Servicing Spread]])</f>
        <v>0.9043131383849321</v>
      </c>
      <c r="M678" s="16">
        <f>CurrentMtgRatesDataTable8[[#This Row],[Servicing Spread Non-Zero]]-L677</f>
        <v>0</v>
      </c>
      <c r="N678" s="16">
        <f>IF(J677&lt;&gt;0,CurrentMtgRatesDataTable8[[#This Row],[Rate]]-C677,N677)</f>
        <v>-0.10500000000000043</v>
      </c>
    </row>
    <row r="679" spans="1:14">
      <c r="A679" s="12" t="s">
        <v>430</v>
      </c>
      <c r="B679" s="13">
        <v>2.8291749929655099</v>
      </c>
      <c r="C679" s="13">
        <v>3.6999999999999997</v>
      </c>
      <c r="D679" s="15">
        <f t="shared" si="70"/>
        <v>5</v>
      </c>
      <c r="E679" s="15">
        <f t="shared" si="71"/>
        <v>0.2</v>
      </c>
      <c r="F679" s="15">
        <f t="shared" si="72"/>
        <v>3</v>
      </c>
      <c r="G679" s="15">
        <f t="shared" si="73"/>
        <v>1.6986374269515641</v>
      </c>
      <c r="H679" s="15">
        <f t="shared" si="74"/>
        <v>0.60000000000000009</v>
      </c>
      <c r="I679" s="15">
        <f t="shared" si="75"/>
        <v>0</v>
      </c>
      <c r="J679" s="15">
        <f t="shared" si="76"/>
        <v>0</v>
      </c>
      <c r="K679" s="15">
        <f>IF(CurrentMtgRatesDataTable8[[#This Row],[WA CC]]&lt;&gt;0,C678-CurrentMtgRatesDataTable8[[#This Row],[WA CC]],0)</f>
        <v>0</v>
      </c>
      <c r="L679" s="16">
        <f>IF(CurrentMtgRatesDataTable8[[#This Row],[Servicing Spread]]&lt;=0,L678,CurrentMtgRatesDataTable8[[#This Row],[Servicing Spread]])</f>
        <v>0.9043131383849321</v>
      </c>
      <c r="M679" s="16">
        <f>CurrentMtgRatesDataTable8[[#This Row],[Servicing Spread Non-Zero]]-L678</f>
        <v>0</v>
      </c>
      <c r="N679" s="16">
        <f>IF(J678&lt;&gt;0,CurrentMtgRatesDataTable8[[#This Row],[Rate]]-C678,N678)</f>
        <v>-0.10500000000000043</v>
      </c>
    </row>
    <row r="680" spans="1:14">
      <c r="A680" s="12" t="s">
        <v>301</v>
      </c>
      <c r="B680" s="13">
        <v>2.7872489970640002</v>
      </c>
      <c r="C680" s="13">
        <v>3.6999999999999997</v>
      </c>
      <c r="D680" s="15">
        <f t="shared" si="70"/>
        <v>6</v>
      </c>
      <c r="E680" s="15">
        <f t="shared" si="71"/>
        <v>0.2</v>
      </c>
      <c r="F680" s="15">
        <f t="shared" si="72"/>
        <v>4</v>
      </c>
      <c r="G680" s="15">
        <f t="shared" si="73"/>
        <v>2.2560872263643641</v>
      </c>
      <c r="H680" s="15">
        <f t="shared" si="74"/>
        <v>0.8</v>
      </c>
      <c r="I680" s="15">
        <f t="shared" si="75"/>
        <v>0</v>
      </c>
      <c r="J680" s="15">
        <f t="shared" si="76"/>
        <v>0</v>
      </c>
      <c r="K680" s="15">
        <f>IF(CurrentMtgRatesDataTable8[[#This Row],[WA CC]]&lt;&gt;0,C679-CurrentMtgRatesDataTable8[[#This Row],[WA CC]],0)</f>
        <v>0</v>
      </c>
      <c r="L680" s="16">
        <f>IF(CurrentMtgRatesDataTable8[[#This Row],[Servicing Spread]]&lt;=0,L679,CurrentMtgRatesDataTable8[[#This Row],[Servicing Spread]])</f>
        <v>0.9043131383849321</v>
      </c>
      <c r="M680" s="16">
        <f>CurrentMtgRatesDataTable8[[#This Row],[Servicing Spread Non-Zero]]-L679</f>
        <v>0</v>
      </c>
      <c r="N680" s="16">
        <f>IF(J679&lt;&gt;0,CurrentMtgRatesDataTable8[[#This Row],[Rate]]-C679,N679)</f>
        <v>-0.10500000000000043</v>
      </c>
    </row>
    <row r="681" spans="1:14">
      <c r="A681" s="12" t="s">
        <v>157</v>
      </c>
      <c r="B681" s="13">
        <v>2.8371501312702399</v>
      </c>
      <c r="C681" s="13">
        <v>3.6999999999999997</v>
      </c>
      <c r="D681" s="15">
        <f t="shared" si="70"/>
        <v>7</v>
      </c>
      <c r="E681" s="15">
        <f t="shared" si="71"/>
        <v>0.2</v>
      </c>
      <c r="F681" s="15">
        <f t="shared" si="72"/>
        <v>5</v>
      </c>
      <c r="G681" s="15">
        <f t="shared" si="73"/>
        <v>2.8235172526184122</v>
      </c>
      <c r="H681" s="15">
        <f t="shared" si="74"/>
        <v>1</v>
      </c>
      <c r="I681" s="15">
        <f t="shared" si="75"/>
        <v>1</v>
      </c>
      <c r="J681" s="15">
        <f t="shared" si="76"/>
        <v>2.8235172526184122</v>
      </c>
      <c r="K681" s="15">
        <f>IF(CurrentMtgRatesDataTable8[[#This Row],[WA CC]]&lt;&gt;0,C680-CurrentMtgRatesDataTable8[[#This Row],[WA CC]],0)</f>
        <v>0.87648274738158749</v>
      </c>
      <c r="L681" s="16">
        <f>IF(CurrentMtgRatesDataTable8[[#This Row],[Servicing Spread]]&lt;=0,L680,CurrentMtgRatesDataTable8[[#This Row],[Servicing Spread]])</f>
        <v>0.87648274738158749</v>
      </c>
      <c r="M681" s="16">
        <f>CurrentMtgRatesDataTable8[[#This Row],[Servicing Spread Non-Zero]]-L680</f>
        <v>-2.7830391003344612E-2</v>
      </c>
      <c r="N681" s="16">
        <f>IF(J680&lt;&gt;0,CurrentMtgRatesDataTable8[[#This Row],[Rate]]-C680,N680)</f>
        <v>-0.10500000000000043</v>
      </c>
    </row>
    <row r="682" spans="1:14">
      <c r="A682" s="12" t="s">
        <v>579</v>
      </c>
      <c r="B682" s="13">
        <v>2.8582300067965201</v>
      </c>
      <c r="C682" s="13">
        <v>3.73</v>
      </c>
      <c r="D682" s="15">
        <f t="shared" si="70"/>
        <v>1</v>
      </c>
      <c r="E682" s="15">
        <f t="shared" si="71"/>
        <v>0.2</v>
      </c>
      <c r="F682" s="15">
        <f t="shared" si="72"/>
        <v>1</v>
      </c>
      <c r="G682" s="15">
        <f t="shared" si="73"/>
        <v>0.57164600135930399</v>
      </c>
      <c r="H682" s="15">
        <f t="shared" si="74"/>
        <v>0.2</v>
      </c>
      <c r="I682" s="15">
        <f t="shared" si="75"/>
        <v>0</v>
      </c>
      <c r="J682" s="15">
        <f t="shared" si="76"/>
        <v>0</v>
      </c>
      <c r="K682" s="15">
        <f>IF(CurrentMtgRatesDataTable8[[#This Row],[WA CC]]&lt;&gt;0,C681-CurrentMtgRatesDataTable8[[#This Row],[WA CC]],0)</f>
        <v>0</v>
      </c>
      <c r="L682" s="16">
        <f>IF(CurrentMtgRatesDataTable8[[#This Row],[Servicing Spread]]&lt;=0,L681,CurrentMtgRatesDataTable8[[#This Row],[Servicing Spread]])</f>
        <v>0.87648274738158749</v>
      </c>
      <c r="M682" s="16">
        <f>CurrentMtgRatesDataTable8[[#This Row],[Servicing Spread Non-Zero]]-L681</f>
        <v>0</v>
      </c>
      <c r="N682" s="16">
        <f>IF(J681&lt;&gt;0,CurrentMtgRatesDataTable8[[#This Row],[Rate]]-C681,N681)</f>
        <v>3.0000000000000249E-2</v>
      </c>
    </row>
    <row r="683" spans="1:14">
      <c r="A683" s="12" t="s">
        <v>439</v>
      </c>
      <c r="B683" s="13">
        <v>2.8337398573021799</v>
      </c>
      <c r="C683" s="13">
        <v>3.73</v>
      </c>
      <c r="D683" s="15">
        <f t="shared" si="70"/>
        <v>2</v>
      </c>
      <c r="E683" s="15">
        <f t="shared" si="71"/>
        <v>0.2</v>
      </c>
      <c r="F683" s="15">
        <f t="shared" si="72"/>
        <v>2</v>
      </c>
      <c r="G683" s="15">
        <f t="shared" si="73"/>
        <v>1.1383939728197401</v>
      </c>
      <c r="H683" s="15">
        <f t="shared" si="74"/>
        <v>0.4</v>
      </c>
      <c r="I683" s="15">
        <f t="shared" si="75"/>
        <v>0</v>
      </c>
      <c r="J683" s="15">
        <f t="shared" si="76"/>
        <v>0</v>
      </c>
      <c r="K683" s="15">
        <f>IF(CurrentMtgRatesDataTable8[[#This Row],[WA CC]]&lt;&gt;0,C682-CurrentMtgRatesDataTable8[[#This Row],[WA CC]],0)</f>
        <v>0</v>
      </c>
      <c r="L683" s="16">
        <f>IF(CurrentMtgRatesDataTable8[[#This Row],[Servicing Spread]]&lt;=0,L682,CurrentMtgRatesDataTable8[[#This Row],[Servicing Spread]])</f>
        <v>0.87648274738158749</v>
      </c>
      <c r="M683" s="16">
        <f>CurrentMtgRatesDataTable8[[#This Row],[Servicing Spread Non-Zero]]-L682</f>
        <v>0</v>
      </c>
      <c r="N683" s="16">
        <f>IF(J682&lt;&gt;0,CurrentMtgRatesDataTable8[[#This Row],[Rate]]-C682,N682)</f>
        <v>3.0000000000000249E-2</v>
      </c>
    </row>
    <row r="684" spans="1:14">
      <c r="A684" s="12" t="s">
        <v>302</v>
      </c>
      <c r="B684" s="13">
        <v>2.8256441971088901</v>
      </c>
      <c r="C684" s="13">
        <v>3.73</v>
      </c>
      <c r="D684" s="15">
        <f t="shared" si="70"/>
        <v>5</v>
      </c>
      <c r="E684" s="15">
        <f t="shared" si="71"/>
        <v>0.2</v>
      </c>
      <c r="F684" s="15">
        <f t="shared" si="72"/>
        <v>3</v>
      </c>
      <c r="G684" s="15">
        <f t="shared" si="73"/>
        <v>1.703522812241518</v>
      </c>
      <c r="H684" s="15">
        <f t="shared" si="74"/>
        <v>0.60000000000000009</v>
      </c>
      <c r="I684" s="15">
        <f t="shared" si="75"/>
        <v>0</v>
      </c>
      <c r="J684" s="15">
        <f t="shared" si="76"/>
        <v>0</v>
      </c>
      <c r="K684" s="15">
        <f>IF(CurrentMtgRatesDataTable8[[#This Row],[WA CC]]&lt;&gt;0,C683-CurrentMtgRatesDataTable8[[#This Row],[WA CC]],0)</f>
        <v>0</v>
      </c>
      <c r="L684" s="16">
        <f>IF(CurrentMtgRatesDataTable8[[#This Row],[Servicing Spread]]&lt;=0,L683,CurrentMtgRatesDataTable8[[#This Row],[Servicing Spread]])</f>
        <v>0.87648274738158749</v>
      </c>
      <c r="M684" s="16">
        <f>CurrentMtgRatesDataTable8[[#This Row],[Servicing Spread Non-Zero]]-L683</f>
        <v>0</v>
      </c>
      <c r="N684" s="16">
        <f>IF(J683&lt;&gt;0,CurrentMtgRatesDataTable8[[#This Row],[Rate]]-C683,N683)</f>
        <v>3.0000000000000249E-2</v>
      </c>
    </row>
    <row r="685" spans="1:14">
      <c r="A685" s="12" t="s">
        <v>158</v>
      </c>
      <c r="B685" s="13">
        <v>2.91032440435752</v>
      </c>
      <c r="C685" s="13">
        <v>3.73</v>
      </c>
      <c r="D685" s="15">
        <f t="shared" si="70"/>
        <v>6</v>
      </c>
      <c r="E685" s="15">
        <f t="shared" si="71"/>
        <v>0.2</v>
      </c>
      <c r="F685" s="15">
        <f t="shared" si="72"/>
        <v>4</v>
      </c>
      <c r="G685" s="15">
        <f t="shared" si="73"/>
        <v>2.2855876931130221</v>
      </c>
      <c r="H685" s="15">
        <f t="shared" si="74"/>
        <v>0.8</v>
      </c>
      <c r="I685" s="15">
        <f t="shared" si="75"/>
        <v>0</v>
      </c>
      <c r="J685" s="15">
        <f t="shared" si="76"/>
        <v>0</v>
      </c>
      <c r="K685" s="15">
        <f>IF(CurrentMtgRatesDataTable8[[#This Row],[WA CC]]&lt;&gt;0,C684-CurrentMtgRatesDataTable8[[#This Row],[WA CC]],0)</f>
        <v>0</v>
      </c>
      <c r="L685" s="16">
        <f>IF(CurrentMtgRatesDataTable8[[#This Row],[Servicing Spread]]&lt;=0,L684,CurrentMtgRatesDataTable8[[#This Row],[Servicing Spread]])</f>
        <v>0.87648274738158749</v>
      </c>
      <c r="M685" s="16">
        <f>CurrentMtgRatesDataTable8[[#This Row],[Servicing Spread Non-Zero]]-L684</f>
        <v>0</v>
      </c>
      <c r="N685" s="16">
        <f>IF(J684&lt;&gt;0,CurrentMtgRatesDataTable8[[#This Row],[Rate]]-C684,N684)</f>
        <v>3.0000000000000249E-2</v>
      </c>
    </row>
    <row r="686" spans="1:14">
      <c r="A686" s="12" t="s">
        <v>719</v>
      </c>
      <c r="B686" s="13">
        <v>2.90975275027838</v>
      </c>
      <c r="C686" s="13">
        <v>3.73</v>
      </c>
      <c r="D686" s="15">
        <f t="shared" si="70"/>
        <v>7</v>
      </c>
      <c r="E686" s="15">
        <f t="shared" si="71"/>
        <v>0.2</v>
      </c>
      <c r="F686" s="15">
        <f t="shared" si="72"/>
        <v>5</v>
      </c>
      <c r="G686" s="15">
        <f t="shared" si="73"/>
        <v>2.8675382431686982</v>
      </c>
      <c r="H686" s="15">
        <f t="shared" si="74"/>
        <v>1</v>
      </c>
      <c r="I686" s="15">
        <f t="shared" si="75"/>
        <v>1</v>
      </c>
      <c r="J686" s="15">
        <f t="shared" si="76"/>
        <v>2.8675382431686982</v>
      </c>
      <c r="K686" s="15">
        <f>IF(CurrentMtgRatesDataTable8[[#This Row],[WA CC]]&lt;&gt;0,C685-CurrentMtgRatesDataTable8[[#This Row],[WA CC]],0)</f>
        <v>0.86246175683130177</v>
      </c>
      <c r="L686" s="16">
        <f>IF(CurrentMtgRatesDataTable8[[#This Row],[Servicing Spread]]&lt;=0,L685,CurrentMtgRatesDataTable8[[#This Row],[Servicing Spread]])</f>
        <v>0.86246175683130177</v>
      </c>
      <c r="M686" s="16">
        <f>CurrentMtgRatesDataTable8[[#This Row],[Servicing Spread Non-Zero]]-L685</f>
        <v>-1.4020990550285717E-2</v>
      </c>
      <c r="N686" s="16">
        <f>IF(J685&lt;&gt;0,CurrentMtgRatesDataTable8[[#This Row],[Rate]]-C685,N685)</f>
        <v>3.0000000000000249E-2</v>
      </c>
    </row>
    <row r="687" spans="1:14">
      <c r="A687" s="12" t="s">
        <v>440</v>
      </c>
      <c r="B687" s="13">
        <v>2.8912427168811901</v>
      </c>
      <c r="C687" s="13">
        <v>3.77</v>
      </c>
      <c r="D687" s="15">
        <f t="shared" si="70"/>
        <v>2</v>
      </c>
      <c r="E687" s="15">
        <f t="shared" si="71"/>
        <v>0.2</v>
      </c>
      <c r="F687" s="15">
        <f t="shared" si="72"/>
        <v>1</v>
      </c>
      <c r="G687" s="15">
        <f t="shared" si="73"/>
        <v>0.57824854337623799</v>
      </c>
      <c r="H687" s="15">
        <f t="shared" si="74"/>
        <v>0.2</v>
      </c>
      <c r="I687" s="15">
        <f t="shared" si="75"/>
        <v>0</v>
      </c>
      <c r="J687" s="15">
        <f t="shared" si="76"/>
        <v>0</v>
      </c>
      <c r="K687" s="15">
        <f>IF(CurrentMtgRatesDataTable8[[#This Row],[WA CC]]&lt;&gt;0,C686-CurrentMtgRatesDataTable8[[#This Row],[WA CC]],0)</f>
        <v>0</v>
      </c>
      <c r="L687" s="16">
        <f>IF(CurrentMtgRatesDataTable8[[#This Row],[Servicing Spread]]&lt;=0,L686,CurrentMtgRatesDataTable8[[#This Row],[Servicing Spread]])</f>
        <v>0.86246175683130177</v>
      </c>
      <c r="M687" s="16">
        <f>CurrentMtgRatesDataTable8[[#This Row],[Servicing Spread Non-Zero]]-L686</f>
        <v>0</v>
      </c>
      <c r="N687" s="16">
        <f>IF(J686&lt;&gt;0,CurrentMtgRatesDataTable8[[#This Row],[Rate]]-C686,N686)</f>
        <v>4.0000000000000036E-2</v>
      </c>
    </row>
    <row r="688" spans="1:14">
      <c r="A688" s="12" t="s">
        <v>303</v>
      </c>
      <c r="B688" s="13">
        <v>2.8609798255384802</v>
      </c>
      <c r="C688" s="13">
        <v>3.77</v>
      </c>
      <c r="D688" s="15">
        <f t="shared" si="70"/>
        <v>5</v>
      </c>
      <c r="E688" s="15">
        <f t="shared" si="71"/>
        <v>0.2</v>
      </c>
      <c r="F688" s="15">
        <f t="shared" si="72"/>
        <v>2</v>
      </c>
      <c r="G688" s="15">
        <f t="shared" si="73"/>
        <v>1.1504445084839341</v>
      </c>
      <c r="H688" s="15">
        <f t="shared" si="74"/>
        <v>0.4</v>
      </c>
      <c r="I688" s="15">
        <f t="shared" si="75"/>
        <v>0</v>
      </c>
      <c r="J688" s="15">
        <f t="shared" si="76"/>
        <v>0</v>
      </c>
      <c r="K688" s="15">
        <f>IF(CurrentMtgRatesDataTable8[[#This Row],[WA CC]]&lt;&gt;0,C687-CurrentMtgRatesDataTable8[[#This Row],[WA CC]],0)</f>
        <v>0</v>
      </c>
      <c r="L688" s="16">
        <f>IF(CurrentMtgRatesDataTable8[[#This Row],[Servicing Spread]]&lt;=0,L687,CurrentMtgRatesDataTable8[[#This Row],[Servicing Spread]])</f>
        <v>0.86246175683130177</v>
      </c>
      <c r="M688" s="16">
        <f>CurrentMtgRatesDataTable8[[#This Row],[Servicing Spread Non-Zero]]-L687</f>
        <v>0</v>
      </c>
      <c r="N688" s="16">
        <f>IF(J687&lt;&gt;0,CurrentMtgRatesDataTable8[[#This Row],[Rate]]-C687,N687)</f>
        <v>4.0000000000000036E-2</v>
      </c>
    </row>
    <row r="689" spans="1:14">
      <c r="A689" s="12" t="s">
        <v>159</v>
      </c>
      <c r="B689" s="13">
        <v>2.8519980737177399</v>
      </c>
      <c r="C689" s="13">
        <v>3.77</v>
      </c>
      <c r="D689" s="15">
        <f t="shared" si="70"/>
        <v>6</v>
      </c>
      <c r="E689" s="15">
        <f t="shared" si="71"/>
        <v>0.2</v>
      </c>
      <c r="F689" s="15">
        <f t="shared" si="72"/>
        <v>3</v>
      </c>
      <c r="G689" s="15">
        <f t="shared" si="73"/>
        <v>1.720844123227482</v>
      </c>
      <c r="H689" s="15">
        <f t="shared" si="74"/>
        <v>0.60000000000000009</v>
      </c>
      <c r="I689" s="15">
        <f t="shared" si="75"/>
        <v>0</v>
      </c>
      <c r="J689" s="15">
        <f t="shared" si="76"/>
        <v>0</v>
      </c>
      <c r="K689" s="15">
        <f>IF(CurrentMtgRatesDataTable8[[#This Row],[WA CC]]&lt;&gt;0,C688-CurrentMtgRatesDataTable8[[#This Row],[WA CC]],0)</f>
        <v>0</v>
      </c>
      <c r="L689" s="16">
        <f>IF(CurrentMtgRatesDataTable8[[#This Row],[Servicing Spread]]&lt;=0,L688,CurrentMtgRatesDataTable8[[#This Row],[Servicing Spread]])</f>
        <v>0.86246175683130177</v>
      </c>
      <c r="M689" s="16">
        <f>CurrentMtgRatesDataTable8[[#This Row],[Servicing Spread Non-Zero]]-L688</f>
        <v>0</v>
      </c>
      <c r="N689" s="16">
        <f>IF(J688&lt;&gt;0,CurrentMtgRatesDataTable8[[#This Row],[Rate]]-C688,N688)</f>
        <v>4.0000000000000036E-2</v>
      </c>
    </row>
    <row r="690" spans="1:14">
      <c r="A690" s="12" t="s">
        <v>985</v>
      </c>
      <c r="B690" s="13">
        <v>2.8338661414623698</v>
      </c>
      <c r="C690" s="13">
        <v>3.77</v>
      </c>
      <c r="D690" s="15">
        <f t="shared" si="70"/>
        <v>7</v>
      </c>
      <c r="E690" s="15">
        <f t="shared" si="71"/>
        <v>0.2</v>
      </c>
      <c r="F690" s="15">
        <f t="shared" si="72"/>
        <v>4</v>
      </c>
      <c r="G690" s="15">
        <f t="shared" si="73"/>
        <v>2.2876173515199563</v>
      </c>
      <c r="H690" s="15">
        <f t="shared" si="74"/>
        <v>0.8</v>
      </c>
      <c r="I690" s="15">
        <f t="shared" si="75"/>
        <v>1</v>
      </c>
      <c r="J690" s="15">
        <f t="shared" si="76"/>
        <v>2.8595216893999451</v>
      </c>
      <c r="K690" s="15">
        <f>IF(CurrentMtgRatesDataTable8[[#This Row],[WA CC]]&lt;&gt;0,C689-CurrentMtgRatesDataTable8[[#This Row],[WA CC]],0)</f>
        <v>0.91047831060005491</v>
      </c>
      <c r="L690" s="16">
        <f>IF(CurrentMtgRatesDataTable8[[#This Row],[Servicing Spread]]&lt;=0,L689,CurrentMtgRatesDataTable8[[#This Row],[Servicing Spread]])</f>
        <v>0.91047831060005491</v>
      </c>
      <c r="M690" s="16">
        <f>CurrentMtgRatesDataTable8[[#This Row],[Servicing Spread Non-Zero]]-L689</f>
        <v>4.8016553768753134E-2</v>
      </c>
      <c r="N690" s="16">
        <f>IF(J689&lt;&gt;0,CurrentMtgRatesDataTable8[[#This Row],[Rate]]-C689,N689)</f>
        <v>4.0000000000000036E-2</v>
      </c>
    </row>
    <row r="691" spans="1:14">
      <c r="A691" s="12" t="s">
        <v>580</v>
      </c>
      <c r="B691" s="13">
        <v>2.7854452423976599</v>
      </c>
      <c r="C691" s="13">
        <v>3.63</v>
      </c>
      <c r="D691" s="15">
        <f t="shared" si="70"/>
        <v>2</v>
      </c>
      <c r="E691" s="15">
        <f t="shared" si="71"/>
        <v>0.2</v>
      </c>
      <c r="F691" s="15">
        <f t="shared" si="72"/>
        <v>1</v>
      </c>
      <c r="G691" s="15">
        <f t="shared" si="73"/>
        <v>0.557089048479532</v>
      </c>
      <c r="H691" s="15">
        <f t="shared" si="74"/>
        <v>0.2</v>
      </c>
      <c r="I691" s="15">
        <f t="shared" si="75"/>
        <v>0</v>
      </c>
      <c r="J691" s="15">
        <f t="shared" si="76"/>
        <v>0</v>
      </c>
      <c r="K691" s="15">
        <f>IF(CurrentMtgRatesDataTable8[[#This Row],[WA CC]]&lt;&gt;0,C690-CurrentMtgRatesDataTable8[[#This Row],[WA CC]],0)</f>
        <v>0</v>
      </c>
      <c r="L691" s="16">
        <f>IF(CurrentMtgRatesDataTable8[[#This Row],[Servicing Spread]]&lt;=0,L690,CurrentMtgRatesDataTable8[[#This Row],[Servicing Spread]])</f>
        <v>0.91047831060005491</v>
      </c>
      <c r="M691" s="16">
        <f>CurrentMtgRatesDataTable8[[#This Row],[Servicing Spread Non-Zero]]-L690</f>
        <v>0</v>
      </c>
      <c r="N691" s="16">
        <f>IF(J690&lt;&gt;0,CurrentMtgRatesDataTable8[[#This Row],[Rate]]-C690,N690)</f>
        <v>-0.14000000000000012</v>
      </c>
    </row>
    <row r="692" spans="1:14">
      <c r="A692" s="12" t="s">
        <v>431</v>
      </c>
      <c r="B692" s="13">
        <v>2.6962701266687499</v>
      </c>
      <c r="C692" s="13">
        <v>3.63</v>
      </c>
      <c r="D692" s="15">
        <f t="shared" si="70"/>
        <v>5</v>
      </c>
      <c r="E692" s="15">
        <f t="shared" si="71"/>
        <v>0.2</v>
      </c>
      <c r="F692" s="15">
        <f t="shared" si="72"/>
        <v>2</v>
      </c>
      <c r="G692" s="15">
        <f t="shared" si="73"/>
        <v>1.096343073813282</v>
      </c>
      <c r="H692" s="15">
        <f t="shared" si="74"/>
        <v>0.4</v>
      </c>
      <c r="I692" s="15">
        <f t="shared" si="75"/>
        <v>0</v>
      </c>
      <c r="J692" s="15">
        <f t="shared" si="76"/>
        <v>0</v>
      </c>
      <c r="K692" s="15">
        <f>IF(CurrentMtgRatesDataTable8[[#This Row],[WA CC]]&lt;&gt;0,C691-CurrentMtgRatesDataTable8[[#This Row],[WA CC]],0)</f>
        <v>0</v>
      </c>
      <c r="L692" s="16">
        <f>IF(CurrentMtgRatesDataTable8[[#This Row],[Servicing Spread]]&lt;=0,L691,CurrentMtgRatesDataTable8[[#This Row],[Servicing Spread]])</f>
        <v>0.91047831060005491</v>
      </c>
      <c r="M692" s="16">
        <f>CurrentMtgRatesDataTable8[[#This Row],[Servicing Spread Non-Zero]]-L691</f>
        <v>0</v>
      </c>
      <c r="N692" s="16">
        <f>IF(J691&lt;&gt;0,CurrentMtgRatesDataTable8[[#This Row],[Rate]]-C691,N691)</f>
        <v>-0.14000000000000012</v>
      </c>
    </row>
    <row r="693" spans="1:14">
      <c r="A693" s="12" t="s">
        <v>304</v>
      </c>
      <c r="B693" s="13">
        <v>2.61636453709349</v>
      </c>
      <c r="C693" s="13">
        <v>3.63</v>
      </c>
      <c r="D693" s="15">
        <f t="shared" si="70"/>
        <v>6</v>
      </c>
      <c r="E693" s="15">
        <f t="shared" si="71"/>
        <v>0.2</v>
      </c>
      <c r="F693" s="15">
        <f t="shared" si="72"/>
        <v>3</v>
      </c>
      <c r="G693" s="15">
        <f t="shared" si="73"/>
        <v>1.6196159812319801</v>
      </c>
      <c r="H693" s="15">
        <f t="shared" si="74"/>
        <v>0.60000000000000009</v>
      </c>
      <c r="I693" s="15">
        <f t="shared" si="75"/>
        <v>0</v>
      </c>
      <c r="J693" s="15">
        <f t="shared" si="76"/>
        <v>0</v>
      </c>
      <c r="K693" s="15">
        <f>IF(CurrentMtgRatesDataTable8[[#This Row],[WA CC]]&lt;&gt;0,C692-CurrentMtgRatesDataTable8[[#This Row],[WA CC]],0)</f>
        <v>0</v>
      </c>
      <c r="L693" s="16">
        <f>IF(CurrentMtgRatesDataTable8[[#This Row],[Servicing Spread]]&lt;=0,L692,CurrentMtgRatesDataTable8[[#This Row],[Servicing Spread]])</f>
        <v>0.91047831060005491</v>
      </c>
      <c r="M693" s="16">
        <f>CurrentMtgRatesDataTable8[[#This Row],[Servicing Spread Non-Zero]]-L692</f>
        <v>0</v>
      </c>
      <c r="N693" s="16">
        <f>IF(J692&lt;&gt;0,CurrentMtgRatesDataTable8[[#This Row],[Rate]]-C692,N692)</f>
        <v>-0.14000000000000012</v>
      </c>
    </row>
    <row r="694" spans="1:14">
      <c r="A694" s="12" t="s">
        <v>160</v>
      </c>
      <c r="B694" s="13">
        <v>2.6248431051869581</v>
      </c>
      <c r="C694" s="13">
        <v>3.63</v>
      </c>
      <c r="D694" s="15">
        <f t="shared" si="70"/>
        <v>7</v>
      </c>
      <c r="E694" s="15">
        <f t="shared" si="71"/>
        <v>0.2</v>
      </c>
      <c r="F694" s="15">
        <f t="shared" si="72"/>
        <v>4</v>
      </c>
      <c r="G694" s="15">
        <f t="shared" si="73"/>
        <v>2.1445846022693718</v>
      </c>
      <c r="H694" s="15">
        <f t="shared" si="74"/>
        <v>0.8</v>
      </c>
      <c r="I694" s="15">
        <f t="shared" si="75"/>
        <v>1</v>
      </c>
      <c r="J694" s="15">
        <f t="shared" si="76"/>
        <v>2.6807307528367144</v>
      </c>
      <c r="K694" s="15">
        <f>IF(CurrentMtgRatesDataTable8[[#This Row],[WA CC]]&lt;&gt;0,C693-CurrentMtgRatesDataTable8[[#This Row],[WA CC]],0)</f>
        <v>0.94926924716328553</v>
      </c>
      <c r="L694" s="15">
        <f>IF(CurrentMtgRatesDataTable8[[#This Row],[Servicing Spread]]&lt;=0,L693,CurrentMtgRatesDataTable8[[#This Row],[Servicing Spread]])</f>
        <v>0.94926924716328553</v>
      </c>
      <c r="M694" s="16">
        <f>CurrentMtgRatesDataTable8[[#This Row],[Servicing Spread Non-Zero]]-L693</f>
        <v>3.8790936563230627E-2</v>
      </c>
      <c r="N694" s="16">
        <f>IF(J693&lt;&gt;0,CurrentMtgRatesDataTable8[[#This Row],[Rate]]-C693,N693)</f>
        <v>-0.14000000000000012</v>
      </c>
    </row>
    <row r="695" spans="1:14">
      <c r="A695" s="12" t="s">
        <v>720</v>
      </c>
      <c r="B695" s="13">
        <v>2.6774292062275329</v>
      </c>
      <c r="C695" s="13">
        <v>3.56</v>
      </c>
      <c r="D695" s="15">
        <f t="shared" si="70"/>
        <v>1</v>
      </c>
      <c r="E695" s="15">
        <f t="shared" si="71"/>
        <v>0.2</v>
      </c>
      <c r="F695" s="15">
        <f t="shared" si="72"/>
        <v>1</v>
      </c>
      <c r="G695" s="15">
        <f t="shared" si="73"/>
        <v>0.53548584124550658</v>
      </c>
      <c r="H695" s="15">
        <f t="shared" si="74"/>
        <v>0.2</v>
      </c>
      <c r="I695" s="15">
        <f t="shared" si="75"/>
        <v>0</v>
      </c>
      <c r="J695" s="15">
        <f t="shared" si="76"/>
        <v>0</v>
      </c>
      <c r="K695" s="15">
        <f>IF(CurrentMtgRatesDataTable8[[#This Row],[WA CC]]&lt;&gt;0,C694-CurrentMtgRatesDataTable8[[#This Row],[WA CC]],0)</f>
        <v>0</v>
      </c>
      <c r="L695" s="15">
        <f>IF(CurrentMtgRatesDataTable8[[#This Row],[Servicing Spread]]&lt;=0,L694,CurrentMtgRatesDataTable8[[#This Row],[Servicing Spread]])</f>
        <v>0.94926924716328553</v>
      </c>
      <c r="M695" s="16">
        <f>CurrentMtgRatesDataTable8[[#This Row],[Servicing Spread Non-Zero]]-L694</f>
        <v>0</v>
      </c>
      <c r="N695" s="16">
        <f>IF(J694&lt;&gt;0,CurrentMtgRatesDataTable8[[#This Row],[Rate]]-C694,N694)</f>
        <v>-6.999999999999984E-2</v>
      </c>
    </row>
    <row r="696" spans="1:14">
      <c r="A696" s="12" t="s">
        <v>581</v>
      </c>
      <c r="B696" s="13">
        <v>2.6462920309129299</v>
      </c>
      <c r="C696" s="13">
        <v>3.56</v>
      </c>
      <c r="D696" s="15">
        <f t="shared" si="70"/>
        <v>2</v>
      </c>
      <c r="E696" s="15">
        <f t="shared" si="71"/>
        <v>0.2</v>
      </c>
      <c r="F696" s="15">
        <f t="shared" si="72"/>
        <v>2</v>
      </c>
      <c r="G696" s="15">
        <f t="shared" si="73"/>
        <v>1.0647442474280926</v>
      </c>
      <c r="H696" s="15">
        <f t="shared" si="74"/>
        <v>0.4</v>
      </c>
      <c r="I696" s="15">
        <f t="shared" si="75"/>
        <v>0</v>
      </c>
      <c r="J696" s="15">
        <f t="shared" si="76"/>
        <v>0</v>
      </c>
      <c r="K696" s="15">
        <f>IF(CurrentMtgRatesDataTable8[[#This Row],[WA CC]]&lt;&gt;0,C695-CurrentMtgRatesDataTable8[[#This Row],[WA CC]],0)</f>
        <v>0</v>
      </c>
      <c r="L696" s="15">
        <f>IF(CurrentMtgRatesDataTable8[[#This Row],[Servicing Spread]]&lt;=0,L695,CurrentMtgRatesDataTable8[[#This Row],[Servicing Spread]])</f>
        <v>0.94926924716328553</v>
      </c>
      <c r="M696" s="16">
        <f>CurrentMtgRatesDataTable8[[#This Row],[Servicing Spread Non-Zero]]-L695</f>
        <v>0</v>
      </c>
      <c r="N696" s="16">
        <f>IF(J695&lt;&gt;0,CurrentMtgRatesDataTable8[[#This Row],[Rate]]-C695,N695)</f>
        <v>-6.999999999999984E-2</v>
      </c>
    </row>
    <row r="697" spans="1:14">
      <c r="A697" s="12" t="s">
        <v>432</v>
      </c>
      <c r="B697" s="13">
        <v>2.5936190223084101</v>
      </c>
      <c r="C697" s="13">
        <v>3.56</v>
      </c>
      <c r="D697" s="15">
        <f t="shared" si="70"/>
        <v>5</v>
      </c>
      <c r="E697" s="15">
        <f t="shared" si="71"/>
        <v>0.2</v>
      </c>
      <c r="F697" s="15">
        <f t="shared" si="72"/>
        <v>3</v>
      </c>
      <c r="G697" s="15">
        <f t="shared" si="73"/>
        <v>1.5834680518897746</v>
      </c>
      <c r="H697" s="15">
        <f t="shared" si="74"/>
        <v>0.60000000000000009</v>
      </c>
      <c r="I697" s="15">
        <f t="shared" si="75"/>
        <v>0</v>
      </c>
      <c r="J697" s="15">
        <f t="shared" si="76"/>
        <v>0</v>
      </c>
      <c r="K697" s="15">
        <f>IF(CurrentMtgRatesDataTable8[[#This Row],[WA CC]]&lt;&gt;0,C696-CurrentMtgRatesDataTable8[[#This Row],[WA CC]],0)</f>
        <v>0</v>
      </c>
      <c r="L697" s="15">
        <f>IF(CurrentMtgRatesDataTable8[[#This Row],[Servicing Spread]]&lt;=0,L696,CurrentMtgRatesDataTable8[[#This Row],[Servicing Spread]])</f>
        <v>0.94926924716328553</v>
      </c>
      <c r="M697" s="16">
        <f>CurrentMtgRatesDataTable8[[#This Row],[Servicing Spread Non-Zero]]-L696</f>
        <v>0</v>
      </c>
      <c r="N697" s="16">
        <f>IF(J696&lt;&gt;0,CurrentMtgRatesDataTable8[[#This Row],[Rate]]-C696,N696)</f>
        <v>-6.999999999999984E-2</v>
      </c>
    </row>
    <row r="698" spans="1:14">
      <c r="A698" s="12" t="s">
        <v>305</v>
      </c>
      <c r="B698" s="13">
        <v>2.57954379421794</v>
      </c>
      <c r="C698" s="13">
        <v>3.56</v>
      </c>
      <c r="D698" s="15">
        <f t="shared" si="70"/>
        <v>6</v>
      </c>
      <c r="E698" s="15">
        <f t="shared" si="71"/>
        <v>0.2</v>
      </c>
      <c r="F698" s="15">
        <f t="shared" si="72"/>
        <v>4</v>
      </c>
      <c r="G698" s="15">
        <f t="shared" si="73"/>
        <v>2.0993768107333626</v>
      </c>
      <c r="H698" s="15">
        <f t="shared" si="74"/>
        <v>0.8</v>
      </c>
      <c r="I698" s="15">
        <f t="shared" si="75"/>
        <v>0</v>
      </c>
      <c r="J698" s="15">
        <f t="shared" si="76"/>
        <v>0</v>
      </c>
      <c r="K698" s="15">
        <f>IF(CurrentMtgRatesDataTable8[[#This Row],[WA CC]]&lt;&gt;0,C697-CurrentMtgRatesDataTable8[[#This Row],[WA CC]],0)</f>
        <v>0</v>
      </c>
      <c r="L698" s="15">
        <f>IF(CurrentMtgRatesDataTable8[[#This Row],[Servicing Spread]]&lt;=0,L697,CurrentMtgRatesDataTable8[[#This Row],[Servicing Spread]])</f>
        <v>0.94926924716328553</v>
      </c>
      <c r="M698" s="16">
        <f>CurrentMtgRatesDataTable8[[#This Row],[Servicing Spread Non-Zero]]-L697</f>
        <v>0</v>
      </c>
      <c r="N698" s="16">
        <f>IF(J697&lt;&gt;0,CurrentMtgRatesDataTable8[[#This Row],[Rate]]-C697,N697)</f>
        <v>-6.999999999999984E-2</v>
      </c>
    </row>
    <row r="699" spans="1:14">
      <c r="A699" s="12" t="s">
        <v>161</v>
      </c>
      <c r="B699" s="13">
        <v>2.49106608048328</v>
      </c>
      <c r="C699" s="13">
        <v>3.56</v>
      </c>
      <c r="D699" s="15">
        <f t="shared" si="70"/>
        <v>7</v>
      </c>
      <c r="E699" s="15">
        <f t="shared" si="71"/>
        <v>0.2</v>
      </c>
      <c r="F699" s="15">
        <f t="shared" si="72"/>
        <v>5</v>
      </c>
      <c r="G699" s="15">
        <f t="shared" si="73"/>
        <v>2.5975900268300185</v>
      </c>
      <c r="H699" s="15">
        <f t="shared" si="74"/>
        <v>1</v>
      </c>
      <c r="I699" s="15">
        <f t="shared" si="75"/>
        <v>1</v>
      </c>
      <c r="J699" s="15">
        <f t="shared" si="76"/>
        <v>2.5975900268300185</v>
      </c>
      <c r="K699" s="15">
        <f>IF(CurrentMtgRatesDataTable8[[#This Row],[WA CC]]&lt;&gt;0,C698-CurrentMtgRatesDataTable8[[#This Row],[WA CC]],0)</f>
        <v>0.96240997316998156</v>
      </c>
      <c r="L699" s="15">
        <f>IF(CurrentMtgRatesDataTable8[[#This Row],[Servicing Spread]]&lt;=0,L698,CurrentMtgRatesDataTable8[[#This Row],[Servicing Spread]])</f>
        <v>0.96240997316998156</v>
      </c>
      <c r="M699" s="16">
        <f>CurrentMtgRatesDataTable8[[#This Row],[Servicing Spread Non-Zero]]-L698</f>
        <v>1.3140726006696024E-2</v>
      </c>
      <c r="N699" s="16">
        <f>IF(J698&lt;&gt;0,CurrentMtgRatesDataTable8[[#This Row],[Rate]]-C698,N698)</f>
        <v>-6.999999999999984E-2</v>
      </c>
    </row>
    <row r="700" spans="1:14">
      <c r="A700" s="12" t="s">
        <v>721</v>
      </c>
      <c r="B700" s="13">
        <v>2.4553295319883701</v>
      </c>
      <c r="C700" s="13">
        <v>3.5549999999999997</v>
      </c>
      <c r="D700" s="15">
        <f t="shared" si="70"/>
        <v>1</v>
      </c>
      <c r="E700" s="15">
        <f t="shared" si="71"/>
        <v>0.2</v>
      </c>
      <c r="F700" s="15">
        <f t="shared" si="72"/>
        <v>1</v>
      </c>
      <c r="G700" s="15">
        <f t="shared" si="73"/>
        <v>0.49106590639767406</v>
      </c>
      <c r="H700" s="15">
        <f t="shared" si="74"/>
        <v>0.2</v>
      </c>
      <c r="I700" s="15">
        <f t="shared" si="75"/>
        <v>0</v>
      </c>
      <c r="J700" s="15">
        <f t="shared" si="76"/>
        <v>0</v>
      </c>
      <c r="K700" s="15">
        <f>IF(CurrentMtgRatesDataTable8[[#This Row],[WA CC]]&lt;&gt;0,C699-CurrentMtgRatesDataTable8[[#This Row],[WA CC]],0)</f>
        <v>0</v>
      </c>
      <c r="L700" s="15">
        <f>IF(CurrentMtgRatesDataTable8[[#This Row],[Servicing Spread]]&lt;=0,L699,CurrentMtgRatesDataTable8[[#This Row],[Servicing Spread]])</f>
        <v>0.96240997316998156</v>
      </c>
      <c r="M700" s="16">
        <f>CurrentMtgRatesDataTable8[[#This Row],[Servicing Spread Non-Zero]]-L699</f>
        <v>0</v>
      </c>
      <c r="N700" s="16">
        <f>IF(J699&lt;&gt;0,CurrentMtgRatesDataTable8[[#This Row],[Rate]]-C699,N699)</f>
        <v>-5.0000000000003375E-3</v>
      </c>
    </row>
    <row r="701" spans="1:14">
      <c r="A701" s="12" t="s">
        <v>582</v>
      </c>
      <c r="B701" s="13">
        <v>2.5454794820645601</v>
      </c>
      <c r="C701" s="13">
        <v>3.5549999999999997</v>
      </c>
      <c r="D701" s="15">
        <f t="shared" si="70"/>
        <v>2</v>
      </c>
      <c r="E701" s="15">
        <f t="shared" si="71"/>
        <v>0.2</v>
      </c>
      <c r="F701" s="15">
        <f t="shared" si="72"/>
        <v>2</v>
      </c>
      <c r="G701" s="15">
        <f t="shared" si="73"/>
        <v>1.0001618028105861</v>
      </c>
      <c r="H701" s="15">
        <f t="shared" si="74"/>
        <v>0.4</v>
      </c>
      <c r="I701" s="15">
        <f t="shared" si="75"/>
        <v>0</v>
      </c>
      <c r="J701" s="15">
        <f t="shared" si="76"/>
        <v>0</v>
      </c>
      <c r="K701" s="15">
        <f>IF(CurrentMtgRatesDataTable8[[#This Row],[WA CC]]&lt;&gt;0,C700-CurrentMtgRatesDataTable8[[#This Row],[WA CC]],0)</f>
        <v>0</v>
      </c>
      <c r="L701" s="15">
        <f>IF(CurrentMtgRatesDataTable8[[#This Row],[Servicing Spread]]&lt;=0,L700,CurrentMtgRatesDataTable8[[#This Row],[Servicing Spread]])</f>
        <v>0.96240997316998156</v>
      </c>
      <c r="M701" s="16">
        <f>CurrentMtgRatesDataTable8[[#This Row],[Servicing Spread Non-Zero]]-L700</f>
        <v>0</v>
      </c>
      <c r="N701" s="16">
        <f>IF(J700&lt;&gt;0,CurrentMtgRatesDataTable8[[#This Row],[Rate]]-C700,N700)</f>
        <v>-5.0000000000003375E-3</v>
      </c>
    </row>
    <row r="702" spans="1:14">
      <c r="A702" s="12" t="s">
        <v>306</v>
      </c>
      <c r="B702" s="13">
        <v>2.55737179181423</v>
      </c>
      <c r="C702" s="13">
        <v>3.5549999999999997</v>
      </c>
      <c r="D702" s="15">
        <f t="shared" si="70"/>
        <v>6</v>
      </c>
      <c r="E702" s="15">
        <f t="shared" si="71"/>
        <v>0.2</v>
      </c>
      <c r="F702" s="15">
        <f t="shared" si="72"/>
        <v>3</v>
      </c>
      <c r="G702" s="15">
        <f t="shared" si="73"/>
        <v>1.5116361611734321</v>
      </c>
      <c r="H702" s="15">
        <f t="shared" si="74"/>
        <v>0.60000000000000009</v>
      </c>
      <c r="I702" s="15">
        <f t="shared" si="75"/>
        <v>0</v>
      </c>
      <c r="J702" s="15">
        <f t="shared" si="76"/>
        <v>0</v>
      </c>
      <c r="K702" s="15">
        <f>IF(CurrentMtgRatesDataTable8[[#This Row],[WA CC]]&lt;&gt;0,C701-CurrentMtgRatesDataTable8[[#This Row],[WA CC]],0)</f>
        <v>0</v>
      </c>
      <c r="L702" s="15">
        <f>IF(CurrentMtgRatesDataTable8[[#This Row],[Servicing Spread]]&lt;=0,L701,CurrentMtgRatesDataTable8[[#This Row],[Servicing Spread]])</f>
        <v>0.96240997316998156</v>
      </c>
      <c r="M702" s="16">
        <f>CurrentMtgRatesDataTable8[[#This Row],[Servicing Spread Non-Zero]]-L701</f>
        <v>0</v>
      </c>
      <c r="N702" s="16">
        <f>IF(J701&lt;&gt;0,CurrentMtgRatesDataTable8[[#This Row],[Rate]]-C701,N701)</f>
        <v>-5.0000000000003375E-3</v>
      </c>
    </row>
    <row r="703" spans="1:14">
      <c r="A703" s="12" t="s">
        <v>162</v>
      </c>
      <c r="B703" s="13">
        <v>2.6084944348331098</v>
      </c>
      <c r="C703" s="13">
        <v>3.5549999999999997</v>
      </c>
      <c r="D703" s="15">
        <f t="shared" si="70"/>
        <v>7</v>
      </c>
      <c r="E703" s="15">
        <f t="shared" si="71"/>
        <v>0.2</v>
      </c>
      <c r="F703" s="15">
        <f t="shared" si="72"/>
        <v>4</v>
      </c>
      <c r="G703" s="15">
        <f t="shared" si="73"/>
        <v>2.0333350481400543</v>
      </c>
      <c r="H703" s="15">
        <f t="shared" si="74"/>
        <v>0.8</v>
      </c>
      <c r="I703" s="15">
        <f t="shared" si="75"/>
        <v>1</v>
      </c>
      <c r="J703" s="15">
        <f t="shared" si="76"/>
        <v>2.5416688101750675</v>
      </c>
      <c r="K703" s="15">
        <f>IF(CurrentMtgRatesDataTable8[[#This Row],[WA CC]]&lt;&gt;0,C702-CurrentMtgRatesDataTable8[[#This Row],[WA CC]],0)</f>
        <v>1.0133311898249322</v>
      </c>
      <c r="L703" s="15">
        <f>IF(CurrentMtgRatesDataTable8[[#This Row],[Servicing Spread]]&lt;=0,L702,CurrentMtgRatesDataTable8[[#This Row],[Servicing Spread]])</f>
        <v>1.0133311898249322</v>
      </c>
      <c r="M703" s="16">
        <f>CurrentMtgRatesDataTable8[[#This Row],[Servicing Spread Non-Zero]]-L702</f>
        <v>5.0921216654950641E-2</v>
      </c>
      <c r="N703" s="16">
        <f>IF(J702&lt;&gt;0,CurrentMtgRatesDataTable8[[#This Row],[Rate]]-C702,N702)</f>
        <v>-5.0000000000003375E-3</v>
      </c>
    </row>
    <row r="704" spans="1:14">
      <c r="A704" s="12" t="s">
        <v>722</v>
      </c>
      <c r="B704" s="13">
        <v>2.6170205733531602</v>
      </c>
      <c r="C704" s="13">
        <v>3.56</v>
      </c>
      <c r="D704" s="15">
        <f t="shared" si="70"/>
        <v>1</v>
      </c>
      <c r="E704" s="15">
        <f t="shared" si="71"/>
        <v>0.2</v>
      </c>
      <c r="F704" s="15">
        <f t="shared" si="72"/>
        <v>1</v>
      </c>
      <c r="G704" s="15">
        <f t="shared" si="73"/>
        <v>0.52340411467063208</v>
      </c>
      <c r="H704" s="15">
        <f t="shared" si="74"/>
        <v>0.2</v>
      </c>
      <c r="I704" s="15">
        <f t="shared" si="75"/>
        <v>0</v>
      </c>
      <c r="J704" s="15">
        <f t="shared" si="76"/>
        <v>0</v>
      </c>
      <c r="K704" s="15">
        <f>IF(CurrentMtgRatesDataTable8[[#This Row],[WA CC]]&lt;&gt;0,C703-CurrentMtgRatesDataTable8[[#This Row],[WA CC]],0)</f>
        <v>0</v>
      </c>
      <c r="L704" s="15">
        <f>IF(CurrentMtgRatesDataTable8[[#This Row],[Servicing Spread]]&lt;=0,L703,CurrentMtgRatesDataTable8[[#This Row],[Servicing Spread]])</f>
        <v>1.0133311898249322</v>
      </c>
      <c r="M704" s="16">
        <f>CurrentMtgRatesDataTable8[[#This Row],[Servicing Spread Non-Zero]]-L703</f>
        <v>0</v>
      </c>
      <c r="N704" s="16">
        <f>IF(J703&lt;&gt;0,CurrentMtgRatesDataTable8[[#This Row],[Rate]]-C703,N703)</f>
        <v>5.0000000000003375E-3</v>
      </c>
    </row>
    <row r="705" spans="1:14">
      <c r="A705" s="12" t="s">
        <v>583</v>
      </c>
      <c r="B705" s="13">
        <v>2.5688065849413189</v>
      </c>
      <c r="C705" s="13">
        <v>3.56</v>
      </c>
      <c r="D705" s="15">
        <f t="shared" si="70"/>
        <v>2</v>
      </c>
      <c r="E705" s="15">
        <f t="shared" si="71"/>
        <v>0.2</v>
      </c>
      <c r="F705" s="15">
        <f t="shared" si="72"/>
        <v>2</v>
      </c>
      <c r="G705" s="15">
        <f t="shared" si="73"/>
        <v>1.0371654316588959</v>
      </c>
      <c r="H705" s="15">
        <f t="shared" si="74"/>
        <v>0.4</v>
      </c>
      <c r="I705" s="15">
        <f t="shared" si="75"/>
        <v>0</v>
      </c>
      <c r="J705" s="15">
        <f t="shared" si="76"/>
        <v>0</v>
      </c>
      <c r="K705" s="15">
        <f>IF(CurrentMtgRatesDataTable8[[#This Row],[WA CC]]&lt;&gt;0,C704-CurrentMtgRatesDataTable8[[#This Row],[WA CC]],0)</f>
        <v>0</v>
      </c>
      <c r="L705" s="15">
        <f>IF(CurrentMtgRatesDataTable8[[#This Row],[Servicing Spread]]&lt;=0,L704,CurrentMtgRatesDataTable8[[#This Row],[Servicing Spread]])</f>
        <v>1.0133311898249322</v>
      </c>
      <c r="M705" s="16">
        <f>CurrentMtgRatesDataTable8[[#This Row],[Servicing Spread Non-Zero]]-L704</f>
        <v>0</v>
      </c>
      <c r="N705" s="16">
        <f>IF(J704&lt;&gt;0,CurrentMtgRatesDataTable8[[#This Row],[Rate]]-C704,N704)</f>
        <v>5.0000000000003375E-3</v>
      </c>
    </row>
    <row r="706" spans="1:14">
      <c r="A706" s="12" t="s">
        <v>433</v>
      </c>
      <c r="B706" s="13">
        <v>2.5964187919228277</v>
      </c>
      <c r="C706" s="13">
        <v>3.56</v>
      </c>
      <c r="D706" s="15">
        <f t="shared" si="70"/>
        <v>5</v>
      </c>
      <c r="E706" s="15">
        <f t="shared" si="71"/>
        <v>0.2</v>
      </c>
      <c r="F706" s="15">
        <f t="shared" si="72"/>
        <v>3</v>
      </c>
      <c r="G706" s="15">
        <f t="shared" si="73"/>
        <v>1.5564491900434614</v>
      </c>
      <c r="H706" s="15">
        <f t="shared" si="74"/>
        <v>0.60000000000000009</v>
      </c>
      <c r="I706" s="15">
        <f t="shared" si="75"/>
        <v>0</v>
      </c>
      <c r="J706" s="15">
        <f t="shared" si="76"/>
        <v>0</v>
      </c>
      <c r="K706" s="15">
        <f>IF(CurrentMtgRatesDataTable8[[#This Row],[WA CC]]&lt;&gt;0,C705-CurrentMtgRatesDataTable8[[#This Row],[WA CC]],0)</f>
        <v>0</v>
      </c>
      <c r="L706" s="15">
        <f>IF(CurrentMtgRatesDataTable8[[#This Row],[Servicing Spread]]&lt;=0,L705,CurrentMtgRatesDataTable8[[#This Row],[Servicing Spread]])</f>
        <v>1.0133311898249322</v>
      </c>
      <c r="M706" s="16">
        <f>CurrentMtgRatesDataTable8[[#This Row],[Servicing Spread Non-Zero]]-L705</f>
        <v>0</v>
      </c>
      <c r="N706" s="16">
        <f>IF(J705&lt;&gt;0,CurrentMtgRatesDataTable8[[#This Row],[Rate]]-C705,N705)</f>
        <v>5.0000000000003375E-3</v>
      </c>
    </row>
    <row r="707" spans="1:14">
      <c r="A707" s="12" t="s">
        <v>307</v>
      </c>
      <c r="B707" s="13">
        <v>2.58566791572217</v>
      </c>
      <c r="C707" s="13">
        <v>3.56</v>
      </c>
      <c r="D707" s="15">
        <f t="shared" si="70"/>
        <v>6</v>
      </c>
      <c r="E707" s="15">
        <f t="shared" si="71"/>
        <v>0.2</v>
      </c>
      <c r="F707" s="15">
        <f t="shared" si="72"/>
        <v>4</v>
      </c>
      <c r="G707" s="15">
        <f t="shared" si="73"/>
        <v>2.0735827731878955</v>
      </c>
      <c r="H707" s="15">
        <f t="shared" si="74"/>
        <v>0.8</v>
      </c>
      <c r="I707" s="15">
        <f t="shared" si="75"/>
        <v>0</v>
      </c>
      <c r="J707" s="15">
        <f t="shared" si="76"/>
        <v>0</v>
      </c>
      <c r="K707" s="15">
        <f>IF(CurrentMtgRatesDataTable8[[#This Row],[WA CC]]&lt;&gt;0,C706-CurrentMtgRatesDataTable8[[#This Row],[WA CC]],0)</f>
        <v>0</v>
      </c>
      <c r="L707" s="15">
        <f>IF(CurrentMtgRatesDataTable8[[#This Row],[Servicing Spread]]&lt;=0,L706,CurrentMtgRatesDataTable8[[#This Row],[Servicing Spread]])</f>
        <v>1.0133311898249322</v>
      </c>
      <c r="M707" s="16">
        <f>CurrentMtgRatesDataTable8[[#This Row],[Servicing Spread Non-Zero]]-L706</f>
        <v>0</v>
      </c>
      <c r="N707" s="16">
        <f>IF(J706&lt;&gt;0,CurrentMtgRatesDataTable8[[#This Row],[Rate]]-C706,N706)</f>
        <v>5.0000000000003375E-3</v>
      </c>
    </row>
    <row r="708" spans="1:14">
      <c r="A708" s="12" t="s">
        <v>163</v>
      </c>
      <c r="B708" s="13">
        <v>2.5075854882079498</v>
      </c>
      <c r="C708" s="13">
        <v>3.56</v>
      </c>
      <c r="D708" s="15">
        <f t="shared" si="70"/>
        <v>7</v>
      </c>
      <c r="E708" s="15">
        <f t="shared" si="71"/>
        <v>0.2</v>
      </c>
      <c r="F708" s="15">
        <f t="shared" si="72"/>
        <v>5</v>
      </c>
      <c r="G708" s="15">
        <f t="shared" si="73"/>
        <v>2.5750998708294857</v>
      </c>
      <c r="H708" s="15">
        <f t="shared" si="74"/>
        <v>1</v>
      </c>
      <c r="I708" s="15">
        <f t="shared" si="75"/>
        <v>1</v>
      </c>
      <c r="J708" s="15">
        <f t="shared" si="76"/>
        <v>2.5750998708294857</v>
      </c>
      <c r="K708" s="15">
        <f>IF(CurrentMtgRatesDataTable8[[#This Row],[WA CC]]&lt;&gt;0,C707-CurrentMtgRatesDataTable8[[#This Row],[WA CC]],0)</f>
        <v>0.98490012917051439</v>
      </c>
      <c r="L708" s="15">
        <f>IF(CurrentMtgRatesDataTable8[[#This Row],[Servicing Spread]]&lt;=0,L707,CurrentMtgRatesDataTable8[[#This Row],[Servicing Spread]])</f>
        <v>0.98490012917051439</v>
      </c>
      <c r="M708" s="16">
        <f>CurrentMtgRatesDataTable8[[#This Row],[Servicing Spread Non-Zero]]-L707</f>
        <v>-2.8431060654417806E-2</v>
      </c>
      <c r="N708" s="16">
        <f>IF(J707&lt;&gt;0,CurrentMtgRatesDataTable8[[#This Row],[Rate]]-C707,N707)</f>
        <v>5.0000000000003375E-3</v>
      </c>
    </row>
    <row r="709" spans="1:14">
      <c r="A709" s="12" t="s">
        <v>723</v>
      </c>
      <c r="B709" s="13">
        <v>2.5133603709402799</v>
      </c>
      <c r="C709" s="13">
        <v>3.5149999999999997</v>
      </c>
      <c r="D709" s="15">
        <f t="shared" ref="D709:D772" si="77">WEEKDAY(A709,14)</f>
        <v>1</v>
      </c>
      <c r="E709" s="15">
        <f t="shared" ref="E709:E772" si="78">VLOOKUP(D709,Q$5:R$11,2,FALSE)</f>
        <v>0.2</v>
      </c>
      <c r="F709" s="15">
        <f t="shared" ref="F709:F772" si="79">IF(AND(D709&gt;D708,F708&lt;6),F708+1,1)</f>
        <v>1</v>
      </c>
      <c r="G709" s="15">
        <f t="shared" ref="G709:G772" si="80">IF(F709&gt;F708,G708+B709*E709,B709*E709)</f>
        <v>0.50267207418805604</v>
      </c>
      <c r="H709" s="15">
        <f t="shared" ref="H709:H772" si="81">IF(AND(F709&lt;6,F709&gt;F708),E709+H708,E709)</f>
        <v>0.2</v>
      </c>
      <c r="I709" s="15">
        <f t="shared" ref="I709:I772" si="82">IF(F709&gt;F710,1,0)</f>
        <v>0</v>
      </c>
      <c r="J709" s="15">
        <f t="shared" ref="J709:J772" si="83">IF(F709&gt;F710,G709/H709,0)</f>
        <v>0</v>
      </c>
      <c r="K709" s="15">
        <f>IF(CurrentMtgRatesDataTable8[[#This Row],[WA CC]]&lt;&gt;0,C708-CurrentMtgRatesDataTable8[[#This Row],[WA CC]],0)</f>
        <v>0</v>
      </c>
      <c r="L709" s="15">
        <f>IF(CurrentMtgRatesDataTable8[[#This Row],[Servicing Spread]]&lt;=0,L708,CurrentMtgRatesDataTable8[[#This Row],[Servicing Spread]])</f>
        <v>0.98490012917051439</v>
      </c>
      <c r="M709" s="16">
        <f>CurrentMtgRatesDataTable8[[#This Row],[Servicing Spread Non-Zero]]-L708</f>
        <v>0</v>
      </c>
      <c r="N709" s="16">
        <f>IF(J708&lt;&gt;0,CurrentMtgRatesDataTable8[[#This Row],[Rate]]-C708,N708)</f>
        <v>-4.5000000000000373E-2</v>
      </c>
    </row>
    <row r="710" spans="1:14">
      <c r="A710" s="12" t="s">
        <v>584</v>
      </c>
      <c r="B710" s="13">
        <v>2.4526687901347302</v>
      </c>
      <c r="C710" s="13">
        <v>3.5149999999999997</v>
      </c>
      <c r="D710" s="15">
        <f t="shared" si="77"/>
        <v>2</v>
      </c>
      <c r="E710" s="15">
        <f t="shared" si="78"/>
        <v>0.2</v>
      </c>
      <c r="F710" s="15">
        <f t="shared" si="79"/>
        <v>2</v>
      </c>
      <c r="G710" s="15">
        <f t="shared" si="80"/>
        <v>0.99320583221500214</v>
      </c>
      <c r="H710" s="15">
        <f t="shared" si="81"/>
        <v>0.4</v>
      </c>
      <c r="I710" s="15">
        <f t="shared" si="82"/>
        <v>0</v>
      </c>
      <c r="J710" s="15">
        <f t="shared" si="83"/>
        <v>0</v>
      </c>
      <c r="K710" s="15">
        <f>IF(CurrentMtgRatesDataTable8[[#This Row],[WA CC]]&lt;&gt;0,C709-CurrentMtgRatesDataTable8[[#This Row],[WA CC]],0)</f>
        <v>0</v>
      </c>
      <c r="L710" s="15">
        <f>IF(CurrentMtgRatesDataTable8[[#This Row],[Servicing Spread]]&lt;=0,L709,CurrentMtgRatesDataTable8[[#This Row],[Servicing Spread]])</f>
        <v>0.98490012917051439</v>
      </c>
      <c r="M710" s="16">
        <f>CurrentMtgRatesDataTable8[[#This Row],[Servicing Spread Non-Zero]]-L709</f>
        <v>0</v>
      </c>
      <c r="N710" s="16">
        <f>IF(J709&lt;&gt;0,CurrentMtgRatesDataTable8[[#This Row],[Rate]]-C709,N709)</f>
        <v>-4.5000000000000373E-2</v>
      </c>
    </row>
    <row r="711" spans="1:14">
      <c r="A711" s="12" t="s">
        <v>434</v>
      </c>
      <c r="B711" s="13">
        <v>2.4482414321452199</v>
      </c>
      <c r="C711" s="13">
        <v>3.5149999999999997</v>
      </c>
      <c r="D711" s="15">
        <f t="shared" si="77"/>
        <v>5</v>
      </c>
      <c r="E711" s="15">
        <f t="shared" si="78"/>
        <v>0.2</v>
      </c>
      <c r="F711" s="15">
        <f t="shared" si="79"/>
        <v>3</v>
      </c>
      <c r="G711" s="15">
        <f t="shared" si="80"/>
        <v>1.4828541186440463</v>
      </c>
      <c r="H711" s="15">
        <f t="shared" si="81"/>
        <v>0.60000000000000009</v>
      </c>
      <c r="I711" s="15">
        <f t="shared" si="82"/>
        <v>0</v>
      </c>
      <c r="J711" s="15">
        <f t="shared" si="83"/>
        <v>0</v>
      </c>
      <c r="K711" s="15">
        <f>IF(CurrentMtgRatesDataTable8[[#This Row],[WA CC]]&lt;&gt;0,C710-CurrentMtgRatesDataTable8[[#This Row],[WA CC]],0)</f>
        <v>0</v>
      </c>
      <c r="L711" s="15">
        <f>IF(CurrentMtgRatesDataTable8[[#This Row],[Servicing Spread]]&lt;=0,L710,CurrentMtgRatesDataTable8[[#This Row],[Servicing Spread]])</f>
        <v>0.98490012917051439</v>
      </c>
      <c r="M711" s="16">
        <f>CurrentMtgRatesDataTable8[[#This Row],[Servicing Spread Non-Zero]]-L710</f>
        <v>0</v>
      </c>
      <c r="N711" s="16">
        <f>IF(J710&lt;&gt;0,CurrentMtgRatesDataTable8[[#This Row],[Rate]]-C710,N710)</f>
        <v>-4.5000000000000373E-2</v>
      </c>
    </row>
    <row r="712" spans="1:14">
      <c r="A712" s="12" t="s">
        <v>308</v>
      </c>
      <c r="B712" s="13">
        <v>2.5386092043872699</v>
      </c>
      <c r="C712" s="13">
        <v>3.5149999999999997</v>
      </c>
      <c r="D712" s="15">
        <f t="shared" si="77"/>
        <v>6</v>
      </c>
      <c r="E712" s="15">
        <f t="shared" si="78"/>
        <v>0.2</v>
      </c>
      <c r="F712" s="15">
        <f t="shared" si="79"/>
        <v>4</v>
      </c>
      <c r="G712" s="15">
        <f t="shared" si="80"/>
        <v>1.9905759595215002</v>
      </c>
      <c r="H712" s="15">
        <f t="shared" si="81"/>
        <v>0.8</v>
      </c>
      <c r="I712" s="15">
        <f t="shared" si="82"/>
        <v>0</v>
      </c>
      <c r="J712" s="15">
        <f t="shared" si="83"/>
        <v>0</v>
      </c>
      <c r="K712" s="15">
        <f>IF(CurrentMtgRatesDataTable8[[#This Row],[WA CC]]&lt;&gt;0,C711-CurrentMtgRatesDataTable8[[#This Row],[WA CC]],0)</f>
        <v>0</v>
      </c>
      <c r="L712" s="15">
        <f>IF(CurrentMtgRatesDataTable8[[#This Row],[Servicing Spread]]&lt;=0,L711,CurrentMtgRatesDataTable8[[#This Row],[Servicing Spread]])</f>
        <v>0.98490012917051439</v>
      </c>
      <c r="M712" s="16">
        <f>CurrentMtgRatesDataTable8[[#This Row],[Servicing Spread Non-Zero]]-L711</f>
        <v>0</v>
      </c>
      <c r="N712" s="16">
        <f>IF(J711&lt;&gt;0,CurrentMtgRatesDataTable8[[#This Row],[Rate]]-C711,N711)</f>
        <v>-4.5000000000000373E-2</v>
      </c>
    </row>
    <row r="713" spans="1:14">
      <c r="A713" s="12" t="s">
        <v>164</v>
      </c>
      <c r="B713" s="13">
        <v>2.56620444102245</v>
      </c>
      <c r="C713" s="13">
        <v>3.5149999999999997</v>
      </c>
      <c r="D713" s="15">
        <f t="shared" si="77"/>
        <v>7</v>
      </c>
      <c r="E713" s="15">
        <f t="shared" si="78"/>
        <v>0.2</v>
      </c>
      <c r="F713" s="15">
        <f t="shared" si="79"/>
        <v>5</v>
      </c>
      <c r="G713" s="15">
        <f t="shared" si="80"/>
        <v>2.5038168477259903</v>
      </c>
      <c r="H713" s="15">
        <f t="shared" si="81"/>
        <v>1</v>
      </c>
      <c r="I713" s="15">
        <f t="shared" si="82"/>
        <v>1</v>
      </c>
      <c r="J713" s="15">
        <f t="shared" si="83"/>
        <v>2.5038168477259903</v>
      </c>
      <c r="K713" s="15">
        <f>IF(CurrentMtgRatesDataTable8[[#This Row],[WA CC]]&lt;&gt;0,C712-CurrentMtgRatesDataTable8[[#This Row],[WA CC]],0)</f>
        <v>1.0111831522740093</v>
      </c>
      <c r="L713" s="15">
        <f>IF(CurrentMtgRatesDataTable8[[#This Row],[Servicing Spread]]&lt;=0,L712,CurrentMtgRatesDataTable8[[#This Row],[Servicing Spread]])</f>
        <v>1.0111831522740093</v>
      </c>
      <c r="M713" s="16">
        <f>CurrentMtgRatesDataTable8[[#This Row],[Servicing Spread Non-Zero]]-L712</f>
        <v>2.6283023103494951E-2</v>
      </c>
      <c r="N713" s="16">
        <f>IF(J712&lt;&gt;0,CurrentMtgRatesDataTable8[[#This Row],[Rate]]-C712,N712)</f>
        <v>-4.5000000000000373E-2</v>
      </c>
    </row>
    <row r="714" spans="1:14">
      <c r="A714" s="12" t="s">
        <v>724</v>
      </c>
      <c r="B714" s="13">
        <v>2.5588939804772202</v>
      </c>
      <c r="C714" s="13">
        <v>3.59</v>
      </c>
      <c r="D714" s="15">
        <f t="shared" si="77"/>
        <v>1</v>
      </c>
      <c r="E714" s="15">
        <f t="shared" si="78"/>
        <v>0.2</v>
      </c>
      <c r="F714" s="15">
        <f t="shared" si="79"/>
        <v>1</v>
      </c>
      <c r="G714" s="15">
        <f t="shared" si="80"/>
        <v>0.51177879609544408</v>
      </c>
      <c r="H714" s="15">
        <f t="shared" si="81"/>
        <v>0.2</v>
      </c>
      <c r="I714" s="15">
        <f t="shared" si="82"/>
        <v>0</v>
      </c>
      <c r="J714" s="15">
        <f t="shared" si="83"/>
        <v>0</v>
      </c>
      <c r="K714" s="15">
        <f>IF(CurrentMtgRatesDataTable8[[#This Row],[WA CC]]&lt;&gt;0,C713-CurrentMtgRatesDataTable8[[#This Row],[WA CC]],0)</f>
        <v>0</v>
      </c>
      <c r="L714" s="15">
        <f>IF(CurrentMtgRatesDataTable8[[#This Row],[Servicing Spread]]&lt;=0,L713,CurrentMtgRatesDataTable8[[#This Row],[Servicing Spread]])</f>
        <v>1.0111831522740093</v>
      </c>
      <c r="M714" s="16">
        <f>CurrentMtgRatesDataTable8[[#This Row],[Servicing Spread Non-Zero]]-L713</f>
        <v>0</v>
      </c>
      <c r="N714" s="16">
        <f>IF(J713&lt;&gt;0,CurrentMtgRatesDataTable8[[#This Row],[Rate]]-C713,N713)</f>
        <v>7.5000000000000178E-2</v>
      </c>
    </row>
    <row r="715" spans="1:14">
      <c r="A715" s="12" t="s">
        <v>585</v>
      </c>
      <c r="B715" s="13">
        <v>2.6748566998957601</v>
      </c>
      <c r="C715" s="13">
        <v>3.59</v>
      </c>
      <c r="D715" s="15">
        <f t="shared" si="77"/>
        <v>2</v>
      </c>
      <c r="E715" s="15">
        <f t="shared" si="78"/>
        <v>0.2</v>
      </c>
      <c r="F715" s="15">
        <f t="shared" si="79"/>
        <v>2</v>
      </c>
      <c r="G715" s="15">
        <f t="shared" si="80"/>
        <v>1.0467501360745961</v>
      </c>
      <c r="H715" s="15">
        <f t="shared" si="81"/>
        <v>0.4</v>
      </c>
      <c r="I715" s="15">
        <f t="shared" si="82"/>
        <v>0</v>
      </c>
      <c r="J715" s="15">
        <f t="shared" si="83"/>
        <v>0</v>
      </c>
      <c r="K715" s="15">
        <f>IF(CurrentMtgRatesDataTable8[[#This Row],[WA CC]]&lt;&gt;0,C714-CurrentMtgRatesDataTable8[[#This Row],[WA CC]],0)</f>
        <v>0</v>
      </c>
      <c r="L715" s="15">
        <f>IF(CurrentMtgRatesDataTable8[[#This Row],[Servicing Spread]]&lt;=0,L714,CurrentMtgRatesDataTable8[[#This Row],[Servicing Spread]])</f>
        <v>1.0111831522740093</v>
      </c>
      <c r="M715" s="16">
        <f>CurrentMtgRatesDataTable8[[#This Row],[Servicing Spread Non-Zero]]-L714</f>
        <v>0</v>
      </c>
      <c r="N715" s="16">
        <f>IF(J714&lt;&gt;0,CurrentMtgRatesDataTable8[[#This Row],[Rate]]-C714,N714)</f>
        <v>7.5000000000000178E-2</v>
      </c>
    </row>
    <row r="716" spans="1:14">
      <c r="A716" s="8" t="s">
        <v>745</v>
      </c>
      <c r="B716" s="11">
        <v>2.6856648240007002</v>
      </c>
      <c r="C716" s="11">
        <v>3.59</v>
      </c>
      <c r="D716" s="16">
        <f t="shared" si="77"/>
        <v>5</v>
      </c>
      <c r="E716" s="16">
        <f t="shared" si="78"/>
        <v>0.2</v>
      </c>
      <c r="F716" s="16">
        <f t="shared" si="79"/>
        <v>3</v>
      </c>
      <c r="G716" s="16">
        <f t="shared" si="80"/>
        <v>1.5838831008747363</v>
      </c>
      <c r="H716" s="16">
        <f t="shared" si="81"/>
        <v>0.60000000000000009</v>
      </c>
      <c r="I716" s="16">
        <f t="shared" si="82"/>
        <v>0</v>
      </c>
      <c r="J716" s="16">
        <f t="shared" si="83"/>
        <v>0</v>
      </c>
      <c r="K716" s="16">
        <f>IF(CurrentMtgRatesDataTable8[[#This Row],[WA CC]]&lt;&gt;0,C715-CurrentMtgRatesDataTable8[[#This Row],[WA CC]],0)</f>
        <v>0</v>
      </c>
      <c r="L716" s="16">
        <f>IF(CurrentMtgRatesDataTable8[[#This Row],[Servicing Spread]]&lt;=0,L715,CurrentMtgRatesDataTable8[[#This Row],[Servicing Spread]])</f>
        <v>1.0111831522740093</v>
      </c>
      <c r="M716" s="16">
        <f>CurrentMtgRatesDataTable8[[#This Row],[Servicing Spread Non-Zero]]-L715</f>
        <v>0</v>
      </c>
      <c r="N716" s="16">
        <f>IF(J715&lt;&gt;0,CurrentMtgRatesDataTable8[[#This Row],[Rate]]-C715,N715)</f>
        <v>7.5000000000000178E-2</v>
      </c>
    </row>
    <row r="717" spans="1:14">
      <c r="A717" s="8" t="s">
        <v>746</v>
      </c>
      <c r="B717" s="11">
        <v>2.7450619013759301</v>
      </c>
      <c r="C717" s="11">
        <v>3.59</v>
      </c>
      <c r="D717" s="16">
        <f t="shared" si="77"/>
        <v>6</v>
      </c>
      <c r="E717" s="16">
        <f t="shared" si="78"/>
        <v>0.2</v>
      </c>
      <c r="F717" s="16">
        <f t="shared" si="79"/>
        <v>4</v>
      </c>
      <c r="G717" s="16">
        <f t="shared" si="80"/>
        <v>2.1328954811499221</v>
      </c>
      <c r="H717" s="16">
        <f t="shared" si="81"/>
        <v>0.8</v>
      </c>
      <c r="I717" s="16">
        <f t="shared" si="82"/>
        <v>0</v>
      </c>
      <c r="J717" s="16">
        <f t="shared" si="83"/>
        <v>0</v>
      </c>
      <c r="K717" s="16">
        <f>IF(CurrentMtgRatesDataTable8[[#This Row],[WA CC]]&lt;&gt;0,C716-CurrentMtgRatesDataTable8[[#This Row],[WA CC]],0)</f>
        <v>0</v>
      </c>
      <c r="L717" s="16">
        <f>IF(CurrentMtgRatesDataTable8[[#This Row],[Servicing Spread]]&lt;=0,L716,CurrentMtgRatesDataTable8[[#This Row],[Servicing Spread]])</f>
        <v>1.0111831522740093</v>
      </c>
      <c r="M717" s="16">
        <f>CurrentMtgRatesDataTable8[[#This Row],[Servicing Spread Non-Zero]]-L716</f>
        <v>0</v>
      </c>
      <c r="N717" s="16">
        <f>IF(J716&lt;&gt;0,CurrentMtgRatesDataTable8[[#This Row],[Rate]]-C716,N716)</f>
        <v>7.5000000000000178E-2</v>
      </c>
    </row>
    <row r="718" spans="1:14">
      <c r="A718" s="8" t="s">
        <v>747</v>
      </c>
      <c r="B718" s="11">
        <v>2.7390944645368598</v>
      </c>
      <c r="C718" s="11">
        <v>3.59</v>
      </c>
      <c r="D718" s="16">
        <f t="shared" si="77"/>
        <v>7</v>
      </c>
      <c r="E718" s="16">
        <f t="shared" si="78"/>
        <v>0.2</v>
      </c>
      <c r="F718" s="16">
        <f t="shared" si="79"/>
        <v>5</v>
      </c>
      <c r="G718" s="16">
        <f t="shared" si="80"/>
        <v>2.6807143740572941</v>
      </c>
      <c r="H718" s="16">
        <f t="shared" si="81"/>
        <v>1</v>
      </c>
      <c r="I718" s="16">
        <f t="shared" si="82"/>
        <v>1</v>
      </c>
      <c r="J718" s="16">
        <f t="shared" si="83"/>
        <v>2.6807143740572941</v>
      </c>
      <c r="K718" s="16">
        <f>IF(CurrentMtgRatesDataTable8[[#This Row],[WA CC]]&lt;&gt;0,C717-CurrentMtgRatesDataTable8[[#This Row],[WA CC]],0)</f>
        <v>0.90928562594270579</v>
      </c>
      <c r="L718" s="16">
        <f>IF(CurrentMtgRatesDataTable8[[#This Row],[Servicing Spread]]&lt;=0,L717,CurrentMtgRatesDataTable8[[#This Row],[Servicing Spread]])</f>
        <v>0.90928562594270579</v>
      </c>
      <c r="M718" s="16">
        <f>CurrentMtgRatesDataTable8[[#This Row],[Servicing Spread Non-Zero]]-L717</f>
        <v>-0.10189752633130356</v>
      </c>
      <c r="N718" s="16">
        <f>IF(J717&lt;&gt;0,CurrentMtgRatesDataTable8[[#This Row],[Rate]]-C717,N717)</f>
        <v>7.5000000000000178E-2</v>
      </c>
    </row>
    <row r="719" spans="1:14">
      <c r="A719" s="8" t="s">
        <v>748</v>
      </c>
      <c r="B719" s="11">
        <v>2.7217472845669599</v>
      </c>
      <c r="C719" s="11">
        <v>3.6599999999999997</v>
      </c>
      <c r="D719" s="16">
        <f t="shared" si="77"/>
        <v>1</v>
      </c>
      <c r="E719" s="16">
        <f t="shared" si="78"/>
        <v>0.2</v>
      </c>
      <c r="F719" s="16">
        <f t="shared" si="79"/>
        <v>1</v>
      </c>
      <c r="G719" s="16">
        <f t="shared" si="80"/>
        <v>0.54434945691339198</v>
      </c>
      <c r="H719" s="16">
        <f t="shared" si="81"/>
        <v>0.2</v>
      </c>
      <c r="I719" s="16">
        <f t="shared" si="82"/>
        <v>0</v>
      </c>
      <c r="J719" s="16">
        <f t="shared" si="83"/>
        <v>0</v>
      </c>
      <c r="K719" s="16">
        <f>IF(CurrentMtgRatesDataTable8[[#This Row],[WA CC]]&lt;&gt;0,C718-CurrentMtgRatesDataTable8[[#This Row],[WA CC]],0)</f>
        <v>0</v>
      </c>
      <c r="L719" s="16">
        <f>IF(CurrentMtgRatesDataTable8[[#This Row],[Servicing Spread]]&lt;=0,L718,CurrentMtgRatesDataTable8[[#This Row],[Servicing Spread]])</f>
        <v>0.90928562594270579</v>
      </c>
      <c r="M719" s="16">
        <f>CurrentMtgRatesDataTable8[[#This Row],[Servicing Spread Non-Zero]]-L718</f>
        <v>0</v>
      </c>
      <c r="N719" s="16">
        <f>IF(J718&lt;&gt;0,CurrentMtgRatesDataTable8[[#This Row],[Rate]]-C718,N718)</f>
        <v>6.999999999999984E-2</v>
      </c>
    </row>
    <row r="720" spans="1:14">
      <c r="A720" s="8" t="s">
        <v>749</v>
      </c>
      <c r="B720" s="11">
        <v>2.7439532601441399</v>
      </c>
      <c r="C720" s="11">
        <v>3.6599999999999997</v>
      </c>
      <c r="D720" s="16">
        <f t="shared" si="77"/>
        <v>2</v>
      </c>
      <c r="E720" s="16">
        <f t="shared" si="78"/>
        <v>0.2</v>
      </c>
      <c r="F720" s="16">
        <f t="shared" si="79"/>
        <v>2</v>
      </c>
      <c r="G720" s="16">
        <f t="shared" si="80"/>
        <v>1.0931401089422201</v>
      </c>
      <c r="H720" s="16">
        <f t="shared" si="81"/>
        <v>0.4</v>
      </c>
      <c r="I720" s="16">
        <f t="shared" si="82"/>
        <v>0</v>
      </c>
      <c r="J720" s="16">
        <f t="shared" si="83"/>
        <v>0</v>
      </c>
      <c r="K720" s="16">
        <f>IF(CurrentMtgRatesDataTable8[[#This Row],[WA CC]]&lt;&gt;0,C719-CurrentMtgRatesDataTable8[[#This Row],[WA CC]],0)</f>
        <v>0</v>
      </c>
      <c r="L720" s="16">
        <f>IF(CurrentMtgRatesDataTable8[[#This Row],[Servicing Spread]]&lt;=0,L719,CurrentMtgRatesDataTable8[[#This Row],[Servicing Spread]])</f>
        <v>0.90928562594270579</v>
      </c>
      <c r="M720" s="16">
        <f>CurrentMtgRatesDataTable8[[#This Row],[Servicing Spread Non-Zero]]-L719</f>
        <v>0</v>
      </c>
      <c r="N720" s="16">
        <f>IF(J719&lt;&gt;0,CurrentMtgRatesDataTable8[[#This Row],[Rate]]-C719,N719)</f>
        <v>6.999999999999984E-2</v>
      </c>
    </row>
    <row r="721" spans="1:14">
      <c r="A721" s="8" t="s">
        <v>750</v>
      </c>
      <c r="B721" s="11">
        <v>2.8647464299960101</v>
      </c>
      <c r="C721" s="11">
        <v>3.6599999999999997</v>
      </c>
      <c r="D721" s="16">
        <f t="shared" si="77"/>
        <v>6</v>
      </c>
      <c r="E721" s="16">
        <f t="shared" si="78"/>
        <v>0.2</v>
      </c>
      <c r="F721" s="16">
        <f t="shared" si="79"/>
        <v>3</v>
      </c>
      <c r="G721" s="16">
        <f t="shared" si="80"/>
        <v>1.6660893949414222</v>
      </c>
      <c r="H721" s="16">
        <f t="shared" si="81"/>
        <v>0.60000000000000009</v>
      </c>
      <c r="I721" s="16">
        <f t="shared" si="82"/>
        <v>0</v>
      </c>
      <c r="J721" s="16">
        <f t="shared" si="83"/>
        <v>0</v>
      </c>
      <c r="K721" s="16">
        <f>IF(CurrentMtgRatesDataTable8[[#This Row],[WA CC]]&lt;&gt;0,C720-CurrentMtgRatesDataTable8[[#This Row],[WA CC]],0)</f>
        <v>0</v>
      </c>
      <c r="L721" s="16">
        <f>IF(CurrentMtgRatesDataTable8[[#This Row],[Servicing Spread]]&lt;=0,L720,CurrentMtgRatesDataTable8[[#This Row],[Servicing Spread]])</f>
        <v>0.90928562594270579</v>
      </c>
      <c r="M721" s="16">
        <f>CurrentMtgRatesDataTable8[[#This Row],[Servicing Spread Non-Zero]]-L720</f>
        <v>0</v>
      </c>
      <c r="N721" s="16">
        <f>IF(J720&lt;&gt;0,CurrentMtgRatesDataTable8[[#This Row],[Rate]]-C720,N720)</f>
        <v>6.999999999999984E-2</v>
      </c>
    </row>
    <row r="722" spans="1:14">
      <c r="A722" s="8" t="s">
        <v>751</v>
      </c>
      <c r="B722" s="11">
        <v>2.80663775198708</v>
      </c>
      <c r="C722" s="11">
        <v>3.6599999999999997</v>
      </c>
      <c r="D722" s="16">
        <f t="shared" si="77"/>
        <v>7</v>
      </c>
      <c r="E722" s="16">
        <f t="shared" si="78"/>
        <v>0.2</v>
      </c>
      <c r="F722" s="16">
        <f t="shared" si="79"/>
        <v>4</v>
      </c>
      <c r="G722" s="16">
        <f t="shared" si="80"/>
        <v>2.2274169453388382</v>
      </c>
      <c r="H722" s="16">
        <f t="shared" si="81"/>
        <v>0.8</v>
      </c>
      <c r="I722" s="16">
        <f t="shared" si="82"/>
        <v>1</v>
      </c>
      <c r="J722" s="16">
        <f t="shared" si="83"/>
        <v>2.7842711816735477</v>
      </c>
      <c r="K722" s="16">
        <f>IF(CurrentMtgRatesDataTable8[[#This Row],[WA CC]]&lt;&gt;0,C721-CurrentMtgRatesDataTable8[[#This Row],[WA CC]],0)</f>
        <v>0.875728818326452</v>
      </c>
      <c r="L722" s="16">
        <f>IF(CurrentMtgRatesDataTable8[[#This Row],[Servicing Spread]]&lt;=0,L721,CurrentMtgRatesDataTable8[[#This Row],[Servicing Spread]])</f>
        <v>0.875728818326452</v>
      </c>
      <c r="M722" s="16">
        <f>CurrentMtgRatesDataTable8[[#This Row],[Servicing Spread Non-Zero]]-L721</f>
        <v>-3.3556807616253792E-2</v>
      </c>
      <c r="N722" s="16">
        <f>IF(J721&lt;&gt;0,CurrentMtgRatesDataTable8[[#This Row],[Rate]]-C721,N721)</f>
        <v>6.999999999999984E-2</v>
      </c>
    </row>
    <row r="723" spans="1:14">
      <c r="A723" s="39" t="s">
        <v>752</v>
      </c>
      <c r="B723" s="40">
        <v>2.8310816393070799</v>
      </c>
      <c r="C723" s="11">
        <v>3.6999999999999997</v>
      </c>
      <c r="D723" s="16">
        <f t="shared" si="77"/>
        <v>1</v>
      </c>
      <c r="E723" s="16">
        <f t="shared" si="78"/>
        <v>0.2</v>
      </c>
      <c r="F723" s="16">
        <f t="shared" si="79"/>
        <v>1</v>
      </c>
      <c r="G723" s="16">
        <f t="shared" si="80"/>
        <v>0.56621632786141596</v>
      </c>
      <c r="H723" s="16">
        <f t="shared" si="81"/>
        <v>0.2</v>
      </c>
      <c r="I723" s="16">
        <f t="shared" si="82"/>
        <v>0</v>
      </c>
      <c r="J723" s="16">
        <f t="shared" si="83"/>
        <v>0</v>
      </c>
      <c r="K723" s="16">
        <f>IF(CurrentMtgRatesDataTable8[[#This Row],[WA CC]]&lt;&gt;0,C722-CurrentMtgRatesDataTable8[[#This Row],[WA CC]],0)</f>
        <v>0</v>
      </c>
      <c r="L723" s="16">
        <f>IF(CurrentMtgRatesDataTable8[[#This Row],[Servicing Spread]]&lt;=0,L722,CurrentMtgRatesDataTable8[[#This Row],[Servicing Spread]])</f>
        <v>0.875728818326452</v>
      </c>
      <c r="M723" s="16">
        <f>CurrentMtgRatesDataTable8[[#This Row],[Servicing Spread Non-Zero]]-L722</f>
        <v>0</v>
      </c>
      <c r="N723" s="16">
        <f>IF(J722&lt;&gt;0,CurrentMtgRatesDataTable8[[#This Row],[Rate]]-C722,N722)</f>
        <v>4.0000000000000036E-2</v>
      </c>
    </row>
    <row r="724" spans="1:14">
      <c r="A724" s="39" t="s">
        <v>753</v>
      </c>
      <c r="B724" s="40">
        <v>2.8495343936509898</v>
      </c>
      <c r="C724" s="11">
        <v>3.6999999999999997</v>
      </c>
      <c r="D724" s="16">
        <f t="shared" si="77"/>
        <v>2</v>
      </c>
      <c r="E724" s="16">
        <f t="shared" si="78"/>
        <v>0.2</v>
      </c>
      <c r="F724" s="16">
        <f t="shared" si="79"/>
        <v>2</v>
      </c>
      <c r="G724" s="16">
        <f t="shared" si="80"/>
        <v>1.136123206591614</v>
      </c>
      <c r="H724" s="16">
        <f t="shared" si="81"/>
        <v>0.4</v>
      </c>
      <c r="I724" s="16">
        <f t="shared" si="82"/>
        <v>0</v>
      </c>
      <c r="J724" s="16">
        <f t="shared" si="83"/>
        <v>0</v>
      </c>
      <c r="K724" s="16">
        <f>IF(CurrentMtgRatesDataTable8[[#This Row],[WA CC]]&lt;&gt;0,C723-CurrentMtgRatesDataTable8[[#This Row],[WA CC]],0)</f>
        <v>0</v>
      </c>
      <c r="L724" s="16">
        <f>IF(CurrentMtgRatesDataTable8[[#This Row],[Servicing Spread]]&lt;=0,L723,CurrentMtgRatesDataTable8[[#This Row],[Servicing Spread]])</f>
        <v>0.875728818326452</v>
      </c>
      <c r="M724" s="16">
        <f>CurrentMtgRatesDataTable8[[#This Row],[Servicing Spread Non-Zero]]-L723</f>
        <v>0</v>
      </c>
      <c r="N724" s="16">
        <f>IF(J723&lt;&gt;0,CurrentMtgRatesDataTable8[[#This Row],[Rate]]-C723,N723)</f>
        <v>4.0000000000000036E-2</v>
      </c>
    </row>
    <row r="725" spans="1:14">
      <c r="A725" s="39" t="s">
        <v>754</v>
      </c>
      <c r="B725" s="40">
        <v>2.8051692512697501</v>
      </c>
      <c r="C725" s="11">
        <v>3.6999999999999997</v>
      </c>
      <c r="D725" s="16">
        <f t="shared" si="77"/>
        <v>5</v>
      </c>
      <c r="E725" s="16">
        <f t="shared" si="78"/>
        <v>0.2</v>
      </c>
      <c r="F725" s="16">
        <f t="shared" si="79"/>
        <v>3</v>
      </c>
      <c r="G725" s="16">
        <f t="shared" si="80"/>
        <v>1.6971570568455641</v>
      </c>
      <c r="H725" s="16">
        <f t="shared" si="81"/>
        <v>0.60000000000000009</v>
      </c>
      <c r="I725" s="16">
        <f t="shared" si="82"/>
        <v>0</v>
      </c>
      <c r="J725" s="16">
        <f t="shared" si="83"/>
        <v>0</v>
      </c>
      <c r="K725" s="16">
        <f>IF(CurrentMtgRatesDataTable8[[#This Row],[WA CC]]&lt;&gt;0,C724-CurrentMtgRatesDataTable8[[#This Row],[WA CC]],0)</f>
        <v>0</v>
      </c>
      <c r="L725" s="16">
        <f>IF(CurrentMtgRatesDataTable8[[#This Row],[Servicing Spread]]&lt;=0,L724,CurrentMtgRatesDataTable8[[#This Row],[Servicing Spread]])</f>
        <v>0.875728818326452</v>
      </c>
      <c r="M725" s="16">
        <f>CurrentMtgRatesDataTable8[[#This Row],[Servicing Spread Non-Zero]]-L724</f>
        <v>0</v>
      </c>
      <c r="N725" s="16">
        <f>IF(J724&lt;&gt;0,CurrentMtgRatesDataTable8[[#This Row],[Rate]]-C724,N724)</f>
        <v>4.0000000000000036E-2</v>
      </c>
    </row>
    <row r="726" spans="1:14">
      <c r="A726" s="39" t="s">
        <v>755</v>
      </c>
      <c r="B726" s="41">
        <v>2.7456841844873301</v>
      </c>
      <c r="C726" s="11">
        <v>3.6999999999999997</v>
      </c>
      <c r="D726" s="16">
        <f t="shared" si="77"/>
        <v>6</v>
      </c>
      <c r="E726" s="16">
        <f t="shared" si="78"/>
        <v>0.2</v>
      </c>
      <c r="F726" s="16">
        <f t="shared" si="79"/>
        <v>4</v>
      </c>
      <c r="G726" s="16">
        <f t="shared" si="80"/>
        <v>2.2462938937430303</v>
      </c>
      <c r="H726" s="16">
        <f t="shared" si="81"/>
        <v>0.8</v>
      </c>
      <c r="I726" s="16">
        <f t="shared" si="82"/>
        <v>0</v>
      </c>
      <c r="J726" s="16">
        <f t="shared" si="83"/>
        <v>0</v>
      </c>
      <c r="K726" s="16">
        <f>IF(CurrentMtgRatesDataTable8[[#This Row],[WA CC]]&lt;&gt;0,C725-CurrentMtgRatesDataTable8[[#This Row],[WA CC]],0)</f>
        <v>0</v>
      </c>
      <c r="L726" s="16">
        <f>IF(CurrentMtgRatesDataTable8[[#This Row],[Servicing Spread]]&lt;=0,L725,CurrentMtgRatesDataTable8[[#This Row],[Servicing Spread]])</f>
        <v>0.875728818326452</v>
      </c>
      <c r="M726" s="16">
        <f>CurrentMtgRatesDataTable8[[#This Row],[Servicing Spread Non-Zero]]-L725</f>
        <v>0</v>
      </c>
      <c r="N726" s="16">
        <f>IF(J725&lt;&gt;0,CurrentMtgRatesDataTable8[[#This Row],[Rate]]-C725,N725)</f>
        <v>4.0000000000000036E-2</v>
      </c>
    </row>
    <row r="727" spans="1:14">
      <c r="A727" s="39" t="s">
        <v>756</v>
      </c>
      <c r="B727" s="40">
        <v>2.7262373083687401</v>
      </c>
      <c r="C727" s="11">
        <v>3.6999999999999997</v>
      </c>
      <c r="D727" s="16">
        <f t="shared" si="77"/>
        <v>7</v>
      </c>
      <c r="E727" s="16">
        <f t="shared" si="78"/>
        <v>0.2</v>
      </c>
      <c r="F727" s="16">
        <f t="shared" si="79"/>
        <v>5</v>
      </c>
      <c r="G727" s="16">
        <f t="shared" si="80"/>
        <v>2.7915413554167783</v>
      </c>
      <c r="H727" s="16">
        <f t="shared" si="81"/>
        <v>1</v>
      </c>
      <c r="I727" s="16">
        <f t="shared" si="82"/>
        <v>1</v>
      </c>
      <c r="J727" s="16">
        <f t="shared" si="83"/>
        <v>2.7915413554167783</v>
      </c>
      <c r="K727" s="16">
        <f>IF(CurrentMtgRatesDataTable8[[#This Row],[WA CC]]&lt;&gt;0,C726-CurrentMtgRatesDataTable8[[#This Row],[WA CC]],0)</f>
        <v>0.90845864458322145</v>
      </c>
      <c r="L727" s="16">
        <f>IF(CurrentMtgRatesDataTable8[[#This Row],[Servicing Spread]]&lt;=0,L726,CurrentMtgRatesDataTable8[[#This Row],[Servicing Spread]])</f>
        <v>0.90845864458322145</v>
      </c>
      <c r="M727" s="16">
        <f>CurrentMtgRatesDataTable8[[#This Row],[Servicing Spread Non-Zero]]-L726</f>
        <v>3.2729826256769456E-2</v>
      </c>
      <c r="N727" s="16">
        <f>IF(J726&lt;&gt;0,CurrentMtgRatesDataTable8[[#This Row],[Rate]]-C726,N726)</f>
        <v>4.0000000000000036E-2</v>
      </c>
    </row>
    <row r="728" spans="1:14">
      <c r="A728" s="39" t="s">
        <v>757</v>
      </c>
      <c r="B728" s="40">
        <v>2.7641939622688101</v>
      </c>
      <c r="C728" s="11">
        <v>3.65</v>
      </c>
      <c r="D728" s="16">
        <f t="shared" si="77"/>
        <v>1</v>
      </c>
      <c r="E728" s="16">
        <f t="shared" si="78"/>
        <v>0.2</v>
      </c>
      <c r="F728" s="16">
        <f t="shared" si="79"/>
        <v>1</v>
      </c>
      <c r="G728" s="16">
        <f t="shared" si="80"/>
        <v>0.552838792453762</v>
      </c>
      <c r="H728" s="16">
        <f t="shared" si="81"/>
        <v>0.2</v>
      </c>
      <c r="I728" s="16">
        <f t="shared" si="82"/>
        <v>0</v>
      </c>
      <c r="J728" s="16">
        <f t="shared" si="83"/>
        <v>0</v>
      </c>
      <c r="K728" s="16">
        <f>IF(CurrentMtgRatesDataTable8[[#This Row],[WA CC]]&lt;&gt;0,C727-CurrentMtgRatesDataTable8[[#This Row],[WA CC]],0)</f>
        <v>0</v>
      </c>
      <c r="L728" s="16">
        <f>IF(CurrentMtgRatesDataTable8[[#This Row],[Servicing Spread]]&lt;=0,L727,CurrentMtgRatesDataTable8[[#This Row],[Servicing Spread]])</f>
        <v>0.90845864458322145</v>
      </c>
      <c r="M728" s="16">
        <f>CurrentMtgRatesDataTable8[[#This Row],[Servicing Spread Non-Zero]]-L727</f>
        <v>0</v>
      </c>
      <c r="N728" s="16">
        <f>IF(J727&lt;&gt;0,CurrentMtgRatesDataTable8[[#This Row],[Rate]]-C727,N727)</f>
        <v>-4.9999999999999822E-2</v>
      </c>
    </row>
    <row r="729" spans="1:14">
      <c r="A729" s="39" t="s">
        <v>758</v>
      </c>
      <c r="B729" s="40">
        <v>2.7365985708724101</v>
      </c>
      <c r="C729" s="11">
        <v>3.65</v>
      </c>
      <c r="D729" s="16">
        <f t="shared" si="77"/>
        <v>2</v>
      </c>
      <c r="E729" s="16">
        <f t="shared" si="78"/>
        <v>0.2</v>
      </c>
      <c r="F729" s="16">
        <f t="shared" si="79"/>
        <v>2</v>
      </c>
      <c r="G729" s="16">
        <f t="shared" si="80"/>
        <v>1.100158506628244</v>
      </c>
      <c r="H729" s="16">
        <f t="shared" si="81"/>
        <v>0.4</v>
      </c>
      <c r="I729" s="16">
        <f t="shared" si="82"/>
        <v>0</v>
      </c>
      <c r="J729" s="16">
        <f t="shared" si="83"/>
        <v>0</v>
      </c>
      <c r="K729" s="16">
        <f>IF(CurrentMtgRatesDataTable8[[#This Row],[WA CC]]&lt;&gt;0,C728-CurrentMtgRatesDataTable8[[#This Row],[WA CC]],0)</f>
        <v>0</v>
      </c>
      <c r="L729" s="16">
        <f>IF(CurrentMtgRatesDataTable8[[#This Row],[Servicing Spread]]&lt;=0,L728,CurrentMtgRatesDataTable8[[#This Row],[Servicing Spread]])</f>
        <v>0.90845864458322145</v>
      </c>
      <c r="M729" s="16">
        <f>CurrentMtgRatesDataTable8[[#This Row],[Servicing Spread Non-Zero]]-L728</f>
        <v>0</v>
      </c>
      <c r="N729" s="16">
        <f>IF(J728&lt;&gt;0,CurrentMtgRatesDataTable8[[#This Row],[Rate]]-C728,N728)</f>
        <v>-4.9999999999999822E-2</v>
      </c>
    </row>
    <row r="730" spans="1:14">
      <c r="A730" s="39" t="s">
        <v>759</v>
      </c>
      <c r="B730" s="40">
        <v>2.7916349569467398</v>
      </c>
      <c r="C730" s="11">
        <v>3.65</v>
      </c>
      <c r="D730" s="16">
        <f t="shared" si="77"/>
        <v>5</v>
      </c>
      <c r="E730" s="16">
        <f t="shared" si="78"/>
        <v>0.2</v>
      </c>
      <c r="F730" s="16">
        <f t="shared" si="79"/>
        <v>3</v>
      </c>
      <c r="G730" s="16">
        <f t="shared" si="80"/>
        <v>1.6584854980175918</v>
      </c>
      <c r="H730" s="16">
        <f t="shared" si="81"/>
        <v>0.60000000000000009</v>
      </c>
      <c r="I730" s="16">
        <f t="shared" si="82"/>
        <v>0</v>
      </c>
      <c r="J730" s="16">
        <f t="shared" si="83"/>
        <v>0</v>
      </c>
      <c r="K730" s="16">
        <f>IF(CurrentMtgRatesDataTable8[[#This Row],[WA CC]]&lt;&gt;0,C729-CurrentMtgRatesDataTable8[[#This Row],[WA CC]],0)</f>
        <v>0</v>
      </c>
      <c r="L730" s="16">
        <f>IF(CurrentMtgRatesDataTable8[[#This Row],[Servicing Spread]]&lt;=0,L729,CurrentMtgRatesDataTable8[[#This Row],[Servicing Spread]])</f>
        <v>0.90845864458322145</v>
      </c>
      <c r="M730" s="16">
        <f>CurrentMtgRatesDataTable8[[#This Row],[Servicing Spread Non-Zero]]-L729</f>
        <v>0</v>
      </c>
      <c r="N730" s="16">
        <f>IF(J729&lt;&gt;0,CurrentMtgRatesDataTable8[[#This Row],[Rate]]-C729,N729)</f>
        <v>-4.9999999999999822E-2</v>
      </c>
    </row>
    <row r="731" spans="1:14">
      <c r="A731" s="39" t="s">
        <v>760</v>
      </c>
      <c r="B731" s="41">
        <v>2.8341999400292899</v>
      </c>
      <c r="C731" s="11">
        <v>3.65</v>
      </c>
      <c r="D731" s="16">
        <f t="shared" si="77"/>
        <v>6</v>
      </c>
      <c r="E731" s="16">
        <f t="shared" si="78"/>
        <v>0.2</v>
      </c>
      <c r="F731" s="16">
        <f t="shared" si="79"/>
        <v>4</v>
      </c>
      <c r="G731" s="16">
        <f t="shared" si="80"/>
        <v>2.2253254860234497</v>
      </c>
      <c r="H731" s="16">
        <f t="shared" si="81"/>
        <v>0.8</v>
      </c>
      <c r="I731" s="16">
        <f t="shared" si="82"/>
        <v>0</v>
      </c>
      <c r="J731" s="16">
        <f t="shared" si="83"/>
        <v>0</v>
      </c>
      <c r="K731" s="16">
        <f>IF(CurrentMtgRatesDataTable8[[#This Row],[WA CC]]&lt;&gt;0,C730-CurrentMtgRatesDataTable8[[#This Row],[WA CC]],0)</f>
        <v>0</v>
      </c>
      <c r="L731" s="16">
        <f>IF(CurrentMtgRatesDataTable8[[#This Row],[Servicing Spread]]&lt;=0,L730,CurrentMtgRatesDataTable8[[#This Row],[Servicing Spread]])</f>
        <v>0.90845864458322145</v>
      </c>
      <c r="M731" s="16">
        <f>CurrentMtgRatesDataTable8[[#This Row],[Servicing Spread Non-Zero]]-L730</f>
        <v>0</v>
      </c>
      <c r="N731" s="16">
        <f>IF(J730&lt;&gt;0,CurrentMtgRatesDataTable8[[#This Row],[Rate]]-C730,N730)</f>
        <v>-4.9999999999999822E-2</v>
      </c>
    </row>
    <row r="732" spans="1:14">
      <c r="A732" s="39" t="s">
        <v>761</v>
      </c>
      <c r="B732" s="40">
        <v>2.8241837227534399</v>
      </c>
      <c r="C732" s="11">
        <v>3.65</v>
      </c>
      <c r="D732" s="16">
        <f t="shared" si="77"/>
        <v>7</v>
      </c>
      <c r="E732" s="16">
        <f t="shared" si="78"/>
        <v>0.2</v>
      </c>
      <c r="F732" s="16">
        <f t="shared" si="79"/>
        <v>5</v>
      </c>
      <c r="G732" s="16">
        <f t="shared" si="80"/>
        <v>2.7901622305741376</v>
      </c>
      <c r="H732" s="16">
        <f t="shared" si="81"/>
        <v>1</v>
      </c>
      <c r="I732" s="16">
        <f t="shared" si="82"/>
        <v>1</v>
      </c>
      <c r="J732" s="16">
        <f t="shared" si="83"/>
        <v>2.7901622305741376</v>
      </c>
      <c r="K732" s="16">
        <f>IF(CurrentMtgRatesDataTable8[[#This Row],[WA CC]]&lt;&gt;0,C731-CurrentMtgRatesDataTable8[[#This Row],[WA CC]],0)</f>
        <v>0.85983776942586232</v>
      </c>
      <c r="L732" s="16">
        <f>IF(CurrentMtgRatesDataTable8[[#This Row],[Servicing Spread]]&lt;=0,L731,CurrentMtgRatesDataTable8[[#This Row],[Servicing Spread]])</f>
        <v>0.85983776942586232</v>
      </c>
      <c r="M732" s="16">
        <f>CurrentMtgRatesDataTable8[[#This Row],[Servicing Spread Non-Zero]]-L731</f>
        <v>-4.8620875157359134E-2</v>
      </c>
      <c r="N732" s="16">
        <f>IF(J731&lt;&gt;0,CurrentMtgRatesDataTable8[[#This Row],[Rate]]-C731,N731)</f>
        <v>-4.9999999999999822E-2</v>
      </c>
    </row>
    <row r="733" spans="1:14">
      <c r="A733" s="39" t="s">
        <v>765</v>
      </c>
      <c r="B733" s="40">
        <v>2.81556157497667</v>
      </c>
      <c r="C733" s="11">
        <v>3.76</v>
      </c>
      <c r="D733" s="16">
        <f t="shared" si="77"/>
        <v>1</v>
      </c>
      <c r="E733" s="16">
        <f t="shared" si="78"/>
        <v>0.2</v>
      </c>
      <c r="F733" s="16">
        <f t="shared" si="79"/>
        <v>1</v>
      </c>
      <c r="G733" s="16">
        <f t="shared" si="80"/>
        <v>0.56311231499533398</v>
      </c>
      <c r="H733" s="16">
        <f t="shared" si="81"/>
        <v>0.2</v>
      </c>
      <c r="I733" s="16">
        <f t="shared" si="82"/>
        <v>0</v>
      </c>
      <c r="J733" s="16">
        <f t="shared" si="83"/>
        <v>0</v>
      </c>
      <c r="K733" s="16">
        <f>IF(CurrentMtgRatesDataTable8[[#This Row],[WA CC]]&lt;&gt;0,C732-CurrentMtgRatesDataTable8[[#This Row],[WA CC]],0)</f>
        <v>0</v>
      </c>
      <c r="L733" s="16">
        <f>IF(CurrentMtgRatesDataTable8[[#This Row],[Servicing Spread]]&lt;=0,L732,CurrentMtgRatesDataTable8[[#This Row],[Servicing Spread]])</f>
        <v>0.85983776942586232</v>
      </c>
      <c r="M733" s="16">
        <f>CurrentMtgRatesDataTable8[[#This Row],[Servicing Spread Non-Zero]]-L732</f>
        <v>0</v>
      </c>
      <c r="N733" s="16">
        <f>IF(J732&lt;&gt;0,CurrentMtgRatesDataTable8[[#This Row],[Rate]]-C732,N732)</f>
        <v>0.10999999999999988</v>
      </c>
    </row>
    <row r="734" spans="1:14">
      <c r="A734" s="39" t="s">
        <v>766</v>
      </c>
      <c r="B734" s="40">
        <v>2.9303170109018999</v>
      </c>
      <c r="C734" s="11">
        <v>3.76</v>
      </c>
      <c r="D734" s="16">
        <f t="shared" si="77"/>
        <v>2</v>
      </c>
      <c r="E734" s="16">
        <f t="shared" si="78"/>
        <v>0.2</v>
      </c>
      <c r="F734" s="16">
        <f t="shared" si="79"/>
        <v>2</v>
      </c>
      <c r="G734" s="16">
        <f t="shared" si="80"/>
        <v>1.149175717175714</v>
      </c>
      <c r="H734" s="16">
        <f t="shared" si="81"/>
        <v>0.4</v>
      </c>
      <c r="I734" s="16">
        <f t="shared" si="82"/>
        <v>0</v>
      </c>
      <c r="J734" s="16">
        <f t="shared" si="83"/>
        <v>0</v>
      </c>
      <c r="K734" s="16">
        <f>IF(CurrentMtgRatesDataTable8[[#This Row],[WA CC]]&lt;&gt;0,C733-CurrentMtgRatesDataTable8[[#This Row],[WA CC]],0)</f>
        <v>0</v>
      </c>
      <c r="L734" s="16">
        <f>IF(CurrentMtgRatesDataTable8[[#This Row],[Servicing Spread]]&lt;=0,L733,CurrentMtgRatesDataTable8[[#This Row],[Servicing Spread]])</f>
        <v>0.85983776942586232</v>
      </c>
      <c r="M734" s="16">
        <f>CurrentMtgRatesDataTable8[[#This Row],[Servicing Spread Non-Zero]]-L733</f>
        <v>0</v>
      </c>
      <c r="N734" s="16">
        <f>IF(J733&lt;&gt;0,CurrentMtgRatesDataTable8[[#This Row],[Rate]]-C733,N733)</f>
        <v>0.10999999999999988</v>
      </c>
    </row>
    <row r="735" spans="1:14">
      <c r="A735" s="39" t="s">
        <v>767</v>
      </c>
      <c r="B735" s="40">
        <v>2.90222752352993</v>
      </c>
      <c r="C735" s="11">
        <v>3.76</v>
      </c>
      <c r="D735" s="16">
        <f t="shared" si="77"/>
        <v>5</v>
      </c>
      <c r="E735" s="16">
        <f t="shared" si="78"/>
        <v>0.2</v>
      </c>
      <c r="F735" s="16">
        <f t="shared" si="79"/>
        <v>3</v>
      </c>
      <c r="G735" s="16">
        <f t="shared" si="80"/>
        <v>1.7296212218817</v>
      </c>
      <c r="H735" s="16">
        <f t="shared" si="81"/>
        <v>0.60000000000000009</v>
      </c>
      <c r="I735" s="16">
        <f t="shared" si="82"/>
        <v>0</v>
      </c>
      <c r="J735" s="16">
        <f t="shared" si="83"/>
        <v>0</v>
      </c>
      <c r="K735" s="16">
        <f>IF(CurrentMtgRatesDataTable8[[#This Row],[WA CC]]&lt;&gt;0,C734-CurrentMtgRatesDataTable8[[#This Row],[WA CC]],0)</f>
        <v>0</v>
      </c>
      <c r="L735" s="16">
        <f>IF(CurrentMtgRatesDataTable8[[#This Row],[Servicing Spread]]&lt;=0,L734,CurrentMtgRatesDataTable8[[#This Row],[Servicing Spread]])</f>
        <v>0.85983776942586232</v>
      </c>
      <c r="M735" s="16">
        <f>CurrentMtgRatesDataTable8[[#This Row],[Servicing Spread Non-Zero]]-L734</f>
        <v>0</v>
      </c>
      <c r="N735" s="16">
        <f>IF(J734&lt;&gt;0,CurrentMtgRatesDataTable8[[#This Row],[Rate]]-C734,N734)</f>
        <v>0.10999999999999988</v>
      </c>
    </row>
    <row r="736" spans="1:14">
      <c r="A736" s="39" t="s">
        <v>768</v>
      </c>
      <c r="B736" s="40">
        <v>2.84635033680676</v>
      </c>
      <c r="C736" s="11">
        <v>3.76</v>
      </c>
      <c r="D736" s="16">
        <f t="shared" si="77"/>
        <v>6</v>
      </c>
      <c r="E736" s="16">
        <f t="shared" si="78"/>
        <v>0.2</v>
      </c>
      <c r="F736" s="16">
        <f t="shared" si="79"/>
        <v>4</v>
      </c>
      <c r="G736" s="16">
        <f t="shared" si="80"/>
        <v>2.298891289243052</v>
      </c>
      <c r="H736" s="16">
        <f t="shared" si="81"/>
        <v>0.8</v>
      </c>
      <c r="I736" s="16">
        <f t="shared" si="82"/>
        <v>0</v>
      </c>
      <c r="J736" s="16">
        <f t="shared" si="83"/>
        <v>0</v>
      </c>
      <c r="K736" s="16">
        <f>IF(CurrentMtgRatesDataTable8[[#This Row],[WA CC]]&lt;&gt;0,C735-CurrentMtgRatesDataTable8[[#This Row],[WA CC]],0)</f>
        <v>0</v>
      </c>
      <c r="L736" s="16">
        <f>IF(CurrentMtgRatesDataTable8[[#This Row],[Servicing Spread]]&lt;=0,L735,CurrentMtgRatesDataTable8[[#This Row],[Servicing Spread]])</f>
        <v>0.85983776942586232</v>
      </c>
      <c r="M736" s="16">
        <f>CurrentMtgRatesDataTable8[[#This Row],[Servicing Spread Non-Zero]]-L735</f>
        <v>0</v>
      </c>
      <c r="N736" s="16">
        <f>IF(J735&lt;&gt;0,CurrentMtgRatesDataTable8[[#This Row],[Rate]]-C735,N735)</f>
        <v>0.10999999999999988</v>
      </c>
    </row>
    <row r="737" spans="1:14">
      <c r="A737" s="39" t="s">
        <v>769</v>
      </c>
      <c r="B737" s="40">
        <v>2.8278353033181198</v>
      </c>
      <c r="C737" s="11">
        <v>3.76</v>
      </c>
      <c r="D737" s="16">
        <f t="shared" si="77"/>
        <v>7</v>
      </c>
      <c r="E737" s="16">
        <f t="shared" si="78"/>
        <v>0.2</v>
      </c>
      <c r="F737" s="16">
        <f t="shared" si="79"/>
        <v>5</v>
      </c>
      <c r="G737" s="16">
        <f t="shared" si="80"/>
        <v>2.864458349906676</v>
      </c>
      <c r="H737" s="16">
        <f t="shared" si="81"/>
        <v>1</v>
      </c>
      <c r="I737" s="16">
        <f t="shared" si="82"/>
        <v>1</v>
      </c>
      <c r="J737" s="16">
        <f t="shared" si="83"/>
        <v>2.864458349906676</v>
      </c>
      <c r="K737" s="16">
        <f>IF(CurrentMtgRatesDataTable8[[#This Row],[WA CC]]&lt;&gt;0,C736-CurrentMtgRatesDataTable8[[#This Row],[WA CC]],0)</f>
        <v>0.89554165009332376</v>
      </c>
      <c r="L737" s="16">
        <f>IF(CurrentMtgRatesDataTable8[[#This Row],[Servicing Spread]]&lt;=0,L736,CurrentMtgRatesDataTable8[[#This Row],[Servicing Spread]])</f>
        <v>0.89554165009332376</v>
      </c>
      <c r="M737" s="16">
        <f>CurrentMtgRatesDataTable8[[#This Row],[Servicing Spread Non-Zero]]-L736</f>
        <v>3.5703880667461441E-2</v>
      </c>
      <c r="N737" s="16">
        <f>IF(J736&lt;&gt;0,CurrentMtgRatesDataTable8[[#This Row],[Rate]]-C736,N736)</f>
        <v>0.10999999999999988</v>
      </c>
    </row>
    <row r="738" spans="1:14">
      <c r="A738" s="39" t="s">
        <v>770</v>
      </c>
      <c r="B738" s="40">
        <v>2.8138191102539798</v>
      </c>
      <c r="C738" s="11">
        <v>3.6799999999999997</v>
      </c>
      <c r="D738" s="16">
        <f t="shared" si="77"/>
        <v>1</v>
      </c>
      <c r="E738" s="16">
        <f t="shared" si="78"/>
        <v>0.2</v>
      </c>
      <c r="F738" s="16">
        <f t="shared" si="79"/>
        <v>1</v>
      </c>
      <c r="G738" s="16">
        <f t="shared" si="80"/>
        <v>0.562763822050796</v>
      </c>
      <c r="H738" s="16">
        <f t="shared" si="81"/>
        <v>0.2</v>
      </c>
      <c r="I738" s="16">
        <f t="shared" si="82"/>
        <v>0</v>
      </c>
      <c r="J738" s="16">
        <f t="shared" si="83"/>
        <v>0</v>
      </c>
      <c r="K738" s="16">
        <f>IF(CurrentMtgRatesDataTable8[[#This Row],[WA CC]]&lt;&gt;0,C737-CurrentMtgRatesDataTable8[[#This Row],[WA CC]],0)</f>
        <v>0</v>
      </c>
      <c r="L738" s="16">
        <f>IF(CurrentMtgRatesDataTable8[[#This Row],[Servicing Spread]]&lt;=0,L737,CurrentMtgRatesDataTable8[[#This Row],[Servicing Spread]])</f>
        <v>0.89554165009332376</v>
      </c>
      <c r="M738" s="16">
        <f>CurrentMtgRatesDataTable8[[#This Row],[Servicing Spread Non-Zero]]-L737</f>
        <v>0</v>
      </c>
      <c r="N738" s="16">
        <f>IF(J737&lt;&gt;0,CurrentMtgRatesDataTable8[[#This Row],[Rate]]-C737,N737)</f>
        <v>-8.0000000000000071E-2</v>
      </c>
    </row>
    <row r="739" spans="1:14">
      <c r="A739" s="39" t="s">
        <v>771</v>
      </c>
      <c r="B739" s="40">
        <v>2.8315057491425</v>
      </c>
      <c r="C739" s="11">
        <v>3.6799999999999997</v>
      </c>
      <c r="D739" s="16">
        <f t="shared" si="77"/>
        <v>2</v>
      </c>
      <c r="E739" s="16">
        <f t="shared" si="78"/>
        <v>0.2</v>
      </c>
      <c r="F739" s="16">
        <f t="shared" si="79"/>
        <v>2</v>
      </c>
      <c r="G739" s="16">
        <f t="shared" si="80"/>
        <v>1.129064971879296</v>
      </c>
      <c r="H739" s="16">
        <f t="shared" si="81"/>
        <v>0.4</v>
      </c>
      <c r="I739" s="16">
        <f t="shared" si="82"/>
        <v>0</v>
      </c>
      <c r="J739" s="16">
        <f t="shared" si="83"/>
        <v>0</v>
      </c>
      <c r="K739" s="16">
        <f>IF(CurrentMtgRatesDataTable8[[#This Row],[WA CC]]&lt;&gt;0,C738-CurrentMtgRatesDataTable8[[#This Row],[WA CC]],0)</f>
        <v>0</v>
      </c>
      <c r="L739" s="16">
        <f>IF(CurrentMtgRatesDataTable8[[#This Row],[Servicing Spread]]&lt;=0,L738,CurrentMtgRatesDataTable8[[#This Row],[Servicing Spread]])</f>
        <v>0.89554165009332376</v>
      </c>
      <c r="M739" s="16">
        <f>CurrentMtgRatesDataTable8[[#This Row],[Servicing Spread Non-Zero]]-L738</f>
        <v>0</v>
      </c>
      <c r="N739" s="16">
        <f>IF(J738&lt;&gt;0,CurrentMtgRatesDataTable8[[#This Row],[Rate]]-C738,N738)</f>
        <v>-8.0000000000000071E-2</v>
      </c>
    </row>
    <row r="740" spans="1:14">
      <c r="A740" s="39" t="s">
        <v>772</v>
      </c>
      <c r="B740" s="40">
        <v>2.8241768518279202</v>
      </c>
      <c r="C740" s="11">
        <v>3.6799999999999997</v>
      </c>
      <c r="D740" s="16">
        <f t="shared" si="77"/>
        <v>5</v>
      </c>
      <c r="E740" s="16">
        <f t="shared" si="78"/>
        <v>0.2</v>
      </c>
      <c r="F740" s="16">
        <f t="shared" si="79"/>
        <v>3</v>
      </c>
      <c r="G740" s="16">
        <f t="shared" si="80"/>
        <v>1.6939003422448802</v>
      </c>
      <c r="H740" s="16">
        <f t="shared" si="81"/>
        <v>0.60000000000000009</v>
      </c>
      <c r="I740" s="16">
        <f t="shared" si="82"/>
        <v>0</v>
      </c>
      <c r="J740" s="16">
        <f t="shared" si="83"/>
        <v>0</v>
      </c>
      <c r="K740" s="16">
        <f>IF(CurrentMtgRatesDataTable8[[#This Row],[WA CC]]&lt;&gt;0,C739-CurrentMtgRatesDataTable8[[#This Row],[WA CC]],0)</f>
        <v>0</v>
      </c>
      <c r="L740" s="16">
        <f>IF(CurrentMtgRatesDataTable8[[#This Row],[Servicing Spread]]&lt;=0,L739,CurrentMtgRatesDataTable8[[#This Row],[Servicing Spread]])</f>
        <v>0.89554165009332376</v>
      </c>
      <c r="M740" s="16">
        <f>CurrentMtgRatesDataTable8[[#This Row],[Servicing Spread Non-Zero]]-L739</f>
        <v>0</v>
      </c>
      <c r="N740" s="16">
        <f>IF(J739&lt;&gt;0,CurrentMtgRatesDataTable8[[#This Row],[Rate]]-C739,N739)</f>
        <v>-8.0000000000000071E-2</v>
      </c>
    </row>
    <row r="741" spans="1:14">
      <c r="A741" s="39" t="s">
        <v>773</v>
      </c>
      <c r="B741" s="40">
        <v>2.79584100930466</v>
      </c>
      <c r="C741" s="11">
        <v>3.6799999999999997</v>
      </c>
      <c r="D741" s="16">
        <f t="shared" si="77"/>
        <v>6</v>
      </c>
      <c r="E741" s="16">
        <f t="shared" si="78"/>
        <v>0.2</v>
      </c>
      <c r="F741" s="16">
        <f t="shared" si="79"/>
        <v>4</v>
      </c>
      <c r="G741" s="16">
        <f t="shared" si="80"/>
        <v>2.2530685441058123</v>
      </c>
      <c r="H741" s="16">
        <f t="shared" si="81"/>
        <v>0.8</v>
      </c>
      <c r="I741" s="16">
        <f t="shared" si="82"/>
        <v>0</v>
      </c>
      <c r="J741" s="16">
        <f t="shared" si="83"/>
        <v>0</v>
      </c>
      <c r="K741" s="16">
        <f>IF(CurrentMtgRatesDataTable8[[#This Row],[WA CC]]&lt;&gt;0,C740-CurrentMtgRatesDataTable8[[#This Row],[WA CC]],0)</f>
        <v>0</v>
      </c>
      <c r="L741" s="16">
        <f>IF(CurrentMtgRatesDataTable8[[#This Row],[Servicing Spread]]&lt;=0,L740,CurrentMtgRatesDataTable8[[#This Row],[Servicing Spread]])</f>
        <v>0.89554165009332376</v>
      </c>
      <c r="M741" s="16">
        <f>CurrentMtgRatesDataTable8[[#This Row],[Servicing Spread Non-Zero]]-L740</f>
        <v>0</v>
      </c>
      <c r="N741" s="16">
        <f>IF(J740&lt;&gt;0,CurrentMtgRatesDataTable8[[#This Row],[Rate]]-C740,N740)</f>
        <v>-8.0000000000000071E-2</v>
      </c>
    </row>
    <row r="742" spans="1:14">
      <c r="A742" s="39" t="s">
        <v>774</v>
      </c>
      <c r="B742" s="40">
        <v>2.6928489030954199</v>
      </c>
      <c r="C742" s="11">
        <v>3.6799999999999997</v>
      </c>
      <c r="D742" s="16">
        <f t="shared" si="77"/>
        <v>7</v>
      </c>
      <c r="E742" s="16">
        <f t="shared" si="78"/>
        <v>0.2</v>
      </c>
      <c r="F742" s="16">
        <f t="shared" si="79"/>
        <v>5</v>
      </c>
      <c r="G742" s="16">
        <f t="shared" si="80"/>
        <v>2.7916383247248961</v>
      </c>
      <c r="H742" s="16">
        <f t="shared" si="81"/>
        <v>1</v>
      </c>
      <c r="I742" s="16">
        <f t="shared" si="82"/>
        <v>1</v>
      </c>
      <c r="J742" s="16">
        <f t="shared" si="83"/>
        <v>2.7916383247248961</v>
      </c>
      <c r="K742" s="16">
        <f>IF(CurrentMtgRatesDataTable8[[#This Row],[WA CC]]&lt;&gt;0,C741-CurrentMtgRatesDataTable8[[#This Row],[WA CC]],0)</f>
        <v>0.88836167527510357</v>
      </c>
      <c r="L742" s="16">
        <f>IF(CurrentMtgRatesDataTable8[[#This Row],[Servicing Spread]]&lt;=0,L741,CurrentMtgRatesDataTable8[[#This Row],[Servicing Spread]])</f>
        <v>0.88836167527510357</v>
      </c>
      <c r="M742" s="16">
        <f>CurrentMtgRatesDataTable8[[#This Row],[Servicing Spread Non-Zero]]-L741</f>
        <v>-7.1799748182201917E-3</v>
      </c>
      <c r="N742" s="16">
        <f>IF(J741&lt;&gt;0,CurrentMtgRatesDataTable8[[#This Row],[Rate]]-C741,N741)</f>
        <v>-8.0000000000000071E-2</v>
      </c>
    </row>
    <row r="743" spans="1:14">
      <c r="A743" s="39" t="s">
        <v>788</v>
      </c>
      <c r="B743" s="40">
        <v>2.70955656376128</v>
      </c>
      <c r="C743" s="11">
        <v>3.59</v>
      </c>
      <c r="D743" s="16">
        <f t="shared" si="77"/>
        <v>1</v>
      </c>
      <c r="E743" s="16">
        <f t="shared" si="78"/>
        <v>0.2</v>
      </c>
      <c r="F743" s="16">
        <f t="shared" si="79"/>
        <v>1</v>
      </c>
      <c r="G743" s="16">
        <f t="shared" si="80"/>
        <v>0.54191131275225601</v>
      </c>
      <c r="H743" s="16">
        <f t="shared" si="81"/>
        <v>0.2</v>
      </c>
      <c r="I743" s="16">
        <f t="shared" si="82"/>
        <v>0</v>
      </c>
      <c r="J743" s="16">
        <f t="shared" si="83"/>
        <v>0</v>
      </c>
      <c r="K743" s="16">
        <f>IF(CurrentMtgRatesDataTable8[[#This Row],[WA CC]]&lt;&gt;0,C742-CurrentMtgRatesDataTable8[[#This Row],[WA CC]],0)</f>
        <v>0</v>
      </c>
      <c r="L743" s="16">
        <f>IF(CurrentMtgRatesDataTable8[[#This Row],[Servicing Spread]]&lt;=0,L742,CurrentMtgRatesDataTable8[[#This Row],[Servicing Spread]])</f>
        <v>0.88836167527510357</v>
      </c>
      <c r="M743" s="16">
        <f>CurrentMtgRatesDataTable8[[#This Row],[Servicing Spread Non-Zero]]-L742</f>
        <v>0</v>
      </c>
      <c r="N743" s="16">
        <f>IF(J742&lt;&gt;0,CurrentMtgRatesDataTable8[[#This Row],[Rate]]-C742,N742)</f>
        <v>-8.9999999999999858E-2</v>
      </c>
    </row>
    <row r="744" spans="1:14">
      <c r="A744" s="39" t="s">
        <v>789</v>
      </c>
      <c r="B744" s="40">
        <v>2.6717729385436999</v>
      </c>
      <c r="C744" s="11">
        <v>3.59</v>
      </c>
      <c r="D744" s="16">
        <f t="shared" si="77"/>
        <v>2</v>
      </c>
      <c r="E744" s="16">
        <f t="shared" si="78"/>
        <v>0.2</v>
      </c>
      <c r="F744" s="16">
        <f t="shared" si="79"/>
        <v>2</v>
      </c>
      <c r="G744" s="16">
        <f t="shared" si="80"/>
        <v>1.076265900460996</v>
      </c>
      <c r="H744" s="16">
        <f t="shared" si="81"/>
        <v>0.4</v>
      </c>
      <c r="I744" s="16">
        <f t="shared" si="82"/>
        <v>0</v>
      </c>
      <c r="J744" s="16">
        <f t="shared" si="83"/>
        <v>0</v>
      </c>
      <c r="K744" s="16">
        <f>IF(CurrentMtgRatesDataTable8[[#This Row],[WA CC]]&lt;&gt;0,C743-CurrentMtgRatesDataTable8[[#This Row],[WA CC]],0)</f>
        <v>0</v>
      </c>
      <c r="L744" s="16">
        <f>IF(CurrentMtgRatesDataTable8[[#This Row],[Servicing Spread]]&lt;=0,L743,CurrentMtgRatesDataTable8[[#This Row],[Servicing Spread]])</f>
        <v>0.88836167527510357</v>
      </c>
      <c r="M744" s="16">
        <f>CurrentMtgRatesDataTable8[[#This Row],[Servicing Spread Non-Zero]]-L743</f>
        <v>0</v>
      </c>
      <c r="N744" s="16">
        <f>IF(J743&lt;&gt;0,CurrentMtgRatesDataTable8[[#This Row],[Rate]]-C743,N743)</f>
        <v>-8.9999999999999858E-2</v>
      </c>
    </row>
    <row r="745" spans="1:14">
      <c r="A745" s="39" t="s">
        <v>790</v>
      </c>
      <c r="B745" s="40">
        <v>2.6575094779916602</v>
      </c>
      <c r="C745" s="11">
        <v>3.59</v>
      </c>
      <c r="D745" s="16">
        <f t="shared" si="77"/>
        <v>5</v>
      </c>
      <c r="E745" s="16">
        <f t="shared" si="78"/>
        <v>0.2</v>
      </c>
      <c r="F745" s="16">
        <f t="shared" si="79"/>
        <v>3</v>
      </c>
      <c r="G745" s="16">
        <f t="shared" si="80"/>
        <v>1.6077677960593282</v>
      </c>
      <c r="H745" s="16">
        <f t="shared" si="81"/>
        <v>0.60000000000000009</v>
      </c>
      <c r="I745" s="16">
        <f t="shared" si="82"/>
        <v>0</v>
      </c>
      <c r="J745" s="16">
        <f t="shared" si="83"/>
        <v>0</v>
      </c>
      <c r="K745" s="16">
        <f>IF(CurrentMtgRatesDataTable8[[#This Row],[WA CC]]&lt;&gt;0,C744-CurrentMtgRatesDataTable8[[#This Row],[WA CC]],0)</f>
        <v>0</v>
      </c>
      <c r="L745" s="16">
        <f>IF(CurrentMtgRatesDataTable8[[#This Row],[Servicing Spread]]&lt;=0,L744,CurrentMtgRatesDataTable8[[#This Row],[Servicing Spread]])</f>
        <v>0.88836167527510357</v>
      </c>
      <c r="M745" s="16">
        <f>CurrentMtgRatesDataTable8[[#This Row],[Servicing Spread Non-Zero]]-L744</f>
        <v>0</v>
      </c>
      <c r="N745" s="16">
        <f>IF(J744&lt;&gt;0,CurrentMtgRatesDataTable8[[#This Row],[Rate]]-C744,N744)</f>
        <v>-8.9999999999999858E-2</v>
      </c>
    </row>
    <row r="746" spans="1:14">
      <c r="A746" s="39" t="s">
        <v>791</v>
      </c>
      <c r="B746" s="40">
        <v>2.60984671554638</v>
      </c>
      <c r="C746" s="11">
        <v>3.59</v>
      </c>
      <c r="D746" s="16">
        <f t="shared" si="77"/>
        <v>6</v>
      </c>
      <c r="E746" s="16">
        <f t="shared" si="78"/>
        <v>0.2</v>
      </c>
      <c r="F746" s="16">
        <f t="shared" si="79"/>
        <v>4</v>
      </c>
      <c r="G746" s="16">
        <f t="shared" si="80"/>
        <v>2.1297371391686042</v>
      </c>
      <c r="H746" s="16">
        <f t="shared" si="81"/>
        <v>0.8</v>
      </c>
      <c r="I746" s="16">
        <f t="shared" si="82"/>
        <v>0</v>
      </c>
      <c r="J746" s="16">
        <f t="shared" si="83"/>
        <v>0</v>
      </c>
      <c r="K746" s="16">
        <f>IF(CurrentMtgRatesDataTable8[[#This Row],[WA CC]]&lt;&gt;0,C745-CurrentMtgRatesDataTable8[[#This Row],[WA CC]],0)</f>
        <v>0</v>
      </c>
      <c r="L746" s="16">
        <f>IF(CurrentMtgRatesDataTable8[[#This Row],[Servicing Spread]]&lt;=0,L745,CurrentMtgRatesDataTable8[[#This Row],[Servicing Spread]])</f>
        <v>0.88836167527510357</v>
      </c>
      <c r="M746" s="16">
        <f>CurrentMtgRatesDataTable8[[#This Row],[Servicing Spread Non-Zero]]-L745</f>
        <v>0</v>
      </c>
      <c r="N746" s="16">
        <f>IF(J745&lt;&gt;0,CurrentMtgRatesDataTable8[[#This Row],[Rate]]-C745,N745)</f>
        <v>-8.9999999999999858E-2</v>
      </c>
    </row>
    <row r="747" spans="1:14">
      <c r="A747" s="39" t="s">
        <v>792</v>
      </c>
      <c r="B747" s="40">
        <v>2.6641693960453199</v>
      </c>
      <c r="C747" s="11">
        <v>3.59</v>
      </c>
      <c r="D747" s="16">
        <f t="shared" si="77"/>
        <v>7</v>
      </c>
      <c r="E747" s="16">
        <f t="shared" si="78"/>
        <v>0.2</v>
      </c>
      <c r="F747" s="16">
        <f t="shared" si="79"/>
        <v>5</v>
      </c>
      <c r="G747" s="16">
        <f t="shared" si="80"/>
        <v>2.6625710183776681</v>
      </c>
      <c r="H747" s="16">
        <f t="shared" si="81"/>
        <v>1</v>
      </c>
      <c r="I747" s="16">
        <f t="shared" si="82"/>
        <v>1</v>
      </c>
      <c r="J747" s="16">
        <f t="shared" si="83"/>
        <v>2.6625710183776681</v>
      </c>
      <c r="K747" s="16">
        <f>IF(CurrentMtgRatesDataTable8[[#This Row],[WA CC]]&lt;&gt;0,C746-CurrentMtgRatesDataTable8[[#This Row],[WA CC]],0)</f>
        <v>0.92742898162233178</v>
      </c>
      <c r="L747" s="16">
        <f>IF(CurrentMtgRatesDataTable8[[#This Row],[Servicing Spread]]&lt;=0,L746,CurrentMtgRatesDataTable8[[#This Row],[Servicing Spread]])</f>
        <v>0.92742898162233178</v>
      </c>
      <c r="M747" s="16">
        <f>CurrentMtgRatesDataTable8[[#This Row],[Servicing Spread Non-Zero]]-L746</f>
        <v>3.9067306347228214E-2</v>
      </c>
      <c r="N747" s="16">
        <f>IF(J746&lt;&gt;0,CurrentMtgRatesDataTable8[[#This Row],[Rate]]-C746,N746)</f>
        <v>-8.9999999999999858E-2</v>
      </c>
    </row>
    <row r="748" spans="1:14">
      <c r="A748" s="39" t="s">
        <v>793</v>
      </c>
      <c r="B748" s="40">
        <v>2.7519990602785001</v>
      </c>
      <c r="C748" s="11">
        <v>3.6</v>
      </c>
      <c r="D748" s="16">
        <f t="shared" si="77"/>
        <v>1</v>
      </c>
      <c r="E748" s="16">
        <f t="shared" si="78"/>
        <v>0.2</v>
      </c>
      <c r="F748" s="16">
        <f t="shared" si="79"/>
        <v>1</v>
      </c>
      <c r="G748" s="16">
        <f t="shared" si="80"/>
        <v>0.55039981205569999</v>
      </c>
      <c r="H748" s="16">
        <f t="shared" si="81"/>
        <v>0.2</v>
      </c>
      <c r="I748" s="16">
        <f t="shared" si="82"/>
        <v>0</v>
      </c>
      <c r="J748" s="16">
        <f t="shared" si="83"/>
        <v>0</v>
      </c>
      <c r="K748" s="16">
        <f>IF(CurrentMtgRatesDataTable8[[#This Row],[WA CC]]&lt;&gt;0,C747-CurrentMtgRatesDataTable8[[#This Row],[WA CC]],0)</f>
        <v>0</v>
      </c>
      <c r="L748" s="16">
        <f>IF(CurrentMtgRatesDataTable8[[#This Row],[Servicing Spread]]&lt;=0,L747,CurrentMtgRatesDataTable8[[#This Row],[Servicing Spread]])</f>
        <v>0.92742898162233178</v>
      </c>
      <c r="M748" s="16">
        <f>CurrentMtgRatesDataTable8[[#This Row],[Servicing Spread Non-Zero]]-L747</f>
        <v>0</v>
      </c>
      <c r="N748" s="16">
        <f>IF(J747&lt;&gt;0,CurrentMtgRatesDataTable8[[#This Row],[Rate]]-C747,N747)</f>
        <v>1.0000000000000231E-2</v>
      </c>
    </row>
    <row r="749" spans="1:14">
      <c r="A749" s="39" t="s">
        <v>794</v>
      </c>
      <c r="B749" s="40">
        <v>2.6934832462996599</v>
      </c>
      <c r="C749" s="11">
        <v>3.6</v>
      </c>
      <c r="D749" s="16">
        <f t="shared" si="77"/>
        <v>2</v>
      </c>
      <c r="E749" s="16">
        <f t="shared" si="78"/>
        <v>0.2</v>
      </c>
      <c r="F749" s="16">
        <f t="shared" si="79"/>
        <v>2</v>
      </c>
      <c r="G749" s="16">
        <f t="shared" si="80"/>
        <v>1.089096461315632</v>
      </c>
      <c r="H749" s="16">
        <f t="shared" si="81"/>
        <v>0.4</v>
      </c>
      <c r="I749" s="16">
        <f t="shared" si="82"/>
        <v>0</v>
      </c>
      <c r="J749" s="16">
        <f t="shared" si="83"/>
        <v>0</v>
      </c>
      <c r="K749" s="16">
        <f>IF(CurrentMtgRatesDataTable8[[#This Row],[WA CC]]&lt;&gt;0,C748-CurrentMtgRatesDataTable8[[#This Row],[WA CC]],0)</f>
        <v>0</v>
      </c>
      <c r="L749" s="16">
        <f>IF(CurrentMtgRatesDataTable8[[#This Row],[Servicing Spread]]&lt;=0,L748,CurrentMtgRatesDataTable8[[#This Row],[Servicing Spread]])</f>
        <v>0.92742898162233178</v>
      </c>
      <c r="M749" s="16">
        <f>CurrentMtgRatesDataTable8[[#This Row],[Servicing Spread Non-Zero]]-L748</f>
        <v>0</v>
      </c>
      <c r="N749" s="16">
        <f>IF(J748&lt;&gt;0,CurrentMtgRatesDataTable8[[#This Row],[Rate]]-C748,N748)</f>
        <v>1.0000000000000231E-2</v>
      </c>
    </row>
    <row r="750" spans="1:14">
      <c r="A750" s="39" t="s">
        <v>795</v>
      </c>
      <c r="B750" s="40">
        <v>2.6906214304432701</v>
      </c>
      <c r="C750" s="11">
        <v>3.6</v>
      </c>
      <c r="D750" s="16">
        <f t="shared" si="77"/>
        <v>5</v>
      </c>
      <c r="E750" s="16">
        <f t="shared" si="78"/>
        <v>0.2</v>
      </c>
      <c r="F750" s="16">
        <f t="shared" si="79"/>
        <v>3</v>
      </c>
      <c r="G750" s="16">
        <f t="shared" si="80"/>
        <v>1.6272207474042859</v>
      </c>
      <c r="H750" s="16">
        <f t="shared" si="81"/>
        <v>0.60000000000000009</v>
      </c>
      <c r="I750" s="16">
        <f t="shared" si="82"/>
        <v>0</v>
      </c>
      <c r="J750" s="16">
        <f t="shared" si="83"/>
        <v>0</v>
      </c>
      <c r="K750" s="16">
        <f>IF(CurrentMtgRatesDataTable8[[#This Row],[WA CC]]&lt;&gt;0,C749-CurrentMtgRatesDataTable8[[#This Row],[WA CC]],0)</f>
        <v>0</v>
      </c>
      <c r="L750" s="16">
        <f>IF(CurrentMtgRatesDataTable8[[#This Row],[Servicing Spread]]&lt;=0,L749,CurrentMtgRatesDataTable8[[#This Row],[Servicing Spread]])</f>
        <v>0.92742898162233178</v>
      </c>
      <c r="M750" s="16">
        <f>CurrentMtgRatesDataTable8[[#This Row],[Servicing Spread Non-Zero]]-L749</f>
        <v>0</v>
      </c>
      <c r="N750" s="16">
        <f>IF(J749&lt;&gt;0,CurrentMtgRatesDataTable8[[#This Row],[Rate]]-C749,N749)</f>
        <v>1.0000000000000231E-2</v>
      </c>
    </row>
    <row r="751" spans="1:14">
      <c r="A751" s="39" t="s">
        <v>796</v>
      </c>
      <c r="B751" s="40">
        <v>2.66103516127894</v>
      </c>
      <c r="C751" s="11">
        <v>3.6</v>
      </c>
      <c r="D751" s="16">
        <f t="shared" si="77"/>
        <v>6</v>
      </c>
      <c r="E751" s="16">
        <f t="shared" si="78"/>
        <v>0.2</v>
      </c>
      <c r="F751" s="16">
        <f t="shared" si="79"/>
        <v>4</v>
      </c>
      <c r="G751" s="16">
        <f t="shared" si="80"/>
        <v>2.1594277796600738</v>
      </c>
      <c r="H751" s="16">
        <f t="shared" si="81"/>
        <v>0.8</v>
      </c>
      <c r="I751" s="16">
        <f t="shared" si="82"/>
        <v>0</v>
      </c>
      <c r="J751" s="16">
        <f t="shared" si="83"/>
        <v>0</v>
      </c>
      <c r="K751" s="16">
        <f>IF(CurrentMtgRatesDataTable8[[#This Row],[WA CC]]&lt;&gt;0,C750-CurrentMtgRatesDataTable8[[#This Row],[WA CC]],0)</f>
        <v>0</v>
      </c>
      <c r="L751" s="16">
        <f>IF(CurrentMtgRatesDataTable8[[#This Row],[Servicing Spread]]&lt;=0,L750,CurrentMtgRatesDataTable8[[#This Row],[Servicing Spread]])</f>
        <v>0.92742898162233178</v>
      </c>
      <c r="M751" s="16">
        <f>CurrentMtgRatesDataTable8[[#This Row],[Servicing Spread Non-Zero]]-L750</f>
        <v>0</v>
      </c>
      <c r="N751" s="16">
        <f>IF(J750&lt;&gt;0,CurrentMtgRatesDataTable8[[#This Row],[Rate]]-C750,N750)</f>
        <v>1.0000000000000231E-2</v>
      </c>
    </row>
    <row r="752" spans="1:14">
      <c r="A752" s="39" t="s">
        <v>797</v>
      </c>
      <c r="B752" s="40">
        <v>2.5992657753902901</v>
      </c>
      <c r="C752" s="11">
        <v>3.6</v>
      </c>
      <c r="D752" s="16">
        <f t="shared" si="77"/>
        <v>7</v>
      </c>
      <c r="E752" s="16">
        <f t="shared" si="78"/>
        <v>0.2</v>
      </c>
      <c r="F752" s="16">
        <f t="shared" si="79"/>
        <v>5</v>
      </c>
      <c r="G752" s="16">
        <f t="shared" si="80"/>
        <v>2.6792809347381317</v>
      </c>
      <c r="H752" s="16">
        <f t="shared" si="81"/>
        <v>1</v>
      </c>
      <c r="I752" s="16">
        <f t="shared" si="82"/>
        <v>1</v>
      </c>
      <c r="J752" s="16">
        <f t="shared" si="83"/>
        <v>2.6792809347381317</v>
      </c>
      <c r="K752" s="16">
        <f>IF(CurrentMtgRatesDataTable8[[#This Row],[WA CC]]&lt;&gt;0,C751-CurrentMtgRatesDataTable8[[#This Row],[WA CC]],0)</f>
        <v>0.92071906526186842</v>
      </c>
      <c r="L752" s="16">
        <f>IF(CurrentMtgRatesDataTable8[[#This Row],[Servicing Spread]]&lt;=0,L751,CurrentMtgRatesDataTable8[[#This Row],[Servicing Spread]])</f>
        <v>0.92071906526186842</v>
      </c>
      <c r="M752" s="16">
        <f>CurrentMtgRatesDataTable8[[#This Row],[Servicing Spread Non-Zero]]-L751</f>
        <v>-6.7099163604633638E-3</v>
      </c>
      <c r="N752" s="16">
        <f>IF(J751&lt;&gt;0,CurrentMtgRatesDataTable8[[#This Row],[Rate]]-C751,N751)</f>
        <v>1.0000000000000231E-2</v>
      </c>
    </row>
    <row r="753" spans="1:14">
      <c r="A753" s="39" t="s">
        <v>798</v>
      </c>
      <c r="B753" s="40">
        <v>2.6512826680006101</v>
      </c>
      <c r="C753" s="11">
        <v>3.56</v>
      </c>
      <c r="D753" s="16">
        <f t="shared" si="77"/>
        <v>1</v>
      </c>
      <c r="E753" s="16">
        <f t="shared" si="78"/>
        <v>0.2</v>
      </c>
      <c r="F753" s="16">
        <f t="shared" si="79"/>
        <v>1</v>
      </c>
      <c r="G753" s="16">
        <f t="shared" si="80"/>
        <v>0.53025653360012204</v>
      </c>
      <c r="H753" s="16">
        <f t="shared" si="81"/>
        <v>0.2</v>
      </c>
      <c r="I753" s="16">
        <f t="shared" si="82"/>
        <v>0</v>
      </c>
      <c r="J753" s="16">
        <f t="shared" si="83"/>
        <v>0</v>
      </c>
      <c r="K753" s="16">
        <f>IF(CurrentMtgRatesDataTable8[[#This Row],[WA CC]]&lt;&gt;0,C752-CurrentMtgRatesDataTable8[[#This Row],[WA CC]],0)</f>
        <v>0</v>
      </c>
      <c r="L753" s="16">
        <f>IF(CurrentMtgRatesDataTable8[[#This Row],[Servicing Spread]]&lt;=0,L752,CurrentMtgRatesDataTable8[[#This Row],[Servicing Spread]])</f>
        <v>0.92071906526186842</v>
      </c>
      <c r="M753" s="16">
        <f>CurrentMtgRatesDataTable8[[#This Row],[Servicing Spread Non-Zero]]-L752</f>
        <v>0</v>
      </c>
      <c r="N753" s="16">
        <f>IF(J752&lt;&gt;0,CurrentMtgRatesDataTable8[[#This Row],[Rate]]-C752,N752)</f>
        <v>-4.0000000000000036E-2</v>
      </c>
    </row>
    <row r="754" spans="1:14">
      <c r="A754" s="39" t="s">
        <v>799</v>
      </c>
      <c r="B754" s="40">
        <v>2.5908884215358099</v>
      </c>
      <c r="C754" s="11">
        <v>3.56</v>
      </c>
      <c r="D754" s="16">
        <f t="shared" si="77"/>
        <v>2</v>
      </c>
      <c r="E754" s="16">
        <f t="shared" si="78"/>
        <v>0.2</v>
      </c>
      <c r="F754" s="16">
        <f t="shared" si="79"/>
        <v>2</v>
      </c>
      <c r="G754" s="16">
        <f t="shared" si="80"/>
        <v>1.0484342179072841</v>
      </c>
      <c r="H754" s="16">
        <f t="shared" si="81"/>
        <v>0.4</v>
      </c>
      <c r="I754" s="16">
        <f t="shared" si="82"/>
        <v>0</v>
      </c>
      <c r="J754" s="16">
        <f t="shared" si="83"/>
        <v>0</v>
      </c>
      <c r="K754" s="16">
        <f>IF(CurrentMtgRatesDataTable8[[#This Row],[WA CC]]&lt;&gt;0,C753-CurrentMtgRatesDataTable8[[#This Row],[WA CC]],0)</f>
        <v>0</v>
      </c>
      <c r="L754" s="16">
        <f>IF(CurrentMtgRatesDataTable8[[#This Row],[Servicing Spread]]&lt;=0,L753,CurrentMtgRatesDataTable8[[#This Row],[Servicing Spread]])</f>
        <v>0.92071906526186842</v>
      </c>
      <c r="M754" s="16">
        <f>CurrentMtgRatesDataTable8[[#This Row],[Servicing Spread Non-Zero]]-L753</f>
        <v>0</v>
      </c>
      <c r="N754" s="16">
        <f>IF(J753&lt;&gt;0,CurrentMtgRatesDataTable8[[#This Row],[Rate]]-C753,N753)</f>
        <v>-4.0000000000000036E-2</v>
      </c>
    </row>
    <row r="755" spans="1:14">
      <c r="A755" s="39" t="s">
        <v>800</v>
      </c>
      <c r="B755" s="40">
        <v>2.63391710374052</v>
      </c>
      <c r="C755" s="11">
        <v>3.56</v>
      </c>
      <c r="D755" s="16">
        <f t="shared" si="77"/>
        <v>5</v>
      </c>
      <c r="E755" s="16">
        <f t="shared" si="78"/>
        <v>0.2</v>
      </c>
      <c r="F755" s="16">
        <f t="shared" si="79"/>
        <v>3</v>
      </c>
      <c r="G755" s="16">
        <f t="shared" si="80"/>
        <v>1.575217638655388</v>
      </c>
      <c r="H755" s="16">
        <f t="shared" si="81"/>
        <v>0.60000000000000009</v>
      </c>
      <c r="I755" s="16">
        <f t="shared" si="82"/>
        <v>0</v>
      </c>
      <c r="J755" s="16">
        <f t="shared" si="83"/>
        <v>0</v>
      </c>
      <c r="K755" s="16">
        <f>IF(CurrentMtgRatesDataTable8[[#This Row],[WA CC]]&lt;&gt;0,C754-CurrentMtgRatesDataTable8[[#This Row],[WA CC]],0)</f>
        <v>0</v>
      </c>
      <c r="L755" s="16">
        <f>IF(CurrentMtgRatesDataTable8[[#This Row],[Servicing Spread]]&lt;=0,L754,CurrentMtgRatesDataTable8[[#This Row],[Servicing Spread]])</f>
        <v>0.92071906526186842</v>
      </c>
      <c r="M755" s="16">
        <f>CurrentMtgRatesDataTable8[[#This Row],[Servicing Spread Non-Zero]]-L754</f>
        <v>0</v>
      </c>
      <c r="N755" s="16">
        <f>IF(J754&lt;&gt;0,CurrentMtgRatesDataTable8[[#This Row],[Rate]]-C754,N754)</f>
        <v>-4.0000000000000036E-2</v>
      </c>
    </row>
    <row r="756" spans="1:14">
      <c r="A756" s="39" t="s">
        <v>801</v>
      </c>
      <c r="B756" s="40">
        <v>2.6287824588785198</v>
      </c>
      <c r="C756" s="11">
        <v>3.56</v>
      </c>
      <c r="D756" s="16">
        <f t="shared" si="77"/>
        <v>6</v>
      </c>
      <c r="E756" s="16">
        <f t="shared" si="78"/>
        <v>0.2</v>
      </c>
      <c r="F756" s="16">
        <f t="shared" si="79"/>
        <v>4</v>
      </c>
      <c r="G756" s="16">
        <f t="shared" si="80"/>
        <v>2.100974130431092</v>
      </c>
      <c r="H756" s="16">
        <f t="shared" si="81"/>
        <v>0.8</v>
      </c>
      <c r="I756" s="16">
        <f t="shared" si="82"/>
        <v>0</v>
      </c>
      <c r="J756" s="16">
        <f t="shared" si="83"/>
        <v>0</v>
      </c>
      <c r="K756" s="16">
        <f>IF(CurrentMtgRatesDataTable8[[#This Row],[WA CC]]&lt;&gt;0,C755-CurrentMtgRatesDataTable8[[#This Row],[WA CC]],0)</f>
        <v>0</v>
      </c>
      <c r="L756" s="16">
        <f>IF(CurrentMtgRatesDataTable8[[#This Row],[Servicing Spread]]&lt;=0,L755,CurrentMtgRatesDataTable8[[#This Row],[Servicing Spread]])</f>
        <v>0.92071906526186842</v>
      </c>
      <c r="M756" s="16">
        <f>CurrentMtgRatesDataTable8[[#This Row],[Servicing Spread Non-Zero]]-L755</f>
        <v>0</v>
      </c>
      <c r="N756" s="16">
        <f>IF(J755&lt;&gt;0,CurrentMtgRatesDataTable8[[#This Row],[Rate]]-C755,N755)</f>
        <v>-4.0000000000000036E-2</v>
      </c>
    </row>
    <row r="757" spans="1:14">
      <c r="A757" s="39" t="s">
        <v>802</v>
      </c>
      <c r="B757" s="40">
        <v>2.62032151165119</v>
      </c>
      <c r="C757" s="11">
        <v>3.56</v>
      </c>
      <c r="D757" s="16">
        <f t="shared" si="77"/>
        <v>7</v>
      </c>
      <c r="E757" s="16">
        <f t="shared" si="78"/>
        <v>0.2</v>
      </c>
      <c r="F757" s="16">
        <f t="shared" si="79"/>
        <v>5</v>
      </c>
      <c r="G757" s="16">
        <f t="shared" si="80"/>
        <v>2.6250384327613299</v>
      </c>
      <c r="H757" s="16">
        <f t="shared" si="81"/>
        <v>1</v>
      </c>
      <c r="I757" s="16">
        <f t="shared" si="82"/>
        <v>1</v>
      </c>
      <c r="J757" s="16">
        <f t="shared" si="83"/>
        <v>2.6250384327613299</v>
      </c>
      <c r="K757" s="16">
        <f>IF(CurrentMtgRatesDataTable8[[#This Row],[WA CC]]&lt;&gt;0,C756-CurrentMtgRatesDataTable8[[#This Row],[WA CC]],0)</f>
        <v>0.93496156723867019</v>
      </c>
      <c r="L757" s="16">
        <f>IF(CurrentMtgRatesDataTable8[[#This Row],[Servicing Spread]]&lt;=0,L756,CurrentMtgRatesDataTable8[[#This Row],[Servicing Spread]])</f>
        <v>0.93496156723867019</v>
      </c>
      <c r="M757" s="16">
        <f>CurrentMtgRatesDataTable8[[#This Row],[Servicing Spread Non-Zero]]-L756</f>
        <v>1.4242501976801769E-2</v>
      </c>
      <c r="N757" s="16">
        <f>IF(J756&lt;&gt;0,CurrentMtgRatesDataTable8[[#This Row],[Rate]]-C756,N756)</f>
        <v>-4.0000000000000036E-2</v>
      </c>
    </row>
    <row r="758" spans="1:14">
      <c r="A758" s="39" t="s">
        <v>803</v>
      </c>
      <c r="B758" s="40">
        <v>2.6476582784281</v>
      </c>
      <c r="C758" s="11">
        <v>3.5949999999999998</v>
      </c>
      <c r="D758" s="16">
        <f t="shared" si="77"/>
        <v>1</v>
      </c>
      <c r="E758" s="16">
        <f t="shared" si="78"/>
        <v>0.2</v>
      </c>
      <c r="F758" s="16">
        <f t="shared" si="79"/>
        <v>1</v>
      </c>
      <c r="G758" s="16">
        <f t="shared" si="80"/>
        <v>0.52953165568562</v>
      </c>
      <c r="H758" s="16">
        <f t="shared" si="81"/>
        <v>0.2</v>
      </c>
      <c r="I758" s="16">
        <f t="shared" si="82"/>
        <v>0</v>
      </c>
      <c r="J758" s="16">
        <f t="shared" si="83"/>
        <v>0</v>
      </c>
      <c r="K758" s="16">
        <f>IF(CurrentMtgRatesDataTable8[[#This Row],[WA CC]]&lt;&gt;0,C757-CurrentMtgRatesDataTable8[[#This Row],[WA CC]],0)</f>
        <v>0</v>
      </c>
      <c r="L758" s="16">
        <f>IF(CurrentMtgRatesDataTable8[[#This Row],[Servicing Spread]]&lt;=0,L757,CurrentMtgRatesDataTable8[[#This Row],[Servicing Spread]])</f>
        <v>0.93496156723867019</v>
      </c>
      <c r="M758" s="16">
        <f>CurrentMtgRatesDataTable8[[#This Row],[Servicing Spread Non-Zero]]-L757</f>
        <v>0</v>
      </c>
      <c r="N758" s="16">
        <f>IF(J757&lt;&gt;0,CurrentMtgRatesDataTable8[[#This Row],[Rate]]-C757,N757)</f>
        <v>3.4999999999999698E-2</v>
      </c>
    </row>
    <row r="759" spans="1:14">
      <c r="A759" s="39" t="s">
        <v>804</v>
      </c>
      <c r="B759" s="40">
        <v>2.6673945625319102</v>
      </c>
      <c r="C759" s="11">
        <v>3.5949999999999998</v>
      </c>
      <c r="D759" s="16">
        <f t="shared" si="77"/>
        <v>2</v>
      </c>
      <c r="E759" s="16">
        <f t="shared" si="78"/>
        <v>0.2</v>
      </c>
      <c r="F759" s="16">
        <f t="shared" si="79"/>
        <v>2</v>
      </c>
      <c r="G759" s="16">
        <f t="shared" si="80"/>
        <v>1.0630105681920021</v>
      </c>
      <c r="H759" s="16">
        <f t="shared" si="81"/>
        <v>0.4</v>
      </c>
      <c r="I759" s="16">
        <f t="shared" si="82"/>
        <v>0</v>
      </c>
      <c r="J759" s="16">
        <f t="shared" si="83"/>
        <v>0</v>
      </c>
      <c r="K759" s="16">
        <f>IF(CurrentMtgRatesDataTable8[[#This Row],[WA CC]]&lt;&gt;0,C758-CurrentMtgRatesDataTable8[[#This Row],[WA CC]],0)</f>
        <v>0</v>
      </c>
      <c r="L759" s="16">
        <f>IF(CurrentMtgRatesDataTable8[[#This Row],[Servicing Spread]]&lt;=0,L758,CurrentMtgRatesDataTable8[[#This Row],[Servicing Spread]])</f>
        <v>0.93496156723867019</v>
      </c>
      <c r="M759" s="16">
        <f>CurrentMtgRatesDataTable8[[#This Row],[Servicing Spread Non-Zero]]-L758</f>
        <v>0</v>
      </c>
      <c r="N759" s="16">
        <f>IF(J758&lt;&gt;0,CurrentMtgRatesDataTable8[[#This Row],[Rate]]-C758,N758)</f>
        <v>3.4999999999999698E-2</v>
      </c>
    </row>
    <row r="760" spans="1:14">
      <c r="A760" s="39" t="s">
        <v>805</v>
      </c>
      <c r="B760" s="40">
        <v>2.64134045041691</v>
      </c>
      <c r="C760" s="11">
        <v>3.5949999999999998</v>
      </c>
      <c r="D760" s="16">
        <f t="shared" si="77"/>
        <v>5</v>
      </c>
      <c r="E760" s="16">
        <f t="shared" si="78"/>
        <v>0.2</v>
      </c>
      <c r="F760" s="16">
        <f t="shared" si="79"/>
        <v>3</v>
      </c>
      <c r="G760" s="16">
        <f t="shared" si="80"/>
        <v>1.5912786582753842</v>
      </c>
      <c r="H760" s="16">
        <f t="shared" si="81"/>
        <v>0.60000000000000009</v>
      </c>
      <c r="I760" s="16">
        <f t="shared" si="82"/>
        <v>0</v>
      </c>
      <c r="J760" s="16">
        <f t="shared" si="83"/>
        <v>0</v>
      </c>
      <c r="K760" s="16">
        <f>IF(CurrentMtgRatesDataTable8[[#This Row],[WA CC]]&lt;&gt;0,C759-CurrentMtgRatesDataTable8[[#This Row],[WA CC]],0)</f>
        <v>0</v>
      </c>
      <c r="L760" s="16">
        <f>IF(CurrentMtgRatesDataTable8[[#This Row],[Servicing Spread]]&lt;=0,L759,CurrentMtgRatesDataTable8[[#This Row],[Servicing Spread]])</f>
        <v>0.93496156723867019</v>
      </c>
      <c r="M760" s="16">
        <f>CurrentMtgRatesDataTable8[[#This Row],[Servicing Spread Non-Zero]]-L759</f>
        <v>0</v>
      </c>
      <c r="N760" s="16">
        <f>IF(J759&lt;&gt;0,CurrentMtgRatesDataTable8[[#This Row],[Rate]]-C759,N759)</f>
        <v>3.4999999999999698E-2</v>
      </c>
    </row>
    <row r="761" spans="1:14">
      <c r="A761" s="39" t="s">
        <v>806</v>
      </c>
      <c r="B761" s="40">
        <v>2.5968587672613901</v>
      </c>
      <c r="C761" s="11">
        <v>3.5949999999999998</v>
      </c>
      <c r="D761" s="16">
        <f t="shared" si="77"/>
        <v>6</v>
      </c>
      <c r="E761" s="16">
        <f t="shared" si="78"/>
        <v>0.2</v>
      </c>
      <c r="F761" s="16">
        <f t="shared" si="79"/>
        <v>4</v>
      </c>
      <c r="G761" s="16">
        <f t="shared" si="80"/>
        <v>2.1106504117276623</v>
      </c>
      <c r="H761" s="16">
        <f t="shared" si="81"/>
        <v>0.8</v>
      </c>
      <c r="I761" s="16">
        <f t="shared" si="82"/>
        <v>0</v>
      </c>
      <c r="J761" s="16">
        <f t="shared" si="83"/>
        <v>0</v>
      </c>
      <c r="K761" s="16">
        <f>IF(CurrentMtgRatesDataTable8[[#This Row],[WA CC]]&lt;&gt;0,C760-CurrentMtgRatesDataTable8[[#This Row],[WA CC]],0)</f>
        <v>0</v>
      </c>
      <c r="L761" s="16">
        <f>IF(CurrentMtgRatesDataTable8[[#This Row],[Servicing Spread]]&lt;=0,L760,CurrentMtgRatesDataTable8[[#This Row],[Servicing Spread]])</f>
        <v>0.93496156723867019</v>
      </c>
      <c r="M761" s="16">
        <f>CurrentMtgRatesDataTable8[[#This Row],[Servicing Spread Non-Zero]]-L760</f>
        <v>0</v>
      </c>
      <c r="N761" s="16">
        <f>IF(J760&lt;&gt;0,CurrentMtgRatesDataTable8[[#This Row],[Rate]]-C760,N760)</f>
        <v>3.4999999999999698E-2</v>
      </c>
    </row>
    <row r="762" spans="1:14">
      <c r="A762" s="39" t="s">
        <v>807</v>
      </c>
      <c r="B762" s="40">
        <v>2.58469358456979</v>
      </c>
      <c r="C762" s="11">
        <v>3.5949999999999998</v>
      </c>
      <c r="D762" s="16">
        <f t="shared" si="77"/>
        <v>7</v>
      </c>
      <c r="E762" s="16">
        <f t="shared" si="78"/>
        <v>0.2</v>
      </c>
      <c r="F762" s="16">
        <f t="shared" si="79"/>
        <v>5</v>
      </c>
      <c r="G762" s="16">
        <f t="shared" si="80"/>
        <v>2.6275891286416204</v>
      </c>
      <c r="H762" s="16">
        <f t="shared" si="81"/>
        <v>1</v>
      </c>
      <c r="I762" s="16">
        <f t="shared" si="82"/>
        <v>1</v>
      </c>
      <c r="J762" s="16">
        <f t="shared" si="83"/>
        <v>2.6275891286416204</v>
      </c>
      <c r="K762" s="16">
        <f>IF(CurrentMtgRatesDataTable8[[#This Row],[WA CC]]&lt;&gt;0,C761-CurrentMtgRatesDataTable8[[#This Row],[WA CC]],0)</f>
        <v>0.96741087135837933</v>
      </c>
      <c r="L762" s="16">
        <f>IF(CurrentMtgRatesDataTable8[[#This Row],[Servicing Spread]]&lt;=0,L761,CurrentMtgRatesDataTable8[[#This Row],[Servicing Spread]])</f>
        <v>0.96741087135837933</v>
      </c>
      <c r="M762" s="16">
        <f>CurrentMtgRatesDataTable8[[#This Row],[Servicing Spread Non-Zero]]-L761</f>
        <v>3.2449304119709144E-2</v>
      </c>
      <c r="N762" s="16">
        <f>IF(J761&lt;&gt;0,CurrentMtgRatesDataTable8[[#This Row],[Rate]]-C761,N761)</f>
        <v>3.4999999999999698E-2</v>
      </c>
    </row>
    <row r="763" spans="1:14">
      <c r="A763" s="39" t="s">
        <v>808</v>
      </c>
      <c r="B763" s="40">
        <v>2.5759029417987498</v>
      </c>
      <c r="C763" s="11">
        <v>3.55</v>
      </c>
      <c r="D763" s="16">
        <f t="shared" si="77"/>
        <v>1</v>
      </c>
      <c r="E763" s="16">
        <f t="shared" si="78"/>
        <v>0.2</v>
      </c>
      <c r="F763" s="16">
        <f t="shared" si="79"/>
        <v>1</v>
      </c>
      <c r="G763" s="16">
        <f t="shared" si="80"/>
        <v>0.51518058835975</v>
      </c>
      <c r="H763" s="16">
        <f t="shared" si="81"/>
        <v>0.2</v>
      </c>
      <c r="I763" s="16">
        <f t="shared" si="82"/>
        <v>0</v>
      </c>
      <c r="J763" s="16">
        <f t="shared" si="83"/>
        <v>0</v>
      </c>
      <c r="K763" s="16">
        <f>IF(CurrentMtgRatesDataTable8[[#This Row],[WA CC]]&lt;&gt;0,C762-CurrentMtgRatesDataTable8[[#This Row],[WA CC]],0)</f>
        <v>0</v>
      </c>
      <c r="L763" s="16">
        <f>IF(CurrentMtgRatesDataTable8[[#This Row],[Servicing Spread]]&lt;=0,L762,CurrentMtgRatesDataTable8[[#This Row],[Servicing Spread]])</f>
        <v>0.96741087135837933</v>
      </c>
      <c r="M763" s="16">
        <f>CurrentMtgRatesDataTable8[[#This Row],[Servicing Spread Non-Zero]]-L762</f>
        <v>0</v>
      </c>
      <c r="N763" s="16">
        <f>IF(J762&lt;&gt;0,CurrentMtgRatesDataTable8[[#This Row],[Rate]]-C762,N762)</f>
        <v>-4.4999999999999929E-2</v>
      </c>
    </row>
    <row r="764" spans="1:14">
      <c r="A764" s="39" t="s">
        <v>809</v>
      </c>
      <c r="B764" s="40">
        <v>2.56712042045777</v>
      </c>
      <c r="C764" s="11">
        <v>3.55</v>
      </c>
      <c r="D764" s="16">
        <f t="shared" si="77"/>
        <v>2</v>
      </c>
      <c r="E764" s="16">
        <f t="shared" si="78"/>
        <v>0.2</v>
      </c>
      <c r="F764" s="16">
        <f t="shared" si="79"/>
        <v>2</v>
      </c>
      <c r="G764" s="16">
        <f t="shared" si="80"/>
        <v>1.028604672451304</v>
      </c>
      <c r="H764" s="16">
        <f t="shared" si="81"/>
        <v>0.4</v>
      </c>
      <c r="I764" s="16">
        <f t="shared" si="82"/>
        <v>0</v>
      </c>
      <c r="J764" s="16">
        <f t="shared" si="83"/>
        <v>0</v>
      </c>
      <c r="K764" s="16">
        <f>IF(CurrentMtgRatesDataTable8[[#This Row],[WA CC]]&lt;&gt;0,C763-CurrentMtgRatesDataTable8[[#This Row],[WA CC]],0)</f>
        <v>0</v>
      </c>
      <c r="L764" s="16">
        <f>IF(CurrentMtgRatesDataTable8[[#This Row],[Servicing Spread]]&lt;=0,L763,CurrentMtgRatesDataTable8[[#This Row],[Servicing Spread]])</f>
        <v>0.96741087135837933</v>
      </c>
      <c r="M764" s="16">
        <f>CurrentMtgRatesDataTable8[[#This Row],[Servicing Spread Non-Zero]]-L763</f>
        <v>0</v>
      </c>
      <c r="N764" s="16">
        <f>IF(J763&lt;&gt;0,CurrentMtgRatesDataTable8[[#This Row],[Rate]]-C763,N763)</f>
        <v>-4.4999999999999929E-2</v>
      </c>
    </row>
    <row r="765" spans="1:14">
      <c r="A765" s="39" t="s">
        <v>810</v>
      </c>
      <c r="B765" s="40">
        <v>2.59858921707026</v>
      </c>
      <c r="C765" s="11">
        <v>3.55</v>
      </c>
      <c r="D765" s="16">
        <f t="shared" si="77"/>
        <v>5</v>
      </c>
      <c r="E765" s="16">
        <f t="shared" si="78"/>
        <v>0.2</v>
      </c>
      <c r="F765" s="16">
        <f t="shared" si="79"/>
        <v>3</v>
      </c>
      <c r="G765" s="16">
        <f t="shared" si="80"/>
        <v>1.548322515865356</v>
      </c>
      <c r="H765" s="16">
        <f t="shared" si="81"/>
        <v>0.60000000000000009</v>
      </c>
      <c r="I765" s="16">
        <f t="shared" si="82"/>
        <v>0</v>
      </c>
      <c r="J765" s="16">
        <f t="shared" si="83"/>
        <v>0</v>
      </c>
      <c r="K765" s="16">
        <f>IF(CurrentMtgRatesDataTable8[[#This Row],[WA CC]]&lt;&gt;0,C764-CurrentMtgRatesDataTable8[[#This Row],[WA CC]],0)</f>
        <v>0</v>
      </c>
      <c r="L765" s="16">
        <f>IF(CurrentMtgRatesDataTable8[[#This Row],[Servicing Spread]]&lt;=0,L764,CurrentMtgRatesDataTable8[[#This Row],[Servicing Spread]])</f>
        <v>0.96741087135837933</v>
      </c>
      <c r="M765" s="16">
        <f>CurrentMtgRatesDataTable8[[#This Row],[Servicing Spread Non-Zero]]-L764</f>
        <v>0</v>
      </c>
      <c r="N765" s="16">
        <f>IF(J764&lt;&gt;0,CurrentMtgRatesDataTable8[[#This Row],[Rate]]-C764,N764)</f>
        <v>-4.4999999999999929E-2</v>
      </c>
    </row>
    <row r="766" spans="1:14">
      <c r="A766" s="39" t="s">
        <v>811</v>
      </c>
      <c r="B766" s="40">
        <v>2.62252108008507</v>
      </c>
      <c r="C766" s="11">
        <v>3.55</v>
      </c>
      <c r="D766" s="16">
        <f t="shared" si="77"/>
        <v>6</v>
      </c>
      <c r="E766" s="16">
        <f t="shared" si="78"/>
        <v>0.2</v>
      </c>
      <c r="F766" s="16">
        <f t="shared" si="79"/>
        <v>4</v>
      </c>
      <c r="G766" s="16">
        <f t="shared" si="80"/>
        <v>2.0728267318823699</v>
      </c>
      <c r="H766" s="16">
        <f t="shared" si="81"/>
        <v>0.8</v>
      </c>
      <c r="I766" s="16">
        <f t="shared" si="82"/>
        <v>0</v>
      </c>
      <c r="J766" s="16">
        <f t="shared" si="83"/>
        <v>0</v>
      </c>
      <c r="K766" s="16">
        <f>IF(CurrentMtgRatesDataTable8[[#This Row],[WA CC]]&lt;&gt;0,C765-CurrentMtgRatesDataTable8[[#This Row],[WA CC]],0)</f>
        <v>0</v>
      </c>
      <c r="L766" s="16">
        <f>IF(CurrentMtgRatesDataTable8[[#This Row],[Servicing Spread]]&lt;=0,L765,CurrentMtgRatesDataTable8[[#This Row],[Servicing Spread]])</f>
        <v>0.96741087135837933</v>
      </c>
      <c r="M766" s="16">
        <f>CurrentMtgRatesDataTable8[[#This Row],[Servicing Spread Non-Zero]]-L765</f>
        <v>0</v>
      </c>
      <c r="N766" s="16">
        <f>IF(J765&lt;&gt;0,CurrentMtgRatesDataTable8[[#This Row],[Rate]]-C765,N765)</f>
        <v>-4.4999999999999929E-2</v>
      </c>
    </row>
    <row r="767" spans="1:14">
      <c r="A767" s="39" t="s">
        <v>812</v>
      </c>
      <c r="B767" s="40">
        <v>2.6753264137467299</v>
      </c>
      <c r="C767" s="11">
        <v>3.55</v>
      </c>
      <c r="D767" s="16">
        <f t="shared" si="77"/>
        <v>7</v>
      </c>
      <c r="E767" s="16">
        <f t="shared" si="78"/>
        <v>0.2</v>
      </c>
      <c r="F767" s="16">
        <f t="shared" si="79"/>
        <v>5</v>
      </c>
      <c r="G767" s="16">
        <f t="shared" si="80"/>
        <v>2.6078920146317159</v>
      </c>
      <c r="H767" s="16">
        <f t="shared" si="81"/>
        <v>1</v>
      </c>
      <c r="I767" s="16">
        <f t="shared" si="82"/>
        <v>1</v>
      </c>
      <c r="J767" s="16">
        <f t="shared" si="83"/>
        <v>2.6078920146317159</v>
      </c>
      <c r="K767" s="16">
        <f>IF(CurrentMtgRatesDataTable8[[#This Row],[WA CC]]&lt;&gt;0,C766-CurrentMtgRatesDataTable8[[#This Row],[WA CC]],0)</f>
        <v>0.94210798536828388</v>
      </c>
      <c r="L767" s="16">
        <f>IF(CurrentMtgRatesDataTable8[[#This Row],[Servicing Spread]]&lt;=0,L766,CurrentMtgRatesDataTable8[[#This Row],[Servicing Spread]])</f>
        <v>0.94210798536828388</v>
      </c>
      <c r="M767" s="16">
        <f>CurrentMtgRatesDataTable8[[#This Row],[Servicing Spread Non-Zero]]-L766</f>
        <v>-2.5302885990095447E-2</v>
      </c>
      <c r="N767" s="16">
        <f>IF(J766&lt;&gt;0,CurrentMtgRatesDataTable8[[#This Row],[Rate]]-C766,N766)</f>
        <v>-4.4999999999999929E-2</v>
      </c>
    </row>
    <row r="768" spans="1:14">
      <c r="A768" s="39" t="s">
        <v>813</v>
      </c>
      <c r="B768" s="40">
        <v>2.6562875815293401</v>
      </c>
      <c r="C768" s="11">
        <v>3.58</v>
      </c>
      <c r="D768" s="16">
        <f t="shared" si="77"/>
        <v>1</v>
      </c>
      <c r="E768" s="16">
        <f t="shared" si="78"/>
        <v>0.2</v>
      </c>
      <c r="F768" s="16">
        <f t="shared" si="79"/>
        <v>1</v>
      </c>
      <c r="G768" s="16">
        <f t="shared" si="80"/>
        <v>0.53125751630586804</v>
      </c>
      <c r="H768" s="16">
        <f t="shared" si="81"/>
        <v>0.2</v>
      </c>
      <c r="I768" s="16">
        <f t="shared" si="82"/>
        <v>0</v>
      </c>
      <c r="J768" s="16">
        <f t="shared" si="83"/>
        <v>0</v>
      </c>
      <c r="K768" s="16">
        <f>IF(CurrentMtgRatesDataTable8[[#This Row],[WA CC]]&lt;&gt;0,C767-CurrentMtgRatesDataTable8[[#This Row],[WA CC]],0)</f>
        <v>0</v>
      </c>
      <c r="L768" s="16">
        <f>IF(CurrentMtgRatesDataTable8[[#This Row],[Servicing Spread]]&lt;=0,L767,CurrentMtgRatesDataTable8[[#This Row],[Servicing Spread]])</f>
        <v>0.94210798536828388</v>
      </c>
      <c r="M768" s="16">
        <f>CurrentMtgRatesDataTable8[[#This Row],[Servicing Spread Non-Zero]]-L767</f>
        <v>0</v>
      </c>
      <c r="N768" s="16">
        <f>IF(J767&lt;&gt;0,CurrentMtgRatesDataTable8[[#This Row],[Rate]]-C767,N767)</f>
        <v>3.0000000000000249E-2</v>
      </c>
    </row>
    <row r="769" spans="1:14">
      <c r="A769" s="39" t="s">
        <v>814</v>
      </c>
      <c r="B769" s="40">
        <v>2.62955921776924</v>
      </c>
      <c r="C769" s="11">
        <v>3.58</v>
      </c>
      <c r="D769" s="16">
        <f t="shared" si="77"/>
        <v>2</v>
      </c>
      <c r="E769" s="16">
        <f t="shared" si="78"/>
        <v>0.2</v>
      </c>
      <c r="F769" s="16">
        <f t="shared" si="79"/>
        <v>2</v>
      </c>
      <c r="G769" s="16">
        <f t="shared" si="80"/>
        <v>1.0571693598597161</v>
      </c>
      <c r="H769" s="16">
        <f t="shared" si="81"/>
        <v>0.4</v>
      </c>
      <c r="I769" s="16">
        <f t="shared" si="82"/>
        <v>0</v>
      </c>
      <c r="J769" s="16">
        <f t="shared" si="83"/>
        <v>0</v>
      </c>
      <c r="K769" s="16">
        <f>IF(CurrentMtgRatesDataTable8[[#This Row],[WA CC]]&lt;&gt;0,C768-CurrentMtgRatesDataTable8[[#This Row],[WA CC]],0)</f>
        <v>0</v>
      </c>
      <c r="L769" s="16">
        <f>IF(CurrentMtgRatesDataTable8[[#This Row],[Servicing Spread]]&lt;=0,L768,CurrentMtgRatesDataTable8[[#This Row],[Servicing Spread]])</f>
        <v>0.94210798536828388</v>
      </c>
      <c r="M769" s="16">
        <f>CurrentMtgRatesDataTable8[[#This Row],[Servicing Spread Non-Zero]]-L768</f>
        <v>0</v>
      </c>
      <c r="N769" s="16">
        <f>IF(J768&lt;&gt;0,CurrentMtgRatesDataTable8[[#This Row],[Rate]]-C768,N768)</f>
        <v>3.0000000000000249E-2</v>
      </c>
    </row>
    <row r="770" spans="1:14">
      <c r="A770" s="39" t="s">
        <v>815</v>
      </c>
      <c r="B770" s="40">
        <v>2.6437338504186898</v>
      </c>
      <c r="C770" s="11">
        <v>3.58</v>
      </c>
      <c r="D770" s="16">
        <f t="shared" si="77"/>
        <v>5</v>
      </c>
      <c r="E770" s="16">
        <f t="shared" si="78"/>
        <v>0.2</v>
      </c>
      <c r="F770" s="16">
        <f t="shared" si="79"/>
        <v>3</v>
      </c>
      <c r="G770" s="16">
        <f t="shared" si="80"/>
        <v>1.5859161299434539</v>
      </c>
      <c r="H770" s="16">
        <f t="shared" si="81"/>
        <v>0.60000000000000009</v>
      </c>
      <c r="I770" s="16">
        <f t="shared" si="82"/>
        <v>0</v>
      </c>
      <c r="J770" s="16">
        <f t="shared" si="83"/>
        <v>0</v>
      </c>
      <c r="K770" s="16">
        <f>IF(CurrentMtgRatesDataTable8[[#This Row],[WA CC]]&lt;&gt;0,C769-CurrentMtgRatesDataTable8[[#This Row],[WA CC]],0)</f>
        <v>0</v>
      </c>
      <c r="L770" s="16">
        <f>IF(CurrentMtgRatesDataTable8[[#This Row],[Servicing Spread]]&lt;=0,L769,CurrentMtgRatesDataTable8[[#This Row],[Servicing Spread]])</f>
        <v>0.94210798536828388</v>
      </c>
      <c r="M770" s="16">
        <f>CurrentMtgRatesDataTable8[[#This Row],[Servicing Spread Non-Zero]]-L769</f>
        <v>0</v>
      </c>
      <c r="N770" s="16">
        <f>IF(J769&lt;&gt;0,CurrentMtgRatesDataTable8[[#This Row],[Rate]]-C769,N769)</f>
        <v>3.0000000000000249E-2</v>
      </c>
    </row>
    <row r="771" spans="1:14">
      <c r="A771" s="39" t="s">
        <v>816</v>
      </c>
      <c r="B771" s="40">
        <v>2.6991414546305501</v>
      </c>
      <c r="C771" s="11">
        <v>3.58</v>
      </c>
      <c r="D771" s="16">
        <f t="shared" si="77"/>
        <v>6</v>
      </c>
      <c r="E771" s="16">
        <f t="shared" si="78"/>
        <v>0.2</v>
      </c>
      <c r="F771" s="16">
        <f t="shared" si="79"/>
        <v>4</v>
      </c>
      <c r="G771" s="16">
        <f t="shared" si="80"/>
        <v>2.1257444208695642</v>
      </c>
      <c r="H771" s="16">
        <f t="shared" si="81"/>
        <v>0.8</v>
      </c>
      <c r="I771" s="16">
        <f t="shared" si="82"/>
        <v>0</v>
      </c>
      <c r="J771" s="16">
        <f t="shared" si="83"/>
        <v>0</v>
      </c>
      <c r="K771" s="16">
        <f>IF(CurrentMtgRatesDataTable8[[#This Row],[WA CC]]&lt;&gt;0,C770-CurrentMtgRatesDataTable8[[#This Row],[WA CC]],0)</f>
        <v>0</v>
      </c>
      <c r="L771" s="16">
        <f>IF(CurrentMtgRatesDataTable8[[#This Row],[Servicing Spread]]&lt;=0,L770,CurrentMtgRatesDataTable8[[#This Row],[Servicing Spread]])</f>
        <v>0.94210798536828388</v>
      </c>
      <c r="M771" s="16">
        <f>CurrentMtgRatesDataTable8[[#This Row],[Servicing Spread Non-Zero]]-L770</f>
        <v>0</v>
      </c>
      <c r="N771" s="16">
        <f>IF(J770&lt;&gt;0,CurrentMtgRatesDataTable8[[#This Row],[Rate]]-C770,N770)</f>
        <v>3.0000000000000249E-2</v>
      </c>
    </row>
    <row r="772" spans="1:14">
      <c r="A772" s="39" t="s">
        <v>817</v>
      </c>
      <c r="B772" s="40">
        <v>2.7467458715573199</v>
      </c>
      <c r="C772" s="11">
        <v>3.58</v>
      </c>
      <c r="D772" s="16">
        <f t="shared" si="77"/>
        <v>7</v>
      </c>
      <c r="E772" s="16">
        <f t="shared" si="78"/>
        <v>0.2</v>
      </c>
      <c r="F772" s="16">
        <f t="shared" si="79"/>
        <v>5</v>
      </c>
      <c r="G772" s="16">
        <f t="shared" si="80"/>
        <v>2.6750935951810284</v>
      </c>
      <c r="H772" s="16">
        <f t="shared" si="81"/>
        <v>1</v>
      </c>
      <c r="I772" s="16">
        <f t="shared" si="82"/>
        <v>1</v>
      </c>
      <c r="J772" s="16">
        <f t="shared" si="83"/>
        <v>2.6750935951810284</v>
      </c>
      <c r="K772" s="16">
        <f>IF(CurrentMtgRatesDataTable8[[#This Row],[WA CC]]&lt;&gt;0,C771-CurrentMtgRatesDataTable8[[#This Row],[WA CC]],0)</f>
        <v>0.90490640481897167</v>
      </c>
      <c r="L772" s="16">
        <f>IF(CurrentMtgRatesDataTable8[[#This Row],[Servicing Spread]]&lt;=0,L771,CurrentMtgRatesDataTable8[[#This Row],[Servicing Spread]])</f>
        <v>0.90490640481897167</v>
      </c>
      <c r="M772" s="16">
        <f>CurrentMtgRatesDataTable8[[#This Row],[Servicing Spread Non-Zero]]-L771</f>
        <v>-3.7201580549312219E-2</v>
      </c>
      <c r="N772" s="16">
        <f>IF(J771&lt;&gt;0,CurrentMtgRatesDataTable8[[#This Row],[Rate]]-C771,N771)</f>
        <v>3.0000000000000249E-2</v>
      </c>
    </row>
    <row r="773" spans="1:14">
      <c r="A773" s="43" t="s">
        <v>818</v>
      </c>
      <c r="B773" s="44">
        <v>2.7480147229669498</v>
      </c>
      <c r="C773" s="45">
        <v>3.6999999999999997</v>
      </c>
      <c r="D773" s="46">
        <f t="shared" ref="D773:D836" si="84">WEEKDAY(A773,14)</f>
        <v>1</v>
      </c>
      <c r="E773" s="46">
        <f t="shared" ref="E773:E836" si="85">VLOOKUP(D773,Q$5:R$11,2,FALSE)</f>
        <v>0.2</v>
      </c>
      <c r="F773" s="46">
        <f t="shared" ref="F773:F836" si="86">IF(AND(D773&gt;D772,F772&lt;6),F772+1,1)</f>
        <v>1</v>
      </c>
      <c r="G773" s="46">
        <f t="shared" ref="G773:G836" si="87">IF(F773&gt;F772,G772+B773*E773,B773*E773)</f>
        <v>0.54960294459338999</v>
      </c>
      <c r="H773" s="46">
        <f t="shared" ref="H773:H836" si="88">IF(AND(F773&lt;6,F773&gt;F772),E773+H772,E773)</f>
        <v>0.2</v>
      </c>
      <c r="I773" s="46">
        <f t="shared" ref="I773:I836" si="89">IF(F773&gt;F774,1,0)</f>
        <v>0</v>
      </c>
      <c r="J773" s="46">
        <f t="shared" ref="J773:J836" si="90">IF(F773&gt;F774,G773/H773,0)</f>
        <v>0</v>
      </c>
      <c r="K773" s="46">
        <f>IF(CurrentMtgRatesDataTable8[[#This Row],[WA CC]]&lt;&gt;0,C772-CurrentMtgRatesDataTable8[[#This Row],[WA CC]],0)</f>
        <v>0</v>
      </c>
      <c r="L773" s="46">
        <f>IF(CurrentMtgRatesDataTable8[[#This Row],[Servicing Spread]]&lt;=0,L772,CurrentMtgRatesDataTable8[[#This Row],[Servicing Spread]])</f>
        <v>0.90490640481897167</v>
      </c>
      <c r="M773" s="46">
        <f>CurrentMtgRatesDataTable8[[#This Row],[Servicing Spread Non-Zero]]-L772</f>
        <v>0</v>
      </c>
      <c r="N773" s="46">
        <f>IF(J772&lt;&gt;0,CurrentMtgRatesDataTable8[[#This Row],[Rate]]-C772,N772)</f>
        <v>0.11999999999999966</v>
      </c>
    </row>
    <row r="774" spans="1:14">
      <c r="A774" s="43" t="s">
        <v>819</v>
      </c>
      <c r="B774" s="44">
        <v>2.8064099070641602</v>
      </c>
      <c r="C774" s="45">
        <v>3.6999999999999997</v>
      </c>
      <c r="D774" s="46">
        <f t="shared" si="84"/>
        <v>2</v>
      </c>
      <c r="E774" s="46">
        <f t="shared" si="85"/>
        <v>0.2</v>
      </c>
      <c r="F774" s="46">
        <f t="shared" si="86"/>
        <v>2</v>
      </c>
      <c r="G774" s="46">
        <f t="shared" si="87"/>
        <v>1.1108849260062219</v>
      </c>
      <c r="H774" s="46">
        <f t="shared" si="88"/>
        <v>0.4</v>
      </c>
      <c r="I774" s="46">
        <f t="shared" si="89"/>
        <v>0</v>
      </c>
      <c r="J774" s="46">
        <f t="shared" si="90"/>
        <v>0</v>
      </c>
      <c r="K774" s="46">
        <f>IF(CurrentMtgRatesDataTable8[[#This Row],[WA CC]]&lt;&gt;0,C773-CurrentMtgRatesDataTable8[[#This Row],[WA CC]],0)</f>
        <v>0</v>
      </c>
      <c r="L774" s="46">
        <f>IF(CurrentMtgRatesDataTable8[[#This Row],[Servicing Spread]]&lt;=0,L773,CurrentMtgRatesDataTable8[[#This Row],[Servicing Spread]])</f>
        <v>0.90490640481897167</v>
      </c>
      <c r="M774" s="46">
        <f>CurrentMtgRatesDataTable8[[#This Row],[Servicing Spread Non-Zero]]-L773</f>
        <v>0</v>
      </c>
      <c r="N774" s="46">
        <f>IF(J773&lt;&gt;0,CurrentMtgRatesDataTable8[[#This Row],[Rate]]-C773,N773)</f>
        <v>0.11999999999999966</v>
      </c>
    </row>
    <row r="775" spans="1:14">
      <c r="A775" s="43" t="s">
        <v>820</v>
      </c>
      <c r="B775" s="44">
        <v>2.8416760056146502</v>
      </c>
      <c r="C775" s="45">
        <v>3.6999999999999997</v>
      </c>
      <c r="D775" s="46">
        <f t="shared" si="84"/>
        <v>5</v>
      </c>
      <c r="E775" s="46">
        <f t="shared" si="85"/>
        <v>0.2</v>
      </c>
      <c r="F775" s="46">
        <f t="shared" si="86"/>
        <v>3</v>
      </c>
      <c r="G775" s="46">
        <f t="shared" si="87"/>
        <v>1.679220127129152</v>
      </c>
      <c r="H775" s="46">
        <f t="shared" si="88"/>
        <v>0.60000000000000009</v>
      </c>
      <c r="I775" s="46">
        <f t="shared" si="89"/>
        <v>0</v>
      </c>
      <c r="J775" s="46">
        <f t="shared" si="90"/>
        <v>0</v>
      </c>
      <c r="K775" s="46">
        <f>IF(CurrentMtgRatesDataTable8[[#This Row],[WA CC]]&lt;&gt;0,C774-CurrentMtgRatesDataTable8[[#This Row],[WA CC]],0)</f>
        <v>0</v>
      </c>
      <c r="L775" s="46">
        <f>IF(CurrentMtgRatesDataTable8[[#This Row],[Servicing Spread]]&lt;=0,L774,CurrentMtgRatesDataTable8[[#This Row],[Servicing Spread]])</f>
        <v>0.90490640481897167</v>
      </c>
      <c r="M775" s="46">
        <f>CurrentMtgRatesDataTable8[[#This Row],[Servicing Spread Non-Zero]]-L774</f>
        <v>0</v>
      </c>
      <c r="N775" s="46">
        <f>IF(J774&lt;&gt;0,CurrentMtgRatesDataTable8[[#This Row],[Rate]]-C774,N774)</f>
        <v>0.11999999999999966</v>
      </c>
    </row>
    <row r="776" spans="1:14">
      <c r="A776" s="43" t="s">
        <v>821</v>
      </c>
      <c r="B776" s="44">
        <v>2.8756484754346898</v>
      </c>
      <c r="C776" s="45">
        <v>3.6999999999999997</v>
      </c>
      <c r="D776" s="46">
        <f t="shared" si="84"/>
        <v>6</v>
      </c>
      <c r="E776" s="46">
        <f t="shared" si="85"/>
        <v>0.2</v>
      </c>
      <c r="F776" s="46">
        <f t="shared" si="86"/>
        <v>4</v>
      </c>
      <c r="G776" s="46">
        <f t="shared" si="87"/>
        <v>2.2543498222160903</v>
      </c>
      <c r="H776" s="46">
        <f t="shared" si="88"/>
        <v>0.8</v>
      </c>
      <c r="I776" s="46">
        <f t="shared" si="89"/>
        <v>0</v>
      </c>
      <c r="J776" s="46">
        <f t="shared" si="90"/>
        <v>0</v>
      </c>
      <c r="K776" s="46">
        <f>IF(CurrentMtgRatesDataTable8[[#This Row],[WA CC]]&lt;&gt;0,C775-CurrentMtgRatesDataTable8[[#This Row],[WA CC]],0)</f>
        <v>0</v>
      </c>
      <c r="L776" s="46">
        <f>IF(CurrentMtgRatesDataTable8[[#This Row],[Servicing Spread]]&lt;=0,L775,CurrentMtgRatesDataTable8[[#This Row],[Servicing Spread]])</f>
        <v>0.90490640481897167</v>
      </c>
      <c r="M776" s="46">
        <f>CurrentMtgRatesDataTable8[[#This Row],[Servicing Spread Non-Zero]]-L775</f>
        <v>0</v>
      </c>
      <c r="N776" s="46">
        <f>IF(J775&lt;&gt;0,CurrentMtgRatesDataTable8[[#This Row],[Rate]]-C775,N775)</f>
        <v>0.11999999999999966</v>
      </c>
    </row>
    <row r="777" spans="1:14">
      <c r="A777" s="43" t="s">
        <v>822</v>
      </c>
      <c r="B777" s="44">
        <v>2.91930519695658</v>
      </c>
      <c r="C777" s="45">
        <v>3.6999999999999997</v>
      </c>
      <c r="D777" s="46">
        <f t="shared" si="84"/>
        <v>7</v>
      </c>
      <c r="E777" s="46">
        <f t="shared" si="85"/>
        <v>0.2</v>
      </c>
      <c r="F777" s="46">
        <f t="shared" si="86"/>
        <v>5</v>
      </c>
      <c r="G777" s="46">
        <f t="shared" si="87"/>
        <v>2.8382108616074064</v>
      </c>
      <c r="H777" s="46">
        <f t="shared" si="88"/>
        <v>1</v>
      </c>
      <c r="I777" s="46">
        <f t="shared" si="89"/>
        <v>1</v>
      </c>
      <c r="J777" s="46">
        <f t="shared" si="90"/>
        <v>2.8382108616074064</v>
      </c>
      <c r="K777" s="46">
        <f>IF(CurrentMtgRatesDataTable8[[#This Row],[WA CC]]&lt;&gt;0,C776-CurrentMtgRatesDataTable8[[#This Row],[WA CC]],0)</f>
        <v>0.8617891383925933</v>
      </c>
      <c r="L777" s="46">
        <f>IF(CurrentMtgRatesDataTable8[[#This Row],[Servicing Spread]]&lt;=0,L776,CurrentMtgRatesDataTable8[[#This Row],[Servicing Spread]])</f>
        <v>0.8617891383925933</v>
      </c>
      <c r="M777" s="46">
        <f>CurrentMtgRatesDataTable8[[#This Row],[Servicing Spread Non-Zero]]-L776</f>
        <v>-4.3117266426378364E-2</v>
      </c>
      <c r="N777" s="46">
        <f>IF(J776&lt;&gt;0,CurrentMtgRatesDataTable8[[#This Row],[Rate]]-C776,N776)</f>
        <v>0.11999999999999966</v>
      </c>
    </row>
    <row r="778" spans="1:14">
      <c r="A778" s="43" t="s">
        <v>823</v>
      </c>
      <c r="B778" s="44">
        <v>2.86177796804412</v>
      </c>
      <c r="C778" s="45">
        <v>3.75</v>
      </c>
      <c r="D778" s="46">
        <f t="shared" si="84"/>
        <v>1</v>
      </c>
      <c r="E778" s="46">
        <f t="shared" si="85"/>
        <v>0.2</v>
      </c>
      <c r="F778" s="46">
        <f t="shared" si="86"/>
        <v>1</v>
      </c>
      <c r="G778" s="46">
        <f t="shared" si="87"/>
        <v>0.57235559360882404</v>
      </c>
      <c r="H778" s="46">
        <f t="shared" si="88"/>
        <v>0.2</v>
      </c>
      <c r="I778" s="46">
        <f t="shared" si="89"/>
        <v>0</v>
      </c>
      <c r="J778" s="46">
        <f t="shared" si="90"/>
        <v>0</v>
      </c>
      <c r="K778" s="46">
        <f>IF(CurrentMtgRatesDataTable8[[#This Row],[WA CC]]&lt;&gt;0,C777-CurrentMtgRatesDataTable8[[#This Row],[WA CC]],0)</f>
        <v>0</v>
      </c>
      <c r="L778" s="46">
        <f>IF(CurrentMtgRatesDataTable8[[#This Row],[Servicing Spread]]&lt;=0,L777,CurrentMtgRatesDataTable8[[#This Row],[Servicing Spread]])</f>
        <v>0.8617891383925933</v>
      </c>
      <c r="M778" s="46">
        <f>CurrentMtgRatesDataTable8[[#This Row],[Servicing Spread Non-Zero]]-L777</f>
        <v>0</v>
      </c>
      <c r="N778" s="46">
        <f>IF(J777&lt;&gt;0,CurrentMtgRatesDataTable8[[#This Row],[Rate]]-C777,N777)</f>
        <v>5.0000000000000266E-2</v>
      </c>
    </row>
    <row r="779" spans="1:14">
      <c r="A779" s="43" t="s">
        <v>824</v>
      </c>
      <c r="B779" s="44">
        <v>2.8101076932532698</v>
      </c>
      <c r="C779" s="45">
        <v>3.75</v>
      </c>
      <c r="D779" s="46">
        <f t="shared" si="84"/>
        <v>2</v>
      </c>
      <c r="E779" s="46">
        <f t="shared" si="85"/>
        <v>0.2</v>
      </c>
      <c r="F779" s="46">
        <f t="shared" si="86"/>
        <v>2</v>
      </c>
      <c r="G779" s="46">
        <f t="shared" si="87"/>
        <v>1.134377132259478</v>
      </c>
      <c r="H779" s="46">
        <f t="shared" si="88"/>
        <v>0.4</v>
      </c>
      <c r="I779" s="46">
        <f t="shared" si="89"/>
        <v>0</v>
      </c>
      <c r="J779" s="46">
        <f t="shared" si="90"/>
        <v>0</v>
      </c>
      <c r="K779" s="46">
        <f>IF(CurrentMtgRatesDataTable8[[#This Row],[WA CC]]&lt;&gt;0,C778-CurrentMtgRatesDataTable8[[#This Row],[WA CC]],0)</f>
        <v>0</v>
      </c>
      <c r="L779" s="46">
        <f>IF(CurrentMtgRatesDataTable8[[#This Row],[Servicing Spread]]&lt;=0,L778,CurrentMtgRatesDataTable8[[#This Row],[Servicing Spread]])</f>
        <v>0.8617891383925933</v>
      </c>
      <c r="M779" s="46">
        <f>CurrentMtgRatesDataTable8[[#This Row],[Servicing Spread Non-Zero]]-L778</f>
        <v>0</v>
      </c>
      <c r="N779" s="46">
        <f>IF(J778&lt;&gt;0,CurrentMtgRatesDataTable8[[#This Row],[Rate]]-C778,N778)</f>
        <v>5.0000000000000266E-2</v>
      </c>
    </row>
    <row r="780" spans="1:14">
      <c r="A780" s="43" t="s">
        <v>825</v>
      </c>
      <c r="B780" s="44">
        <v>2.9199815904284798</v>
      </c>
      <c r="C780" s="45">
        <v>3.75</v>
      </c>
      <c r="D780" s="46">
        <f t="shared" si="84"/>
        <v>5</v>
      </c>
      <c r="E780" s="46">
        <f t="shared" si="85"/>
        <v>0.2</v>
      </c>
      <c r="F780" s="46">
        <f t="shared" si="86"/>
        <v>3</v>
      </c>
      <c r="G780" s="46">
        <f t="shared" si="87"/>
        <v>1.718373450345174</v>
      </c>
      <c r="H780" s="46">
        <f t="shared" si="88"/>
        <v>0.60000000000000009</v>
      </c>
      <c r="I780" s="46">
        <f t="shared" si="89"/>
        <v>0</v>
      </c>
      <c r="J780" s="46">
        <f t="shared" si="90"/>
        <v>0</v>
      </c>
      <c r="K780" s="46">
        <f>IF(CurrentMtgRatesDataTable8[[#This Row],[WA CC]]&lt;&gt;0,C779-CurrentMtgRatesDataTable8[[#This Row],[WA CC]],0)</f>
        <v>0</v>
      </c>
      <c r="L780" s="46">
        <f>IF(CurrentMtgRatesDataTable8[[#This Row],[Servicing Spread]]&lt;=0,L779,CurrentMtgRatesDataTable8[[#This Row],[Servicing Spread]])</f>
        <v>0.8617891383925933</v>
      </c>
      <c r="M780" s="46">
        <f>CurrentMtgRatesDataTable8[[#This Row],[Servicing Spread Non-Zero]]-L779</f>
        <v>0</v>
      </c>
      <c r="N780" s="46">
        <f>IF(J779&lt;&gt;0,CurrentMtgRatesDataTable8[[#This Row],[Rate]]-C779,N779)</f>
        <v>5.0000000000000266E-2</v>
      </c>
    </row>
    <row r="781" spans="1:14">
      <c r="A781" s="43" t="s">
        <v>826</v>
      </c>
      <c r="B781" s="44">
        <v>2.9362897451124002</v>
      </c>
      <c r="C781" s="45">
        <v>3.75</v>
      </c>
      <c r="D781" s="46">
        <f t="shared" si="84"/>
        <v>6</v>
      </c>
      <c r="E781" s="46">
        <f t="shared" si="85"/>
        <v>0.2</v>
      </c>
      <c r="F781" s="46">
        <f t="shared" si="86"/>
        <v>4</v>
      </c>
      <c r="G781" s="46">
        <f t="shared" si="87"/>
        <v>2.305631399367654</v>
      </c>
      <c r="H781" s="46">
        <f t="shared" si="88"/>
        <v>0.8</v>
      </c>
      <c r="I781" s="46">
        <f t="shared" si="89"/>
        <v>0</v>
      </c>
      <c r="J781" s="46">
        <f t="shared" si="90"/>
        <v>0</v>
      </c>
      <c r="K781" s="46">
        <f>IF(CurrentMtgRatesDataTable8[[#This Row],[WA CC]]&lt;&gt;0,C780-CurrentMtgRatesDataTable8[[#This Row],[WA CC]],0)</f>
        <v>0</v>
      </c>
      <c r="L781" s="46">
        <f>IF(CurrentMtgRatesDataTable8[[#This Row],[Servicing Spread]]&lt;=0,L780,CurrentMtgRatesDataTable8[[#This Row],[Servicing Spread]])</f>
        <v>0.8617891383925933</v>
      </c>
      <c r="M781" s="46">
        <f>CurrentMtgRatesDataTable8[[#This Row],[Servicing Spread Non-Zero]]-L780</f>
        <v>0</v>
      </c>
      <c r="N781" s="46">
        <f>IF(J780&lt;&gt;0,CurrentMtgRatesDataTable8[[#This Row],[Rate]]-C780,N780)</f>
        <v>5.0000000000000266E-2</v>
      </c>
    </row>
    <row r="782" spans="1:14">
      <c r="A782" s="43" t="s">
        <v>827</v>
      </c>
      <c r="B782" s="44">
        <v>2.9586092652733198</v>
      </c>
      <c r="C782" s="45">
        <v>3.75</v>
      </c>
      <c r="D782" s="46">
        <f t="shared" si="84"/>
        <v>7</v>
      </c>
      <c r="E782" s="46">
        <f t="shared" si="85"/>
        <v>0.2</v>
      </c>
      <c r="F782" s="46">
        <f t="shared" si="86"/>
        <v>5</v>
      </c>
      <c r="G782" s="46">
        <f t="shared" si="87"/>
        <v>2.897353252422318</v>
      </c>
      <c r="H782" s="46">
        <f t="shared" si="88"/>
        <v>1</v>
      </c>
      <c r="I782" s="46">
        <f t="shared" si="89"/>
        <v>1</v>
      </c>
      <c r="J782" s="46">
        <f t="shared" si="90"/>
        <v>2.897353252422318</v>
      </c>
      <c r="K782" s="46">
        <f>IF(CurrentMtgRatesDataTable8[[#This Row],[WA CC]]&lt;&gt;0,C781-CurrentMtgRatesDataTable8[[#This Row],[WA CC]],0)</f>
        <v>0.852646747577682</v>
      </c>
      <c r="L782" s="46">
        <f>IF(CurrentMtgRatesDataTable8[[#This Row],[Servicing Spread]]&lt;=0,L781,CurrentMtgRatesDataTable8[[#This Row],[Servicing Spread]])</f>
        <v>0.852646747577682</v>
      </c>
      <c r="M782" s="46">
        <f>CurrentMtgRatesDataTable8[[#This Row],[Servicing Spread Non-Zero]]-L781</f>
        <v>-9.1423908149113053E-3</v>
      </c>
      <c r="N782" s="46">
        <f>IF(J781&lt;&gt;0,CurrentMtgRatesDataTable8[[#This Row],[Rate]]-C781,N781)</f>
        <v>5.0000000000000266E-2</v>
      </c>
    </row>
    <row r="783" spans="1:14">
      <c r="A783" s="43" t="s">
        <v>828</v>
      </c>
      <c r="B783" s="44">
        <v>2.9068905487933598</v>
      </c>
      <c r="C783" s="45">
        <v>3.7649999999999997</v>
      </c>
      <c r="D783" s="46">
        <f t="shared" si="84"/>
        <v>1</v>
      </c>
      <c r="E783" s="46">
        <f t="shared" si="85"/>
        <v>0.2</v>
      </c>
      <c r="F783" s="46">
        <f t="shared" si="86"/>
        <v>1</v>
      </c>
      <c r="G783" s="46">
        <f t="shared" si="87"/>
        <v>0.58137810975867199</v>
      </c>
      <c r="H783" s="46">
        <f t="shared" si="88"/>
        <v>0.2</v>
      </c>
      <c r="I783" s="46">
        <f t="shared" si="89"/>
        <v>0</v>
      </c>
      <c r="J783" s="46">
        <f t="shared" si="90"/>
        <v>0</v>
      </c>
      <c r="K783" s="46">
        <f>IF(CurrentMtgRatesDataTable8[[#This Row],[WA CC]]&lt;&gt;0,C782-CurrentMtgRatesDataTable8[[#This Row],[WA CC]],0)</f>
        <v>0</v>
      </c>
      <c r="L783" s="46">
        <f>IF(CurrentMtgRatesDataTable8[[#This Row],[Servicing Spread]]&lt;=0,L782,CurrentMtgRatesDataTable8[[#This Row],[Servicing Spread]])</f>
        <v>0.852646747577682</v>
      </c>
      <c r="M783" s="46">
        <f>CurrentMtgRatesDataTable8[[#This Row],[Servicing Spread Non-Zero]]-L782</f>
        <v>0</v>
      </c>
      <c r="N783" s="46">
        <f>IF(J782&lt;&gt;0,CurrentMtgRatesDataTable8[[#This Row],[Rate]]-C782,N782)</f>
        <v>1.499999999999968E-2</v>
      </c>
    </row>
    <row r="784" spans="1:14">
      <c r="A784" s="43" t="s">
        <v>829</v>
      </c>
      <c r="B784" s="44">
        <v>2.82631669904023</v>
      </c>
      <c r="C784" s="45">
        <v>3.7649999999999997</v>
      </c>
      <c r="D784" s="46">
        <f t="shared" si="84"/>
        <v>2</v>
      </c>
      <c r="E784" s="46">
        <f t="shared" si="85"/>
        <v>0.2</v>
      </c>
      <c r="F784" s="46">
        <f t="shared" si="86"/>
        <v>2</v>
      </c>
      <c r="G784" s="46">
        <f t="shared" si="87"/>
        <v>1.1466414495667179</v>
      </c>
      <c r="H784" s="46">
        <f t="shared" si="88"/>
        <v>0.4</v>
      </c>
      <c r="I784" s="46">
        <f t="shared" si="89"/>
        <v>0</v>
      </c>
      <c r="J784" s="46">
        <f t="shared" si="90"/>
        <v>0</v>
      </c>
      <c r="K784" s="46">
        <f>IF(CurrentMtgRatesDataTable8[[#This Row],[WA CC]]&lt;&gt;0,C783-CurrentMtgRatesDataTable8[[#This Row],[WA CC]],0)</f>
        <v>0</v>
      </c>
      <c r="L784" s="46">
        <f>IF(CurrentMtgRatesDataTable8[[#This Row],[Servicing Spread]]&lt;=0,L783,CurrentMtgRatesDataTable8[[#This Row],[Servicing Spread]])</f>
        <v>0.852646747577682</v>
      </c>
      <c r="M784" s="46">
        <f>CurrentMtgRatesDataTable8[[#This Row],[Servicing Spread Non-Zero]]-L783</f>
        <v>0</v>
      </c>
      <c r="N784" s="46">
        <f>IF(J783&lt;&gt;0,CurrentMtgRatesDataTable8[[#This Row],[Rate]]-C783,N783)</f>
        <v>1.499999999999968E-2</v>
      </c>
    </row>
    <row r="785" spans="1:14">
      <c r="A785" s="43" t="s">
        <v>830</v>
      </c>
      <c r="B785" s="44">
        <v>2.8896799307946499</v>
      </c>
      <c r="C785" s="45">
        <v>3.7649999999999997</v>
      </c>
      <c r="D785" s="46">
        <f t="shared" si="84"/>
        <v>5</v>
      </c>
      <c r="E785" s="46">
        <f t="shared" si="85"/>
        <v>0.2</v>
      </c>
      <c r="F785" s="46">
        <f t="shared" si="86"/>
        <v>3</v>
      </c>
      <c r="G785" s="46">
        <f t="shared" si="87"/>
        <v>1.724577435725648</v>
      </c>
      <c r="H785" s="46">
        <f t="shared" si="88"/>
        <v>0.60000000000000009</v>
      </c>
      <c r="I785" s="46">
        <f t="shared" si="89"/>
        <v>0</v>
      </c>
      <c r="J785" s="46">
        <f t="shared" si="90"/>
        <v>0</v>
      </c>
      <c r="K785" s="46">
        <f>IF(CurrentMtgRatesDataTable8[[#This Row],[WA CC]]&lt;&gt;0,C784-CurrentMtgRatesDataTable8[[#This Row],[WA CC]],0)</f>
        <v>0</v>
      </c>
      <c r="L785" s="46">
        <f>IF(CurrentMtgRatesDataTable8[[#This Row],[Servicing Spread]]&lt;=0,L784,CurrentMtgRatesDataTable8[[#This Row],[Servicing Spread]])</f>
        <v>0.852646747577682</v>
      </c>
      <c r="M785" s="46">
        <f>CurrentMtgRatesDataTable8[[#This Row],[Servicing Spread Non-Zero]]-L784</f>
        <v>0</v>
      </c>
      <c r="N785" s="46">
        <f>IF(J784&lt;&gt;0,CurrentMtgRatesDataTable8[[#This Row],[Rate]]-C784,N784)</f>
        <v>1.499999999999968E-2</v>
      </c>
    </row>
    <row r="786" spans="1:14">
      <c r="A786" s="43" t="s">
        <v>831</v>
      </c>
      <c r="B786" s="44">
        <v>2.9214483553786899</v>
      </c>
      <c r="C786" s="45">
        <v>3.7649999999999997</v>
      </c>
      <c r="D786" s="46">
        <f t="shared" si="84"/>
        <v>6</v>
      </c>
      <c r="E786" s="46">
        <f t="shared" si="85"/>
        <v>0.2</v>
      </c>
      <c r="F786" s="46">
        <f t="shared" si="86"/>
        <v>4</v>
      </c>
      <c r="G786" s="46">
        <f t="shared" si="87"/>
        <v>2.3088671068013862</v>
      </c>
      <c r="H786" s="46">
        <f t="shared" si="88"/>
        <v>0.8</v>
      </c>
      <c r="I786" s="46">
        <f t="shared" si="89"/>
        <v>0</v>
      </c>
      <c r="J786" s="46">
        <f t="shared" si="90"/>
        <v>0</v>
      </c>
      <c r="K786" s="46">
        <f>IF(CurrentMtgRatesDataTable8[[#This Row],[WA CC]]&lt;&gt;0,C785-CurrentMtgRatesDataTable8[[#This Row],[WA CC]],0)</f>
        <v>0</v>
      </c>
      <c r="L786" s="46">
        <f>IF(CurrentMtgRatesDataTable8[[#This Row],[Servicing Spread]]&lt;=0,L785,CurrentMtgRatesDataTable8[[#This Row],[Servicing Spread]])</f>
        <v>0.852646747577682</v>
      </c>
      <c r="M786" s="46">
        <f>CurrentMtgRatesDataTable8[[#This Row],[Servicing Spread Non-Zero]]-L785</f>
        <v>0</v>
      </c>
      <c r="N786" s="46">
        <f>IF(J785&lt;&gt;0,CurrentMtgRatesDataTable8[[#This Row],[Rate]]-C785,N785)</f>
        <v>1.499999999999968E-2</v>
      </c>
    </row>
    <row r="787" spans="1:14">
      <c r="A787" s="43" t="s">
        <v>832</v>
      </c>
      <c r="B787" s="44">
        <v>2.9102623265110599</v>
      </c>
      <c r="C787" s="45">
        <v>3.7649999999999997</v>
      </c>
      <c r="D787" s="46">
        <f t="shared" si="84"/>
        <v>7</v>
      </c>
      <c r="E787" s="46">
        <f t="shared" si="85"/>
        <v>0.2</v>
      </c>
      <c r="F787" s="46">
        <f t="shared" si="86"/>
        <v>5</v>
      </c>
      <c r="G787" s="46">
        <f t="shared" si="87"/>
        <v>2.8909195721035981</v>
      </c>
      <c r="H787" s="46">
        <f t="shared" si="88"/>
        <v>1</v>
      </c>
      <c r="I787" s="46">
        <f t="shared" si="89"/>
        <v>1</v>
      </c>
      <c r="J787" s="46">
        <f t="shared" si="90"/>
        <v>2.8909195721035981</v>
      </c>
      <c r="K787" s="46">
        <f>IF(CurrentMtgRatesDataTable8[[#This Row],[WA CC]]&lt;&gt;0,C786-CurrentMtgRatesDataTable8[[#This Row],[WA CC]],0)</f>
        <v>0.87408042789640161</v>
      </c>
      <c r="L787" s="46">
        <f>IF(CurrentMtgRatesDataTable8[[#This Row],[Servicing Spread]]&lt;=0,L786,CurrentMtgRatesDataTable8[[#This Row],[Servicing Spread]])</f>
        <v>0.87408042789640161</v>
      </c>
      <c r="M787" s="46">
        <f>CurrentMtgRatesDataTable8[[#This Row],[Servicing Spread Non-Zero]]-L786</f>
        <v>2.1433680318719617E-2</v>
      </c>
      <c r="N787" s="46">
        <f>IF(J786&lt;&gt;0,CurrentMtgRatesDataTable8[[#This Row],[Rate]]-C786,N786)</f>
        <v>1.499999999999968E-2</v>
      </c>
    </row>
    <row r="788" spans="1:14">
      <c r="A788" s="43" t="s">
        <v>833</v>
      </c>
      <c r="B788" s="44">
        <v>2.8599760435846102</v>
      </c>
      <c r="C788" s="45">
        <v>3.77</v>
      </c>
      <c r="D788" s="46">
        <f t="shared" si="84"/>
        <v>1</v>
      </c>
      <c r="E788" s="46">
        <f t="shared" si="85"/>
        <v>0.2</v>
      </c>
      <c r="F788" s="46">
        <f t="shared" si="86"/>
        <v>1</v>
      </c>
      <c r="G788" s="46">
        <f t="shared" si="87"/>
        <v>0.57199520871692211</v>
      </c>
      <c r="H788" s="46">
        <f t="shared" si="88"/>
        <v>0.2</v>
      </c>
      <c r="I788" s="46">
        <f t="shared" si="89"/>
        <v>0</v>
      </c>
      <c r="J788" s="46">
        <f t="shared" si="90"/>
        <v>0</v>
      </c>
      <c r="K788" s="46">
        <f>IF(CurrentMtgRatesDataTable8[[#This Row],[WA CC]]&lt;&gt;0,C787-CurrentMtgRatesDataTable8[[#This Row],[WA CC]],0)</f>
        <v>0</v>
      </c>
      <c r="L788" s="46">
        <f>IF(CurrentMtgRatesDataTable8[[#This Row],[Servicing Spread]]&lt;=0,L787,CurrentMtgRatesDataTable8[[#This Row],[Servicing Spread]])</f>
        <v>0.87408042789640161</v>
      </c>
      <c r="M788" s="46">
        <f>CurrentMtgRatesDataTable8[[#This Row],[Servicing Spread Non-Zero]]-L787</f>
        <v>0</v>
      </c>
      <c r="N788" s="46">
        <f>IF(J787&lt;&gt;0,CurrentMtgRatesDataTable8[[#This Row],[Rate]]-C787,N787)</f>
        <v>5.0000000000003375E-3</v>
      </c>
    </row>
    <row r="789" spans="1:14">
      <c r="A789" s="43" t="s">
        <v>834</v>
      </c>
      <c r="B789" s="44">
        <v>2.8915210158303699</v>
      </c>
      <c r="C789" s="45">
        <v>3.77</v>
      </c>
      <c r="D789" s="46">
        <f t="shared" si="84"/>
        <v>2</v>
      </c>
      <c r="E789" s="46">
        <f t="shared" si="85"/>
        <v>0.2</v>
      </c>
      <c r="F789" s="46">
        <f t="shared" si="86"/>
        <v>2</v>
      </c>
      <c r="G789" s="46">
        <f t="shared" si="87"/>
        <v>1.1502994118829961</v>
      </c>
      <c r="H789" s="46">
        <f t="shared" si="88"/>
        <v>0.4</v>
      </c>
      <c r="I789" s="46">
        <f t="shared" si="89"/>
        <v>0</v>
      </c>
      <c r="J789" s="46">
        <f t="shared" si="90"/>
        <v>0</v>
      </c>
      <c r="K789" s="46">
        <f>IF(CurrentMtgRatesDataTable8[[#This Row],[WA CC]]&lt;&gt;0,C788-CurrentMtgRatesDataTable8[[#This Row],[WA CC]],0)</f>
        <v>0</v>
      </c>
      <c r="L789" s="46">
        <f>IF(CurrentMtgRatesDataTable8[[#This Row],[Servicing Spread]]&lt;=0,L788,CurrentMtgRatesDataTable8[[#This Row],[Servicing Spread]])</f>
        <v>0.87408042789640161</v>
      </c>
      <c r="M789" s="46">
        <f>CurrentMtgRatesDataTable8[[#This Row],[Servicing Spread Non-Zero]]-L788</f>
        <v>0</v>
      </c>
      <c r="N789" s="46">
        <f>IF(J788&lt;&gt;0,CurrentMtgRatesDataTable8[[#This Row],[Rate]]-C788,N788)</f>
        <v>5.0000000000003375E-3</v>
      </c>
    </row>
    <row r="790" spans="1:14">
      <c r="A790" s="43" t="s">
        <v>835</v>
      </c>
      <c r="B790" s="44">
        <v>2.8500704386135798</v>
      </c>
      <c r="C790" s="45">
        <v>3.77</v>
      </c>
      <c r="D790" s="46">
        <f t="shared" si="84"/>
        <v>6</v>
      </c>
      <c r="E790" s="46">
        <f t="shared" si="85"/>
        <v>0.2</v>
      </c>
      <c r="F790" s="46">
        <f t="shared" si="86"/>
        <v>3</v>
      </c>
      <c r="G790" s="46">
        <f t="shared" si="87"/>
        <v>1.7203134996057121</v>
      </c>
      <c r="H790" s="46">
        <f t="shared" si="88"/>
        <v>0.60000000000000009</v>
      </c>
      <c r="I790" s="46">
        <f t="shared" si="89"/>
        <v>0</v>
      </c>
      <c r="J790" s="46">
        <f t="shared" si="90"/>
        <v>0</v>
      </c>
      <c r="K790" s="46">
        <f>IF(CurrentMtgRatesDataTable8[[#This Row],[WA CC]]&lt;&gt;0,C789-CurrentMtgRatesDataTable8[[#This Row],[WA CC]],0)</f>
        <v>0</v>
      </c>
      <c r="L790" s="46">
        <f>IF(CurrentMtgRatesDataTable8[[#This Row],[Servicing Spread]]&lt;=0,L789,CurrentMtgRatesDataTable8[[#This Row],[Servicing Spread]])</f>
        <v>0.87408042789640161</v>
      </c>
      <c r="M790" s="46">
        <f>CurrentMtgRatesDataTable8[[#This Row],[Servicing Spread Non-Zero]]-L789</f>
        <v>0</v>
      </c>
      <c r="N790" s="46">
        <f>IF(J789&lt;&gt;0,CurrentMtgRatesDataTable8[[#This Row],[Rate]]-C789,N789)</f>
        <v>5.0000000000003375E-3</v>
      </c>
    </row>
    <row r="791" spans="1:14">
      <c r="A791" s="43" t="s">
        <v>836</v>
      </c>
      <c r="B791" s="44">
        <v>2.8460665334928898</v>
      </c>
      <c r="C791" s="45">
        <v>3.77</v>
      </c>
      <c r="D791" s="46">
        <f t="shared" si="84"/>
        <v>7</v>
      </c>
      <c r="E791" s="46">
        <f t="shared" si="85"/>
        <v>0.2</v>
      </c>
      <c r="F791" s="46">
        <f t="shared" si="86"/>
        <v>4</v>
      </c>
      <c r="G791" s="46">
        <f t="shared" si="87"/>
        <v>2.28952680630429</v>
      </c>
      <c r="H791" s="46">
        <f t="shared" si="88"/>
        <v>0.8</v>
      </c>
      <c r="I791" s="46">
        <f t="shared" si="89"/>
        <v>1</v>
      </c>
      <c r="J791" s="46">
        <f t="shared" si="90"/>
        <v>2.8619085078803623</v>
      </c>
      <c r="K791" s="46">
        <f>IF(CurrentMtgRatesDataTable8[[#This Row],[WA CC]]&lt;&gt;0,C790-CurrentMtgRatesDataTable8[[#This Row],[WA CC]],0)</f>
        <v>0.90809149211963769</v>
      </c>
      <c r="L791" s="46">
        <f>IF(CurrentMtgRatesDataTable8[[#This Row],[Servicing Spread]]&lt;=0,L790,CurrentMtgRatesDataTable8[[#This Row],[Servicing Spread]])</f>
        <v>0.90809149211963769</v>
      </c>
      <c r="M791" s="46">
        <f>CurrentMtgRatesDataTable8[[#This Row],[Servicing Spread Non-Zero]]-L790</f>
        <v>3.4011064223236076E-2</v>
      </c>
      <c r="N791" s="46">
        <f>IF(J790&lt;&gt;0,CurrentMtgRatesDataTable8[[#This Row],[Rate]]-C790,N790)</f>
        <v>5.0000000000003375E-3</v>
      </c>
    </row>
    <row r="792" spans="1:14">
      <c r="A792" s="39" t="s">
        <v>837</v>
      </c>
      <c r="B792" s="40">
        <v>2.8413672152174398</v>
      </c>
      <c r="C792" s="11">
        <v>3.77</v>
      </c>
      <c r="D792" s="16">
        <f t="shared" si="84"/>
        <v>1</v>
      </c>
      <c r="E792" s="16">
        <f t="shared" si="85"/>
        <v>0.2</v>
      </c>
      <c r="F792" s="16">
        <f t="shared" si="86"/>
        <v>1</v>
      </c>
      <c r="G792" s="16">
        <f t="shared" si="87"/>
        <v>0.56827344304348804</v>
      </c>
      <c r="H792" s="16">
        <f t="shared" si="88"/>
        <v>0.2</v>
      </c>
      <c r="I792" s="16">
        <f t="shared" si="89"/>
        <v>0</v>
      </c>
      <c r="J792" s="16">
        <f t="shared" si="90"/>
        <v>0</v>
      </c>
      <c r="K792" s="16">
        <f>IF(CurrentMtgRatesDataTable8[[#This Row],[WA CC]]&lt;&gt;0,C791-CurrentMtgRatesDataTable8[[#This Row],[WA CC]],0)</f>
        <v>0</v>
      </c>
      <c r="L792" s="16">
        <f>IF(CurrentMtgRatesDataTable8[[#This Row],[Servicing Spread]]&lt;=0,L791,CurrentMtgRatesDataTable8[[#This Row],[Servicing Spread]])</f>
        <v>0.90809149211963769</v>
      </c>
      <c r="M792" s="16">
        <f>CurrentMtgRatesDataTable8[[#This Row],[Servicing Spread Non-Zero]]-L791</f>
        <v>0</v>
      </c>
      <c r="N792" s="16">
        <f>IF(J791&lt;&gt;0,CurrentMtgRatesDataTable8[[#This Row],[Rate]]-C791,N791)</f>
        <v>0</v>
      </c>
    </row>
    <row r="793" spans="1:14">
      <c r="A793" s="39" t="s">
        <v>838</v>
      </c>
      <c r="B793" s="40">
        <v>2.8125589424365498</v>
      </c>
      <c r="C793" s="11">
        <v>3.77</v>
      </c>
      <c r="D793" s="16">
        <f t="shared" si="84"/>
        <v>2</v>
      </c>
      <c r="E793" s="16">
        <f t="shared" si="85"/>
        <v>0.2</v>
      </c>
      <c r="F793" s="16">
        <f t="shared" si="86"/>
        <v>2</v>
      </c>
      <c r="G793" s="16">
        <f t="shared" si="87"/>
        <v>1.130785231530798</v>
      </c>
      <c r="H793" s="16">
        <f t="shared" si="88"/>
        <v>0.4</v>
      </c>
      <c r="I793" s="16">
        <f t="shared" si="89"/>
        <v>0</v>
      </c>
      <c r="J793" s="16">
        <f t="shared" si="90"/>
        <v>0</v>
      </c>
      <c r="K793" s="16">
        <f>IF(CurrentMtgRatesDataTable8[[#This Row],[WA CC]]&lt;&gt;0,C792-CurrentMtgRatesDataTable8[[#This Row],[WA CC]],0)</f>
        <v>0</v>
      </c>
      <c r="L793" s="16">
        <f>IF(CurrentMtgRatesDataTable8[[#This Row],[Servicing Spread]]&lt;=0,L792,CurrentMtgRatesDataTable8[[#This Row],[Servicing Spread]])</f>
        <v>0.90809149211963769</v>
      </c>
      <c r="M793" s="16">
        <f>CurrentMtgRatesDataTable8[[#This Row],[Servicing Spread Non-Zero]]-L792</f>
        <v>0</v>
      </c>
      <c r="N793" s="16">
        <f>IF(J792&lt;&gt;0,CurrentMtgRatesDataTable8[[#This Row],[Rate]]-C792,N792)</f>
        <v>0</v>
      </c>
    </row>
    <row r="794" spans="1:14">
      <c r="A794" s="39" t="s">
        <v>839</v>
      </c>
      <c r="B794" s="40">
        <v>2.8873082715202201</v>
      </c>
      <c r="C794" s="11">
        <v>3.77</v>
      </c>
      <c r="D794" s="16">
        <f t="shared" si="84"/>
        <v>5</v>
      </c>
      <c r="E794" s="16">
        <f t="shared" si="85"/>
        <v>0.2</v>
      </c>
      <c r="F794" s="16">
        <f t="shared" si="86"/>
        <v>3</v>
      </c>
      <c r="G794" s="16">
        <f t="shared" si="87"/>
        <v>1.7082468858348421</v>
      </c>
      <c r="H794" s="16">
        <f t="shared" si="88"/>
        <v>0.60000000000000009</v>
      </c>
      <c r="I794" s="16">
        <f t="shared" si="89"/>
        <v>0</v>
      </c>
      <c r="J794" s="16">
        <f t="shared" si="90"/>
        <v>0</v>
      </c>
      <c r="K794" s="16">
        <f>IF(CurrentMtgRatesDataTable8[[#This Row],[WA CC]]&lt;&gt;0,C793-CurrentMtgRatesDataTable8[[#This Row],[WA CC]],0)</f>
        <v>0</v>
      </c>
      <c r="L794" s="16">
        <f>IF(CurrentMtgRatesDataTable8[[#This Row],[Servicing Spread]]&lt;=0,L793,CurrentMtgRatesDataTable8[[#This Row],[Servicing Spread]])</f>
        <v>0.90809149211963769</v>
      </c>
      <c r="M794" s="16">
        <f>CurrentMtgRatesDataTable8[[#This Row],[Servicing Spread Non-Zero]]-L793</f>
        <v>0</v>
      </c>
      <c r="N794" s="16">
        <f>IF(J793&lt;&gt;0,CurrentMtgRatesDataTable8[[#This Row],[Rate]]-C793,N793)</f>
        <v>0</v>
      </c>
    </row>
    <row r="795" spans="1:14">
      <c r="A795" s="39" t="s">
        <v>840</v>
      </c>
      <c r="B795" s="40">
        <v>2.96123512742628</v>
      </c>
      <c r="C795" s="11">
        <v>3.77</v>
      </c>
      <c r="D795" s="16">
        <f t="shared" si="84"/>
        <v>6</v>
      </c>
      <c r="E795" s="16">
        <f t="shared" si="85"/>
        <v>0.2</v>
      </c>
      <c r="F795" s="16">
        <f t="shared" si="86"/>
        <v>4</v>
      </c>
      <c r="G795" s="16">
        <f t="shared" si="87"/>
        <v>2.300493911320098</v>
      </c>
      <c r="H795" s="16">
        <f t="shared" si="88"/>
        <v>0.8</v>
      </c>
      <c r="I795" s="16">
        <f t="shared" si="89"/>
        <v>0</v>
      </c>
      <c r="J795" s="16">
        <f t="shared" si="90"/>
        <v>0</v>
      </c>
      <c r="K795" s="16">
        <f>IF(CurrentMtgRatesDataTable8[[#This Row],[WA CC]]&lt;&gt;0,C794-CurrentMtgRatesDataTable8[[#This Row],[WA CC]],0)</f>
        <v>0</v>
      </c>
      <c r="L795" s="16">
        <f>IF(CurrentMtgRatesDataTable8[[#This Row],[Servicing Spread]]&lt;=0,L794,CurrentMtgRatesDataTable8[[#This Row],[Servicing Spread]])</f>
        <v>0.90809149211963769</v>
      </c>
      <c r="M795" s="16">
        <f>CurrentMtgRatesDataTable8[[#This Row],[Servicing Spread Non-Zero]]-L794</f>
        <v>0</v>
      </c>
      <c r="N795" s="16">
        <f>IF(J794&lt;&gt;0,CurrentMtgRatesDataTable8[[#This Row],[Rate]]-C794,N794)</f>
        <v>0</v>
      </c>
    </row>
    <row r="796" spans="1:14">
      <c r="A796" s="39" t="s">
        <v>841</v>
      </c>
      <c r="B796" s="40">
        <v>3.0744144315737501</v>
      </c>
      <c r="C796" s="11">
        <v>3.77</v>
      </c>
      <c r="D796" s="16">
        <f t="shared" si="84"/>
        <v>7</v>
      </c>
      <c r="E796" s="16">
        <f t="shared" si="85"/>
        <v>0.2</v>
      </c>
      <c r="F796" s="16">
        <f t="shared" si="86"/>
        <v>5</v>
      </c>
      <c r="G796" s="16">
        <f t="shared" si="87"/>
        <v>2.9153767976348481</v>
      </c>
      <c r="H796" s="16">
        <f t="shared" si="88"/>
        <v>1</v>
      </c>
      <c r="I796" s="16">
        <f t="shared" si="89"/>
        <v>1</v>
      </c>
      <c r="J796" s="16">
        <f t="shared" si="90"/>
        <v>2.9153767976348481</v>
      </c>
      <c r="K796" s="16">
        <f>IF(CurrentMtgRatesDataTable8[[#This Row],[WA CC]]&lt;&gt;0,C795-CurrentMtgRatesDataTable8[[#This Row],[WA CC]],0)</f>
        <v>0.85462320236515188</v>
      </c>
      <c r="L796" s="16">
        <f>IF(CurrentMtgRatesDataTable8[[#This Row],[Servicing Spread]]&lt;=0,L795,CurrentMtgRatesDataTable8[[#This Row],[Servicing Spread]])</f>
        <v>0.85462320236515188</v>
      </c>
      <c r="M796" s="16">
        <f>CurrentMtgRatesDataTable8[[#This Row],[Servicing Spread Non-Zero]]-L795</f>
        <v>-5.3468289754485809E-2</v>
      </c>
      <c r="N796" s="16">
        <f>IF(J795&lt;&gt;0,CurrentMtgRatesDataTable8[[#This Row],[Rate]]-C795,N795)</f>
        <v>0</v>
      </c>
    </row>
    <row r="797" spans="1:14">
      <c r="A797" s="39" t="s">
        <v>842</v>
      </c>
      <c r="B797" s="40">
        <v>3.0256748636149999</v>
      </c>
      <c r="C797" s="11">
        <v>3.94</v>
      </c>
      <c r="D797" s="16">
        <f t="shared" si="84"/>
        <v>1</v>
      </c>
      <c r="E797" s="16">
        <f t="shared" si="85"/>
        <v>0.2</v>
      </c>
      <c r="F797" s="16">
        <f t="shared" si="86"/>
        <v>1</v>
      </c>
      <c r="G797" s="16">
        <f t="shared" si="87"/>
        <v>0.60513497272299999</v>
      </c>
      <c r="H797" s="16">
        <f t="shared" si="88"/>
        <v>0.2</v>
      </c>
      <c r="I797" s="16">
        <f t="shared" si="89"/>
        <v>0</v>
      </c>
      <c r="J797" s="16">
        <f t="shared" si="90"/>
        <v>0</v>
      </c>
      <c r="K797" s="16">
        <f>IF(CurrentMtgRatesDataTable8[[#This Row],[WA CC]]&lt;&gt;0,C796-CurrentMtgRatesDataTable8[[#This Row],[WA CC]],0)</f>
        <v>0</v>
      </c>
      <c r="L797" s="16">
        <f>IF(CurrentMtgRatesDataTable8[[#This Row],[Servicing Spread]]&lt;=0,L796,CurrentMtgRatesDataTable8[[#This Row],[Servicing Spread]])</f>
        <v>0.85462320236515188</v>
      </c>
      <c r="M797" s="16">
        <f>CurrentMtgRatesDataTable8[[#This Row],[Servicing Spread Non-Zero]]-L796</f>
        <v>0</v>
      </c>
      <c r="N797" s="16">
        <f>IF(J796&lt;&gt;0,CurrentMtgRatesDataTable8[[#This Row],[Rate]]-C796,N796)</f>
        <v>0.16999999999999993</v>
      </c>
    </row>
    <row r="798" spans="1:14">
      <c r="A798" s="39" t="s">
        <v>843</v>
      </c>
      <c r="B798" s="40">
        <v>3.1185389251118698</v>
      </c>
      <c r="C798" s="11">
        <v>3.94</v>
      </c>
      <c r="D798" s="16">
        <f t="shared" si="84"/>
        <v>2</v>
      </c>
      <c r="E798" s="16">
        <f t="shared" si="85"/>
        <v>0.2</v>
      </c>
      <c r="F798" s="16">
        <f t="shared" si="86"/>
        <v>2</v>
      </c>
      <c r="G798" s="16">
        <f t="shared" si="87"/>
        <v>1.228842757745374</v>
      </c>
      <c r="H798" s="16">
        <f t="shared" si="88"/>
        <v>0.4</v>
      </c>
      <c r="I798" s="16">
        <f t="shared" si="89"/>
        <v>0</v>
      </c>
      <c r="J798" s="16">
        <f t="shared" si="90"/>
        <v>0</v>
      </c>
      <c r="K798" s="16">
        <f>IF(CurrentMtgRatesDataTable8[[#This Row],[WA CC]]&lt;&gt;0,C797-CurrentMtgRatesDataTable8[[#This Row],[WA CC]],0)</f>
        <v>0</v>
      </c>
      <c r="L798" s="16">
        <f>IF(CurrentMtgRatesDataTable8[[#This Row],[Servicing Spread]]&lt;=0,L797,CurrentMtgRatesDataTable8[[#This Row],[Servicing Spread]])</f>
        <v>0.85462320236515188</v>
      </c>
      <c r="M798" s="16">
        <f>CurrentMtgRatesDataTable8[[#This Row],[Servicing Spread Non-Zero]]-L797</f>
        <v>0</v>
      </c>
      <c r="N798" s="16">
        <f>IF(J797&lt;&gt;0,CurrentMtgRatesDataTable8[[#This Row],[Rate]]-C797,N797)</f>
        <v>0.16999999999999993</v>
      </c>
    </row>
    <row r="799" spans="1:14">
      <c r="A799" s="39" t="s">
        <v>844</v>
      </c>
      <c r="B799" s="40">
        <v>3.0852280715370801</v>
      </c>
      <c r="C799" s="11">
        <v>3.94</v>
      </c>
      <c r="D799" s="16">
        <f t="shared" si="84"/>
        <v>5</v>
      </c>
      <c r="E799" s="16">
        <f t="shared" si="85"/>
        <v>0.2</v>
      </c>
      <c r="F799" s="16">
        <f t="shared" si="86"/>
        <v>3</v>
      </c>
      <c r="G799" s="16">
        <f t="shared" si="87"/>
        <v>1.8458883720527901</v>
      </c>
      <c r="H799" s="16">
        <f t="shared" si="88"/>
        <v>0.60000000000000009</v>
      </c>
      <c r="I799" s="16">
        <f t="shared" si="89"/>
        <v>0</v>
      </c>
      <c r="J799" s="16">
        <f t="shared" si="90"/>
        <v>0</v>
      </c>
      <c r="K799" s="16">
        <f>IF(CurrentMtgRatesDataTable8[[#This Row],[WA CC]]&lt;&gt;0,C798-CurrentMtgRatesDataTable8[[#This Row],[WA CC]],0)</f>
        <v>0</v>
      </c>
      <c r="L799" s="16">
        <f>IF(CurrentMtgRatesDataTable8[[#This Row],[Servicing Spread]]&lt;=0,L798,CurrentMtgRatesDataTable8[[#This Row],[Servicing Spread]])</f>
        <v>0.85462320236515188</v>
      </c>
      <c r="M799" s="16">
        <f>CurrentMtgRatesDataTable8[[#This Row],[Servicing Spread Non-Zero]]-L798</f>
        <v>0</v>
      </c>
      <c r="N799" s="16">
        <f>IF(J798&lt;&gt;0,CurrentMtgRatesDataTable8[[#This Row],[Rate]]-C798,N798)</f>
        <v>0.16999999999999993</v>
      </c>
    </row>
    <row r="800" spans="1:14">
      <c r="A800" s="39" t="s">
        <v>845</v>
      </c>
      <c r="B800" s="40">
        <v>3.1292995796246399</v>
      </c>
      <c r="C800" s="11">
        <v>3.94</v>
      </c>
      <c r="D800" s="16">
        <f t="shared" si="84"/>
        <v>6</v>
      </c>
      <c r="E800" s="16">
        <f t="shared" si="85"/>
        <v>0.2</v>
      </c>
      <c r="F800" s="16">
        <f t="shared" si="86"/>
        <v>4</v>
      </c>
      <c r="G800" s="16">
        <f t="shared" si="87"/>
        <v>2.471748287977718</v>
      </c>
      <c r="H800" s="16">
        <f t="shared" si="88"/>
        <v>0.8</v>
      </c>
      <c r="I800" s="16">
        <f t="shared" si="89"/>
        <v>0</v>
      </c>
      <c r="J800" s="16">
        <f t="shared" si="90"/>
        <v>0</v>
      </c>
      <c r="K800" s="16">
        <f>IF(CurrentMtgRatesDataTable8[[#This Row],[WA CC]]&lt;&gt;0,C799-CurrentMtgRatesDataTable8[[#This Row],[WA CC]],0)</f>
        <v>0</v>
      </c>
      <c r="L800" s="16">
        <f>IF(CurrentMtgRatesDataTable8[[#This Row],[Servicing Spread]]&lt;=0,L799,CurrentMtgRatesDataTable8[[#This Row],[Servicing Spread]])</f>
        <v>0.85462320236515188</v>
      </c>
      <c r="M800" s="16">
        <f>CurrentMtgRatesDataTable8[[#This Row],[Servicing Spread Non-Zero]]-L799</f>
        <v>0</v>
      </c>
      <c r="N800" s="16">
        <f>IF(J799&lt;&gt;0,CurrentMtgRatesDataTable8[[#This Row],[Rate]]-C799,N799)</f>
        <v>0.16999999999999993</v>
      </c>
    </row>
    <row r="801" spans="1:14">
      <c r="A801" s="39" t="s">
        <v>846</v>
      </c>
      <c r="B801" s="40">
        <v>3.1773446759928401</v>
      </c>
      <c r="C801" s="11">
        <v>3.94</v>
      </c>
      <c r="D801" s="16">
        <f t="shared" si="84"/>
        <v>7</v>
      </c>
      <c r="E801" s="16">
        <f t="shared" si="85"/>
        <v>0.2</v>
      </c>
      <c r="F801" s="16">
        <f t="shared" si="86"/>
        <v>5</v>
      </c>
      <c r="G801" s="16">
        <f t="shared" si="87"/>
        <v>3.1072172231762858</v>
      </c>
      <c r="H801" s="16">
        <f t="shared" si="88"/>
        <v>1</v>
      </c>
      <c r="I801" s="16">
        <f t="shared" si="89"/>
        <v>1</v>
      </c>
      <c r="J801" s="16">
        <f t="shared" si="90"/>
        <v>3.1072172231762858</v>
      </c>
      <c r="K801" s="16">
        <f>IF(CurrentMtgRatesDataTable8[[#This Row],[WA CC]]&lt;&gt;0,C800-CurrentMtgRatesDataTable8[[#This Row],[WA CC]],0)</f>
        <v>0.83278277682371415</v>
      </c>
      <c r="L801" s="16">
        <f>IF(CurrentMtgRatesDataTable8[[#This Row],[Servicing Spread]]&lt;=0,L800,CurrentMtgRatesDataTable8[[#This Row],[Servicing Spread]])</f>
        <v>0.83278277682371415</v>
      </c>
      <c r="M801" s="16">
        <f>CurrentMtgRatesDataTable8[[#This Row],[Servicing Spread Non-Zero]]-L800</f>
        <v>-2.1840425541437725E-2</v>
      </c>
      <c r="N801" s="16">
        <f>IF(J800&lt;&gt;0,CurrentMtgRatesDataTable8[[#This Row],[Rate]]-C800,N800)</f>
        <v>0.16999999999999993</v>
      </c>
    </row>
    <row r="802" spans="1:14">
      <c r="A802" s="39" t="s">
        <v>847</v>
      </c>
      <c r="B802" s="40">
        <v>3.0761153132050598</v>
      </c>
      <c r="C802" s="11">
        <v>3.9249999999999998</v>
      </c>
      <c r="D802" s="16">
        <f t="shared" si="84"/>
        <v>1</v>
      </c>
      <c r="E802" s="16">
        <f t="shared" si="85"/>
        <v>0.2</v>
      </c>
      <c r="F802" s="16">
        <f t="shared" si="86"/>
        <v>1</v>
      </c>
      <c r="G802" s="16">
        <f t="shared" si="87"/>
        <v>0.61522306264101201</v>
      </c>
      <c r="H802" s="16">
        <f t="shared" si="88"/>
        <v>0.2</v>
      </c>
      <c r="I802" s="16">
        <f t="shared" si="89"/>
        <v>0</v>
      </c>
      <c r="J802" s="16">
        <f t="shared" si="90"/>
        <v>0</v>
      </c>
      <c r="K802" s="16">
        <f>IF(CurrentMtgRatesDataTable8[[#This Row],[WA CC]]&lt;&gt;0,C801-CurrentMtgRatesDataTable8[[#This Row],[WA CC]],0)</f>
        <v>0</v>
      </c>
      <c r="L802" s="16">
        <f>IF(CurrentMtgRatesDataTable8[[#This Row],[Servicing Spread]]&lt;=0,L801,CurrentMtgRatesDataTable8[[#This Row],[Servicing Spread]])</f>
        <v>0.83278277682371415</v>
      </c>
      <c r="M802" s="16">
        <f>CurrentMtgRatesDataTable8[[#This Row],[Servicing Spread Non-Zero]]-L801</f>
        <v>0</v>
      </c>
      <c r="N802" s="16">
        <f>IF(J801&lt;&gt;0,CurrentMtgRatesDataTable8[[#This Row],[Rate]]-C801,N801)</f>
        <v>-1.5000000000000124E-2</v>
      </c>
    </row>
    <row r="803" spans="1:14">
      <c r="A803" s="39" t="s">
        <v>848</v>
      </c>
      <c r="B803" s="40">
        <v>3.0919401279735599</v>
      </c>
      <c r="C803" s="11">
        <v>3.9249999999999998</v>
      </c>
      <c r="D803" s="16">
        <f t="shared" si="84"/>
        <v>2</v>
      </c>
      <c r="E803" s="16">
        <f t="shared" si="85"/>
        <v>0.2</v>
      </c>
      <c r="F803" s="16">
        <f t="shared" si="86"/>
        <v>2</v>
      </c>
      <c r="G803" s="16">
        <f t="shared" si="87"/>
        <v>1.2336110882357241</v>
      </c>
      <c r="H803" s="16">
        <f t="shared" si="88"/>
        <v>0.4</v>
      </c>
      <c r="I803" s="16">
        <f t="shared" si="89"/>
        <v>0</v>
      </c>
      <c r="J803" s="16">
        <f t="shared" si="90"/>
        <v>0</v>
      </c>
      <c r="K803" s="16">
        <f>IF(CurrentMtgRatesDataTable8[[#This Row],[WA CC]]&lt;&gt;0,C802-CurrentMtgRatesDataTable8[[#This Row],[WA CC]],0)</f>
        <v>0</v>
      </c>
      <c r="L803" s="16">
        <f>IF(CurrentMtgRatesDataTable8[[#This Row],[Servicing Spread]]&lt;=0,L802,CurrentMtgRatesDataTable8[[#This Row],[Servicing Spread]])</f>
        <v>0.83278277682371415</v>
      </c>
      <c r="M803" s="16">
        <f>CurrentMtgRatesDataTable8[[#This Row],[Servicing Spread Non-Zero]]-L802</f>
        <v>0</v>
      </c>
      <c r="N803" s="16">
        <f>IF(J802&lt;&gt;0,CurrentMtgRatesDataTable8[[#This Row],[Rate]]-C802,N802)</f>
        <v>-1.5000000000000124E-2</v>
      </c>
    </row>
    <row r="804" spans="1:14">
      <c r="A804" s="39" t="s">
        <v>849</v>
      </c>
      <c r="B804" s="40">
        <v>3.0848485059502999</v>
      </c>
      <c r="C804" s="11">
        <v>3.9249999999999998</v>
      </c>
      <c r="D804" s="16">
        <f t="shared" si="84"/>
        <v>5</v>
      </c>
      <c r="E804" s="16">
        <f t="shared" si="85"/>
        <v>0.2</v>
      </c>
      <c r="F804" s="16">
        <f t="shared" si="86"/>
        <v>3</v>
      </c>
      <c r="G804" s="16">
        <f t="shared" si="87"/>
        <v>1.8505807894257842</v>
      </c>
      <c r="H804" s="16">
        <f t="shared" si="88"/>
        <v>0.60000000000000009</v>
      </c>
      <c r="I804" s="16">
        <f t="shared" si="89"/>
        <v>0</v>
      </c>
      <c r="J804" s="16">
        <f t="shared" si="90"/>
        <v>0</v>
      </c>
      <c r="K804" s="16">
        <f>IF(CurrentMtgRatesDataTable8[[#This Row],[WA CC]]&lt;&gt;0,C803-CurrentMtgRatesDataTable8[[#This Row],[WA CC]],0)</f>
        <v>0</v>
      </c>
      <c r="L804" s="16">
        <f>IF(CurrentMtgRatesDataTable8[[#This Row],[Servicing Spread]]&lt;=0,L803,CurrentMtgRatesDataTable8[[#This Row],[Servicing Spread]])</f>
        <v>0.83278277682371415</v>
      </c>
      <c r="M804" s="16">
        <f>CurrentMtgRatesDataTable8[[#This Row],[Servicing Spread Non-Zero]]-L803</f>
        <v>0</v>
      </c>
      <c r="N804" s="16">
        <f>IF(J803&lt;&gt;0,CurrentMtgRatesDataTable8[[#This Row],[Rate]]-C803,N803)</f>
        <v>-1.5000000000000124E-2</v>
      </c>
    </row>
    <row r="805" spans="1:14">
      <c r="A805" s="39" t="s">
        <v>850</v>
      </c>
      <c r="B805" s="40">
        <v>3.0537402902567599</v>
      </c>
      <c r="C805" s="11">
        <v>3.9249999999999998</v>
      </c>
      <c r="D805" s="16">
        <f t="shared" si="84"/>
        <v>6</v>
      </c>
      <c r="E805" s="16">
        <f t="shared" si="85"/>
        <v>0.2</v>
      </c>
      <c r="F805" s="16">
        <f t="shared" si="86"/>
        <v>4</v>
      </c>
      <c r="G805" s="16">
        <f t="shared" si="87"/>
        <v>2.4613288474771364</v>
      </c>
      <c r="H805" s="16">
        <f t="shared" si="88"/>
        <v>0.8</v>
      </c>
      <c r="I805" s="16">
        <f t="shared" si="89"/>
        <v>0</v>
      </c>
      <c r="J805" s="16">
        <f t="shared" si="90"/>
        <v>0</v>
      </c>
      <c r="K805" s="16">
        <f>IF(CurrentMtgRatesDataTable8[[#This Row],[WA CC]]&lt;&gt;0,C804-CurrentMtgRatesDataTable8[[#This Row],[WA CC]],0)</f>
        <v>0</v>
      </c>
      <c r="L805" s="16">
        <f>IF(CurrentMtgRatesDataTable8[[#This Row],[Servicing Spread]]&lt;=0,L804,CurrentMtgRatesDataTable8[[#This Row],[Servicing Spread]])</f>
        <v>0.83278277682371415</v>
      </c>
      <c r="M805" s="16">
        <f>CurrentMtgRatesDataTable8[[#This Row],[Servicing Spread Non-Zero]]-L804</f>
        <v>0</v>
      </c>
      <c r="N805" s="16">
        <f>IF(J804&lt;&gt;0,CurrentMtgRatesDataTable8[[#This Row],[Rate]]-C804,N804)</f>
        <v>-1.5000000000000124E-2</v>
      </c>
    </row>
    <row r="806" spans="1:14">
      <c r="A806" s="39" t="s">
        <v>851</v>
      </c>
      <c r="B806" s="40">
        <v>3.03216152423493</v>
      </c>
      <c r="C806" s="11">
        <v>3.9249999999999998</v>
      </c>
      <c r="D806" s="16">
        <f t="shared" si="84"/>
        <v>7</v>
      </c>
      <c r="E806" s="16">
        <f t="shared" si="85"/>
        <v>0.2</v>
      </c>
      <c r="F806" s="16">
        <f t="shared" si="86"/>
        <v>5</v>
      </c>
      <c r="G806" s="16">
        <f t="shared" si="87"/>
        <v>3.0677611523241226</v>
      </c>
      <c r="H806" s="16">
        <f t="shared" si="88"/>
        <v>1</v>
      </c>
      <c r="I806" s="16">
        <f t="shared" si="89"/>
        <v>1</v>
      </c>
      <c r="J806" s="16">
        <f t="shared" si="90"/>
        <v>3.0677611523241226</v>
      </c>
      <c r="K806" s="16">
        <f>IF(CurrentMtgRatesDataTable8[[#This Row],[WA CC]]&lt;&gt;0,C805-CurrentMtgRatesDataTable8[[#This Row],[WA CC]],0)</f>
        <v>0.85723884767587721</v>
      </c>
      <c r="L806" s="16">
        <f>IF(CurrentMtgRatesDataTable8[[#This Row],[Servicing Spread]]&lt;=0,L805,CurrentMtgRatesDataTable8[[#This Row],[Servicing Spread]])</f>
        <v>0.85723884767587721</v>
      </c>
      <c r="M806" s="16">
        <f>CurrentMtgRatesDataTable8[[#This Row],[Servicing Spread Non-Zero]]-L805</f>
        <v>2.4456070852163059E-2</v>
      </c>
      <c r="N806" s="16">
        <f>IF(J805&lt;&gt;0,CurrentMtgRatesDataTable8[[#This Row],[Rate]]-C805,N805)</f>
        <v>-1.5000000000000124E-2</v>
      </c>
    </row>
    <row r="807" spans="1:14">
      <c r="A807" s="39" t="s">
        <v>852</v>
      </c>
      <c r="B807" s="40">
        <v>3.0468019127231698</v>
      </c>
      <c r="C807" s="11">
        <v>3.9449999999999994</v>
      </c>
      <c r="D807" s="16">
        <f t="shared" si="84"/>
        <v>1</v>
      </c>
      <c r="E807" s="16">
        <f t="shared" si="85"/>
        <v>0.2</v>
      </c>
      <c r="F807" s="16">
        <f t="shared" si="86"/>
        <v>1</v>
      </c>
      <c r="G807" s="16">
        <f t="shared" si="87"/>
        <v>0.60936038254463398</v>
      </c>
      <c r="H807" s="16">
        <f t="shared" si="88"/>
        <v>0.2</v>
      </c>
      <c r="I807" s="16">
        <f t="shared" si="89"/>
        <v>0</v>
      </c>
      <c r="J807" s="16">
        <f t="shared" si="90"/>
        <v>0</v>
      </c>
      <c r="K807" s="16">
        <f>IF(CurrentMtgRatesDataTable8[[#This Row],[WA CC]]&lt;&gt;0,C806-CurrentMtgRatesDataTable8[[#This Row],[WA CC]],0)</f>
        <v>0</v>
      </c>
      <c r="L807" s="16">
        <f>IF(CurrentMtgRatesDataTable8[[#This Row],[Servicing Spread]]&lt;=0,L806,CurrentMtgRatesDataTable8[[#This Row],[Servicing Spread]])</f>
        <v>0.85723884767587721</v>
      </c>
      <c r="M807" s="16">
        <f>CurrentMtgRatesDataTable8[[#This Row],[Servicing Spread Non-Zero]]-L806</f>
        <v>0</v>
      </c>
      <c r="N807" s="16">
        <f>IF(J806&lt;&gt;0,CurrentMtgRatesDataTable8[[#This Row],[Rate]]-C806,N806)</f>
        <v>1.9999999999999574E-2</v>
      </c>
    </row>
    <row r="808" spans="1:14">
      <c r="A808" s="39" t="s">
        <v>853</v>
      </c>
      <c r="B808" s="40">
        <v>2.9822174038917302</v>
      </c>
      <c r="C808" s="11">
        <v>3.9449999999999994</v>
      </c>
      <c r="D808" s="16">
        <f t="shared" si="84"/>
        <v>2</v>
      </c>
      <c r="E808" s="16">
        <f t="shared" si="85"/>
        <v>0.2</v>
      </c>
      <c r="F808" s="16">
        <f t="shared" si="86"/>
        <v>2</v>
      </c>
      <c r="G808" s="16">
        <f t="shared" si="87"/>
        <v>1.2058038633229802</v>
      </c>
      <c r="H808" s="16">
        <f t="shared" si="88"/>
        <v>0.4</v>
      </c>
      <c r="I808" s="16">
        <f t="shared" si="89"/>
        <v>0</v>
      </c>
      <c r="J808" s="16">
        <f t="shared" si="90"/>
        <v>0</v>
      </c>
      <c r="K808" s="16">
        <f>IF(CurrentMtgRatesDataTable8[[#This Row],[WA CC]]&lt;&gt;0,C807-CurrentMtgRatesDataTable8[[#This Row],[WA CC]],0)</f>
        <v>0</v>
      </c>
      <c r="L808" s="16">
        <f>IF(CurrentMtgRatesDataTable8[[#This Row],[Servicing Spread]]&lt;=0,L807,CurrentMtgRatesDataTable8[[#This Row],[Servicing Spread]])</f>
        <v>0.85723884767587721</v>
      </c>
      <c r="M808" s="16">
        <f>CurrentMtgRatesDataTable8[[#This Row],[Servicing Spread Non-Zero]]-L807</f>
        <v>0</v>
      </c>
      <c r="N808" s="16">
        <f>IF(J807&lt;&gt;0,CurrentMtgRatesDataTable8[[#This Row],[Rate]]-C807,N807)</f>
        <v>1.9999999999999574E-2</v>
      </c>
    </row>
    <row r="809" spans="1:14">
      <c r="A809" s="39" t="s">
        <v>854</v>
      </c>
      <c r="B809" s="40">
        <v>3.0761568887156101</v>
      </c>
      <c r="C809" s="11">
        <v>3.9449999999999994</v>
      </c>
      <c r="D809" s="16">
        <f t="shared" si="84"/>
        <v>5</v>
      </c>
      <c r="E809" s="16">
        <f t="shared" si="85"/>
        <v>0.2</v>
      </c>
      <c r="F809" s="16">
        <f t="shared" si="86"/>
        <v>3</v>
      </c>
      <c r="G809" s="16">
        <f t="shared" si="87"/>
        <v>1.8210352410661024</v>
      </c>
      <c r="H809" s="16">
        <f t="shared" si="88"/>
        <v>0.60000000000000009</v>
      </c>
      <c r="I809" s="16">
        <f t="shared" si="89"/>
        <v>0</v>
      </c>
      <c r="J809" s="16">
        <f t="shared" si="90"/>
        <v>0</v>
      </c>
      <c r="K809" s="16">
        <f>IF(CurrentMtgRatesDataTable8[[#This Row],[WA CC]]&lt;&gt;0,C808-CurrentMtgRatesDataTable8[[#This Row],[WA CC]],0)</f>
        <v>0</v>
      </c>
      <c r="L809" s="16">
        <f>IF(CurrentMtgRatesDataTable8[[#This Row],[Servicing Spread]]&lt;=0,L808,CurrentMtgRatesDataTable8[[#This Row],[Servicing Spread]])</f>
        <v>0.85723884767587721</v>
      </c>
      <c r="M809" s="16">
        <f>CurrentMtgRatesDataTable8[[#This Row],[Servicing Spread Non-Zero]]-L808</f>
        <v>0</v>
      </c>
      <c r="N809" s="16">
        <f>IF(J808&lt;&gt;0,CurrentMtgRatesDataTable8[[#This Row],[Rate]]-C808,N808)</f>
        <v>1.9999999999999574E-2</v>
      </c>
    </row>
    <row r="810" spans="1:14">
      <c r="A810" s="39" t="s">
        <v>855</v>
      </c>
      <c r="B810" s="40">
        <v>3.1219045210798799</v>
      </c>
      <c r="C810" s="11">
        <v>3.9449999999999994</v>
      </c>
      <c r="D810" s="16">
        <f t="shared" si="84"/>
        <v>6</v>
      </c>
      <c r="E810" s="16">
        <f t="shared" si="85"/>
        <v>0.2</v>
      </c>
      <c r="F810" s="16">
        <f t="shared" si="86"/>
        <v>4</v>
      </c>
      <c r="G810" s="16">
        <f t="shared" si="87"/>
        <v>2.4454161452820786</v>
      </c>
      <c r="H810" s="16">
        <f t="shared" si="88"/>
        <v>0.8</v>
      </c>
      <c r="I810" s="16">
        <f t="shared" si="89"/>
        <v>0</v>
      </c>
      <c r="J810" s="16">
        <f t="shared" si="90"/>
        <v>0</v>
      </c>
      <c r="K810" s="16">
        <f>IF(CurrentMtgRatesDataTable8[[#This Row],[WA CC]]&lt;&gt;0,C809-CurrentMtgRatesDataTable8[[#This Row],[WA CC]],0)</f>
        <v>0</v>
      </c>
      <c r="L810" s="16">
        <f>IF(CurrentMtgRatesDataTable8[[#This Row],[Servicing Spread]]&lt;=0,L809,CurrentMtgRatesDataTable8[[#This Row],[Servicing Spread]])</f>
        <v>0.85723884767587721</v>
      </c>
      <c r="M810" s="16">
        <f>CurrentMtgRatesDataTable8[[#This Row],[Servicing Spread Non-Zero]]-L809</f>
        <v>0</v>
      </c>
      <c r="N810" s="16">
        <f>IF(J809&lt;&gt;0,CurrentMtgRatesDataTable8[[#This Row],[Rate]]-C809,N809)</f>
        <v>1.9999999999999574E-2</v>
      </c>
    </row>
    <row r="811" spans="1:14">
      <c r="A811" s="39" t="s">
        <v>856</v>
      </c>
      <c r="B811" s="40">
        <v>3.0912606104251101</v>
      </c>
      <c r="C811" s="11">
        <v>3.9449999999999994</v>
      </c>
      <c r="D811" s="16">
        <f t="shared" si="84"/>
        <v>7</v>
      </c>
      <c r="E811" s="16">
        <f t="shared" si="85"/>
        <v>0.2</v>
      </c>
      <c r="F811" s="16">
        <f t="shared" si="86"/>
        <v>5</v>
      </c>
      <c r="G811" s="16">
        <f t="shared" si="87"/>
        <v>3.0636682673671007</v>
      </c>
      <c r="H811" s="16">
        <f t="shared" si="88"/>
        <v>1</v>
      </c>
      <c r="I811" s="16">
        <f t="shared" si="89"/>
        <v>1</v>
      </c>
      <c r="J811" s="16">
        <f t="shared" si="90"/>
        <v>3.0636682673671007</v>
      </c>
      <c r="K811" s="16">
        <f>IF(CurrentMtgRatesDataTable8[[#This Row],[WA CC]]&lt;&gt;0,C810-CurrentMtgRatesDataTable8[[#This Row],[WA CC]],0)</f>
        <v>0.88133173263289866</v>
      </c>
      <c r="L811" s="16">
        <f>IF(CurrentMtgRatesDataTable8[[#This Row],[Servicing Spread]]&lt;=0,L810,CurrentMtgRatesDataTable8[[#This Row],[Servicing Spread]])</f>
        <v>0.88133173263289866</v>
      </c>
      <c r="M811" s="16">
        <f>CurrentMtgRatesDataTable8[[#This Row],[Servicing Spread Non-Zero]]-L810</f>
        <v>2.4092884957021443E-2</v>
      </c>
      <c r="N811" s="16">
        <f>IF(J810&lt;&gt;0,CurrentMtgRatesDataTable8[[#This Row],[Rate]]-C810,N810)</f>
        <v>1.9999999999999574E-2</v>
      </c>
    </row>
    <row r="812" spans="1:14">
      <c r="A812" s="39" t="s">
        <v>857</v>
      </c>
      <c r="B812" s="40">
        <v>3.1158923075545402</v>
      </c>
      <c r="C812" s="11">
        <v>3.98</v>
      </c>
      <c r="D812" s="16">
        <f t="shared" si="84"/>
        <v>1</v>
      </c>
      <c r="E812" s="16">
        <f t="shared" si="85"/>
        <v>0.2</v>
      </c>
      <c r="F812" s="16">
        <f t="shared" si="86"/>
        <v>1</v>
      </c>
      <c r="G812" s="16">
        <f t="shared" si="87"/>
        <v>0.62317846151090805</v>
      </c>
      <c r="H812" s="16">
        <f t="shared" si="88"/>
        <v>0.2</v>
      </c>
      <c r="I812" s="16">
        <f t="shared" si="89"/>
        <v>0</v>
      </c>
      <c r="J812" s="16">
        <f t="shared" si="90"/>
        <v>0</v>
      </c>
      <c r="K812" s="16">
        <f>IF(CurrentMtgRatesDataTable8[[#This Row],[WA CC]]&lt;&gt;0,C811-CurrentMtgRatesDataTable8[[#This Row],[WA CC]],0)</f>
        <v>0</v>
      </c>
      <c r="L812" s="16">
        <f>IF(CurrentMtgRatesDataTable8[[#This Row],[Servicing Spread]]&lt;=0,L811,CurrentMtgRatesDataTable8[[#This Row],[Servicing Spread]])</f>
        <v>0.88133173263289866</v>
      </c>
      <c r="M812" s="16">
        <f>CurrentMtgRatesDataTable8[[#This Row],[Servicing Spread Non-Zero]]-L811</f>
        <v>0</v>
      </c>
      <c r="N812" s="16">
        <f>IF(J811&lt;&gt;0,CurrentMtgRatesDataTable8[[#This Row],[Rate]]-C811,N811)</f>
        <v>3.5000000000000586E-2</v>
      </c>
    </row>
    <row r="813" spans="1:14">
      <c r="A813" s="39" t="s">
        <v>858</v>
      </c>
      <c r="B813" s="40">
        <v>3.2022687944333499</v>
      </c>
      <c r="C813" s="11">
        <v>3.98</v>
      </c>
      <c r="D813" s="16">
        <f t="shared" si="84"/>
        <v>2</v>
      </c>
      <c r="E813" s="16">
        <f t="shared" si="85"/>
        <v>0.2</v>
      </c>
      <c r="F813" s="16">
        <f t="shared" si="86"/>
        <v>2</v>
      </c>
      <c r="G813" s="16">
        <f t="shared" si="87"/>
        <v>1.2636322203975781</v>
      </c>
      <c r="H813" s="16">
        <f t="shared" si="88"/>
        <v>0.4</v>
      </c>
      <c r="I813" s="16">
        <f t="shared" si="89"/>
        <v>0</v>
      </c>
      <c r="J813" s="16">
        <f t="shared" si="90"/>
        <v>0</v>
      </c>
      <c r="K813" s="16">
        <f>IF(CurrentMtgRatesDataTable8[[#This Row],[WA CC]]&lt;&gt;0,C812-CurrentMtgRatesDataTable8[[#This Row],[WA CC]],0)</f>
        <v>0</v>
      </c>
      <c r="L813" s="16">
        <f>IF(CurrentMtgRatesDataTable8[[#This Row],[Servicing Spread]]&lt;=0,L812,CurrentMtgRatesDataTable8[[#This Row],[Servicing Spread]])</f>
        <v>0.88133173263289866</v>
      </c>
      <c r="M813" s="16">
        <f>CurrentMtgRatesDataTable8[[#This Row],[Servicing Spread Non-Zero]]-L812</f>
        <v>0</v>
      </c>
      <c r="N813" s="16">
        <f>IF(J812&lt;&gt;0,CurrentMtgRatesDataTable8[[#This Row],[Rate]]-C812,N812)</f>
        <v>3.5000000000000586E-2</v>
      </c>
    </row>
    <row r="814" spans="1:14">
      <c r="A814" s="39" t="s">
        <v>859</v>
      </c>
      <c r="B814" s="40">
        <v>3.0851869199683102</v>
      </c>
      <c r="C814" s="11">
        <v>3.98</v>
      </c>
      <c r="D814" s="16">
        <f t="shared" si="84"/>
        <v>5</v>
      </c>
      <c r="E814" s="16">
        <f t="shared" si="85"/>
        <v>0.2</v>
      </c>
      <c r="F814" s="16">
        <f t="shared" si="86"/>
        <v>3</v>
      </c>
      <c r="G814" s="16">
        <f t="shared" si="87"/>
        <v>1.8806696043912401</v>
      </c>
      <c r="H814" s="16">
        <f t="shared" si="88"/>
        <v>0.60000000000000009</v>
      </c>
      <c r="I814" s="16">
        <f t="shared" si="89"/>
        <v>0</v>
      </c>
      <c r="J814" s="16">
        <f t="shared" si="90"/>
        <v>0</v>
      </c>
      <c r="K814" s="16">
        <f>IF(CurrentMtgRatesDataTable8[[#This Row],[WA CC]]&lt;&gt;0,C813-CurrentMtgRatesDataTable8[[#This Row],[WA CC]],0)</f>
        <v>0</v>
      </c>
      <c r="L814" s="16">
        <f>IF(CurrentMtgRatesDataTable8[[#This Row],[Servicing Spread]]&lt;=0,L813,CurrentMtgRatesDataTable8[[#This Row],[Servicing Spread]])</f>
        <v>0.88133173263289866</v>
      </c>
      <c r="M814" s="16">
        <f>CurrentMtgRatesDataTable8[[#This Row],[Servicing Spread Non-Zero]]-L813</f>
        <v>0</v>
      </c>
      <c r="N814" s="16">
        <f>IF(J813&lt;&gt;0,CurrentMtgRatesDataTable8[[#This Row],[Rate]]-C813,N813)</f>
        <v>3.5000000000000586E-2</v>
      </c>
    </row>
    <row r="815" spans="1:14">
      <c r="A815" s="39" t="s">
        <v>860</v>
      </c>
      <c r="B815" s="40">
        <v>3.0732804432921599</v>
      </c>
      <c r="C815" s="11">
        <v>3.98</v>
      </c>
      <c r="D815" s="16">
        <f t="shared" si="84"/>
        <v>6</v>
      </c>
      <c r="E815" s="16">
        <f t="shared" si="85"/>
        <v>0.2</v>
      </c>
      <c r="F815" s="16">
        <f t="shared" si="86"/>
        <v>4</v>
      </c>
      <c r="G815" s="16">
        <f t="shared" si="87"/>
        <v>2.4953256930496721</v>
      </c>
      <c r="H815" s="16">
        <f t="shared" si="88"/>
        <v>0.8</v>
      </c>
      <c r="I815" s="16">
        <f t="shared" si="89"/>
        <v>0</v>
      </c>
      <c r="J815" s="16">
        <f t="shared" si="90"/>
        <v>0</v>
      </c>
      <c r="K815" s="16">
        <f>IF(CurrentMtgRatesDataTable8[[#This Row],[WA CC]]&lt;&gt;0,C814-CurrentMtgRatesDataTable8[[#This Row],[WA CC]],0)</f>
        <v>0</v>
      </c>
      <c r="L815" s="16">
        <f>IF(CurrentMtgRatesDataTable8[[#This Row],[Servicing Spread]]&lt;=0,L814,CurrentMtgRatesDataTable8[[#This Row],[Servicing Spread]])</f>
        <v>0.88133173263289866</v>
      </c>
      <c r="M815" s="16">
        <f>CurrentMtgRatesDataTable8[[#This Row],[Servicing Spread Non-Zero]]-L814</f>
        <v>0</v>
      </c>
      <c r="N815" s="16">
        <f>IF(J814&lt;&gt;0,CurrentMtgRatesDataTable8[[#This Row],[Rate]]-C814,N814)</f>
        <v>3.5000000000000586E-2</v>
      </c>
    </row>
    <row r="816" spans="1:14">
      <c r="A816" s="39" t="s">
        <v>861</v>
      </c>
      <c r="B816" s="40">
        <v>3.16276525236256</v>
      </c>
      <c r="C816" s="11">
        <v>3.98</v>
      </c>
      <c r="D816" s="16">
        <f t="shared" si="84"/>
        <v>7</v>
      </c>
      <c r="E816" s="16">
        <f t="shared" si="85"/>
        <v>0.2</v>
      </c>
      <c r="F816" s="16">
        <f t="shared" si="86"/>
        <v>5</v>
      </c>
      <c r="G816" s="16">
        <f t="shared" si="87"/>
        <v>3.1278787435221842</v>
      </c>
      <c r="H816" s="16">
        <f t="shared" si="88"/>
        <v>1</v>
      </c>
      <c r="I816" s="16">
        <f t="shared" si="89"/>
        <v>1</v>
      </c>
      <c r="J816" s="16">
        <f t="shared" si="90"/>
        <v>3.1278787435221842</v>
      </c>
      <c r="K816" s="16">
        <f>IF(CurrentMtgRatesDataTable8[[#This Row],[WA CC]]&lt;&gt;0,C815-CurrentMtgRatesDataTable8[[#This Row],[WA CC]],0)</f>
        <v>0.85212125647781578</v>
      </c>
      <c r="L816" s="16">
        <f>IF(CurrentMtgRatesDataTable8[[#This Row],[Servicing Spread]]&lt;=0,L815,CurrentMtgRatesDataTable8[[#This Row],[Servicing Spread]])</f>
        <v>0.85212125647781578</v>
      </c>
      <c r="M816" s="16">
        <f>CurrentMtgRatesDataTable8[[#This Row],[Servicing Spread Non-Zero]]-L815</f>
        <v>-2.9210476155082876E-2</v>
      </c>
      <c r="N816" s="16">
        <f>IF(J815&lt;&gt;0,CurrentMtgRatesDataTable8[[#This Row],[Rate]]-C815,N815)</f>
        <v>3.5000000000000586E-2</v>
      </c>
    </row>
    <row r="817" spans="1:14">
      <c r="A817" s="39" t="s">
        <v>863</v>
      </c>
      <c r="B817" s="40">
        <v>3.1329453977786899</v>
      </c>
      <c r="C817" s="11">
        <v>3.94</v>
      </c>
      <c r="D817" s="16">
        <f t="shared" si="84"/>
        <v>1</v>
      </c>
      <c r="E817" s="16">
        <f t="shared" si="85"/>
        <v>0.2</v>
      </c>
      <c r="F817" s="16">
        <f t="shared" si="86"/>
        <v>1</v>
      </c>
      <c r="G817" s="16">
        <f t="shared" si="87"/>
        <v>0.62658907955573806</v>
      </c>
      <c r="H817" s="16">
        <f t="shared" si="88"/>
        <v>0.2</v>
      </c>
      <c r="I817" s="16">
        <f t="shared" si="89"/>
        <v>0</v>
      </c>
      <c r="J817" s="16">
        <f t="shared" si="90"/>
        <v>0</v>
      </c>
      <c r="K817" s="16">
        <f>IF(CurrentMtgRatesDataTable8[[#This Row],[WA CC]]&lt;&gt;0,C816-CurrentMtgRatesDataTable8[[#This Row],[WA CC]],0)</f>
        <v>0</v>
      </c>
      <c r="L817" s="16">
        <f>IF(CurrentMtgRatesDataTable8[[#This Row],[Servicing Spread]]&lt;=0,L816,CurrentMtgRatesDataTable8[[#This Row],[Servicing Spread]])</f>
        <v>0.85212125647781578</v>
      </c>
      <c r="M817" s="16">
        <f>CurrentMtgRatesDataTable8[[#This Row],[Servicing Spread Non-Zero]]-L816</f>
        <v>0</v>
      </c>
      <c r="N817" s="16">
        <f>IF(J816&lt;&gt;0,CurrentMtgRatesDataTable8[[#This Row],[Rate]]-C816,N816)</f>
        <v>-4.0000000000000036E-2</v>
      </c>
    </row>
    <row r="818" spans="1:14">
      <c r="A818" s="39" t="s">
        <v>864</v>
      </c>
      <c r="B818" s="40">
        <v>3.0409627195865201</v>
      </c>
      <c r="C818" s="11">
        <v>3.94</v>
      </c>
      <c r="D818" s="16">
        <f t="shared" si="84"/>
        <v>5</v>
      </c>
      <c r="E818" s="16">
        <f t="shared" si="85"/>
        <v>0.2</v>
      </c>
      <c r="F818" s="16">
        <f t="shared" si="86"/>
        <v>2</v>
      </c>
      <c r="G818" s="16">
        <f t="shared" si="87"/>
        <v>1.234781623473042</v>
      </c>
      <c r="H818" s="16">
        <f t="shared" si="88"/>
        <v>0.4</v>
      </c>
      <c r="I818" s="16">
        <f t="shared" si="89"/>
        <v>0</v>
      </c>
      <c r="J818" s="16">
        <f t="shared" si="90"/>
        <v>0</v>
      </c>
      <c r="K818" s="16">
        <f>IF(CurrentMtgRatesDataTable8[[#This Row],[WA CC]]&lt;&gt;0,C817-CurrentMtgRatesDataTable8[[#This Row],[WA CC]],0)</f>
        <v>0</v>
      </c>
      <c r="L818" s="16">
        <f>IF(CurrentMtgRatesDataTable8[[#This Row],[Servicing Spread]]&lt;=0,L817,CurrentMtgRatesDataTable8[[#This Row],[Servicing Spread]])</f>
        <v>0.85212125647781578</v>
      </c>
      <c r="M818" s="16">
        <f>CurrentMtgRatesDataTable8[[#This Row],[Servicing Spread Non-Zero]]-L817</f>
        <v>0</v>
      </c>
      <c r="N818" s="16">
        <f>IF(J817&lt;&gt;0,CurrentMtgRatesDataTable8[[#This Row],[Rate]]-C817,N817)</f>
        <v>-4.0000000000000036E-2</v>
      </c>
    </row>
    <row r="819" spans="1:14">
      <c r="A819" s="39" t="s">
        <v>865</v>
      </c>
      <c r="B819" s="40">
        <v>3.00985191194196</v>
      </c>
      <c r="C819" s="11">
        <v>3.94</v>
      </c>
      <c r="D819" s="16">
        <f t="shared" si="84"/>
        <v>6</v>
      </c>
      <c r="E819" s="16">
        <f t="shared" si="85"/>
        <v>0.2</v>
      </c>
      <c r="F819" s="16">
        <f t="shared" si="86"/>
        <v>3</v>
      </c>
      <c r="G819" s="16">
        <f t="shared" si="87"/>
        <v>1.8367520058614342</v>
      </c>
      <c r="H819" s="16">
        <f t="shared" si="88"/>
        <v>0.60000000000000009</v>
      </c>
      <c r="I819" s="16">
        <f t="shared" si="89"/>
        <v>0</v>
      </c>
      <c r="J819" s="16">
        <f t="shared" si="90"/>
        <v>0</v>
      </c>
      <c r="K819" s="16">
        <f>IF(CurrentMtgRatesDataTable8[[#This Row],[WA CC]]&lt;&gt;0,C818-CurrentMtgRatesDataTable8[[#This Row],[WA CC]],0)</f>
        <v>0</v>
      </c>
      <c r="L819" s="16">
        <f>IF(CurrentMtgRatesDataTable8[[#This Row],[Servicing Spread]]&lt;=0,L818,CurrentMtgRatesDataTable8[[#This Row],[Servicing Spread]])</f>
        <v>0.85212125647781578</v>
      </c>
      <c r="M819" s="16">
        <f>CurrentMtgRatesDataTable8[[#This Row],[Servicing Spread Non-Zero]]-L818</f>
        <v>0</v>
      </c>
      <c r="N819" s="16">
        <f>IF(J818&lt;&gt;0,CurrentMtgRatesDataTable8[[#This Row],[Rate]]-C818,N818)</f>
        <v>-4.0000000000000036E-2</v>
      </c>
    </row>
    <row r="820" spans="1:14">
      <c r="A820" s="39" t="s">
        <v>866</v>
      </c>
      <c r="B820" s="40">
        <v>2.9791453962399599</v>
      </c>
      <c r="C820" s="11">
        <v>3.94</v>
      </c>
      <c r="D820" s="16">
        <f t="shared" si="84"/>
        <v>7</v>
      </c>
      <c r="E820" s="16">
        <f t="shared" si="85"/>
        <v>0.2</v>
      </c>
      <c r="F820" s="16">
        <f t="shared" si="86"/>
        <v>4</v>
      </c>
      <c r="G820" s="16">
        <f t="shared" si="87"/>
        <v>2.4325810851094261</v>
      </c>
      <c r="H820" s="16">
        <f t="shared" si="88"/>
        <v>0.8</v>
      </c>
      <c r="I820" s="16">
        <f t="shared" si="89"/>
        <v>1</v>
      </c>
      <c r="J820" s="16">
        <f t="shared" si="90"/>
        <v>3.0407263563867826</v>
      </c>
      <c r="K820" s="16">
        <f>IF(CurrentMtgRatesDataTable8[[#This Row],[WA CC]]&lt;&gt;0,C819-CurrentMtgRatesDataTable8[[#This Row],[WA CC]],0)</f>
        <v>0.89927364361321738</v>
      </c>
      <c r="L820" s="16">
        <f>IF(CurrentMtgRatesDataTable8[[#This Row],[Servicing Spread]]&lt;=0,L819,CurrentMtgRatesDataTable8[[#This Row],[Servicing Spread]])</f>
        <v>0.89927364361321738</v>
      </c>
      <c r="M820" s="16">
        <f>CurrentMtgRatesDataTable8[[#This Row],[Servicing Spread Non-Zero]]-L819</f>
        <v>4.7152387135401597E-2</v>
      </c>
      <c r="N820" s="16">
        <f>IF(J819&lt;&gt;0,CurrentMtgRatesDataTable8[[#This Row],[Rate]]-C819,N819)</f>
        <v>-4.0000000000000036E-2</v>
      </c>
    </row>
    <row r="821" spans="1:14">
      <c r="A821" s="39" t="s">
        <v>867</v>
      </c>
      <c r="B821" s="40">
        <v>3.0519928057207899</v>
      </c>
      <c r="C821" s="11">
        <v>3.9899999999999998</v>
      </c>
      <c r="D821" s="16">
        <f t="shared" si="84"/>
        <v>1</v>
      </c>
      <c r="E821" s="16">
        <f t="shared" si="85"/>
        <v>0.2</v>
      </c>
      <c r="F821" s="16">
        <f t="shared" si="86"/>
        <v>1</v>
      </c>
      <c r="G821" s="16">
        <f t="shared" si="87"/>
        <v>0.61039856114415803</v>
      </c>
      <c r="H821" s="16">
        <f t="shared" si="88"/>
        <v>0.2</v>
      </c>
      <c r="I821" s="16">
        <f t="shared" si="89"/>
        <v>0</v>
      </c>
      <c r="J821" s="16">
        <f t="shared" si="90"/>
        <v>0</v>
      </c>
      <c r="K821" s="16">
        <f>IF(CurrentMtgRatesDataTable8[[#This Row],[WA CC]]&lt;&gt;0,C820-CurrentMtgRatesDataTable8[[#This Row],[WA CC]],0)</f>
        <v>0</v>
      </c>
      <c r="L821" s="16">
        <f>IF(CurrentMtgRatesDataTable8[[#This Row],[Servicing Spread]]&lt;=0,L820,CurrentMtgRatesDataTable8[[#This Row],[Servicing Spread]])</f>
        <v>0.89927364361321738</v>
      </c>
      <c r="M821" s="16">
        <f>CurrentMtgRatesDataTable8[[#This Row],[Servicing Spread Non-Zero]]-L820</f>
        <v>0</v>
      </c>
      <c r="N821" s="16">
        <f>IF(J820&lt;&gt;0,CurrentMtgRatesDataTable8[[#This Row],[Rate]]-C820,N820)</f>
        <v>4.9999999999999822E-2</v>
      </c>
    </row>
    <row r="822" spans="1:14">
      <c r="A822" s="39" t="s">
        <v>868</v>
      </c>
      <c r="B822" s="40">
        <v>3.1469144966257199</v>
      </c>
      <c r="C822" s="11">
        <v>3.9899999999999998</v>
      </c>
      <c r="D822" s="16">
        <f t="shared" si="84"/>
        <v>2</v>
      </c>
      <c r="E822" s="16">
        <f t="shared" si="85"/>
        <v>0.2</v>
      </c>
      <c r="F822" s="16">
        <f t="shared" si="86"/>
        <v>2</v>
      </c>
      <c r="G822" s="16">
        <f t="shared" si="87"/>
        <v>1.239781460469302</v>
      </c>
      <c r="H822" s="16">
        <f t="shared" si="88"/>
        <v>0.4</v>
      </c>
      <c r="I822" s="16">
        <f t="shared" si="89"/>
        <v>0</v>
      </c>
      <c r="J822" s="16">
        <f t="shared" si="90"/>
        <v>0</v>
      </c>
      <c r="K822" s="16">
        <f>IF(CurrentMtgRatesDataTable8[[#This Row],[WA CC]]&lt;&gt;0,C821-CurrentMtgRatesDataTable8[[#This Row],[WA CC]],0)</f>
        <v>0</v>
      </c>
      <c r="L822" s="16">
        <f>IF(CurrentMtgRatesDataTable8[[#This Row],[Servicing Spread]]&lt;=0,L821,CurrentMtgRatesDataTable8[[#This Row],[Servicing Spread]])</f>
        <v>0.89927364361321738</v>
      </c>
      <c r="M822" s="16">
        <f>CurrentMtgRatesDataTable8[[#This Row],[Servicing Spread Non-Zero]]-L821</f>
        <v>0</v>
      </c>
      <c r="N822" s="16">
        <f>IF(J821&lt;&gt;0,CurrentMtgRatesDataTable8[[#This Row],[Rate]]-C821,N821)</f>
        <v>4.9999999999999822E-2</v>
      </c>
    </row>
    <row r="823" spans="1:14">
      <c r="A823" s="39" t="s">
        <v>869</v>
      </c>
      <c r="B823" s="40">
        <v>3.1440801611331</v>
      </c>
      <c r="C823" s="11">
        <v>3.9899999999999998</v>
      </c>
      <c r="D823" s="16">
        <f t="shared" si="84"/>
        <v>5</v>
      </c>
      <c r="E823" s="16">
        <f t="shared" si="85"/>
        <v>0.2</v>
      </c>
      <c r="F823" s="16">
        <f t="shared" si="86"/>
        <v>3</v>
      </c>
      <c r="G823" s="16">
        <f t="shared" si="87"/>
        <v>1.8685974926959221</v>
      </c>
      <c r="H823" s="16">
        <f t="shared" si="88"/>
        <v>0.60000000000000009</v>
      </c>
      <c r="I823" s="16">
        <f t="shared" si="89"/>
        <v>0</v>
      </c>
      <c r="J823" s="16">
        <f t="shared" si="90"/>
        <v>0</v>
      </c>
      <c r="K823" s="16">
        <f>IF(CurrentMtgRatesDataTable8[[#This Row],[WA CC]]&lt;&gt;0,C822-CurrentMtgRatesDataTable8[[#This Row],[WA CC]],0)</f>
        <v>0</v>
      </c>
      <c r="L823" s="16">
        <f>IF(CurrentMtgRatesDataTable8[[#This Row],[Servicing Spread]]&lt;=0,L822,CurrentMtgRatesDataTable8[[#This Row],[Servicing Spread]])</f>
        <v>0.89927364361321738</v>
      </c>
      <c r="M823" s="16">
        <f>CurrentMtgRatesDataTable8[[#This Row],[Servicing Spread Non-Zero]]-L822</f>
        <v>0</v>
      </c>
      <c r="N823" s="16">
        <f>IF(J822&lt;&gt;0,CurrentMtgRatesDataTable8[[#This Row],[Rate]]-C822,N822)</f>
        <v>4.9999999999999822E-2</v>
      </c>
    </row>
    <row r="824" spans="1:14">
      <c r="A824" s="39" t="s">
        <v>870</v>
      </c>
      <c r="B824" s="40">
        <v>3.1081065530197201</v>
      </c>
      <c r="C824" s="11">
        <v>3.9899999999999998</v>
      </c>
      <c r="D824" s="16">
        <f t="shared" si="84"/>
        <v>6</v>
      </c>
      <c r="E824" s="16">
        <f t="shared" si="85"/>
        <v>0.2</v>
      </c>
      <c r="F824" s="16">
        <f t="shared" si="86"/>
        <v>4</v>
      </c>
      <c r="G824" s="16">
        <f t="shared" si="87"/>
        <v>2.4902188032998662</v>
      </c>
      <c r="H824" s="16">
        <f t="shared" si="88"/>
        <v>0.8</v>
      </c>
      <c r="I824" s="16">
        <f t="shared" si="89"/>
        <v>0</v>
      </c>
      <c r="J824" s="16">
        <f t="shared" si="90"/>
        <v>0</v>
      </c>
      <c r="K824" s="16">
        <f>IF(CurrentMtgRatesDataTable8[[#This Row],[WA CC]]&lt;&gt;0,C823-CurrentMtgRatesDataTable8[[#This Row],[WA CC]],0)</f>
        <v>0</v>
      </c>
      <c r="L824" s="16">
        <f>IF(CurrentMtgRatesDataTable8[[#This Row],[Servicing Spread]]&lt;=0,L823,CurrentMtgRatesDataTable8[[#This Row],[Servicing Spread]])</f>
        <v>0.89927364361321738</v>
      </c>
      <c r="M824" s="16">
        <f>CurrentMtgRatesDataTable8[[#This Row],[Servicing Spread Non-Zero]]-L823</f>
        <v>0</v>
      </c>
      <c r="N824" s="16">
        <f>IF(J823&lt;&gt;0,CurrentMtgRatesDataTable8[[#This Row],[Rate]]-C823,N823)</f>
        <v>4.9999999999999822E-2</v>
      </c>
    </row>
    <row r="825" spans="1:14">
      <c r="A825" s="39" t="s">
        <v>871</v>
      </c>
      <c r="B825" s="40">
        <v>3.0651881254767099</v>
      </c>
      <c r="C825" s="11">
        <v>3.9899999999999998</v>
      </c>
      <c r="D825" s="16">
        <f t="shared" si="84"/>
        <v>7</v>
      </c>
      <c r="E825" s="16">
        <f t="shared" si="85"/>
        <v>0.2</v>
      </c>
      <c r="F825" s="16">
        <f t="shared" si="86"/>
        <v>5</v>
      </c>
      <c r="G825" s="16">
        <f t="shared" si="87"/>
        <v>3.1032564283952082</v>
      </c>
      <c r="H825" s="16">
        <f t="shared" si="88"/>
        <v>1</v>
      </c>
      <c r="I825" s="16">
        <f t="shared" si="89"/>
        <v>1</v>
      </c>
      <c r="J825" s="16">
        <f t="shared" si="90"/>
        <v>3.1032564283952082</v>
      </c>
      <c r="K825" s="16">
        <f>IF(CurrentMtgRatesDataTable8[[#This Row],[WA CC]]&lt;&gt;0,C824-CurrentMtgRatesDataTable8[[#This Row],[WA CC]],0)</f>
        <v>0.88674357160479156</v>
      </c>
      <c r="L825" s="16">
        <f>IF(CurrentMtgRatesDataTable8[[#This Row],[Servicing Spread]]&lt;=0,L824,CurrentMtgRatesDataTable8[[#This Row],[Servicing Spread]])</f>
        <v>0.88674357160479156</v>
      </c>
      <c r="M825" s="16">
        <f>CurrentMtgRatesDataTable8[[#This Row],[Servicing Spread Non-Zero]]-L824</f>
        <v>-1.2530072008425819E-2</v>
      </c>
      <c r="N825" s="16">
        <f>IF(J824&lt;&gt;0,CurrentMtgRatesDataTable8[[#This Row],[Rate]]-C824,N824)</f>
        <v>4.9999999999999822E-2</v>
      </c>
    </row>
    <row r="826" spans="1:14">
      <c r="A826" s="39" t="s">
        <v>872</v>
      </c>
      <c r="B826" s="40">
        <v>3.0642370952529001</v>
      </c>
      <c r="C826" s="11">
        <v>3.94</v>
      </c>
      <c r="D826" s="16">
        <f t="shared" si="84"/>
        <v>1</v>
      </c>
      <c r="E826" s="16">
        <f t="shared" si="85"/>
        <v>0.2</v>
      </c>
      <c r="F826" s="16">
        <f t="shared" si="86"/>
        <v>1</v>
      </c>
      <c r="G826" s="16">
        <f t="shared" si="87"/>
        <v>0.61284741905058004</v>
      </c>
      <c r="H826" s="16">
        <f t="shared" si="88"/>
        <v>0.2</v>
      </c>
      <c r="I826" s="16">
        <f t="shared" si="89"/>
        <v>0</v>
      </c>
      <c r="J826" s="16">
        <f t="shared" si="90"/>
        <v>0</v>
      </c>
      <c r="K826" s="16">
        <f>IF(CurrentMtgRatesDataTable8[[#This Row],[WA CC]]&lt;&gt;0,C825-CurrentMtgRatesDataTable8[[#This Row],[WA CC]],0)</f>
        <v>0</v>
      </c>
      <c r="L826" s="16">
        <f>IF(CurrentMtgRatesDataTable8[[#This Row],[Servicing Spread]]&lt;=0,L825,CurrentMtgRatesDataTable8[[#This Row],[Servicing Spread]])</f>
        <v>0.88674357160479156</v>
      </c>
      <c r="M826" s="16">
        <f>CurrentMtgRatesDataTable8[[#This Row],[Servicing Spread Non-Zero]]-L825</f>
        <v>0</v>
      </c>
      <c r="N826" s="16">
        <f>IF(J825&lt;&gt;0,CurrentMtgRatesDataTable8[[#This Row],[Rate]]-C825,N825)</f>
        <v>-4.9999999999999822E-2</v>
      </c>
    </row>
    <row r="827" spans="1:14">
      <c r="A827" s="39" t="s">
        <v>873</v>
      </c>
      <c r="B827" s="40">
        <v>3.0508649511892498</v>
      </c>
      <c r="C827" s="11">
        <v>3.94</v>
      </c>
      <c r="D827" s="16">
        <f t="shared" si="84"/>
        <v>2</v>
      </c>
      <c r="E827" s="16">
        <f t="shared" si="85"/>
        <v>0.2</v>
      </c>
      <c r="F827" s="16">
        <f t="shared" si="86"/>
        <v>2</v>
      </c>
      <c r="G827" s="16">
        <f t="shared" si="87"/>
        <v>1.22302040928843</v>
      </c>
      <c r="H827" s="16">
        <f t="shared" si="88"/>
        <v>0.4</v>
      </c>
      <c r="I827" s="16">
        <f t="shared" si="89"/>
        <v>0</v>
      </c>
      <c r="J827" s="16">
        <f t="shared" si="90"/>
        <v>0</v>
      </c>
      <c r="K827" s="16">
        <f>IF(CurrentMtgRatesDataTable8[[#This Row],[WA CC]]&lt;&gt;0,C826-CurrentMtgRatesDataTable8[[#This Row],[WA CC]],0)</f>
        <v>0</v>
      </c>
      <c r="L827" s="16">
        <f>IF(CurrentMtgRatesDataTable8[[#This Row],[Servicing Spread]]&lt;=0,L826,CurrentMtgRatesDataTable8[[#This Row],[Servicing Spread]])</f>
        <v>0.88674357160479156</v>
      </c>
      <c r="M827" s="16">
        <f>CurrentMtgRatesDataTable8[[#This Row],[Servicing Spread Non-Zero]]-L826</f>
        <v>0</v>
      </c>
      <c r="N827" s="16">
        <f>IF(J826&lt;&gt;0,CurrentMtgRatesDataTable8[[#This Row],[Rate]]-C826,N826)</f>
        <v>-4.9999999999999822E-2</v>
      </c>
    </row>
    <row r="828" spans="1:14">
      <c r="A828" s="39" t="s">
        <v>874</v>
      </c>
      <c r="B828" s="40">
        <v>3.07026860246684</v>
      </c>
      <c r="C828" s="11">
        <v>3.94</v>
      </c>
      <c r="D828" s="16">
        <f t="shared" si="84"/>
        <v>5</v>
      </c>
      <c r="E828" s="16">
        <f t="shared" si="85"/>
        <v>0.2</v>
      </c>
      <c r="F828" s="16">
        <f t="shared" si="86"/>
        <v>3</v>
      </c>
      <c r="G828" s="16">
        <f t="shared" si="87"/>
        <v>1.8370741297817981</v>
      </c>
      <c r="H828" s="16">
        <f t="shared" si="88"/>
        <v>0.60000000000000009</v>
      </c>
      <c r="I828" s="16">
        <f t="shared" si="89"/>
        <v>0</v>
      </c>
      <c r="J828" s="16">
        <f t="shared" si="90"/>
        <v>0</v>
      </c>
      <c r="K828" s="16">
        <f>IF(CurrentMtgRatesDataTable8[[#This Row],[WA CC]]&lt;&gt;0,C827-CurrentMtgRatesDataTable8[[#This Row],[WA CC]],0)</f>
        <v>0</v>
      </c>
      <c r="L828" s="16">
        <f>IF(CurrentMtgRatesDataTable8[[#This Row],[Servicing Spread]]&lt;=0,L827,CurrentMtgRatesDataTable8[[#This Row],[Servicing Spread]])</f>
        <v>0.88674357160479156</v>
      </c>
      <c r="M828" s="16">
        <f>CurrentMtgRatesDataTable8[[#This Row],[Servicing Spread Non-Zero]]-L827</f>
        <v>0</v>
      </c>
      <c r="N828" s="16">
        <f>IF(J827&lt;&gt;0,CurrentMtgRatesDataTable8[[#This Row],[Rate]]-C827,N827)</f>
        <v>-4.9999999999999822E-2</v>
      </c>
    </row>
    <row r="829" spans="1:14">
      <c r="A829" s="39" t="s">
        <v>875</v>
      </c>
      <c r="B829" s="40">
        <v>3.04099858929172</v>
      </c>
      <c r="C829" s="11">
        <v>3.94</v>
      </c>
      <c r="D829" s="16">
        <f t="shared" si="84"/>
        <v>6</v>
      </c>
      <c r="E829" s="16">
        <f t="shared" si="85"/>
        <v>0.2</v>
      </c>
      <c r="F829" s="16">
        <f t="shared" si="86"/>
        <v>4</v>
      </c>
      <c r="G829" s="16">
        <f t="shared" si="87"/>
        <v>2.4452738476401423</v>
      </c>
      <c r="H829" s="16">
        <f t="shared" si="88"/>
        <v>0.8</v>
      </c>
      <c r="I829" s="16">
        <f t="shared" si="89"/>
        <v>0</v>
      </c>
      <c r="J829" s="16">
        <f t="shared" si="90"/>
        <v>0</v>
      </c>
      <c r="K829" s="16">
        <f>IF(CurrentMtgRatesDataTable8[[#This Row],[WA CC]]&lt;&gt;0,C828-CurrentMtgRatesDataTable8[[#This Row],[WA CC]],0)</f>
        <v>0</v>
      </c>
      <c r="L829" s="16">
        <f>IF(CurrentMtgRatesDataTable8[[#This Row],[Servicing Spread]]&lt;=0,L828,CurrentMtgRatesDataTable8[[#This Row],[Servicing Spread]])</f>
        <v>0.88674357160479156</v>
      </c>
      <c r="M829" s="16">
        <f>CurrentMtgRatesDataTable8[[#This Row],[Servicing Spread Non-Zero]]-L828</f>
        <v>0</v>
      </c>
      <c r="N829" s="16">
        <f>IF(J828&lt;&gt;0,CurrentMtgRatesDataTable8[[#This Row],[Rate]]-C828,N828)</f>
        <v>-4.9999999999999822E-2</v>
      </c>
    </row>
    <row r="830" spans="1:14">
      <c r="A830" s="39" t="s">
        <v>876</v>
      </c>
      <c r="B830" s="40">
        <v>3.0272722743659699</v>
      </c>
      <c r="C830" s="11">
        <v>3.94</v>
      </c>
      <c r="D830" s="16">
        <f t="shared" si="84"/>
        <v>7</v>
      </c>
      <c r="E830" s="16">
        <f t="shared" si="85"/>
        <v>0.2</v>
      </c>
      <c r="F830" s="16">
        <f t="shared" si="86"/>
        <v>5</v>
      </c>
      <c r="G830" s="16">
        <f t="shared" si="87"/>
        <v>3.0507283025133365</v>
      </c>
      <c r="H830" s="16">
        <f t="shared" si="88"/>
        <v>1</v>
      </c>
      <c r="I830" s="16">
        <f t="shared" si="89"/>
        <v>1</v>
      </c>
      <c r="J830" s="16">
        <f t="shared" si="90"/>
        <v>3.0507283025133365</v>
      </c>
      <c r="K830" s="16">
        <f>IF(CurrentMtgRatesDataTable8[[#This Row],[WA CC]]&lt;&gt;0,C829-CurrentMtgRatesDataTable8[[#This Row],[WA CC]],0)</f>
        <v>0.88927169748666346</v>
      </c>
      <c r="L830" s="16">
        <f>IF(CurrentMtgRatesDataTable8[[#This Row],[Servicing Spread]]&lt;=0,L829,CurrentMtgRatesDataTable8[[#This Row],[Servicing Spread]])</f>
        <v>0.88927169748666346</v>
      </c>
      <c r="M830" s="16">
        <f>CurrentMtgRatesDataTable8[[#This Row],[Servicing Spread Non-Zero]]-L829</f>
        <v>2.528125881871901E-3</v>
      </c>
      <c r="N830" s="16">
        <f>IF(J829&lt;&gt;0,CurrentMtgRatesDataTable8[[#This Row],[Rate]]-C829,N829)</f>
        <v>-4.9999999999999822E-2</v>
      </c>
    </row>
    <row r="831" spans="1:14">
      <c r="A831" s="39" t="s">
        <v>877</v>
      </c>
      <c r="B831" s="40">
        <v>3.00152435884748</v>
      </c>
      <c r="C831" s="11">
        <v>3.88</v>
      </c>
      <c r="D831" s="16">
        <f t="shared" si="84"/>
        <v>1</v>
      </c>
      <c r="E831" s="16">
        <f t="shared" si="85"/>
        <v>0.2</v>
      </c>
      <c r="F831" s="16">
        <f t="shared" si="86"/>
        <v>1</v>
      </c>
      <c r="G831" s="16">
        <f t="shared" si="87"/>
        <v>0.6003048717694961</v>
      </c>
      <c r="H831" s="16">
        <f t="shared" si="88"/>
        <v>0.2</v>
      </c>
      <c r="I831" s="16">
        <f t="shared" si="89"/>
        <v>0</v>
      </c>
      <c r="J831" s="16">
        <f t="shared" si="90"/>
        <v>0</v>
      </c>
      <c r="K831" s="16">
        <f>IF(CurrentMtgRatesDataTable8[[#This Row],[WA CC]]&lt;&gt;0,C830-CurrentMtgRatesDataTable8[[#This Row],[WA CC]],0)</f>
        <v>0</v>
      </c>
      <c r="L831" s="16">
        <f>IF(CurrentMtgRatesDataTable8[[#This Row],[Servicing Spread]]&lt;=0,L830,CurrentMtgRatesDataTable8[[#This Row],[Servicing Spread]])</f>
        <v>0.88927169748666346</v>
      </c>
      <c r="M831" s="16">
        <f>CurrentMtgRatesDataTable8[[#This Row],[Servicing Spread Non-Zero]]-L830</f>
        <v>0</v>
      </c>
      <c r="N831" s="16">
        <f>IF(J830&lt;&gt;0,CurrentMtgRatesDataTable8[[#This Row],[Rate]]-C830,N830)</f>
        <v>-6.0000000000000053E-2</v>
      </c>
    </row>
    <row r="832" spans="1:14">
      <c r="A832" s="39" t="s">
        <v>878</v>
      </c>
      <c r="B832" s="40">
        <v>3.00880742941581</v>
      </c>
      <c r="C832" s="11">
        <v>3.88</v>
      </c>
      <c r="D832" s="16">
        <f t="shared" si="84"/>
        <v>2</v>
      </c>
      <c r="E832" s="16">
        <f t="shared" si="85"/>
        <v>0.2</v>
      </c>
      <c r="F832" s="16">
        <f t="shared" si="86"/>
        <v>2</v>
      </c>
      <c r="G832" s="16">
        <f t="shared" si="87"/>
        <v>1.202066357652658</v>
      </c>
      <c r="H832" s="16">
        <f t="shared" si="88"/>
        <v>0.4</v>
      </c>
      <c r="I832" s="16">
        <f t="shared" si="89"/>
        <v>0</v>
      </c>
      <c r="J832" s="16">
        <f t="shared" si="90"/>
        <v>0</v>
      </c>
      <c r="K832" s="16">
        <f>IF(CurrentMtgRatesDataTable8[[#This Row],[WA CC]]&lt;&gt;0,C831-CurrentMtgRatesDataTable8[[#This Row],[WA CC]],0)</f>
        <v>0</v>
      </c>
      <c r="L832" s="16">
        <f>IF(CurrentMtgRatesDataTable8[[#This Row],[Servicing Spread]]&lt;=0,L831,CurrentMtgRatesDataTable8[[#This Row],[Servicing Spread]])</f>
        <v>0.88927169748666346</v>
      </c>
      <c r="M832" s="16">
        <f>CurrentMtgRatesDataTable8[[#This Row],[Servicing Spread Non-Zero]]-L831</f>
        <v>0</v>
      </c>
      <c r="N832" s="16">
        <f>IF(J831&lt;&gt;0,CurrentMtgRatesDataTable8[[#This Row],[Rate]]-C831,N831)</f>
        <v>-6.0000000000000053E-2</v>
      </c>
    </row>
    <row r="833" spans="1:14">
      <c r="A833" s="39" t="s">
        <v>879</v>
      </c>
      <c r="B833" s="40">
        <v>2.9768819813504899</v>
      </c>
      <c r="C833" s="11">
        <v>3.88</v>
      </c>
      <c r="D833" s="16">
        <f t="shared" si="84"/>
        <v>5</v>
      </c>
      <c r="E833" s="16">
        <f t="shared" si="85"/>
        <v>0.2</v>
      </c>
      <c r="F833" s="16">
        <f t="shared" si="86"/>
        <v>3</v>
      </c>
      <c r="G833" s="16">
        <f t="shared" si="87"/>
        <v>1.797442753922756</v>
      </c>
      <c r="H833" s="16">
        <f t="shared" si="88"/>
        <v>0.60000000000000009</v>
      </c>
      <c r="I833" s="16">
        <f t="shared" si="89"/>
        <v>0</v>
      </c>
      <c r="J833" s="16">
        <f t="shared" si="90"/>
        <v>0</v>
      </c>
      <c r="K833" s="16">
        <f>IF(CurrentMtgRatesDataTable8[[#This Row],[WA CC]]&lt;&gt;0,C832-CurrentMtgRatesDataTable8[[#This Row],[WA CC]],0)</f>
        <v>0</v>
      </c>
      <c r="L833" s="16">
        <f>IF(CurrentMtgRatesDataTable8[[#This Row],[Servicing Spread]]&lt;=0,L832,CurrentMtgRatesDataTable8[[#This Row],[Servicing Spread]])</f>
        <v>0.88927169748666346</v>
      </c>
      <c r="M833" s="16">
        <f>CurrentMtgRatesDataTable8[[#This Row],[Servicing Spread Non-Zero]]-L832</f>
        <v>0</v>
      </c>
      <c r="N833" s="16">
        <f>IF(J832&lt;&gt;0,CurrentMtgRatesDataTable8[[#This Row],[Rate]]-C832,N832)</f>
        <v>-6.0000000000000053E-2</v>
      </c>
    </row>
    <row r="834" spans="1:14">
      <c r="A834" s="39" t="s">
        <v>880</v>
      </c>
      <c r="B834" s="40">
        <v>2.9700273705701301</v>
      </c>
      <c r="C834" s="11">
        <v>3.88</v>
      </c>
      <c r="D834" s="16">
        <f t="shared" si="84"/>
        <v>6</v>
      </c>
      <c r="E834" s="16">
        <f t="shared" si="85"/>
        <v>0.2</v>
      </c>
      <c r="F834" s="16">
        <f t="shared" si="86"/>
        <v>4</v>
      </c>
      <c r="G834" s="16">
        <f t="shared" si="87"/>
        <v>2.3914482280367819</v>
      </c>
      <c r="H834" s="16">
        <f t="shared" si="88"/>
        <v>0.8</v>
      </c>
      <c r="I834" s="16">
        <f t="shared" si="89"/>
        <v>0</v>
      </c>
      <c r="J834" s="16">
        <f t="shared" si="90"/>
        <v>0</v>
      </c>
      <c r="K834" s="16">
        <f>IF(CurrentMtgRatesDataTable8[[#This Row],[WA CC]]&lt;&gt;0,C833-CurrentMtgRatesDataTable8[[#This Row],[WA CC]],0)</f>
        <v>0</v>
      </c>
      <c r="L834" s="16">
        <f>IF(CurrentMtgRatesDataTable8[[#This Row],[Servicing Spread]]&lt;=0,L833,CurrentMtgRatesDataTable8[[#This Row],[Servicing Spread]])</f>
        <v>0.88927169748666346</v>
      </c>
      <c r="M834" s="16">
        <f>CurrentMtgRatesDataTable8[[#This Row],[Servicing Spread Non-Zero]]-L833</f>
        <v>0</v>
      </c>
      <c r="N834" s="16">
        <f>IF(J833&lt;&gt;0,CurrentMtgRatesDataTable8[[#This Row],[Rate]]-C833,N833)</f>
        <v>-6.0000000000000053E-2</v>
      </c>
    </row>
    <row r="835" spans="1:14">
      <c r="A835" s="39" t="s">
        <v>881</v>
      </c>
      <c r="B835" s="40">
        <v>2.9952166878972601</v>
      </c>
      <c r="C835" s="11">
        <v>3.88</v>
      </c>
      <c r="D835" s="16">
        <f t="shared" si="84"/>
        <v>7</v>
      </c>
      <c r="E835" s="16">
        <f t="shared" si="85"/>
        <v>0.2</v>
      </c>
      <c r="F835" s="16">
        <f t="shared" si="86"/>
        <v>5</v>
      </c>
      <c r="G835" s="16">
        <f t="shared" si="87"/>
        <v>2.9904915656162339</v>
      </c>
      <c r="H835" s="16">
        <f t="shared" si="88"/>
        <v>1</v>
      </c>
      <c r="I835" s="16">
        <f t="shared" si="89"/>
        <v>1</v>
      </c>
      <c r="J835" s="16">
        <f t="shared" si="90"/>
        <v>2.9904915656162339</v>
      </c>
      <c r="K835" s="16">
        <f>IF(CurrentMtgRatesDataTable8[[#This Row],[WA CC]]&lt;&gt;0,C834-CurrentMtgRatesDataTable8[[#This Row],[WA CC]],0)</f>
        <v>0.88950843438376603</v>
      </c>
      <c r="L835" s="16">
        <f>IF(CurrentMtgRatesDataTable8[[#This Row],[Servicing Spread]]&lt;=0,L834,CurrentMtgRatesDataTable8[[#This Row],[Servicing Spread]])</f>
        <v>0.88950843438376603</v>
      </c>
      <c r="M835" s="16">
        <f>CurrentMtgRatesDataTable8[[#This Row],[Servicing Spread Non-Zero]]-L834</f>
        <v>2.3673689710257406E-4</v>
      </c>
      <c r="N835" s="16">
        <f>IF(J834&lt;&gt;0,CurrentMtgRatesDataTable8[[#This Row],[Rate]]-C834,N834)</f>
        <v>-6.0000000000000053E-2</v>
      </c>
    </row>
    <row r="836" spans="1:14">
      <c r="A836" s="39" t="s">
        <v>882</v>
      </c>
      <c r="B836" s="40">
        <v>2.9944455468035298</v>
      </c>
      <c r="C836" s="11">
        <v>3.81</v>
      </c>
      <c r="D836" s="16">
        <f t="shared" si="84"/>
        <v>1</v>
      </c>
      <c r="E836" s="16">
        <f t="shared" si="85"/>
        <v>0.2</v>
      </c>
      <c r="F836" s="16">
        <f t="shared" si="86"/>
        <v>1</v>
      </c>
      <c r="G836" s="16">
        <f t="shared" si="87"/>
        <v>0.59888910936070594</v>
      </c>
      <c r="H836" s="16">
        <f t="shared" si="88"/>
        <v>0.2</v>
      </c>
      <c r="I836" s="16">
        <f t="shared" si="89"/>
        <v>0</v>
      </c>
      <c r="J836" s="16">
        <f t="shared" si="90"/>
        <v>0</v>
      </c>
      <c r="K836" s="16">
        <f>IF(CurrentMtgRatesDataTable8[[#This Row],[WA CC]]&lt;&gt;0,C835-CurrentMtgRatesDataTable8[[#This Row],[WA CC]],0)</f>
        <v>0</v>
      </c>
      <c r="L836" s="16">
        <f>IF(CurrentMtgRatesDataTable8[[#This Row],[Servicing Spread]]&lt;=0,L835,CurrentMtgRatesDataTable8[[#This Row],[Servicing Spread]])</f>
        <v>0.88950843438376603</v>
      </c>
      <c r="M836" s="16">
        <f>CurrentMtgRatesDataTable8[[#This Row],[Servicing Spread Non-Zero]]-L835</f>
        <v>0</v>
      </c>
      <c r="N836" s="16">
        <f>IF(J835&lt;&gt;0,CurrentMtgRatesDataTable8[[#This Row],[Rate]]-C835,N835)</f>
        <v>-6.999999999999984E-2</v>
      </c>
    </row>
    <row r="837" spans="1:14">
      <c r="A837" s="39" t="s">
        <v>883</v>
      </c>
      <c r="B837" s="40">
        <v>2.9155081259623699</v>
      </c>
      <c r="C837" s="11">
        <v>3.81</v>
      </c>
      <c r="D837" s="16">
        <f t="shared" ref="D837:D900" si="91">WEEKDAY(A837,14)</f>
        <v>2</v>
      </c>
      <c r="E837" s="16">
        <f t="shared" ref="E837:E900" si="92">VLOOKUP(D837,Q$5:R$11,2,FALSE)</f>
        <v>0.2</v>
      </c>
      <c r="F837" s="16">
        <f t="shared" ref="F837:F900" si="93">IF(AND(D837&gt;D836,F836&lt;6),F836+1,1)</f>
        <v>2</v>
      </c>
      <c r="G837" s="16">
        <f t="shared" ref="G837:G900" si="94">IF(F837&gt;F836,G836+B837*E837,B837*E837)</f>
        <v>1.1819907345531799</v>
      </c>
      <c r="H837" s="16">
        <f t="shared" ref="H837:H900" si="95">IF(AND(F837&lt;6,F837&gt;F836),E837+H836,E837)</f>
        <v>0.4</v>
      </c>
      <c r="I837" s="16">
        <f t="shared" ref="I837:I900" si="96">IF(F837&gt;F838,1,0)</f>
        <v>0</v>
      </c>
      <c r="J837" s="16">
        <f t="shared" ref="J837:J900" si="97">IF(F837&gt;F838,G837/H837,0)</f>
        <v>0</v>
      </c>
      <c r="K837" s="16">
        <f>IF(CurrentMtgRatesDataTable8[[#This Row],[WA CC]]&lt;&gt;0,C836-CurrentMtgRatesDataTable8[[#This Row],[WA CC]],0)</f>
        <v>0</v>
      </c>
      <c r="L837" s="16">
        <f>IF(CurrentMtgRatesDataTable8[[#This Row],[Servicing Spread]]&lt;=0,L836,CurrentMtgRatesDataTable8[[#This Row],[Servicing Spread]])</f>
        <v>0.88950843438376603</v>
      </c>
      <c r="M837" s="16">
        <f>CurrentMtgRatesDataTable8[[#This Row],[Servicing Spread Non-Zero]]-L836</f>
        <v>0</v>
      </c>
      <c r="N837" s="16">
        <f>IF(J836&lt;&gt;0,CurrentMtgRatesDataTable8[[#This Row],[Rate]]-C836,N836)</f>
        <v>-6.999999999999984E-2</v>
      </c>
    </row>
    <row r="838" spans="1:14">
      <c r="A838" s="39" t="s">
        <v>884</v>
      </c>
      <c r="B838" s="40">
        <v>2.8859588833612699</v>
      </c>
      <c r="C838" s="11">
        <v>3.81</v>
      </c>
      <c r="D838" s="16">
        <f t="shared" si="91"/>
        <v>5</v>
      </c>
      <c r="E838" s="16">
        <f t="shared" si="92"/>
        <v>0.2</v>
      </c>
      <c r="F838" s="16">
        <f t="shared" si="93"/>
        <v>3</v>
      </c>
      <c r="G838" s="16">
        <f t="shared" si="94"/>
        <v>1.759182511225434</v>
      </c>
      <c r="H838" s="16">
        <f t="shared" si="95"/>
        <v>0.60000000000000009</v>
      </c>
      <c r="I838" s="16">
        <f t="shared" si="96"/>
        <v>0</v>
      </c>
      <c r="J838" s="16">
        <f t="shared" si="97"/>
        <v>0</v>
      </c>
      <c r="K838" s="16">
        <f>IF(CurrentMtgRatesDataTable8[[#This Row],[WA CC]]&lt;&gt;0,C837-CurrentMtgRatesDataTable8[[#This Row],[WA CC]],0)</f>
        <v>0</v>
      </c>
      <c r="L838" s="16">
        <f>IF(CurrentMtgRatesDataTable8[[#This Row],[Servicing Spread]]&lt;=0,L837,CurrentMtgRatesDataTable8[[#This Row],[Servicing Spread]])</f>
        <v>0.88950843438376603</v>
      </c>
      <c r="M838" s="16">
        <f>CurrentMtgRatesDataTable8[[#This Row],[Servicing Spread Non-Zero]]-L837</f>
        <v>0</v>
      </c>
      <c r="N838" s="16">
        <f>IF(J837&lt;&gt;0,CurrentMtgRatesDataTable8[[#This Row],[Rate]]-C837,N837)</f>
        <v>-6.999999999999984E-2</v>
      </c>
    </row>
    <row r="839" spans="1:14">
      <c r="A839" s="39" t="s">
        <v>885</v>
      </c>
      <c r="B839" s="40">
        <v>2.9592567116727899</v>
      </c>
      <c r="C839" s="11">
        <v>3.81</v>
      </c>
      <c r="D839" s="16">
        <f t="shared" si="91"/>
        <v>6</v>
      </c>
      <c r="E839" s="16">
        <f t="shared" si="92"/>
        <v>0.2</v>
      </c>
      <c r="F839" s="16">
        <f t="shared" si="93"/>
        <v>4</v>
      </c>
      <c r="G839" s="16">
        <f t="shared" si="94"/>
        <v>2.3510338535599922</v>
      </c>
      <c r="H839" s="16">
        <f t="shared" si="95"/>
        <v>0.8</v>
      </c>
      <c r="I839" s="16">
        <f t="shared" si="96"/>
        <v>0</v>
      </c>
      <c r="J839" s="16">
        <f t="shared" si="97"/>
        <v>0</v>
      </c>
      <c r="K839" s="16">
        <f>IF(CurrentMtgRatesDataTable8[[#This Row],[WA CC]]&lt;&gt;0,C838-CurrentMtgRatesDataTable8[[#This Row],[WA CC]],0)</f>
        <v>0</v>
      </c>
      <c r="L839" s="16">
        <f>IF(CurrentMtgRatesDataTable8[[#This Row],[Servicing Spread]]&lt;=0,L838,CurrentMtgRatesDataTable8[[#This Row],[Servicing Spread]])</f>
        <v>0.88950843438376603</v>
      </c>
      <c r="M839" s="16">
        <f>CurrentMtgRatesDataTable8[[#This Row],[Servicing Spread Non-Zero]]-L838</f>
        <v>0</v>
      </c>
      <c r="N839" s="16">
        <f>IF(J838&lt;&gt;0,CurrentMtgRatesDataTable8[[#This Row],[Rate]]-C838,N838)</f>
        <v>-6.999999999999984E-2</v>
      </c>
    </row>
    <row r="840" spans="1:14">
      <c r="A840" s="39" t="s">
        <v>886</v>
      </c>
      <c r="B840" s="40">
        <v>3.0089114844805001</v>
      </c>
      <c r="C840" s="11">
        <v>3.81</v>
      </c>
      <c r="D840" s="16">
        <f t="shared" si="91"/>
        <v>7</v>
      </c>
      <c r="E840" s="16">
        <f t="shared" si="92"/>
        <v>0.2</v>
      </c>
      <c r="F840" s="16">
        <f t="shared" si="93"/>
        <v>5</v>
      </c>
      <c r="G840" s="16">
        <f t="shared" si="94"/>
        <v>2.9528161504560924</v>
      </c>
      <c r="H840" s="16">
        <f t="shared" si="95"/>
        <v>1</v>
      </c>
      <c r="I840" s="16">
        <f t="shared" si="96"/>
        <v>1</v>
      </c>
      <c r="J840" s="16">
        <f t="shared" si="97"/>
        <v>2.9528161504560924</v>
      </c>
      <c r="K840" s="16">
        <f>IF(CurrentMtgRatesDataTable8[[#This Row],[WA CC]]&lt;&gt;0,C839-CurrentMtgRatesDataTable8[[#This Row],[WA CC]],0)</f>
        <v>0.85718384954390769</v>
      </c>
      <c r="L840" s="16">
        <f>IF(CurrentMtgRatesDataTable8[[#This Row],[Servicing Spread]]&lt;=0,L839,CurrentMtgRatesDataTable8[[#This Row],[Servicing Spread]])</f>
        <v>0.85718384954390769</v>
      </c>
      <c r="M840" s="16">
        <f>CurrentMtgRatesDataTable8[[#This Row],[Servicing Spread Non-Zero]]-L839</f>
        <v>-3.2324584839858339E-2</v>
      </c>
      <c r="N840" s="16">
        <f>IF(J839&lt;&gt;0,CurrentMtgRatesDataTable8[[#This Row],[Rate]]-C839,N839)</f>
        <v>-6.999999999999984E-2</v>
      </c>
    </row>
    <row r="841" spans="1:14">
      <c r="A841" s="39" t="s">
        <v>887</v>
      </c>
      <c r="B841" s="40">
        <v>2.9719648499802398</v>
      </c>
      <c r="C841" s="11">
        <v>3.84</v>
      </c>
      <c r="D841" s="16">
        <f t="shared" si="91"/>
        <v>1</v>
      </c>
      <c r="E841" s="16">
        <f t="shared" si="92"/>
        <v>0.2</v>
      </c>
      <c r="F841" s="16">
        <f t="shared" si="93"/>
        <v>1</v>
      </c>
      <c r="G841" s="16">
        <f t="shared" si="94"/>
        <v>0.59439296999604796</v>
      </c>
      <c r="H841" s="16">
        <f t="shared" si="95"/>
        <v>0.2</v>
      </c>
      <c r="I841" s="16">
        <f t="shared" si="96"/>
        <v>0</v>
      </c>
      <c r="J841" s="16">
        <f t="shared" si="97"/>
        <v>0</v>
      </c>
      <c r="K841" s="16">
        <f>IF(CurrentMtgRatesDataTable8[[#This Row],[WA CC]]&lt;&gt;0,C840-CurrentMtgRatesDataTable8[[#This Row],[WA CC]],0)</f>
        <v>0</v>
      </c>
      <c r="L841" s="16">
        <f>IF(CurrentMtgRatesDataTable8[[#This Row],[Servicing Spread]]&lt;=0,L840,CurrentMtgRatesDataTable8[[#This Row],[Servicing Spread]])</f>
        <v>0.85718384954390769</v>
      </c>
      <c r="M841" s="16">
        <f>CurrentMtgRatesDataTable8[[#This Row],[Servicing Spread Non-Zero]]-L840</f>
        <v>0</v>
      </c>
      <c r="N841" s="16">
        <f>IF(J840&lt;&gt;0,CurrentMtgRatesDataTable8[[#This Row],[Rate]]-C840,N840)</f>
        <v>2.9999999999999805E-2</v>
      </c>
    </row>
    <row r="842" spans="1:14">
      <c r="A842" s="39" t="s">
        <v>888</v>
      </c>
      <c r="B842" s="40">
        <v>2.92350190324946</v>
      </c>
      <c r="C842" s="11">
        <v>3.84</v>
      </c>
      <c r="D842" s="16">
        <f t="shared" si="91"/>
        <v>2</v>
      </c>
      <c r="E842" s="16">
        <f t="shared" si="92"/>
        <v>0.2</v>
      </c>
      <c r="F842" s="16">
        <f t="shared" si="93"/>
        <v>2</v>
      </c>
      <c r="G842" s="16">
        <f t="shared" si="94"/>
        <v>1.17909335064594</v>
      </c>
      <c r="H842" s="16">
        <f t="shared" si="95"/>
        <v>0.4</v>
      </c>
      <c r="I842" s="16">
        <f t="shared" si="96"/>
        <v>0</v>
      </c>
      <c r="J842" s="16">
        <f t="shared" si="97"/>
        <v>0</v>
      </c>
      <c r="K842" s="16">
        <f>IF(CurrentMtgRatesDataTable8[[#This Row],[WA CC]]&lt;&gt;0,C841-CurrentMtgRatesDataTable8[[#This Row],[WA CC]],0)</f>
        <v>0</v>
      </c>
      <c r="L842" s="16">
        <f>IF(CurrentMtgRatesDataTable8[[#This Row],[Servicing Spread]]&lt;=0,L841,CurrentMtgRatesDataTable8[[#This Row],[Servicing Spread]])</f>
        <v>0.85718384954390769</v>
      </c>
      <c r="M842" s="16">
        <f>CurrentMtgRatesDataTable8[[#This Row],[Servicing Spread Non-Zero]]-L841</f>
        <v>0</v>
      </c>
      <c r="N842" s="16">
        <f>IF(J841&lt;&gt;0,CurrentMtgRatesDataTable8[[#This Row],[Rate]]-C841,N841)</f>
        <v>2.9999999999999805E-2</v>
      </c>
    </row>
    <row r="843" spans="1:14">
      <c r="A843" s="39" t="s">
        <v>889</v>
      </c>
      <c r="B843" s="40">
        <v>2.9753003706109098</v>
      </c>
      <c r="C843" s="11">
        <v>3.84</v>
      </c>
      <c r="D843" s="16">
        <f t="shared" si="91"/>
        <v>5</v>
      </c>
      <c r="E843" s="16">
        <f t="shared" si="92"/>
        <v>0.2</v>
      </c>
      <c r="F843" s="16">
        <f t="shared" si="93"/>
        <v>3</v>
      </c>
      <c r="G843" s="16">
        <f t="shared" si="94"/>
        <v>1.7741534247681221</v>
      </c>
      <c r="H843" s="16">
        <f t="shared" si="95"/>
        <v>0.60000000000000009</v>
      </c>
      <c r="I843" s="16">
        <f t="shared" si="96"/>
        <v>0</v>
      </c>
      <c r="J843" s="16">
        <f t="shared" si="97"/>
        <v>0</v>
      </c>
      <c r="K843" s="16">
        <f>IF(CurrentMtgRatesDataTable8[[#This Row],[WA CC]]&lt;&gt;0,C842-CurrentMtgRatesDataTable8[[#This Row],[WA CC]],0)</f>
        <v>0</v>
      </c>
      <c r="L843" s="16">
        <f>IF(CurrentMtgRatesDataTable8[[#This Row],[Servicing Spread]]&lt;=0,L842,CurrentMtgRatesDataTable8[[#This Row],[Servicing Spread]])</f>
        <v>0.85718384954390769</v>
      </c>
      <c r="M843" s="16">
        <f>CurrentMtgRatesDataTable8[[#This Row],[Servicing Spread Non-Zero]]-L842</f>
        <v>0</v>
      </c>
      <c r="N843" s="16">
        <f>IF(J842&lt;&gt;0,CurrentMtgRatesDataTable8[[#This Row],[Rate]]-C842,N842)</f>
        <v>2.9999999999999805E-2</v>
      </c>
    </row>
    <row r="844" spans="1:14">
      <c r="A844" s="39" t="s">
        <v>890</v>
      </c>
      <c r="B844" s="40">
        <v>2.8894517792115599</v>
      </c>
      <c r="C844" s="11">
        <v>3.84</v>
      </c>
      <c r="D844" s="16">
        <f t="shared" si="91"/>
        <v>6</v>
      </c>
      <c r="E844" s="16">
        <f t="shared" si="92"/>
        <v>0.2</v>
      </c>
      <c r="F844" s="16">
        <f t="shared" si="93"/>
        <v>4</v>
      </c>
      <c r="G844" s="16">
        <f t="shared" si="94"/>
        <v>2.3520437806104342</v>
      </c>
      <c r="H844" s="16">
        <f t="shared" si="95"/>
        <v>0.8</v>
      </c>
      <c r="I844" s="16">
        <f t="shared" si="96"/>
        <v>0</v>
      </c>
      <c r="J844" s="16">
        <f t="shared" si="97"/>
        <v>0</v>
      </c>
      <c r="K844" s="16">
        <f>IF(CurrentMtgRatesDataTable8[[#This Row],[WA CC]]&lt;&gt;0,C843-CurrentMtgRatesDataTable8[[#This Row],[WA CC]],0)</f>
        <v>0</v>
      </c>
      <c r="L844" s="16">
        <f>IF(CurrentMtgRatesDataTable8[[#This Row],[Servicing Spread]]&lt;=0,L843,CurrentMtgRatesDataTable8[[#This Row],[Servicing Spread]])</f>
        <v>0.85718384954390769</v>
      </c>
      <c r="M844" s="16">
        <f>CurrentMtgRatesDataTable8[[#This Row],[Servicing Spread Non-Zero]]-L843</f>
        <v>0</v>
      </c>
      <c r="N844" s="16">
        <f>IF(J843&lt;&gt;0,CurrentMtgRatesDataTable8[[#This Row],[Rate]]-C843,N843)</f>
        <v>2.9999999999999805E-2</v>
      </c>
    </row>
    <row r="845" spans="1:14">
      <c r="A845" s="39" t="s">
        <v>891</v>
      </c>
      <c r="B845" s="40">
        <v>2.8863432484098199</v>
      </c>
      <c r="C845" s="11">
        <v>3.84</v>
      </c>
      <c r="D845" s="16">
        <f t="shared" si="91"/>
        <v>7</v>
      </c>
      <c r="E845" s="16">
        <f t="shared" si="92"/>
        <v>0.2</v>
      </c>
      <c r="F845" s="16">
        <f t="shared" si="93"/>
        <v>5</v>
      </c>
      <c r="G845" s="16">
        <f t="shared" si="94"/>
        <v>2.9293124302923981</v>
      </c>
      <c r="H845" s="16">
        <f t="shared" si="95"/>
        <v>1</v>
      </c>
      <c r="I845" s="16">
        <f t="shared" si="96"/>
        <v>1</v>
      </c>
      <c r="J845" s="16">
        <f t="shared" si="97"/>
        <v>2.9293124302923981</v>
      </c>
      <c r="K845" s="16">
        <f>IF(CurrentMtgRatesDataTable8[[#This Row],[WA CC]]&lt;&gt;0,C844-CurrentMtgRatesDataTable8[[#This Row],[WA CC]],0)</f>
        <v>0.91068756970760179</v>
      </c>
      <c r="L845" s="16">
        <f>IF(CurrentMtgRatesDataTable8[[#This Row],[Servicing Spread]]&lt;=0,L844,CurrentMtgRatesDataTable8[[#This Row],[Servicing Spread]])</f>
        <v>0.91068756970760179</v>
      </c>
      <c r="M845" s="16">
        <f>CurrentMtgRatesDataTable8[[#This Row],[Servicing Spread Non-Zero]]-L844</f>
        <v>5.3503720163694091E-2</v>
      </c>
      <c r="N845" s="16">
        <f>IF(J844&lt;&gt;0,CurrentMtgRatesDataTable8[[#This Row],[Rate]]-C844,N844)</f>
        <v>2.9999999999999805E-2</v>
      </c>
    </row>
    <row r="846" spans="1:14">
      <c r="A846" s="39" t="s">
        <v>892</v>
      </c>
      <c r="B846" s="40">
        <v>2.94154866689746</v>
      </c>
      <c r="C846" s="11">
        <v>3.83</v>
      </c>
      <c r="D846" s="16">
        <f t="shared" si="91"/>
        <v>1</v>
      </c>
      <c r="E846" s="16">
        <f t="shared" si="92"/>
        <v>0.2</v>
      </c>
      <c r="F846" s="16">
        <f t="shared" si="93"/>
        <v>1</v>
      </c>
      <c r="G846" s="16">
        <f t="shared" si="94"/>
        <v>0.58830973337949199</v>
      </c>
      <c r="H846" s="16">
        <f t="shared" si="95"/>
        <v>0.2</v>
      </c>
      <c r="I846" s="16">
        <f t="shared" si="96"/>
        <v>0</v>
      </c>
      <c r="J846" s="16">
        <f t="shared" si="97"/>
        <v>0</v>
      </c>
      <c r="K846" s="16">
        <f>IF(CurrentMtgRatesDataTable8[[#This Row],[WA CC]]&lt;&gt;0,C845-CurrentMtgRatesDataTable8[[#This Row],[WA CC]],0)</f>
        <v>0</v>
      </c>
      <c r="L846" s="16">
        <f>IF(CurrentMtgRatesDataTable8[[#This Row],[Servicing Spread]]&lt;=0,L845,CurrentMtgRatesDataTable8[[#This Row],[Servicing Spread]])</f>
        <v>0.91068756970760179</v>
      </c>
      <c r="M846" s="16">
        <f>CurrentMtgRatesDataTable8[[#This Row],[Servicing Spread Non-Zero]]-L845</f>
        <v>0</v>
      </c>
      <c r="N846" s="16">
        <f>IF(J845&lt;&gt;0,CurrentMtgRatesDataTable8[[#This Row],[Rate]]-C845,N845)</f>
        <v>-9.9999999999997868E-3</v>
      </c>
    </row>
    <row r="847" spans="1:14">
      <c r="A847" s="39" t="s">
        <v>893</v>
      </c>
      <c r="B847" s="40">
        <v>2.9622833477952701</v>
      </c>
      <c r="C847" s="11">
        <v>3.83</v>
      </c>
      <c r="D847" s="16">
        <f t="shared" si="91"/>
        <v>2</v>
      </c>
      <c r="E847" s="16">
        <f t="shared" si="92"/>
        <v>0.2</v>
      </c>
      <c r="F847" s="16">
        <f t="shared" si="93"/>
        <v>2</v>
      </c>
      <c r="G847" s="16">
        <f t="shared" si="94"/>
        <v>1.1807664029385461</v>
      </c>
      <c r="H847" s="16">
        <f t="shared" si="95"/>
        <v>0.4</v>
      </c>
      <c r="I847" s="16">
        <f t="shared" si="96"/>
        <v>0</v>
      </c>
      <c r="J847" s="16">
        <f t="shared" si="97"/>
        <v>0</v>
      </c>
      <c r="K847" s="16">
        <f>IF(CurrentMtgRatesDataTable8[[#This Row],[WA CC]]&lt;&gt;0,C846-CurrentMtgRatesDataTable8[[#This Row],[WA CC]],0)</f>
        <v>0</v>
      </c>
      <c r="L847" s="16">
        <f>IF(CurrentMtgRatesDataTable8[[#This Row],[Servicing Spread]]&lt;=0,L846,CurrentMtgRatesDataTable8[[#This Row],[Servicing Spread]])</f>
        <v>0.91068756970760179</v>
      </c>
      <c r="M847" s="16">
        <f>CurrentMtgRatesDataTable8[[#This Row],[Servicing Spread Non-Zero]]-L846</f>
        <v>0</v>
      </c>
      <c r="N847" s="16">
        <f>IF(J846&lt;&gt;0,CurrentMtgRatesDataTable8[[#This Row],[Rate]]-C846,N846)</f>
        <v>-9.9999999999997868E-3</v>
      </c>
    </row>
    <row r="848" spans="1:14">
      <c r="A848" s="39" t="s">
        <v>894</v>
      </c>
      <c r="B848" s="40">
        <v>2.9357435322539001</v>
      </c>
      <c r="C848" s="11">
        <v>3.83</v>
      </c>
      <c r="D848" s="16">
        <f t="shared" si="91"/>
        <v>5</v>
      </c>
      <c r="E848" s="16">
        <f t="shared" si="92"/>
        <v>0.2</v>
      </c>
      <c r="F848" s="16">
        <f t="shared" si="93"/>
        <v>3</v>
      </c>
      <c r="G848" s="16">
        <f t="shared" si="94"/>
        <v>1.7679151093893259</v>
      </c>
      <c r="H848" s="16">
        <f t="shared" si="95"/>
        <v>0.60000000000000009</v>
      </c>
      <c r="I848" s="16">
        <f t="shared" si="96"/>
        <v>0</v>
      </c>
      <c r="J848" s="16">
        <f t="shared" si="97"/>
        <v>0</v>
      </c>
      <c r="K848" s="16">
        <f>IF(CurrentMtgRatesDataTable8[[#This Row],[WA CC]]&lt;&gt;0,C847-CurrentMtgRatesDataTable8[[#This Row],[WA CC]],0)</f>
        <v>0</v>
      </c>
      <c r="L848" s="16">
        <f>IF(CurrentMtgRatesDataTable8[[#This Row],[Servicing Spread]]&lt;=0,L847,CurrentMtgRatesDataTable8[[#This Row],[Servicing Spread]])</f>
        <v>0.91068756970760179</v>
      </c>
      <c r="M848" s="16">
        <f>CurrentMtgRatesDataTable8[[#This Row],[Servicing Spread Non-Zero]]-L847</f>
        <v>0</v>
      </c>
      <c r="N848" s="16">
        <f>IF(J847&lt;&gt;0,CurrentMtgRatesDataTable8[[#This Row],[Rate]]-C847,N847)</f>
        <v>-9.9999999999997868E-3</v>
      </c>
    </row>
    <row r="849" spans="1:14">
      <c r="A849" s="39" t="s">
        <v>895</v>
      </c>
      <c r="B849" s="40">
        <v>2.9596582925735899</v>
      </c>
      <c r="C849" s="11">
        <v>3.83</v>
      </c>
      <c r="D849" s="16">
        <f t="shared" si="91"/>
        <v>6</v>
      </c>
      <c r="E849" s="16">
        <f t="shared" si="92"/>
        <v>0.2</v>
      </c>
      <c r="F849" s="16">
        <f t="shared" si="93"/>
        <v>4</v>
      </c>
      <c r="G849" s="16">
        <f t="shared" si="94"/>
        <v>2.359846767904044</v>
      </c>
      <c r="H849" s="16">
        <f t="shared" si="95"/>
        <v>0.8</v>
      </c>
      <c r="I849" s="16">
        <f t="shared" si="96"/>
        <v>0</v>
      </c>
      <c r="J849" s="16">
        <f t="shared" si="97"/>
        <v>0</v>
      </c>
      <c r="K849" s="16">
        <f>IF(CurrentMtgRatesDataTable8[[#This Row],[WA CC]]&lt;&gt;0,C848-CurrentMtgRatesDataTable8[[#This Row],[WA CC]],0)</f>
        <v>0</v>
      </c>
      <c r="L849" s="16">
        <f>IF(CurrentMtgRatesDataTable8[[#This Row],[Servicing Spread]]&lt;=0,L848,CurrentMtgRatesDataTable8[[#This Row],[Servicing Spread]])</f>
        <v>0.91068756970760179</v>
      </c>
      <c r="M849" s="16">
        <f>CurrentMtgRatesDataTable8[[#This Row],[Servicing Spread Non-Zero]]-L848</f>
        <v>0</v>
      </c>
      <c r="N849" s="16">
        <f>IF(J848&lt;&gt;0,CurrentMtgRatesDataTable8[[#This Row],[Rate]]-C848,N848)</f>
        <v>-9.9999999999997868E-3</v>
      </c>
    </row>
    <row r="850" spans="1:14">
      <c r="A850" s="39" t="s">
        <v>896</v>
      </c>
      <c r="B850" s="40">
        <v>2.8898853758214198</v>
      </c>
      <c r="C850" s="11">
        <v>3.83</v>
      </c>
      <c r="D850" s="16">
        <f t="shared" si="91"/>
        <v>7</v>
      </c>
      <c r="E850" s="16">
        <f t="shared" si="92"/>
        <v>0.2</v>
      </c>
      <c r="F850" s="16">
        <f t="shared" si="93"/>
        <v>5</v>
      </c>
      <c r="G850" s="16">
        <f t="shared" si="94"/>
        <v>2.9378238430683279</v>
      </c>
      <c r="H850" s="16">
        <f t="shared" si="95"/>
        <v>1</v>
      </c>
      <c r="I850" s="16">
        <f t="shared" si="96"/>
        <v>1</v>
      </c>
      <c r="J850" s="16">
        <f t="shared" si="97"/>
        <v>2.9378238430683279</v>
      </c>
      <c r="K850" s="16">
        <f>IF(CurrentMtgRatesDataTable8[[#This Row],[WA CC]]&lt;&gt;0,C849-CurrentMtgRatesDataTable8[[#This Row],[WA CC]],0)</f>
        <v>0.89217615693167218</v>
      </c>
      <c r="L850" s="16">
        <f>IF(CurrentMtgRatesDataTable8[[#This Row],[Servicing Spread]]&lt;=0,L849,CurrentMtgRatesDataTable8[[#This Row],[Servicing Spread]])</f>
        <v>0.89217615693167218</v>
      </c>
      <c r="M850" s="16">
        <f>CurrentMtgRatesDataTable8[[#This Row],[Servicing Spread Non-Zero]]-L849</f>
        <v>-1.8511412775929603E-2</v>
      </c>
      <c r="N850" s="16">
        <f>IF(J849&lt;&gt;0,CurrentMtgRatesDataTable8[[#This Row],[Rate]]-C849,N849)</f>
        <v>-9.9999999999997868E-3</v>
      </c>
    </row>
    <row r="851" spans="1:14">
      <c r="A851" s="39" t="s">
        <v>897</v>
      </c>
      <c r="B851" s="40">
        <v>2.85986737962509</v>
      </c>
      <c r="C851" s="11">
        <v>3.7399999999999998</v>
      </c>
      <c r="D851" s="16">
        <f t="shared" si="91"/>
        <v>1</v>
      </c>
      <c r="E851" s="16">
        <f t="shared" si="92"/>
        <v>0.2</v>
      </c>
      <c r="F851" s="16">
        <f t="shared" si="93"/>
        <v>1</v>
      </c>
      <c r="G851" s="16">
        <f t="shared" si="94"/>
        <v>0.57197347592501802</v>
      </c>
      <c r="H851" s="16">
        <f t="shared" si="95"/>
        <v>0.2</v>
      </c>
      <c r="I851" s="16">
        <f t="shared" si="96"/>
        <v>0</v>
      </c>
      <c r="J851" s="16">
        <f t="shared" si="97"/>
        <v>0</v>
      </c>
      <c r="K851" s="16">
        <f>IF(CurrentMtgRatesDataTable8[[#This Row],[WA CC]]&lt;&gt;0,C850-CurrentMtgRatesDataTable8[[#This Row],[WA CC]],0)</f>
        <v>0</v>
      </c>
      <c r="L851" s="16">
        <f>IF(CurrentMtgRatesDataTable8[[#This Row],[Servicing Spread]]&lt;=0,L850,CurrentMtgRatesDataTable8[[#This Row],[Servicing Spread]])</f>
        <v>0.89217615693167218</v>
      </c>
      <c r="M851" s="16">
        <f>CurrentMtgRatesDataTable8[[#This Row],[Servicing Spread Non-Zero]]-L850</f>
        <v>0</v>
      </c>
      <c r="N851" s="16">
        <f>IF(J850&lt;&gt;0,CurrentMtgRatesDataTable8[[#This Row],[Rate]]-C850,N850)</f>
        <v>-9.0000000000000302E-2</v>
      </c>
    </row>
    <row r="852" spans="1:14">
      <c r="A852" s="39" t="s">
        <v>898</v>
      </c>
      <c r="B852" s="40">
        <v>2.8344803887664098</v>
      </c>
      <c r="C852" s="11">
        <v>3.7399999999999998</v>
      </c>
      <c r="D852" s="16">
        <f t="shared" si="91"/>
        <v>2</v>
      </c>
      <c r="E852" s="16">
        <f t="shared" si="92"/>
        <v>0.2</v>
      </c>
      <c r="F852" s="16">
        <f t="shared" si="93"/>
        <v>2</v>
      </c>
      <c r="G852" s="16">
        <f t="shared" si="94"/>
        <v>1.1388695536783</v>
      </c>
      <c r="H852" s="16">
        <f t="shared" si="95"/>
        <v>0.4</v>
      </c>
      <c r="I852" s="16">
        <f t="shared" si="96"/>
        <v>0</v>
      </c>
      <c r="J852" s="16">
        <f t="shared" si="97"/>
        <v>0</v>
      </c>
      <c r="K852" s="16">
        <f>IF(CurrentMtgRatesDataTable8[[#This Row],[WA CC]]&lt;&gt;0,C851-CurrentMtgRatesDataTable8[[#This Row],[WA CC]],0)</f>
        <v>0</v>
      </c>
      <c r="L852" s="16">
        <f>IF(CurrentMtgRatesDataTable8[[#This Row],[Servicing Spread]]&lt;=0,L851,CurrentMtgRatesDataTable8[[#This Row],[Servicing Spread]])</f>
        <v>0.89217615693167218</v>
      </c>
      <c r="M852" s="16">
        <f>CurrentMtgRatesDataTable8[[#This Row],[Servicing Spread Non-Zero]]-L851</f>
        <v>0</v>
      </c>
      <c r="N852" s="16">
        <f>IF(J851&lt;&gt;0,CurrentMtgRatesDataTable8[[#This Row],[Rate]]-C851,N851)</f>
        <v>-9.0000000000000302E-2</v>
      </c>
    </row>
    <row r="853" spans="1:14">
      <c r="A853" s="39" t="s">
        <v>899</v>
      </c>
      <c r="B853" s="40">
        <v>2.79004351105465</v>
      </c>
      <c r="C853" s="11">
        <v>3.7399999999999998</v>
      </c>
      <c r="D853" s="16">
        <f t="shared" si="91"/>
        <v>5</v>
      </c>
      <c r="E853" s="16">
        <f t="shared" si="92"/>
        <v>0.2</v>
      </c>
      <c r="F853" s="16">
        <f t="shared" si="93"/>
        <v>3</v>
      </c>
      <c r="G853" s="16">
        <f t="shared" si="94"/>
        <v>1.6968782558892301</v>
      </c>
      <c r="H853" s="16">
        <f t="shared" si="95"/>
        <v>0.60000000000000009</v>
      </c>
      <c r="I853" s="16">
        <f t="shared" si="96"/>
        <v>0</v>
      </c>
      <c r="J853" s="16">
        <f t="shared" si="97"/>
        <v>0</v>
      </c>
      <c r="K853" s="16">
        <f>IF(CurrentMtgRatesDataTable8[[#This Row],[WA CC]]&lt;&gt;0,C852-CurrentMtgRatesDataTable8[[#This Row],[WA CC]],0)</f>
        <v>0</v>
      </c>
      <c r="L853" s="16">
        <f>IF(CurrentMtgRatesDataTable8[[#This Row],[Servicing Spread]]&lt;=0,L852,CurrentMtgRatesDataTable8[[#This Row],[Servicing Spread]])</f>
        <v>0.89217615693167218</v>
      </c>
      <c r="M853" s="16">
        <f>CurrentMtgRatesDataTable8[[#This Row],[Servicing Spread Non-Zero]]-L852</f>
        <v>0</v>
      </c>
      <c r="N853" s="16">
        <f>IF(J852&lt;&gt;0,CurrentMtgRatesDataTable8[[#This Row],[Rate]]-C852,N852)</f>
        <v>-9.0000000000000302E-2</v>
      </c>
    </row>
    <row r="854" spans="1:14">
      <c r="A854" s="39" t="s">
        <v>900</v>
      </c>
      <c r="B854" s="40">
        <v>2.9080768711615201</v>
      </c>
      <c r="C854" s="11">
        <v>3.7399999999999998</v>
      </c>
      <c r="D854" s="16">
        <f t="shared" si="91"/>
        <v>6</v>
      </c>
      <c r="E854" s="16">
        <f t="shared" si="92"/>
        <v>0.2</v>
      </c>
      <c r="F854" s="16">
        <f t="shared" si="93"/>
        <v>4</v>
      </c>
      <c r="G854" s="16">
        <f t="shared" si="94"/>
        <v>2.2784936301215342</v>
      </c>
      <c r="H854" s="16">
        <f t="shared" si="95"/>
        <v>0.8</v>
      </c>
      <c r="I854" s="16">
        <f t="shared" si="96"/>
        <v>0</v>
      </c>
      <c r="J854" s="16">
        <f t="shared" si="97"/>
        <v>0</v>
      </c>
      <c r="K854" s="16">
        <f>IF(CurrentMtgRatesDataTable8[[#This Row],[WA CC]]&lt;&gt;0,C853-CurrentMtgRatesDataTable8[[#This Row],[WA CC]],0)</f>
        <v>0</v>
      </c>
      <c r="L854" s="16">
        <f>IF(CurrentMtgRatesDataTable8[[#This Row],[Servicing Spread]]&lt;=0,L853,CurrentMtgRatesDataTable8[[#This Row],[Servicing Spread]])</f>
        <v>0.89217615693167218</v>
      </c>
      <c r="M854" s="16">
        <f>CurrentMtgRatesDataTable8[[#This Row],[Servicing Spread Non-Zero]]-L853</f>
        <v>0</v>
      </c>
      <c r="N854" s="16">
        <f>IF(J853&lt;&gt;0,CurrentMtgRatesDataTable8[[#This Row],[Rate]]-C853,N853)</f>
        <v>-9.0000000000000302E-2</v>
      </c>
    </row>
    <row r="855" spans="1:14">
      <c r="A855" s="39" t="s">
        <v>901</v>
      </c>
      <c r="B855" s="40">
        <v>2.9117942461472701</v>
      </c>
      <c r="C855" s="11">
        <v>3.7399999999999998</v>
      </c>
      <c r="D855" s="16">
        <f t="shared" si="91"/>
        <v>7</v>
      </c>
      <c r="E855" s="16">
        <f t="shared" si="92"/>
        <v>0.2</v>
      </c>
      <c r="F855" s="16">
        <f t="shared" si="93"/>
        <v>5</v>
      </c>
      <c r="G855" s="16">
        <f t="shared" si="94"/>
        <v>2.8608524793509882</v>
      </c>
      <c r="H855" s="16">
        <f t="shared" si="95"/>
        <v>1</v>
      </c>
      <c r="I855" s="16">
        <f t="shared" si="96"/>
        <v>1</v>
      </c>
      <c r="J855" s="16">
        <f t="shared" si="97"/>
        <v>2.8608524793509882</v>
      </c>
      <c r="K855" s="16">
        <f>IF(CurrentMtgRatesDataTable8[[#This Row],[WA CC]]&lt;&gt;0,C854-CurrentMtgRatesDataTable8[[#This Row],[WA CC]],0)</f>
        <v>0.87914752064901158</v>
      </c>
      <c r="L855" s="16">
        <f>IF(CurrentMtgRatesDataTable8[[#This Row],[Servicing Spread]]&lt;=0,L854,CurrentMtgRatesDataTable8[[#This Row],[Servicing Spread]])</f>
        <v>0.87914752064901158</v>
      </c>
      <c r="M855" s="16">
        <f>CurrentMtgRatesDataTable8[[#This Row],[Servicing Spread Non-Zero]]-L854</f>
        <v>-1.3028636282660599E-2</v>
      </c>
      <c r="N855" s="16">
        <f>IF(J854&lt;&gt;0,CurrentMtgRatesDataTable8[[#This Row],[Rate]]-C854,N854)</f>
        <v>-9.0000000000000302E-2</v>
      </c>
    </row>
    <row r="856" spans="1:14">
      <c r="A856" s="39" t="s">
        <v>902</v>
      </c>
      <c r="B856" s="40">
        <v>2.9085457311755398</v>
      </c>
      <c r="C856" s="11">
        <v>3.79</v>
      </c>
      <c r="D856" s="16">
        <f t="shared" si="91"/>
        <v>1</v>
      </c>
      <c r="E856" s="16">
        <f t="shared" si="92"/>
        <v>0.2</v>
      </c>
      <c r="F856" s="16">
        <f t="shared" si="93"/>
        <v>1</v>
      </c>
      <c r="G856" s="16">
        <f t="shared" si="94"/>
        <v>0.58170914623510794</v>
      </c>
      <c r="H856" s="16">
        <f t="shared" si="95"/>
        <v>0.2</v>
      </c>
      <c r="I856" s="16">
        <f t="shared" si="96"/>
        <v>0</v>
      </c>
      <c r="J856" s="16">
        <f t="shared" si="97"/>
        <v>0</v>
      </c>
      <c r="K856" s="16">
        <f>IF(CurrentMtgRatesDataTable8[[#This Row],[WA CC]]&lt;&gt;0,C855-CurrentMtgRatesDataTable8[[#This Row],[WA CC]],0)</f>
        <v>0</v>
      </c>
      <c r="L856" s="16">
        <f>IF(CurrentMtgRatesDataTable8[[#This Row],[Servicing Spread]]&lt;=0,L855,CurrentMtgRatesDataTable8[[#This Row],[Servicing Spread]])</f>
        <v>0.87914752064901158</v>
      </c>
      <c r="M856" s="16">
        <f>CurrentMtgRatesDataTable8[[#This Row],[Servicing Spread Non-Zero]]-L855</f>
        <v>0</v>
      </c>
      <c r="N856" s="16">
        <f>IF(J855&lt;&gt;0,CurrentMtgRatesDataTable8[[#This Row],[Rate]]-C855,N855)</f>
        <v>5.0000000000000266E-2</v>
      </c>
    </row>
    <row r="857" spans="1:14">
      <c r="A857" s="39" t="s">
        <v>903</v>
      </c>
      <c r="B857" s="40">
        <v>2.9130814289562301</v>
      </c>
      <c r="C857" s="11">
        <v>3.79</v>
      </c>
      <c r="D857" s="16">
        <f t="shared" si="91"/>
        <v>2</v>
      </c>
      <c r="E857" s="16">
        <f t="shared" si="92"/>
        <v>0.2</v>
      </c>
      <c r="F857" s="16">
        <f t="shared" si="93"/>
        <v>2</v>
      </c>
      <c r="G857" s="16">
        <f t="shared" si="94"/>
        <v>1.1643254320263541</v>
      </c>
      <c r="H857" s="16">
        <f t="shared" si="95"/>
        <v>0.4</v>
      </c>
      <c r="I857" s="16">
        <f t="shared" si="96"/>
        <v>0</v>
      </c>
      <c r="J857" s="16">
        <f t="shared" si="97"/>
        <v>0</v>
      </c>
      <c r="K857" s="16">
        <f>IF(CurrentMtgRatesDataTable8[[#This Row],[WA CC]]&lt;&gt;0,C856-CurrentMtgRatesDataTable8[[#This Row],[WA CC]],0)</f>
        <v>0</v>
      </c>
      <c r="L857" s="16">
        <f>IF(CurrentMtgRatesDataTable8[[#This Row],[Servicing Spread]]&lt;=0,L856,CurrentMtgRatesDataTable8[[#This Row],[Servicing Spread]])</f>
        <v>0.87914752064901158</v>
      </c>
      <c r="M857" s="16">
        <f>CurrentMtgRatesDataTable8[[#This Row],[Servicing Spread Non-Zero]]-L856</f>
        <v>0</v>
      </c>
      <c r="N857" s="16">
        <f>IF(J856&lt;&gt;0,CurrentMtgRatesDataTable8[[#This Row],[Rate]]-C856,N856)</f>
        <v>5.0000000000000266E-2</v>
      </c>
    </row>
    <row r="858" spans="1:14">
      <c r="A858" s="39" t="s">
        <v>904</v>
      </c>
      <c r="B858" s="40">
        <v>2.9344470402340699</v>
      </c>
      <c r="C858" s="11">
        <v>3.79</v>
      </c>
      <c r="D858" s="16">
        <f t="shared" si="91"/>
        <v>5</v>
      </c>
      <c r="E858" s="16">
        <f t="shared" si="92"/>
        <v>0.2</v>
      </c>
      <c r="F858" s="16">
        <f t="shared" si="93"/>
        <v>3</v>
      </c>
      <c r="G858" s="16">
        <f t="shared" si="94"/>
        <v>1.751214840073168</v>
      </c>
      <c r="H858" s="16">
        <f t="shared" si="95"/>
        <v>0.60000000000000009</v>
      </c>
      <c r="I858" s="16">
        <f t="shared" si="96"/>
        <v>0</v>
      </c>
      <c r="J858" s="16">
        <f t="shared" si="97"/>
        <v>0</v>
      </c>
      <c r="K858" s="16">
        <f>IF(CurrentMtgRatesDataTable8[[#This Row],[WA CC]]&lt;&gt;0,C857-CurrentMtgRatesDataTable8[[#This Row],[WA CC]],0)</f>
        <v>0</v>
      </c>
      <c r="L858" s="16">
        <f>IF(CurrentMtgRatesDataTable8[[#This Row],[Servicing Spread]]&lt;=0,L857,CurrentMtgRatesDataTable8[[#This Row],[Servicing Spread]])</f>
        <v>0.87914752064901158</v>
      </c>
      <c r="M858" s="16">
        <f>CurrentMtgRatesDataTable8[[#This Row],[Servicing Spread Non-Zero]]-L857</f>
        <v>0</v>
      </c>
      <c r="N858" s="16">
        <f>IF(J857&lt;&gt;0,CurrentMtgRatesDataTable8[[#This Row],[Rate]]-C857,N857)</f>
        <v>5.0000000000000266E-2</v>
      </c>
    </row>
    <row r="859" spans="1:14">
      <c r="A859" s="39" t="s">
        <v>905</v>
      </c>
      <c r="B859" s="40">
        <v>2.9096799662845698</v>
      </c>
      <c r="C859" s="11">
        <v>3.79</v>
      </c>
      <c r="D859" s="16">
        <f t="shared" si="91"/>
        <v>6</v>
      </c>
      <c r="E859" s="16">
        <f t="shared" si="92"/>
        <v>0.2</v>
      </c>
      <c r="F859" s="16">
        <f t="shared" si="93"/>
        <v>4</v>
      </c>
      <c r="G859" s="16">
        <f t="shared" si="94"/>
        <v>2.3331508333300821</v>
      </c>
      <c r="H859" s="16">
        <f t="shared" si="95"/>
        <v>0.8</v>
      </c>
      <c r="I859" s="16">
        <f t="shared" si="96"/>
        <v>0</v>
      </c>
      <c r="J859" s="16">
        <f t="shared" si="97"/>
        <v>0</v>
      </c>
      <c r="K859" s="16">
        <f>IF(CurrentMtgRatesDataTable8[[#This Row],[WA CC]]&lt;&gt;0,C858-CurrentMtgRatesDataTable8[[#This Row],[WA CC]],0)</f>
        <v>0</v>
      </c>
      <c r="L859" s="16">
        <f>IF(CurrentMtgRatesDataTable8[[#This Row],[Servicing Spread]]&lt;=0,L858,CurrentMtgRatesDataTable8[[#This Row],[Servicing Spread]])</f>
        <v>0.87914752064901158</v>
      </c>
      <c r="M859" s="16">
        <f>CurrentMtgRatesDataTable8[[#This Row],[Servicing Spread Non-Zero]]-L858</f>
        <v>0</v>
      </c>
      <c r="N859" s="16">
        <f>IF(J858&lt;&gt;0,CurrentMtgRatesDataTable8[[#This Row],[Rate]]-C858,N858)</f>
        <v>5.0000000000000266E-2</v>
      </c>
    </row>
    <row r="860" spans="1:14">
      <c r="A860" s="39" t="s">
        <v>906</v>
      </c>
      <c r="B860" s="40">
        <v>2.9358931445910401</v>
      </c>
      <c r="C860" s="11">
        <v>3.79</v>
      </c>
      <c r="D860" s="16">
        <f t="shared" si="91"/>
        <v>7</v>
      </c>
      <c r="E860" s="16">
        <f t="shared" si="92"/>
        <v>0.2</v>
      </c>
      <c r="F860" s="16">
        <f t="shared" si="93"/>
        <v>5</v>
      </c>
      <c r="G860" s="16">
        <f t="shared" si="94"/>
        <v>2.92032946224829</v>
      </c>
      <c r="H860" s="16">
        <f t="shared" si="95"/>
        <v>1</v>
      </c>
      <c r="I860" s="16">
        <f t="shared" si="96"/>
        <v>1</v>
      </c>
      <c r="J860" s="16">
        <f t="shared" si="97"/>
        <v>2.92032946224829</v>
      </c>
      <c r="K860" s="16">
        <f>IF(CurrentMtgRatesDataTable8[[#This Row],[WA CC]]&lt;&gt;0,C859-CurrentMtgRatesDataTable8[[#This Row],[WA CC]],0)</f>
        <v>0.86967053775170999</v>
      </c>
      <c r="L860" s="16">
        <f>IF(CurrentMtgRatesDataTable8[[#This Row],[Servicing Spread]]&lt;=0,L859,CurrentMtgRatesDataTable8[[#This Row],[Servicing Spread]])</f>
        <v>0.86967053775170999</v>
      </c>
      <c r="M860" s="16">
        <f>CurrentMtgRatesDataTable8[[#This Row],[Servicing Spread Non-Zero]]-L859</f>
        <v>-9.476982897301589E-3</v>
      </c>
      <c r="N860" s="16">
        <f>IF(J859&lt;&gt;0,CurrentMtgRatesDataTable8[[#This Row],[Rate]]-C859,N859)</f>
        <v>5.0000000000000266E-2</v>
      </c>
    </row>
    <row r="861" spans="1:14">
      <c r="A861" s="39" t="s">
        <v>907</v>
      </c>
      <c r="B861" s="40">
        <v>2.90498942377981</v>
      </c>
      <c r="C861" s="11">
        <v>3.8</v>
      </c>
      <c r="D861" s="16">
        <f t="shared" si="91"/>
        <v>1</v>
      </c>
      <c r="E861" s="16">
        <f t="shared" si="92"/>
        <v>0.2</v>
      </c>
      <c r="F861" s="16">
        <f t="shared" si="93"/>
        <v>1</v>
      </c>
      <c r="G861" s="16">
        <f t="shared" si="94"/>
        <v>0.58099788475596204</v>
      </c>
      <c r="H861" s="16">
        <f t="shared" si="95"/>
        <v>0.2</v>
      </c>
      <c r="I861" s="16">
        <f t="shared" si="96"/>
        <v>0</v>
      </c>
      <c r="J861" s="16">
        <f t="shared" si="97"/>
        <v>0</v>
      </c>
      <c r="K861" s="16">
        <f>IF(CurrentMtgRatesDataTable8[[#This Row],[WA CC]]&lt;&gt;0,C860-CurrentMtgRatesDataTable8[[#This Row],[WA CC]],0)</f>
        <v>0</v>
      </c>
      <c r="L861" s="16">
        <f>IF(CurrentMtgRatesDataTable8[[#This Row],[Servicing Spread]]&lt;=0,L860,CurrentMtgRatesDataTable8[[#This Row],[Servicing Spread]])</f>
        <v>0.86967053775170999</v>
      </c>
      <c r="M861" s="16">
        <f>CurrentMtgRatesDataTable8[[#This Row],[Servicing Spread Non-Zero]]-L860</f>
        <v>0</v>
      </c>
      <c r="N861" s="16">
        <f>IF(J860&lt;&gt;0,CurrentMtgRatesDataTable8[[#This Row],[Rate]]-C860,N860)</f>
        <v>9.9999999999997868E-3</v>
      </c>
    </row>
    <row r="862" spans="1:14">
      <c r="A862" s="39" t="s">
        <v>908</v>
      </c>
      <c r="B862" s="40">
        <v>2.8787744272910301</v>
      </c>
      <c r="C862" s="11">
        <v>3.8</v>
      </c>
      <c r="D862" s="16">
        <f t="shared" si="91"/>
        <v>2</v>
      </c>
      <c r="E862" s="16">
        <f t="shared" si="92"/>
        <v>0.2</v>
      </c>
      <c r="F862" s="16">
        <f t="shared" si="93"/>
        <v>2</v>
      </c>
      <c r="G862" s="16">
        <f t="shared" si="94"/>
        <v>1.156752770214168</v>
      </c>
      <c r="H862" s="16">
        <f t="shared" si="95"/>
        <v>0.4</v>
      </c>
      <c r="I862" s="16">
        <f t="shared" si="96"/>
        <v>0</v>
      </c>
      <c r="J862" s="16">
        <f t="shared" si="97"/>
        <v>0</v>
      </c>
      <c r="K862" s="16">
        <f>IF(CurrentMtgRatesDataTable8[[#This Row],[WA CC]]&lt;&gt;0,C861-CurrentMtgRatesDataTable8[[#This Row],[WA CC]],0)</f>
        <v>0</v>
      </c>
      <c r="L862" s="16">
        <f>IF(CurrentMtgRatesDataTable8[[#This Row],[Servicing Spread]]&lt;=0,L861,CurrentMtgRatesDataTable8[[#This Row],[Servicing Spread]])</f>
        <v>0.86967053775170999</v>
      </c>
      <c r="M862" s="16">
        <f>CurrentMtgRatesDataTable8[[#This Row],[Servicing Spread Non-Zero]]-L861</f>
        <v>0</v>
      </c>
      <c r="N862" s="16">
        <f>IF(J861&lt;&gt;0,CurrentMtgRatesDataTable8[[#This Row],[Rate]]-C861,N861)</f>
        <v>9.9999999999997868E-3</v>
      </c>
    </row>
    <row r="863" spans="1:14">
      <c r="A863" s="39" t="s">
        <v>909</v>
      </c>
      <c r="B863" s="40">
        <v>2.9185627226684798</v>
      </c>
      <c r="C863" s="11">
        <v>3.8</v>
      </c>
      <c r="D863" s="16">
        <f t="shared" si="91"/>
        <v>6</v>
      </c>
      <c r="E863" s="16">
        <f t="shared" si="92"/>
        <v>0.2</v>
      </c>
      <c r="F863" s="16">
        <f t="shared" si="93"/>
        <v>3</v>
      </c>
      <c r="G863" s="16">
        <f t="shared" si="94"/>
        <v>1.7404653147478641</v>
      </c>
      <c r="H863" s="16">
        <f t="shared" si="95"/>
        <v>0.60000000000000009</v>
      </c>
      <c r="I863" s="16">
        <f t="shared" si="96"/>
        <v>0</v>
      </c>
      <c r="J863" s="16">
        <f t="shared" si="97"/>
        <v>0</v>
      </c>
      <c r="K863" s="16">
        <f>IF(CurrentMtgRatesDataTable8[[#This Row],[WA CC]]&lt;&gt;0,C862-CurrentMtgRatesDataTable8[[#This Row],[WA CC]],0)</f>
        <v>0</v>
      </c>
      <c r="L863" s="16">
        <f>IF(CurrentMtgRatesDataTable8[[#This Row],[Servicing Spread]]&lt;=0,L862,CurrentMtgRatesDataTable8[[#This Row],[Servicing Spread]])</f>
        <v>0.86967053775170999</v>
      </c>
      <c r="M863" s="16">
        <f>CurrentMtgRatesDataTable8[[#This Row],[Servicing Spread Non-Zero]]-L862</f>
        <v>0</v>
      </c>
      <c r="N863" s="16">
        <f>IF(J862&lt;&gt;0,CurrentMtgRatesDataTable8[[#This Row],[Rate]]-C862,N862)</f>
        <v>9.9999999999997868E-3</v>
      </c>
    </row>
    <row r="864" spans="1:14">
      <c r="A864" s="39" t="s">
        <v>910</v>
      </c>
      <c r="B864" s="40">
        <v>2.9027513521030701</v>
      </c>
      <c r="C864" s="11">
        <v>3.8</v>
      </c>
      <c r="D864" s="16">
        <f t="shared" si="91"/>
        <v>7</v>
      </c>
      <c r="E864" s="16">
        <f t="shared" si="92"/>
        <v>0.2</v>
      </c>
      <c r="F864" s="16">
        <f t="shared" si="93"/>
        <v>4</v>
      </c>
      <c r="G864" s="16">
        <f t="shared" si="94"/>
        <v>2.3210155851684782</v>
      </c>
      <c r="H864" s="16">
        <f t="shared" si="95"/>
        <v>0.8</v>
      </c>
      <c r="I864" s="16">
        <f t="shared" si="96"/>
        <v>1</v>
      </c>
      <c r="J864" s="16">
        <f t="shared" si="97"/>
        <v>2.9012694814605977</v>
      </c>
      <c r="K864" s="16">
        <f>IF(CurrentMtgRatesDataTable8[[#This Row],[WA CC]]&lt;&gt;0,C863-CurrentMtgRatesDataTable8[[#This Row],[WA CC]],0)</f>
        <v>0.89873051853940211</v>
      </c>
      <c r="L864" s="16">
        <f>IF(CurrentMtgRatesDataTable8[[#This Row],[Servicing Spread]]&lt;=0,L863,CurrentMtgRatesDataTable8[[#This Row],[Servicing Spread]])</f>
        <v>0.89873051853940211</v>
      </c>
      <c r="M864" s="16">
        <f>CurrentMtgRatesDataTable8[[#This Row],[Servicing Spread Non-Zero]]-L863</f>
        <v>2.9059980787692119E-2</v>
      </c>
      <c r="N864" s="16">
        <f>IF(J863&lt;&gt;0,CurrentMtgRatesDataTable8[[#This Row],[Rate]]-C863,N863)</f>
        <v>9.9999999999997868E-3</v>
      </c>
    </row>
    <row r="865" spans="1:14">
      <c r="A865" s="39" t="s">
        <v>911</v>
      </c>
      <c r="B865" s="40">
        <v>2.9327229891480799</v>
      </c>
      <c r="C865" s="11">
        <v>3.81</v>
      </c>
      <c r="D865" s="16">
        <f t="shared" si="91"/>
        <v>1</v>
      </c>
      <c r="E865" s="16">
        <f t="shared" si="92"/>
        <v>0.2</v>
      </c>
      <c r="F865" s="16">
        <f t="shared" si="93"/>
        <v>1</v>
      </c>
      <c r="G865" s="16">
        <f t="shared" si="94"/>
        <v>0.58654459782961599</v>
      </c>
      <c r="H865" s="16">
        <f t="shared" si="95"/>
        <v>0.2</v>
      </c>
      <c r="I865" s="16">
        <f t="shared" si="96"/>
        <v>0</v>
      </c>
      <c r="J865" s="16">
        <f t="shared" si="97"/>
        <v>0</v>
      </c>
      <c r="K865" s="16">
        <f>IF(CurrentMtgRatesDataTable8[[#This Row],[WA CC]]&lt;&gt;0,C864-CurrentMtgRatesDataTable8[[#This Row],[WA CC]],0)</f>
        <v>0</v>
      </c>
      <c r="L865" s="16">
        <f>IF(CurrentMtgRatesDataTable8[[#This Row],[Servicing Spread]]&lt;=0,L864,CurrentMtgRatesDataTable8[[#This Row],[Servicing Spread]])</f>
        <v>0.89873051853940211</v>
      </c>
      <c r="M865" s="16">
        <f>CurrentMtgRatesDataTable8[[#This Row],[Servicing Spread Non-Zero]]-L864</f>
        <v>0</v>
      </c>
      <c r="N865" s="16">
        <f>IF(J864&lt;&gt;0,CurrentMtgRatesDataTable8[[#This Row],[Rate]]-C864,N864)</f>
        <v>1.0000000000000231E-2</v>
      </c>
    </row>
    <row r="866" spans="1:14">
      <c r="A866" s="39" t="s">
        <v>912</v>
      </c>
      <c r="B866" s="40">
        <v>2.9154645829543302</v>
      </c>
      <c r="C866" s="11">
        <v>3.81</v>
      </c>
      <c r="D866" s="16">
        <f t="shared" si="91"/>
        <v>2</v>
      </c>
      <c r="E866" s="16">
        <f t="shared" si="92"/>
        <v>0.2</v>
      </c>
      <c r="F866" s="16">
        <f t="shared" si="93"/>
        <v>2</v>
      </c>
      <c r="G866" s="16">
        <f t="shared" si="94"/>
        <v>1.169637514420482</v>
      </c>
      <c r="H866" s="16">
        <f t="shared" si="95"/>
        <v>0.4</v>
      </c>
      <c r="I866" s="16">
        <f t="shared" si="96"/>
        <v>0</v>
      </c>
      <c r="J866" s="16">
        <f t="shared" si="97"/>
        <v>0</v>
      </c>
      <c r="K866" s="16">
        <f>IF(CurrentMtgRatesDataTable8[[#This Row],[WA CC]]&lt;&gt;0,C865-CurrentMtgRatesDataTable8[[#This Row],[WA CC]],0)</f>
        <v>0</v>
      </c>
      <c r="L866" s="16">
        <f>IF(CurrentMtgRatesDataTable8[[#This Row],[Servicing Spread]]&lt;=0,L865,CurrentMtgRatesDataTable8[[#This Row],[Servicing Spread]])</f>
        <v>0.89873051853940211</v>
      </c>
      <c r="M866" s="16">
        <f>CurrentMtgRatesDataTable8[[#This Row],[Servicing Spread Non-Zero]]-L865</f>
        <v>0</v>
      </c>
      <c r="N866" s="16">
        <f>IF(J865&lt;&gt;0,CurrentMtgRatesDataTable8[[#This Row],[Rate]]-C865,N865)</f>
        <v>1.0000000000000231E-2</v>
      </c>
    </row>
    <row r="867" spans="1:14">
      <c r="A867" s="39" t="s">
        <v>913</v>
      </c>
      <c r="B867" s="40">
        <v>2.90800506731745</v>
      </c>
      <c r="C867" s="11">
        <v>3.81</v>
      </c>
      <c r="D867" s="16">
        <f t="shared" si="91"/>
        <v>5</v>
      </c>
      <c r="E867" s="16">
        <f t="shared" si="92"/>
        <v>0.2</v>
      </c>
      <c r="F867" s="16">
        <f t="shared" si="93"/>
        <v>3</v>
      </c>
      <c r="G867" s="16">
        <f t="shared" si="94"/>
        <v>1.7512385278839719</v>
      </c>
      <c r="H867" s="16">
        <f t="shared" si="95"/>
        <v>0.60000000000000009</v>
      </c>
      <c r="I867" s="16">
        <f t="shared" si="96"/>
        <v>0</v>
      </c>
      <c r="J867" s="16">
        <f t="shared" si="97"/>
        <v>0</v>
      </c>
      <c r="K867" s="16">
        <f>IF(CurrentMtgRatesDataTable8[[#This Row],[WA CC]]&lt;&gt;0,C866-CurrentMtgRatesDataTable8[[#This Row],[WA CC]],0)</f>
        <v>0</v>
      </c>
      <c r="L867" s="16">
        <f>IF(CurrentMtgRatesDataTable8[[#This Row],[Servicing Spread]]&lt;=0,L866,CurrentMtgRatesDataTable8[[#This Row],[Servicing Spread]])</f>
        <v>0.89873051853940211</v>
      </c>
      <c r="M867" s="16">
        <f>CurrentMtgRatesDataTable8[[#This Row],[Servicing Spread Non-Zero]]-L866</f>
        <v>0</v>
      </c>
      <c r="N867" s="16">
        <f>IF(J866&lt;&gt;0,CurrentMtgRatesDataTable8[[#This Row],[Rate]]-C866,N866)</f>
        <v>1.0000000000000231E-2</v>
      </c>
    </row>
    <row r="868" spans="1:14">
      <c r="A868" s="39" t="s">
        <v>914</v>
      </c>
      <c r="B868" s="40">
        <v>2.9912109118513701</v>
      </c>
      <c r="C868" s="11">
        <v>3.81</v>
      </c>
      <c r="D868" s="16">
        <f t="shared" si="91"/>
        <v>6</v>
      </c>
      <c r="E868" s="16">
        <f t="shared" si="92"/>
        <v>0.2</v>
      </c>
      <c r="F868" s="16">
        <f t="shared" si="93"/>
        <v>4</v>
      </c>
      <c r="G868" s="16">
        <f t="shared" si="94"/>
        <v>2.3494807102542459</v>
      </c>
      <c r="H868" s="16">
        <f t="shared" si="95"/>
        <v>0.8</v>
      </c>
      <c r="I868" s="16">
        <f t="shared" si="96"/>
        <v>0</v>
      </c>
      <c r="J868" s="16">
        <f t="shared" si="97"/>
        <v>0</v>
      </c>
      <c r="K868" s="16">
        <f>IF(CurrentMtgRatesDataTable8[[#This Row],[WA CC]]&lt;&gt;0,C867-CurrentMtgRatesDataTable8[[#This Row],[WA CC]],0)</f>
        <v>0</v>
      </c>
      <c r="L868" s="16">
        <f>IF(CurrentMtgRatesDataTable8[[#This Row],[Servicing Spread]]&lt;=0,L867,CurrentMtgRatesDataTable8[[#This Row],[Servicing Spread]])</f>
        <v>0.89873051853940211</v>
      </c>
      <c r="M868" s="16">
        <f>CurrentMtgRatesDataTable8[[#This Row],[Servicing Spread Non-Zero]]-L867</f>
        <v>0</v>
      </c>
      <c r="N868" s="16">
        <f>IF(J867&lt;&gt;0,CurrentMtgRatesDataTable8[[#This Row],[Rate]]-C867,N867)</f>
        <v>1.0000000000000231E-2</v>
      </c>
    </row>
    <row r="869" spans="1:14">
      <c r="A869" s="39" t="s">
        <v>915</v>
      </c>
      <c r="B869" s="40">
        <v>2.9926621611582802</v>
      </c>
      <c r="C869" s="11">
        <v>3.81</v>
      </c>
      <c r="D869" s="16">
        <f t="shared" si="91"/>
        <v>7</v>
      </c>
      <c r="E869" s="16">
        <f t="shared" si="92"/>
        <v>0.2</v>
      </c>
      <c r="F869" s="16">
        <f t="shared" si="93"/>
        <v>5</v>
      </c>
      <c r="G869" s="16">
        <f t="shared" si="94"/>
        <v>2.9480131424859017</v>
      </c>
      <c r="H869" s="16">
        <f t="shared" si="95"/>
        <v>1</v>
      </c>
      <c r="I869" s="16">
        <f t="shared" si="96"/>
        <v>1</v>
      </c>
      <c r="J869" s="16">
        <f t="shared" si="97"/>
        <v>2.9480131424859017</v>
      </c>
      <c r="K869" s="16">
        <f>IF(CurrentMtgRatesDataTable8[[#This Row],[WA CC]]&lt;&gt;0,C868-CurrentMtgRatesDataTable8[[#This Row],[WA CC]],0)</f>
        <v>0.86198685751409831</v>
      </c>
      <c r="L869" s="16">
        <f>IF(CurrentMtgRatesDataTable8[[#This Row],[Servicing Spread]]&lt;=0,L868,CurrentMtgRatesDataTable8[[#This Row],[Servicing Spread]])</f>
        <v>0.86198685751409831</v>
      </c>
      <c r="M869" s="16">
        <f>CurrentMtgRatesDataTable8[[#This Row],[Servicing Spread Non-Zero]]-L868</f>
        <v>-3.6743661025303798E-2</v>
      </c>
      <c r="N869" s="16">
        <f>IF(J868&lt;&gt;0,CurrentMtgRatesDataTable8[[#This Row],[Rate]]-C868,N868)</f>
        <v>1.0000000000000231E-2</v>
      </c>
    </row>
    <row r="870" spans="1:14">
      <c r="A870" s="39" t="s">
        <v>916</v>
      </c>
      <c r="B870" s="40">
        <v>2.8946199392202701</v>
      </c>
      <c r="C870" s="11">
        <v>3.7849999999999997</v>
      </c>
      <c r="D870" s="16">
        <f t="shared" si="91"/>
        <v>1</v>
      </c>
      <c r="E870" s="16">
        <f t="shared" si="92"/>
        <v>0.2</v>
      </c>
      <c r="F870" s="16">
        <f t="shared" si="93"/>
        <v>1</v>
      </c>
      <c r="G870" s="16">
        <f t="shared" si="94"/>
        <v>0.57892398784405408</v>
      </c>
      <c r="H870" s="16">
        <f t="shared" si="95"/>
        <v>0.2</v>
      </c>
      <c r="I870" s="16">
        <f t="shared" si="96"/>
        <v>0</v>
      </c>
      <c r="J870" s="16">
        <f t="shared" si="97"/>
        <v>0</v>
      </c>
      <c r="K870" s="16">
        <f>IF(CurrentMtgRatesDataTable8[[#This Row],[WA CC]]&lt;&gt;0,C869-CurrentMtgRatesDataTable8[[#This Row],[WA CC]],0)</f>
        <v>0</v>
      </c>
      <c r="L870" s="16">
        <f>IF(CurrentMtgRatesDataTable8[[#This Row],[Servicing Spread]]&lt;=0,L869,CurrentMtgRatesDataTable8[[#This Row],[Servicing Spread]])</f>
        <v>0.86198685751409831</v>
      </c>
      <c r="M870" s="16">
        <f>CurrentMtgRatesDataTable8[[#This Row],[Servicing Spread Non-Zero]]-L869</f>
        <v>0</v>
      </c>
      <c r="N870" s="16">
        <f>IF(J869&lt;&gt;0,CurrentMtgRatesDataTable8[[#This Row],[Rate]]-C869,N869)</f>
        <v>-2.5000000000000355E-2</v>
      </c>
    </row>
    <row r="871" spans="1:14">
      <c r="A871" s="39" t="s">
        <v>917</v>
      </c>
      <c r="B871" s="40">
        <v>2.8362882018725202</v>
      </c>
      <c r="C871" s="11">
        <v>3.7849999999999997</v>
      </c>
      <c r="D871" s="16">
        <f t="shared" si="91"/>
        <v>2</v>
      </c>
      <c r="E871" s="16">
        <f t="shared" si="92"/>
        <v>0.2</v>
      </c>
      <c r="F871" s="16">
        <f t="shared" si="93"/>
        <v>2</v>
      </c>
      <c r="G871" s="16">
        <f t="shared" si="94"/>
        <v>1.1461816282185582</v>
      </c>
      <c r="H871" s="16">
        <f t="shared" si="95"/>
        <v>0.4</v>
      </c>
      <c r="I871" s="16">
        <f t="shared" si="96"/>
        <v>0</v>
      </c>
      <c r="J871" s="16">
        <f t="shared" si="97"/>
        <v>0</v>
      </c>
      <c r="K871" s="16">
        <f>IF(CurrentMtgRatesDataTable8[[#This Row],[WA CC]]&lt;&gt;0,C870-CurrentMtgRatesDataTable8[[#This Row],[WA CC]],0)</f>
        <v>0</v>
      </c>
      <c r="L871" s="16">
        <f>IF(CurrentMtgRatesDataTable8[[#This Row],[Servicing Spread]]&lt;=0,L870,CurrentMtgRatesDataTable8[[#This Row],[Servicing Spread]])</f>
        <v>0.86198685751409831</v>
      </c>
      <c r="M871" s="16">
        <f>CurrentMtgRatesDataTable8[[#This Row],[Servicing Spread Non-Zero]]-L870</f>
        <v>0</v>
      </c>
      <c r="N871" s="16">
        <f>IF(J870&lt;&gt;0,CurrentMtgRatesDataTable8[[#This Row],[Rate]]-C870,N870)</f>
        <v>-2.5000000000000355E-2</v>
      </c>
    </row>
    <row r="872" spans="1:14">
      <c r="A872" s="39" t="s">
        <v>918</v>
      </c>
      <c r="B872" s="40">
        <v>2.91486476009828</v>
      </c>
      <c r="C872" s="11">
        <v>3.7849999999999997</v>
      </c>
      <c r="D872" s="16">
        <f t="shared" si="91"/>
        <v>5</v>
      </c>
      <c r="E872" s="16">
        <f t="shared" si="92"/>
        <v>0.2</v>
      </c>
      <c r="F872" s="16">
        <f t="shared" si="93"/>
        <v>3</v>
      </c>
      <c r="G872" s="16">
        <f t="shared" si="94"/>
        <v>1.7291545802382142</v>
      </c>
      <c r="H872" s="16">
        <f t="shared" si="95"/>
        <v>0.60000000000000009</v>
      </c>
      <c r="I872" s="16">
        <f t="shared" si="96"/>
        <v>0</v>
      </c>
      <c r="J872" s="16">
        <f t="shared" si="97"/>
        <v>0</v>
      </c>
      <c r="K872" s="16">
        <f>IF(CurrentMtgRatesDataTable8[[#This Row],[WA CC]]&lt;&gt;0,C871-CurrentMtgRatesDataTable8[[#This Row],[WA CC]],0)</f>
        <v>0</v>
      </c>
      <c r="L872" s="16">
        <f>IF(CurrentMtgRatesDataTable8[[#This Row],[Servicing Spread]]&lt;=0,L871,CurrentMtgRatesDataTable8[[#This Row],[Servicing Spread]])</f>
        <v>0.86198685751409831</v>
      </c>
      <c r="M872" s="16">
        <f>CurrentMtgRatesDataTable8[[#This Row],[Servicing Spread Non-Zero]]-L871</f>
        <v>0</v>
      </c>
      <c r="N872" s="16">
        <f>IF(J871&lt;&gt;0,CurrentMtgRatesDataTable8[[#This Row],[Rate]]-C871,N871)</f>
        <v>-2.5000000000000355E-2</v>
      </c>
    </row>
    <row r="873" spans="1:14">
      <c r="A873" s="39" t="s">
        <v>919</v>
      </c>
      <c r="B873" s="40">
        <v>2.8594352216235301</v>
      </c>
      <c r="C873" s="11">
        <v>3.7849999999999997</v>
      </c>
      <c r="D873" s="16">
        <f t="shared" si="91"/>
        <v>6</v>
      </c>
      <c r="E873" s="16">
        <f t="shared" si="92"/>
        <v>0.2</v>
      </c>
      <c r="F873" s="16">
        <f t="shared" si="93"/>
        <v>4</v>
      </c>
      <c r="G873" s="16">
        <f t="shared" si="94"/>
        <v>2.3010416245629202</v>
      </c>
      <c r="H873" s="16">
        <f t="shared" si="95"/>
        <v>0.8</v>
      </c>
      <c r="I873" s="16">
        <f t="shared" si="96"/>
        <v>0</v>
      </c>
      <c r="J873" s="16">
        <f t="shared" si="97"/>
        <v>0</v>
      </c>
      <c r="K873" s="16">
        <f>IF(CurrentMtgRatesDataTable8[[#This Row],[WA CC]]&lt;&gt;0,C872-CurrentMtgRatesDataTable8[[#This Row],[WA CC]],0)</f>
        <v>0</v>
      </c>
      <c r="L873" s="16">
        <f>IF(CurrentMtgRatesDataTable8[[#This Row],[Servicing Spread]]&lt;=0,L872,CurrentMtgRatesDataTable8[[#This Row],[Servicing Spread]])</f>
        <v>0.86198685751409831</v>
      </c>
      <c r="M873" s="16">
        <f>CurrentMtgRatesDataTable8[[#This Row],[Servicing Spread Non-Zero]]-L872</f>
        <v>0</v>
      </c>
      <c r="N873" s="16">
        <f>IF(J872&lt;&gt;0,CurrentMtgRatesDataTable8[[#This Row],[Rate]]-C872,N872)</f>
        <v>-2.5000000000000355E-2</v>
      </c>
    </row>
    <row r="874" spans="1:14">
      <c r="A874" s="39" t="s">
        <v>920</v>
      </c>
      <c r="B874" s="40">
        <v>2.8734950564364601</v>
      </c>
      <c r="C874" s="11">
        <v>3.7849999999999997</v>
      </c>
      <c r="D874" s="16">
        <f t="shared" si="91"/>
        <v>7</v>
      </c>
      <c r="E874" s="16">
        <f t="shared" si="92"/>
        <v>0.2</v>
      </c>
      <c r="F874" s="16">
        <f t="shared" si="93"/>
        <v>5</v>
      </c>
      <c r="G874" s="16">
        <f t="shared" si="94"/>
        <v>2.875740635850212</v>
      </c>
      <c r="H874" s="16">
        <f t="shared" si="95"/>
        <v>1</v>
      </c>
      <c r="I874" s="16">
        <f t="shared" si="96"/>
        <v>1</v>
      </c>
      <c r="J874" s="16">
        <f t="shared" si="97"/>
        <v>2.875740635850212</v>
      </c>
      <c r="K874" s="16">
        <f>IF(CurrentMtgRatesDataTable8[[#This Row],[WA CC]]&lt;&gt;0,C873-CurrentMtgRatesDataTable8[[#This Row],[WA CC]],0)</f>
        <v>0.9092593641497877</v>
      </c>
      <c r="L874" s="16">
        <f>IF(CurrentMtgRatesDataTable8[[#This Row],[Servicing Spread]]&lt;=0,L873,CurrentMtgRatesDataTable8[[#This Row],[Servicing Spread]])</f>
        <v>0.9092593641497877</v>
      </c>
      <c r="M874" s="16">
        <f>CurrentMtgRatesDataTable8[[#This Row],[Servicing Spread Non-Zero]]-L873</f>
        <v>4.7272506635689382E-2</v>
      </c>
      <c r="N874" s="16">
        <f>IF(J873&lt;&gt;0,CurrentMtgRatesDataTable8[[#This Row],[Rate]]-C873,N873)</f>
        <v>-2.5000000000000355E-2</v>
      </c>
    </row>
    <row r="875" spans="1:14">
      <c r="A875" s="39" t="s">
        <v>921</v>
      </c>
      <c r="B875" s="40">
        <v>2.8712695086990299</v>
      </c>
      <c r="C875" s="11">
        <v>3.75</v>
      </c>
      <c r="D875" s="16">
        <f t="shared" si="91"/>
        <v>1</v>
      </c>
      <c r="E875" s="16">
        <f t="shared" si="92"/>
        <v>0.2</v>
      </c>
      <c r="F875" s="16">
        <f t="shared" si="93"/>
        <v>1</v>
      </c>
      <c r="G875" s="16">
        <f t="shared" si="94"/>
        <v>0.57425390173980595</v>
      </c>
      <c r="H875" s="16">
        <f t="shared" si="95"/>
        <v>0.2</v>
      </c>
      <c r="I875" s="16">
        <f t="shared" si="96"/>
        <v>0</v>
      </c>
      <c r="J875" s="16">
        <f t="shared" si="97"/>
        <v>0</v>
      </c>
      <c r="K875" s="16">
        <f>IF(CurrentMtgRatesDataTable8[[#This Row],[WA CC]]&lt;&gt;0,C874-CurrentMtgRatesDataTable8[[#This Row],[WA CC]],0)</f>
        <v>0</v>
      </c>
      <c r="L875" s="16">
        <f>IF(CurrentMtgRatesDataTable8[[#This Row],[Servicing Spread]]&lt;=0,L874,CurrentMtgRatesDataTable8[[#This Row],[Servicing Spread]])</f>
        <v>0.9092593641497877</v>
      </c>
      <c r="M875" s="16">
        <f>CurrentMtgRatesDataTable8[[#This Row],[Servicing Spread Non-Zero]]-L874</f>
        <v>0</v>
      </c>
      <c r="N875" s="16">
        <f>IF(J874&lt;&gt;0,CurrentMtgRatesDataTable8[[#This Row],[Rate]]-C874,N874)</f>
        <v>-3.4999999999999698E-2</v>
      </c>
    </row>
    <row r="876" spans="1:14">
      <c r="A876" s="39" t="s">
        <v>922</v>
      </c>
      <c r="B876" s="40">
        <v>2.8987506443333801</v>
      </c>
      <c r="C876" s="11">
        <v>3.75</v>
      </c>
      <c r="D876" s="16">
        <f t="shared" si="91"/>
        <v>2</v>
      </c>
      <c r="E876" s="16">
        <f t="shared" si="92"/>
        <v>0.2</v>
      </c>
      <c r="F876" s="16">
        <f t="shared" si="93"/>
        <v>2</v>
      </c>
      <c r="G876" s="16">
        <f t="shared" si="94"/>
        <v>1.154004030606482</v>
      </c>
      <c r="H876" s="16">
        <f t="shared" si="95"/>
        <v>0.4</v>
      </c>
      <c r="I876" s="16">
        <f t="shared" si="96"/>
        <v>0</v>
      </c>
      <c r="J876" s="16">
        <f t="shared" si="97"/>
        <v>0</v>
      </c>
      <c r="K876" s="16">
        <f>IF(CurrentMtgRatesDataTable8[[#This Row],[WA CC]]&lt;&gt;0,C875-CurrentMtgRatesDataTable8[[#This Row],[WA CC]],0)</f>
        <v>0</v>
      </c>
      <c r="L876" s="16">
        <f>IF(CurrentMtgRatesDataTable8[[#This Row],[Servicing Spread]]&lt;=0,L875,CurrentMtgRatesDataTable8[[#This Row],[Servicing Spread]])</f>
        <v>0.9092593641497877</v>
      </c>
      <c r="M876" s="16">
        <f>CurrentMtgRatesDataTable8[[#This Row],[Servicing Spread Non-Zero]]-L875</f>
        <v>0</v>
      </c>
      <c r="N876" s="16">
        <f>IF(J875&lt;&gt;0,CurrentMtgRatesDataTable8[[#This Row],[Rate]]-C875,N875)</f>
        <v>-3.4999999999999698E-2</v>
      </c>
    </row>
    <row r="877" spans="1:14">
      <c r="A877" s="39" t="s">
        <v>923</v>
      </c>
      <c r="B877" s="40">
        <v>2.8546348135519901</v>
      </c>
      <c r="C877" s="11">
        <v>3.75</v>
      </c>
      <c r="D877" s="16">
        <f t="shared" si="91"/>
        <v>5</v>
      </c>
      <c r="E877" s="16">
        <f t="shared" si="92"/>
        <v>0.2</v>
      </c>
      <c r="F877" s="16">
        <f t="shared" si="93"/>
        <v>3</v>
      </c>
      <c r="G877" s="16">
        <f t="shared" si="94"/>
        <v>1.7249309933168799</v>
      </c>
      <c r="H877" s="16">
        <f t="shared" si="95"/>
        <v>0.60000000000000009</v>
      </c>
      <c r="I877" s="16">
        <f t="shared" si="96"/>
        <v>0</v>
      </c>
      <c r="J877" s="16">
        <f t="shared" si="97"/>
        <v>0</v>
      </c>
      <c r="K877" s="16">
        <f>IF(CurrentMtgRatesDataTable8[[#This Row],[WA CC]]&lt;&gt;0,C876-CurrentMtgRatesDataTable8[[#This Row],[WA CC]],0)</f>
        <v>0</v>
      </c>
      <c r="L877" s="16">
        <f>IF(CurrentMtgRatesDataTable8[[#This Row],[Servicing Spread]]&lt;=0,L876,CurrentMtgRatesDataTable8[[#This Row],[Servicing Spread]])</f>
        <v>0.9092593641497877</v>
      </c>
      <c r="M877" s="16">
        <f>CurrentMtgRatesDataTable8[[#This Row],[Servicing Spread Non-Zero]]-L876</f>
        <v>0</v>
      </c>
      <c r="N877" s="16">
        <f>IF(J876&lt;&gt;0,CurrentMtgRatesDataTable8[[#This Row],[Rate]]-C876,N876)</f>
        <v>-3.4999999999999698E-2</v>
      </c>
    </row>
    <row r="878" spans="1:14">
      <c r="A878" s="39" t="s">
        <v>924</v>
      </c>
      <c r="B878" s="40">
        <v>2.8124515814242899</v>
      </c>
      <c r="C878" s="11">
        <v>3.75</v>
      </c>
      <c r="D878" s="16">
        <f t="shared" si="91"/>
        <v>6</v>
      </c>
      <c r="E878" s="16">
        <f t="shared" si="92"/>
        <v>0.2</v>
      </c>
      <c r="F878" s="16">
        <f t="shared" si="93"/>
        <v>4</v>
      </c>
      <c r="G878" s="16">
        <f t="shared" si="94"/>
        <v>2.2874213096017382</v>
      </c>
      <c r="H878" s="16">
        <f t="shared" si="95"/>
        <v>0.8</v>
      </c>
      <c r="I878" s="16">
        <f t="shared" si="96"/>
        <v>0</v>
      </c>
      <c r="J878" s="16">
        <f t="shared" si="97"/>
        <v>0</v>
      </c>
      <c r="K878" s="16">
        <f>IF(CurrentMtgRatesDataTable8[[#This Row],[WA CC]]&lt;&gt;0,C877-CurrentMtgRatesDataTable8[[#This Row],[WA CC]],0)</f>
        <v>0</v>
      </c>
      <c r="L878" s="16">
        <f>IF(CurrentMtgRatesDataTable8[[#This Row],[Servicing Spread]]&lt;=0,L877,CurrentMtgRatesDataTable8[[#This Row],[Servicing Spread]])</f>
        <v>0.9092593641497877</v>
      </c>
      <c r="M878" s="16">
        <f>CurrentMtgRatesDataTable8[[#This Row],[Servicing Spread Non-Zero]]-L877</f>
        <v>0</v>
      </c>
      <c r="N878" s="16">
        <f>IF(J877&lt;&gt;0,CurrentMtgRatesDataTable8[[#This Row],[Rate]]-C877,N877)</f>
        <v>-3.4999999999999698E-2</v>
      </c>
    </row>
    <row r="879" spans="1:14">
      <c r="A879" s="39" t="s">
        <v>925</v>
      </c>
      <c r="B879" s="40">
        <v>2.8018988061488499</v>
      </c>
      <c r="C879" s="11">
        <v>3.75</v>
      </c>
      <c r="D879" s="16">
        <f t="shared" si="91"/>
        <v>7</v>
      </c>
      <c r="E879" s="16">
        <f t="shared" si="92"/>
        <v>0.2</v>
      </c>
      <c r="F879" s="16">
        <f t="shared" si="93"/>
        <v>5</v>
      </c>
      <c r="G879" s="16">
        <f t="shared" si="94"/>
        <v>2.8478010708315082</v>
      </c>
      <c r="H879" s="16">
        <f t="shared" si="95"/>
        <v>1</v>
      </c>
      <c r="I879" s="16">
        <f t="shared" si="96"/>
        <v>1</v>
      </c>
      <c r="J879" s="16">
        <f t="shared" si="97"/>
        <v>2.8478010708315082</v>
      </c>
      <c r="K879" s="16">
        <f>IF(CurrentMtgRatesDataTable8[[#This Row],[WA CC]]&lt;&gt;0,C878-CurrentMtgRatesDataTable8[[#This Row],[WA CC]],0)</f>
        <v>0.90219892916849176</v>
      </c>
      <c r="L879" s="16">
        <f>IF(CurrentMtgRatesDataTable8[[#This Row],[Servicing Spread]]&lt;=0,L878,CurrentMtgRatesDataTable8[[#This Row],[Servicing Spread]])</f>
        <v>0.90219892916849176</v>
      </c>
      <c r="M879" s="16">
        <f>CurrentMtgRatesDataTable8[[#This Row],[Servicing Spread Non-Zero]]-L878</f>
        <v>-7.0604349812959377E-3</v>
      </c>
      <c r="N879" s="16">
        <f>IF(J878&lt;&gt;0,CurrentMtgRatesDataTable8[[#This Row],[Rate]]-C878,N878)</f>
        <v>-3.4999999999999698E-2</v>
      </c>
    </row>
    <row r="880" spans="1:14">
      <c r="A880" s="39" t="s">
        <v>926</v>
      </c>
      <c r="B880" s="40">
        <v>2.7784102270308701</v>
      </c>
      <c r="C880" s="11">
        <v>3.6599999999999997</v>
      </c>
      <c r="D880" s="16">
        <f t="shared" si="91"/>
        <v>1</v>
      </c>
      <c r="E880" s="16">
        <f t="shared" si="92"/>
        <v>0.2</v>
      </c>
      <c r="F880" s="16">
        <f t="shared" si="93"/>
        <v>1</v>
      </c>
      <c r="G880" s="16">
        <f t="shared" si="94"/>
        <v>0.55568204540617405</v>
      </c>
      <c r="H880" s="16">
        <f t="shared" si="95"/>
        <v>0.2</v>
      </c>
      <c r="I880" s="16">
        <f t="shared" si="96"/>
        <v>0</v>
      </c>
      <c r="J880" s="16">
        <f t="shared" si="97"/>
        <v>0</v>
      </c>
      <c r="K880" s="16">
        <f>IF(CurrentMtgRatesDataTable8[[#This Row],[WA CC]]&lt;&gt;0,C879-CurrentMtgRatesDataTable8[[#This Row],[WA CC]],0)</f>
        <v>0</v>
      </c>
      <c r="L880" s="16">
        <f>IF(CurrentMtgRatesDataTable8[[#This Row],[Servicing Spread]]&lt;=0,L879,CurrentMtgRatesDataTable8[[#This Row],[Servicing Spread]])</f>
        <v>0.90219892916849176</v>
      </c>
      <c r="M880" s="16">
        <f>CurrentMtgRatesDataTable8[[#This Row],[Servicing Spread Non-Zero]]-L879</f>
        <v>0</v>
      </c>
      <c r="N880" s="16">
        <f>IF(J879&lt;&gt;0,CurrentMtgRatesDataTable8[[#This Row],[Rate]]-C879,N879)</f>
        <v>-9.0000000000000302E-2</v>
      </c>
    </row>
    <row r="881" spans="1:14">
      <c r="A881" s="39" t="s">
        <v>927</v>
      </c>
      <c r="B881" s="40">
        <v>2.7296334551710499</v>
      </c>
      <c r="C881" s="11">
        <v>3.6599999999999997</v>
      </c>
      <c r="D881" s="16">
        <f t="shared" si="91"/>
        <v>2</v>
      </c>
      <c r="E881" s="16">
        <f t="shared" si="92"/>
        <v>0.2</v>
      </c>
      <c r="F881" s="16">
        <f t="shared" si="93"/>
        <v>2</v>
      </c>
      <c r="G881" s="16">
        <f t="shared" si="94"/>
        <v>1.1016087364403839</v>
      </c>
      <c r="H881" s="16">
        <f t="shared" si="95"/>
        <v>0.4</v>
      </c>
      <c r="I881" s="16">
        <f t="shared" si="96"/>
        <v>0</v>
      </c>
      <c r="J881" s="16">
        <f t="shared" si="97"/>
        <v>0</v>
      </c>
      <c r="K881" s="16">
        <f>IF(CurrentMtgRatesDataTable8[[#This Row],[WA CC]]&lt;&gt;0,C880-CurrentMtgRatesDataTable8[[#This Row],[WA CC]],0)</f>
        <v>0</v>
      </c>
      <c r="L881" s="16">
        <f>IF(CurrentMtgRatesDataTable8[[#This Row],[Servicing Spread]]&lt;=0,L880,CurrentMtgRatesDataTable8[[#This Row],[Servicing Spread]])</f>
        <v>0.90219892916849176</v>
      </c>
      <c r="M881" s="16">
        <f>CurrentMtgRatesDataTable8[[#This Row],[Servicing Spread Non-Zero]]-L880</f>
        <v>0</v>
      </c>
      <c r="N881" s="16">
        <f>IF(J880&lt;&gt;0,CurrentMtgRatesDataTable8[[#This Row],[Rate]]-C880,N880)</f>
        <v>-9.0000000000000302E-2</v>
      </c>
    </row>
    <row r="882" spans="1:14">
      <c r="A882" s="39" t="s">
        <v>928</v>
      </c>
      <c r="B882" s="40">
        <v>2.7734212235563001</v>
      </c>
      <c r="C882" s="11">
        <v>3.6599999999999997</v>
      </c>
      <c r="D882" s="16">
        <f t="shared" si="91"/>
        <v>5</v>
      </c>
      <c r="E882" s="16">
        <f t="shared" si="92"/>
        <v>0.2</v>
      </c>
      <c r="F882" s="16">
        <f t="shared" si="93"/>
        <v>3</v>
      </c>
      <c r="G882" s="16">
        <f t="shared" si="94"/>
        <v>1.656292981151644</v>
      </c>
      <c r="H882" s="16">
        <f t="shared" si="95"/>
        <v>0.60000000000000009</v>
      </c>
      <c r="I882" s="16">
        <f t="shared" si="96"/>
        <v>0</v>
      </c>
      <c r="J882" s="16">
        <f t="shared" si="97"/>
        <v>0</v>
      </c>
      <c r="K882" s="16">
        <f>IF(CurrentMtgRatesDataTable8[[#This Row],[WA CC]]&lt;&gt;0,C881-CurrentMtgRatesDataTable8[[#This Row],[WA CC]],0)</f>
        <v>0</v>
      </c>
      <c r="L882" s="16">
        <f>IF(CurrentMtgRatesDataTable8[[#This Row],[Servicing Spread]]&lt;=0,L881,CurrentMtgRatesDataTable8[[#This Row],[Servicing Spread]])</f>
        <v>0.90219892916849176</v>
      </c>
      <c r="M882" s="16">
        <f>CurrentMtgRatesDataTable8[[#This Row],[Servicing Spread Non-Zero]]-L881</f>
        <v>0</v>
      </c>
      <c r="N882" s="16">
        <f>IF(J881&lt;&gt;0,CurrentMtgRatesDataTable8[[#This Row],[Rate]]-C881,N881)</f>
        <v>-9.0000000000000302E-2</v>
      </c>
    </row>
    <row r="883" spans="1:14">
      <c r="A883" s="39" t="s">
        <v>929</v>
      </c>
      <c r="B883" s="40">
        <v>2.7570320859498798</v>
      </c>
      <c r="C883" s="11">
        <v>3.6599999999999997</v>
      </c>
      <c r="D883" s="16">
        <f t="shared" si="91"/>
        <v>6</v>
      </c>
      <c r="E883" s="16">
        <f t="shared" si="92"/>
        <v>0.2</v>
      </c>
      <c r="F883" s="16">
        <f t="shared" si="93"/>
        <v>4</v>
      </c>
      <c r="G883" s="16">
        <f t="shared" si="94"/>
        <v>2.20769939834162</v>
      </c>
      <c r="H883" s="16">
        <f t="shared" si="95"/>
        <v>0.8</v>
      </c>
      <c r="I883" s="16">
        <f t="shared" si="96"/>
        <v>0</v>
      </c>
      <c r="J883" s="16">
        <f t="shared" si="97"/>
        <v>0</v>
      </c>
      <c r="K883" s="16">
        <f>IF(CurrentMtgRatesDataTable8[[#This Row],[WA CC]]&lt;&gt;0,C882-CurrentMtgRatesDataTable8[[#This Row],[WA CC]],0)</f>
        <v>0</v>
      </c>
      <c r="L883" s="16">
        <f>IF(CurrentMtgRatesDataTable8[[#This Row],[Servicing Spread]]&lt;=0,L882,CurrentMtgRatesDataTable8[[#This Row],[Servicing Spread]])</f>
        <v>0.90219892916849176</v>
      </c>
      <c r="M883" s="16">
        <f>CurrentMtgRatesDataTable8[[#This Row],[Servicing Spread Non-Zero]]-L882</f>
        <v>0</v>
      </c>
      <c r="N883" s="16">
        <f>IF(J882&lt;&gt;0,CurrentMtgRatesDataTable8[[#This Row],[Rate]]-C882,N882)</f>
        <v>-9.0000000000000302E-2</v>
      </c>
    </row>
    <row r="884" spans="1:14">
      <c r="A884" s="39" t="s">
        <v>930</v>
      </c>
      <c r="B884" s="40">
        <v>2.77010275743095</v>
      </c>
      <c r="C884" s="11">
        <v>3.6599999999999997</v>
      </c>
      <c r="D884" s="16">
        <f t="shared" si="91"/>
        <v>7</v>
      </c>
      <c r="E884" s="16">
        <f t="shared" si="92"/>
        <v>0.2</v>
      </c>
      <c r="F884" s="16">
        <f t="shared" si="93"/>
        <v>5</v>
      </c>
      <c r="G884" s="16">
        <f t="shared" si="94"/>
        <v>2.76171994982781</v>
      </c>
      <c r="H884" s="16">
        <f t="shared" si="95"/>
        <v>1</v>
      </c>
      <c r="I884" s="16">
        <f t="shared" si="96"/>
        <v>1</v>
      </c>
      <c r="J884" s="16">
        <f t="shared" si="97"/>
        <v>2.76171994982781</v>
      </c>
      <c r="K884" s="16">
        <f>IF(CurrentMtgRatesDataTable8[[#This Row],[WA CC]]&lt;&gt;0,C883-CurrentMtgRatesDataTable8[[#This Row],[WA CC]],0)</f>
        <v>0.8982800501721897</v>
      </c>
      <c r="L884" s="16">
        <f>IF(CurrentMtgRatesDataTable8[[#This Row],[Servicing Spread]]&lt;=0,L883,CurrentMtgRatesDataTable8[[#This Row],[Servicing Spread]])</f>
        <v>0.8982800501721897</v>
      </c>
      <c r="M884" s="16">
        <f>CurrentMtgRatesDataTable8[[#This Row],[Servicing Spread Non-Zero]]-L883</f>
        <v>-3.9188789963020554E-3</v>
      </c>
      <c r="N884" s="16">
        <f>IF(J883&lt;&gt;0,CurrentMtgRatesDataTable8[[#This Row],[Rate]]-C883,N883)</f>
        <v>-9.0000000000000302E-2</v>
      </c>
    </row>
    <row r="885" spans="1:14">
      <c r="A885" s="39" t="s">
        <v>931</v>
      </c>
      <c r="B885" s="40">
        <v>2.81486937200697</v>
      </c>
      <c r="C885" s="11">
        <v>3.7199999999999998</v>
      </c>
      <c r="D885" s="16">
        <f t="shared" si="91"/>
        <v>1</v>
      </c>
      <c r="E885" s="16">
        <f t="shared" si="92"/>
        <v>0.2</v>
      </c>
      <c r="F885" s="16">
        <f t="shared" si="93"/>
        <v>1</v>
      </c>
      <c r="G885" s="16">
        <f t="shared" si="94"/>
        <v>0.56297387440139401</v>
      </c>
      <c r="H885" s="16">
        <f t="shared" si="95"/>
        <v>0.2</v>
      </c>
      <c r="I885" s="16">
        <f t="shared" si="96"/>
        <v>0</v>
      </c>
      <c r="J885" s="16">
        <f t="shared" si="97"/>
        <v>0</v>
      </c>
      <c r="K885" s="16">
        <f>IF(CurrentMtgRatesDataTable8[[#This Row],[WA CC]]&lt;&gt;0,C884-CurrentMtgRatesDataTable8[[#This Row],[WA CC]],0)</f>
        <v>0</v>
      </c>
      <c r="L885" s="16">
        <f>IF(CurrentMtgRatesDataTable8[[#This Row],[Servicing Spread]]&lt;=0,L884,CurrentMtgRatesDataTable8[[#This Row],[Servicing Spread]])</f>
        <v>0.8982800501721897</v>
      </c>
      <c r="M885" s="16">
        <f>CurrentMtgRatesDataTable8[[#This Row],[Servicing Spread Non-Zero]]-L884</f>
        <v>0</v>
      </c>
      <c r="N885" s="16">
        <f>IF(J884&lt;&gt;0,CurrentMtgRatesDataTable8[[#This Row],[Rate]]-C884,N884)</f>
        <v>6.0000000000000053E-2</v>
      </c>
    </row>
    <row r="886" spans="1:14">
      <c r="A886" s="39" t="s">
        <v>932</v>
      </c>
      <c r="B886" s="40">
        <v>2.8165675160693602</v>
      </c>
      <c r="C886" s="11">
        <v>3.7199999999999998</v>
      </c>
      <c r="D886" s="16">
        <f t="shared" si="91"/>
        <v>2</v>
      </c>
      <c r="E886" s="16">
        <f t="shared" si="92"/>
        <v>0.2</v>
      </c>
      <c r="F886" s="16">
        <f t="shared" si="93"/>
        <v>2</v>
      </c>
      <c r="G886" s="16">
        <f t="shared" si="94"/>
        <v>1.1262873776152662</v>
      </c>
      <c r="H886" s="16">
        <f t="shared" si="95"/>
        <v>0.4</v>
      </c>
      <c r="I886" s="16">
        <f t="shared" si="96"/>
        <v>0</v>
      </c>
      <c r="J886" s="16">
        <f t="shared" si="97"/>
        <v>0</v>
      </c>
      <c r="K886" s="16">
        <f>IF(CurrentMtgRatesDataTable8[[#This Row],[WA CC]]&lt;&gt;0,C885-CurrentMtgRatesDataTable8[[#This Row],[WA CC]],0)</f>
        <v>0</v>
      </c>
      <c r="L886" s="16">
        <f>IF(CurrentMtgRatesDataTable8[[#This Row],[Servicing Spread]]&lt;=0,L885,CurrentMtgRatesDataTable8[[#This Row],[Servicing Spread]])</f>
        <v>0.8982800501721897</v>
      </c>
      <c r="M886" s="16">
        <f>CurrentMtgRatesDataTable8[[#This Row],[Servicing Spread Non-Zero]]-L885</f>
        <v>0</v>
      </c>
      <c r="N886" s="16">
        <f>IF(J885&lt;&gt;0,CurrentMtgRatesDataTable8[[#This Row],[Rate]]-C885,N885)</f>
        <v>6.0000000000000053E-2</v>
      </c>
    </row>
    <row r="887" spans="1:14">
      <c r="A887" s="39" t="s">
        <v>933</v>
      </c>
      <c r="B887" s="40">
        <v>2.7891999400544001</v>
      </c>
      <c r="C887" s="11">
        <v>3.7199999999999998</v>
      </c>
      <c r="D887" s="16">
        <f t="shared" si="91"/>
        <v>6</v>
      </c>
      <c r="E887" s="16">
        <f t="shared" si="92"/>
        <v>0.2</v>
      </c>
      <c r="F887" s="16">
        <f t="shared" si="93"/>
        <v>3</v>
      </c>
      <c r="G887" s="16">
        <f t="shared" si="94"/>
        <v>1.6841273656261464</v>
      </c>
      <c r="H887" s="16">
        <f t="shared" si="95"/>
        <v>0.60000000000000009</v>
      </c>
      <c r="I887" s="16">
        <f t="shared" si="96"/>
        <v>0</v>
      </c>
      <c r="J887" s="16">
        <f t="shared" si="97"/>
        <v>0</v>
      </c>
      <c r="K887" s="16">
        <f>IF(CurrentMtgRatesDataTable8[[#This Row],[WA CC]]&lt;&gt;0,C886-CurrentMtgRatesDataTable8[[#This Row],[WA CC]],0)</f>
        <v>0</v>
      </c>
      <c r="L887" s="16">
        <f>IF(CurrentMtgRatesDataTable8[[#This Row],[Servicing Spread]]&lt;=0,L886,CurrentMtgRatesDataTable8[[#This Row],[Servicing Spread]])</f>
        <v>0.8982800501721897</v>
      </c>
      <c r="M887" s="16">
        <f>CurrentMtgRatesDataTable8[[#This Row],[Servicing Spread Non-Zero]]-L886</f>
        <v>0</v>
      </c>
      <c r="N887" s="16">
        <f>IF(J886&lt;&gt;0,CurrentMtgRatesDataTable8[[#This Row],[Rate]]-C886,N886)</f>
        <v>6.0000000000000053E-2</v>
      </c>
    </row>
    <row r="888" spans="1:14">
      <c r="A888" s="39" t="s">
        <v>934</v>
      </c>
      <c r="B888" s="40">
        <v>2.7081035827114999</v>
      </c>
      <c r="C888" s="11">
        <v>3.7199999999999998</v>
      </c>
      <c r="D888" s="16">
        <f t="shared" si="91"/>
        <v>7</v>
      </c>
      <c r="E888" s="16">
        <f t="shared" si="92"/>
        <v>0.2</v>
      </c>
      <c r="F888" s="16">
        <f t="shared" si="93"/>
        <v>4</v>
      </c>
      <c r="G888" s="16">
        <f t="shared" si="94"/>
        <v>2.2257480821684466</v>
      </c>
      <c r="H888" s="16">
        <f t="shared" si="95"/>
        <v>0.8</v>
      </c>
      <c r="I888" s="16">
        <f t="shared" si="96"/>
        <v>1</v>
      </c>
      <c r="J888" s="16">
        <f t="shared" si="97"/>
        <v>2.782185102710558</v>
      </c>
      <c r="K888" s="16">
        <f>IF(CurrentMtgRatesDataTable8[[#This Row],[WA CC]]&lt;&gt;0,C887-CurrentMtgRatesDataTable8[[#This Row],[WA CC]],0)</f>
        <v>0.93781489728944178</v>
      </c>
      <c r="L888" s="16">
        <f>IF(CurrentMtgRatesDataTable8[[#This Row],[Servicing Spread]]&lt;=0,L887,CurrentMtgRatesDataTable8[[#This Row],[Servicing Spread]])</f>
        <v>0.93781489728944178</v>
      </c>
      <c r="M888" s="16">
        <f>CurrentMtgRatesDataTable8[[#This Row],[Servicing Spread Non-Zero]]-L887</f>
        <v>3.9534847117252081E-2</v>
      </c>
      <c r="N888" s="16">
        <f>IF(J887&lt;&gt;0,CurrentMtgRatesDataTable8[[#This Row],[Rate]]-C887,N887)</f>
        <v>6.0000000000000053E-2</v>
      </c>
    </row>
    <row r="889" spans="1:14">
      <c r="A889" s="47" t="s">
        <v>935</v>
      </c>
      <c r="B889" s="48">
        <v>2.73044392273518</v>
      </c>
      <c r="C889" s="49">
        <v>3.69</v>
      </c>
      <c r="D889" s="50">
        <f t="shared" si="91"/>
        <v>1</v>
      </c>
      <c r="E889" s="50">
        <f t="shared" si="92"/>
        <v>0.2</v>
      </c>
      <c r="F889" s="50">
        <f t="shared" si="93"/>
        <v>1</v>
      </c>
      <c r="G889" s="50">
        <f t="shared" si="94"/>
        <v>0.54608878454703602</v>
      </c>
      <c r="H889" s="50">
        <f t="shared" si="95"/>
        <v>0.2</v>
      </c>
      <c r="I889" s="50">
        <f t="shared" si="96"/>
        <v>0</v>
      </c>
      <c r="J889" s="50">
        <f t="shared" si="97"/>
        <v>0</v>
      </c>
      <c r="K889" s="50">
        <f>IF(CurrentMtgRatesDataTable8[[#This Row],[WA CC]]&lt;&gt;0,C888-CurrentMtgRatesDataTable8[[#This Row],[WA CC]],0)</f>
        <v>0</v>
      </c>
      <c r="L889" s="50">
        <f>IF(CurrentMtgRatesDataTable8[[#This Row],[Servicing Spread]]&lt;=0,L888,CurrentMtgRatesDataTable8[[#This Row],[Servicing Spread]])</f>
        <v>0.93781489728944178</v>
      </c>
      <c r="M889" s="50">
        <f>CurrentMtgRatesDataTable8[[#This Row],[Servicing Spread Non-Zero]]-L888</f>
        <v>0</v>
      </c>
      <c r="N889" s="50">
        <f>IF(J888&lt;&gt;0,CurrentMtgRatesDataTable8[[#This Row],[Rate]]-C888,N888)</f>
        <v>-2.9999999999999805E-2</v>
      </c>
    </row>
    <row r="890" spans="1:14">
      <c r="A890" s="47" t="s">
        <v>936</v>
      </c>
      <c r="B890" s="48">
        <v>2.7334728347211201</v>
      </c>
      <c r="C890" s="49">
        <v>3.69</v>
      </c>
      <c r="D890" s="50">
        <f t="shared" si="91"/>
        <v>2</v>
      </c>
      <c r="E890" s="50">
        <f t="shared" si="92"/>
        <v>0.2</v>
      </c>
      <c r="F890" s="50">
        <f t="shared" si="93"/>
        <v>2</v>
      </c>
      <c r="G890" s="50">
        <f t="shared" si="94"/>
        <v>1.0927833514912599</v>
      </c>
      <c r="H890" s="50">
        <f t="shared" si="95"/>
        <v>0.4</v>
      </c>
      <c r="I890" s="50">
        <f t="shared" si="96"/>
        <v>0</v>
      </c>
      <c r="J890" s="50">
        <f t="shared" si="97"/>
        <v>0</v>
      </c>
      <c r="K890" s="50">
        <f>IF(CurrentMtgRatesDataTable8[[#This Row],[WA CC]]&lt;&gt;0,C889-CurrentMtgRatesDataTable8[[#This Row],[WA CC]],0)</f>
        <v>0</v>
      </c>
      <c r="L890" s="50">
        <f>IF(CurrentMtgRatesDataTable8[[#This Row],[Servicing Spread]]&lt;=0,L889,CurrentMtgRatesDataTable8[[#This Row],[Servicing Spread]])</f>
        <v>0.93781489728944178</v>
      </c>
      <c r="M890" s="50">
        <f>CurrentMtgRatesDataTable8[[#This Row],[Servicing Spread Non-Zero]]-L889</f>
        <v>0</v>
      </c>
      <c r="N890" s="50">
        <f>IF(J889&lt;&gt;0,CurrentMtgRatesDataTable8[[#This Row],[Rate]]-C889,N889)</f>
        <v>-2.9999999999999805E-2</v>
      </c>
    </row>
    <row r="891" spans="1:14">
      <c r="A891" s="47" t="s">
        <v>937</v>
      </c>
      <c r="B891" s="48">
        <v>2.7352021596982001</v>
      </c>
      <c r="C891" s="49">
        <v>3.69</v>
      </c>
      <c r="D891" s="50">
        <f t="shared" si="91"/>
        <v>5</v>
      </c>
      <c r="E891" s="50">
        <f t="shared" si="92"/>
        <v>0.2</v>
      </c>
      <c r="F891" s="50">
        <f t="shared" si="93"/>
        <v>3</v>
      </c>
      <c r="G891" s="50">
        <f t="shared" si="94"/>
        <v>1.6398237834309</v>
      </c>
      <c r="H891" s="50">
        <f t="shared" si="95"/>
        <v>0.60000000000000009</v>
      </c>
      <c r="I891" s="50">
        <f t="shared" si="96"/>
        <v>0</v>
      </c>
      <c r="J891" s="50">
        <f t="shared" si="97"/>
        <v>0</v>
      </c>
      <c r="K891" s="50">
        <f>IF(CurrentMtgRatesDataTable8[[#This Row],[WA CC]]&lt;&gt;0,C890-CurrentMtgRatesDataTable8[[#This Row],[WA CC]],0)</f>
        <v>0</v>
      </c>
      <c r="L891" s="50">
        <f>IF(CurrentMtgRatesDataTable8[[#This Row],[Servicing Spread]]&lt;=0,L890,CurrentMtgRatesDataTable8[[#This Row],[Servicing Spread]])</f>
        <v>0.93781489728944178</v>
      </c>
      <c r="M891" s="50">
        <f>CurrentMtgRatesDataTable8[[#This Row],[Servicing Spread Non-Zero]]-L890</f>
        <v>0</v>
      </c>
      <c r="N891" s="50">
        <f>IF(J890&lt;&gt;0,CurrentMtgRatesDataTable8[[#This Row],[Rate]]-C890,N890)</f>
        <v>-2.9999999999999805E-2</v>
      </c>
    </row>
    <row r="892" spans="1:14">
      <c r="A892" s="47" t="s">
        <v>938</v>
      </c>
      <c r="B892" s="48">
        <v>2.7729349961757701</v>
      </c>
      <c r="C892" s="49">
        <v>3.69</v>
      </c>
      <c r="D892" s="50">
        <f t="shared" si="91"/>
        <v>6</v>
      </c>
      <c r="E892" s="50">
        <f t="shared" si="92"/>
        <v>0.2</v>
      </c>
      <c r="F892" s="50">
        <f t="shared" si="93"/>
        <v>4</v>
      </c>
      <c r="G892" s="50">
        <f t="shared" si="94"/>
        <v>2.1944107826660542</v>
      </c>
      <c r="H892" s="50">
        <f t="shared" si="95"/>
        <v>0.8</v>
      </c>
      <c r="I892" s="50">
        <f t="shared" si="96"/>
        <v>0</v>
      </c>
      <c r="J892" s="50">
        <f t="shared" si="97"/>
        <v>0</v>
      </c>
      <c r="K892" s="50">
        <f>IF(CurrentMtgRatesDataTable8[[#This Row],[WA CC]]&lt;&gt;0,C891-CurrentMtgRatesDataTable8[[#This Row],[WA CC]],0)</f>
        <v>0</v>
      </c>
      <c r="L892" s="50">
        <f>IF(CurrentMtgRatesDataTable8[[#This Row],[Servicing Spread]]&lt;=0,L891,CurrentMtgRatesDataTable8[[#This Row],[Servicing Spread]])</f>
        <v>0.93781489728944178</v>
      </c>
      <c r="M892" s="50">
        <f>CurrentMtgRatesDataTable8[[#This Row],[Servicing Spread Non-Zero]]-L891</f>
        <v>0</v>
      </c>
      <c r="N892" s="50">
        <f>IF(J891&lt;&gt;0,CurrentMtgRatesDataTable8[[#This Row],[Rate]]-C891,N891)</f>
        <v>-2.9999999999999805E-2</v>
      </c>
    </row>
    <row r="893" spans="1:14">
      <c r="A893" s="47" t="s">
        <v>939</v>
      </c>
      <c r="B893" s="48">
        <v>2.7446763066937101</v>
      </c>
      <c r="C893" s="49">
        <v>3.69</v>
      </c>
      <c r="D893" s="50">
        <f t="shared" si="91"/>
        <v>7</v>
      </c>
      <c r="E893" s="50">
        <f t="shared" si="92"/>
        <v>0.2</v>
      </c>
      <c r="F893" s="50">
        <f t="shared" si="93"/>
        <v>5</v>
      </c>
      <c r="G893" s="50">
        <f t="shared" si="94"/>
        <v>2.7433460440047961</v>
      </c>
      <c r="H893" s="50">
        <f t="shared" si="95"/>
        <v>1</v>
      </c>
      <c r="I893" s="50">
        <f t="shared" si="96"/>
        <v>1</v>
      </c>
      <c r="J893" s="50">
        <f t="shared" si="97"/>
        <v>2.7433460440047961</v>
      </c>
      <c r="K893" s="50">
        <f>IF(CurrentMtgRatesDataTable8[[#This Row],[WA CC]]&lt;&gt;0,C892-CurrentMtgRatesDataTable8[[#This Row],[WA CC]],0)</f>
        <v>0.94665395599520386</v>
      </c>
      <c r="L893" s="50">
        <f>IF(CurrentMtgRatesDataTable8[[#This Row],[Servicing Spread]]&lt;=0,L892,CurrentMtgRatesDataTable8[[#This Row],[Servicing Spread]])</f>
        <v>0.94665395599520386</v>
      </c>
      <c r="M893" s="50">
        <f>CurrentMtgRatesDataTable8[[#This Row],[Servicing Spread Non-Zero]]-L892</f>
        <v>8.8390587057620706E-3</v>
      </c>
      <c r="N893" s="50">
        <f>IF(J892&lt;&gt;0,CurrentMtgRatesDataTable8[[#This Row],[Rate]]-C892,N892)</f>
        <v>-2.9999999999999805E-2</v>
      </c>
    </row>
    <row r="894" spans="1:14">
      <c r="A894" s="47" t="s">
        <v>940</v>
      </c>
      <c r="B894" s="48">
        <v>2.7173642653119501</v>
      </c>
      <c r="C894" s="49">
        <v>3.6599999999999997</v>
      </c>
      <c r="D894" s="50">
        <f t="shared" si="91"/>
        <v>1</v>
      </c>
      <c r="E894" s="50">
        <f t="shared" si="92"/>
        <v>0.2</v>
      </c>
      <c r="F894" s="50">
        <f t="shared" si="93"/>
        <v>1</v>
      </c>
      <c r="G894" s="50">
        <f t="shared" si="94"/>
        <v>0.54347285306239002</v>
      </c>
      <c r="H894" s="50">
        <f t="shared" si="95"/>
        <v>0.2</v>
      </c>
      <c r="I894" s="50">
        <f t="shared" si="96"/>
        <v>0</v>
      </c>
      <c r="J894" s="50">
        <f t="shared" si="97"/>
        <v>0</v>
      </c>
      <c r="K894" s="50">
        <f>IF(CurrentMtgRatesDataTable8[[#This Row],[WA CC]]&lt;&gt;0,C893-CurrentMtgRatesDataTable8[[#This Row],[WA CC]],0)</f>
        <v>0</v>
      </c>
      <c r="L894" s="50">
        <f>IF(CurrentMtgRatesDataTable8[[#This Row],[Servicing Spread]]&lt;=0,L893,CurrentMtgRatesDataTable8[[#This Row],[Servicing Spread]])</f>
        <v>0.94665395599520386</v>
      </c>
      <c r="M894" s="50">
        <f>CurrentMtgRatesDataTable8[[#This Row],[Servicing Spread Non-Zero]]-L893</f>
        <v>0</v>
      </c>
      <c r="N894" s="50">
        <f>IF(J893&lt;&gt;0,CurrentMtgRatesDataTable8[[#This Row],[Rate]]-C893,N893)</f>
        <v>-3.0000000000000249E-2</v>
      </c>
    </row>
    <row r="895" spans="1:14">
      <c r="A895" s="47" t="s">
        <v>941</v>
      </c>
      <c r="B895" s="48">
        <v>2.77127537293183</v>
      </c>
      <c r="C895" s="49">
        <v>3.6599999999999997</v>
      </c>
      <c r="D895" s="50">
        <f t="shared" si="91"/>
        <v>2</v>
      </c>
      <c r="E895" s="50">
        <f t="shared" si="92"/>
        <v>0.2</v>
      </c>
      <c r="F895" s="50">
        <f t="shared" si="93"/>
        <v>2</v>
      </c>
      <c r="G895" s="50">
        <f t="shared" si="94"/>
        <v>1.0977279276487559</v>
      </c>
      <c r="H895" s="50">
        <f t="shared" si="95"/>
        <v>0.4</v>
      </c>
      <c r="I895" s="50">
        <f t="shared" si="96"/>
        <v>0</v>
      </c>
      <c r="J895" s="50">
        <f t="shared" si="97"/>
        <v>0</v>
      </c>
      <c r="K895" s="50">
        <f>IF(CurrentMtgRatesDataTable8[[#This Row],[WA CC]]&lt;&gt;0,C894-CurrentMtgRatesDataTable8[[#This Row],[WA CC]],0)</f>
        <v>0</v>
      </c>
      <c r="L895" s="50">
        <f>IF(CurrentMtgRatesDataTable8[[#This Row],[Servicing Spread]]&lt;=0,L894,CurrentMtgRatesDataTable8[[#This Row],[Servicing Spread]])</f>
        <v>0.94665395599520386</v>
      </c>
      <c r="M895" s="50">
        <f>CurrentMtgRatesDataTable8[[#This Row],[Servicing Spread Non-Zero]]-L894</f>
        <v>0</v>
      </c>
      <c r="N895" s="50">
        <f>IF(J894&lt;&gt;0,CurrentMtgRatesDataTable8[[#This Row],[Rate]]-C894,N894)</f>
        <v>-3.0000000000000249E-2</v>
      </c>
    </row>
    <row r="896" spans="1:14">
      <c r="A896" s="47" t="s">
        <v>942</v>
      </c>
      <c r="B896" s="48">
        <v>2.7558575864349502</v>
      </c>
      <c r="C896" s="49">
        <v>3.6599999999999997</v>
      </c>
      <c r="D896" s="50">
        <f t="shared" si="91"/>
        <v>5</v>
      </c>
      <c r="E896" s="50">
        <f t="shared" si="92"/>
        <v>0.2</v>
      </c>
      <c r="F896" s="50">
        <f t="shared" si="93"/>
        <v>3</v>
      </c>
      <c r="G896" s="50">
        <f t="shared" si="94"/>
        <v>1.6488994449357461</v>
      </c>
      <c r="H896" s="50">
        <f t="shared" si="95"/>
        <v>0.60000000000000009</v>
      </c>
      <c r="I896" s="50">
        <f t="shared" si="96"/>
        <v>0</v>
      </c>
      <c r="J896" s="50">
        <f t="shared" si="97"/>
        <v>0</v>
      </c>
      <c r="K896" s="50">
        <f>IF(CurrentMtgRatesDataTable8[[#This Row],[WA CC]]&lt;&gt;0,C895-CurrentMtgRatesDataTable8[[#This Row],[WA CC]],0)</f>
        <v>0</v>
      </c>
      <c r="L896" s="50">
        <f>IF(CurrentMtgRatesDataTable8[[#This Row],[Servicing Spread]]&lt;=0,L895,CurrentMtgRatesDataTable8[[#This Row],[Servicing Spread]])</f>
        <v>0.94665395599520386</v>
      </c>
      <c r="M896" s="50">
        <f>CurrentMtgRatesDataTable8[[#This Row],[Servicing Spread Non-Zero]]-L895</f>
        <v>0</v>
      </c>
      <c r="N896" s="50">
        <f>IF(J895&lt;&gt;0,CurrentMtgRatesDataTable8[[#This Row],[Rate]]-C895,N895)</f>
        <v>-3.0000000000000249E-2</v>
      </c>
    </row>
    <row r="897" spans="1:14">
      <c r="A897" s="47" t="s">
        <v>943</v>
      </c>
      <c r="B897" s="48">
        <v>2.7239833090670502</v>
      </c>
      <c r="C897" s="49">
        <v>3.6599999999999997</v>
      </c>
      <c r="D897" s="50">
        <f t="shared" si="91"/>
        <v>6</v>
      </c>
      <c r="E897" s="50">
        <f t="shared" si="92"/>
        <v>0.2</v>
      </c>
      <c r="F897" s="50">
        <f t="shared" si="93"/>
        <v>4</v>
      </c>
      <c r="G897" s="50">
        <f t="shared" si="94"/>
        <v>2.1936961067491563</v>
      </c>
      <c r="H897" s="50">
        <f t="shared" si="95"/>
        <v>0.8</v>
      </c>
      <c r="I897" s="50">
        <f t="shared" si="96"/>
        <v>0</v>
      </c>
      <c r="J897" s="50">
        <f t="shared" si="97"/>
        <v>0</v>
      </c>
      <c r="K897" s="50">
        <f>IF(CurrentMtgRatesDataTable8[[#This Row],[WA CC]]&lt;&gt;0,C896-CurrentMtgRatesDataTable8[[#This Row],[WA CC]],0)</f>
        <v>0</v>
      </c>
      <c r="L897" s="50">
        <f>IF(CurrentMtgRatesDataTable8[[#This Row],[Servicing Spread]]&lt;=0,L896,CurrentMtgRatesDataTable8[[#This Row],[Servicing Spread]])</f>
        <v>0.94665395599520386</v>
      </c>
      <c r="M897" s="50">
        <f>CurrentMtgRatesDataTable8[[#This Row],[Servicing Spread Non-Zero]]-L896</f>
        <v>0</v>
      </c>
      <c r="N897" s="50">
        <f>IF(J896&lt;&gt;0,CurrentMtgRatesDataTable8[[#This Row],[Rate]]-C896,N896)</f>
        <v>-3.0000000000000249E-2</v>
      </c>
    </row>
    <row r="898" spans="1:14">
      <c r="A898" s="47" t="s">
        <v>944</v>
      </c>
      <c r="B898" s="48">
        <v>2.7958120452124602</v>
      </c>
      <c r="C898" s="49">
        <v>3.6599999999999997</v>
      </c>
      <c r="D898" s="50">
        <f t="shared" si="91"/>
        <v>7</v>
      </c>
      <c r="E898" s="50">
        <f t="shared" si="92"/>
        <v>0.2</v>
      </c>
      <c r="F898" s="50">
        <f t="shared" si="93"/>
        <v>5</v>
      </c>
      <c r="G898" s="50">
        <f t="shared" si="94"/>
        <v>2.7528585157916483</v>
      </c>
      <c r="H898" s="50">
        <f t="shared" si="95"/>
        <v>1</v>
      </c>
      <c r="I898" s="50">
        <f t="shared" si="96"/>
        <v>1</v>
      </c>
      <c r="J898" s="50">
        <f t="shared" si="97"/>
        <v>2.7528585157916483</v>
      </c>
      <c r="K898" s="50">
        <f>IF(CurrentMtgRatesDataTable8[[#This Row],[WA CC]]&lt;&gt;0,C897-CurrentMtgRatesDataTable8[[#This Row],[WA CC]],0)</f>
        <v>0.90714148420835139</v>
      </c>
      <c r="L898" s="50">
        <f>IF(CurrentMtgRatesDataTable8[[#This Row],[Servicing Spread]]&lt;=0,L897,CurrentMtgRatesDataTable8[[#This Row],[Servicing Spread]])</f>
        <v>0.90714148420835139</v>
      </c>
      <c r="M898" s="50">
        <f>CurrentMtgRatesDataTable8[[#This Row],[Servicing Spread Non-Zero]]-L897</f>
        <v>-3.9512471786852466E-2</v>
      </c>
      <c r="N898" s="50">
        <f>IF(J897&lt;&gt;0,CurrentMtgRatesDataTable8[[#This Row],[Rate]]-C897,N897)</f>
        <v>-3.0000000000000249E-2</v>
      </c>
    </row>
    <row r="899" spans="1:14">
      <c r="A899" s="47" t="s">
        <v>945</v>
      </c>
      <c r="B899" s="48">
        <v>2.8760429870518398</v>
      </c>
      <c r="C899" s="49">
        <v>3.77</v>
      </c>
      <c r="D899" s="50">
        <f t="shared" si="91"/>
        <v>1</v>
      </c>
      <c r="E899" s="50">
        <f t="shared" si="92"/>
        <v>0.2</v>
      </c>
      <c r="F899" s="50">
        <f t="shared" si="93"/>
        <v>1</v>
      </c>
      <c r="G899" s="50">
        <f t="shared" si="94"/>
        <v>0.57520859741036801</v>
      </c>
      <c r="H899" s="50">
        <f t="shared" si="95"/>
        <v>0.2</v>
      </c>
      <c r="I899" s="50">
        <f t="shared" si="96"/>
        <v>0</v>
      </c>
      <c r="J899" s="50">
        <f t="shared" si="97"/>
        <v>0</v>
      </c>
      <c r="K899" s="50">
        <f>IF(CurrentMtgRatesDataTable8[[#This Row],[WA CC]]&lt;&gt;0,C898-CurrentMtgRatesDataTable8[[#This Row],[WA CC]],0)</f>
        <v>0</v>
      </c>
      <c r="L899" s="50">
        <f>IF(CurrentMtgRatesDataTable8[[#This Row],[Servicing Spread]]&lt;=0,L898,CurrentMtgRatesDataTable8[[#This Row],[Servicing Spread]])</f>
        <v>0.90714148420835139</v>
      </c>
      <c r="M899" s="50">
        <f>CurrentMtgRatesDataTable8[[#This Row],[Servicing Spread Non-Zero]]-L898</f>
        <v>0</v>
      </c>
      <c r="N899" s="50">
        <f>IF(J898&lt;&gt;0,CurrentMtgRatesDataTable8[[#This Row],[Rate]]-C898,N898)</f>
        <v>0.11000000000000032</v>
      </c>
    </row>
    <row r="900" spans="1:14">
      <c r="A900" s="47" t="s">
        <v>946</v>
      </c>
      <c r="B900" s="48">
        <v>2.8444181025455899</v>
      </c>
      <c r="C900" s="49">
        <v>3.77</v>
      </c>
      <c r="D900" s="50">
        <f t="shared" si="91"/>
        <v>2</v>
      </c>
      <c r="E900" s="50">
        <f t="shared" si="92"/>
        <v>0.2</v>
      </c>
      <c r="F900" s="50">
        <f t="shared" si="93"/>
        <v>2</v>
      </c>
      <c r="G900" s="50">
        <f t="shared" si="94"/>
        <v>1.1440922179194861</v>
      </c>
      <c r="H900" s="50">
        <f t="shared" si="95"/>
        <v>0.4</v>
      </c>
      <c r="I900" s="50">
        <f t="shared" si="96"/>
        <v>0</v>
      </c>
      <c r="J900" s="50">
        <f t="shared" si="97"/>
        <v>0</v>
      </c>
      <c r="K900" s="50">
        <f>IF(CurrentMtgRatesDataTable8[[#This Row],[WA CC]]&lt;&gt;0,C899-CurrentMtgRatesDataTable8[[#This Row],[WA CC]],0)</f>
        <v>0</v>
      </c>
      <c r="L900" s="50">
        <f>IF(CurrentMtgRatesDataTable8[[#This Row],[Servicing Spread]]&lt;=0,L899,CurrentMtgRatesDataTable8[[#This Row],[Servicing Spread]])</f>
        <v>0.90714148420835139</v>
      </c>
      <c r="M900" s="50">
        <f>CurrentMtgRatesDataTable8[[#This Row],[Servicing Spread Non-Zero]]-L899</f>
        <v>0</v>
      </c>
      <c r="N900" s="50">
        <f>IF(J899&lt;&gt;0,CurrentMtgRatesDataTable8[[#This Row],[Rate]]-C899,N899)</f>
        <v>0.11000000000000032</v>
      </c>
    </row>
    <row r="901" spans="1:14">
      <c r="A901" s="47" t="s">
        <v>947</v>
      </c>
      <c r="B901" s="48">
        <v>2.8650468207927799</v>
      </c>
      <c r="C901" s="49">
        <v>3.77</v>
      </c>
      <c r="D901" s="50">
        <f t="shared" ref="D901:D964" si="98">WEEKDAY(A901,14)</f>
        <v>5</v>
      </c>
      <c r="E901" s="50">
        <f t="shared" ref="E901:E964" si="99">VLOOKUP(D901,Q$5:R$11,2,FALSE)</f>
        <v>0.2</v>
      </c>
      <c r="F901" s="50">
        <f t="shared" ref="F901:F964" si="100">IF(AND(D901&gt;D900,F900&lt;6),F900+1,1)</f>
        <v>3</v>
      </c>
      <c r="G901" s="50">
        <f t="shared" ref="G901:G964" si="101">IF(F901&gt;F900,G900+B901*E901,B901*E901)</f>
        <v>1.7171015820780422</v>
      </c>
      <c r="H901" s="50">
        <f t="shared" ref="H901:H964" si="102">IF(AND(F901&lt;6,F901&gt;F900),E901+H900,E901)</f>
        <v>0.60000000000000009</v>
      </c>
      <c r="I901" s="50">
        <f t="shared" ref="I901:I964" si="103">IF(F901&gt;F902,1,0)</f>
        <v>0</v>
      </c>
      <c r="J901" s="50">
        <f t="shared" ref="J901:J964" si="104">IF(F901&gt;F902,G901/H901,0)</f>
        <v>0</v>
      </c>
      <c r="K901" s="50">
        <f>IF(CurrentMtgRatesDataTable8[[#This Row],[WA CC]]&lt;&gt;0,C900-CurrentMtgRatesDataTable8[[#This Row],[WA CC]],0)</f>
        <v>0</v>
      </c>
      <c r="L901" s="50">
        <f>IF(CurrentMtgRatesDataTable8[[#This Row],[Servicing Spread]]&lt;=0,L900,CurrentMtgRatesDataTable8[[#This Row],[Servicing Spread]])</f>
        <v>0.90714148420835139</v>
      </c>
      <c r="M901" s="50">
        <f>CurrentMtgRatesDataTable8[[#This Row],[Servicing Spread Non-Zero]]-L900</f>
        <v>0</v>
      </c>
      <c r="N901" s="50">
        <f>IF(J900&lt;&gt;0,CurrentMtgRatesDataTable8[[#This Row],[Rate]]-C900,N900)</f>
        <v>0.11000000000000032</v>
      </c>
    </row>
    <row r="902" spans="1:14">
      <c r="A902" s="47" t="s">
        <v>948</v>
      </c>
      <c r="B902" s="48">
        <v>2.8982983852453801</v>
      </c>
      <c r="C902" s="49">
        <v>3.77</v>
      </c>
      <c r="D902" s="50">
        <f t="shared" si="98"/>
        <v>6</v>
      </c>
      <c r="E902" s="50">
        <f t="shared" si="99"/>
        <v>0.2</v>
      </c>
      <c r="F902" s="50">
        <f t="shared" si="100"/>
        <v>4</v>
      </c>
      <c r="G902" s="50">
        <f t="shared" si="101"/>
        <v>2.296761259127118</v>
      </c>
      <c r="H902" s="50">
        <f t="shared" si="102"/>
        <v>0.8</v>
      </c>
      <c r="I902" s="50">
        <f t="shared" si="103"/>
        <v>0</v>
      </c>
      <c r="J902" s="50">
        <f t="shared" si="104"/>
        <v>0</v>
      </c>
      <c r="K902" s="50">
        <f>IF(CurrentMtgRatesDataTable8[[#This Row],[WA CC]]&lt;&gt;0,C901-CurrentMtgRatesDataTable8[[#This Row],[WA CC]],0)</f>
        <v>0</v>
      </c>
      <c r="L902" s="50">
        <f>IF(CurrentMtgRatesDataTable8[[#This Row],[Servicing Spread]]&lt;=0,L901,CurrentMtgRatesDataTable8[[#This Row],[Servicing Spread]])</f>
        <v>0.90714148420835139</v>
      </c>
      <c r="M902" s="50">
        <f>CurrentMtgRatesDataTable8[[#This Row],[Servicing Spread Non-Zero]]-L901</f>
        <v>0</v>
      </c>
      <c r="N902" s="50">
        <f>IF(J901&lt;&gt;0,CurrentMtgRatesDataTable8[[#This Row],[Rate]]-C901,N901)</f>
        <v>0.11000000000000032</v>
      </c>
    </row>
    <row r="903" spans="1:14">
      <c r="A903" s="47" t="s">
        <v>949</v>
      </c>
      <c r="B903" s="48">
        <v>2.9340630334667899</v>
      </c>
      <c r="C903" s="49">
        <v>3.77</v>
      </c>
      <c r="D903" s="50">
        <f t="shared" si="98"/>
        <v>7</v>
      </c>
      <c r="E903" s="50">
        <f t="shared" si="99"/>
        <v>0.2</v>
      </c>
      <c r="F903" s="50">
        <f t="shared" si="100"/>
        <v>5</v>
      </c>
      <c r="G903" s="50">
        <f t="shared" si="101"/>
        <v>2.8835738658204759</v>
      </c>
      <c r="H903" s="50">
        <f t="shared" si="102"/>
        <v>1</v>
      </c>
      <c r="I903" s="50">
        <f t="shared" si="103"/>
        <v>1</v>
      </c>
      <c r="J903" s="50">
        <f t="shared" si="104"/>
        <v>2.8835738658204759</v>
      </c>
      <c r="K903" s="50">
        <f>IF(CurrentMtgRatesDataTable8[[#This Row],[WA CC]]&lt;&gt;0,C902-CurrentMtgRatesDataTable8[[#This Row],[WA CC]],0)</f>
        <v>0.88642613417952409</v>
      </c>
      <c r="L903" s="50">
        <f>IF(CurrentMtgRatesDataTable8[[#This Row],[Servicing Spread]]&lt;=0,L902,CurrentMtgRatesDataTable8[[#This Row],[Servicing Spread]])</f>
        <v>0.88642613417952409</v>
      </c>
      <c r="M903" s="50">
        <f>CurrentMtgRatesDataTable8[[#This Row],[Servicing Spread Non-Zero]]-L902</f>
        <v>-2.0715350028827295E-2</v>
      </c>
      <c r="N903" s="50">
        <f>IF(J902&lt;&gt;0,CurrentMtgRatesDataTable8[[#This Row],[Rate]]-C902,N902)</f>
        <v>0.11000000000000032</v>
      </c>
    </row>
    <row r="904" spans="1:14">
      <c r="A904" s="47" t="s">
        <v>950</v>
      </c>
      <c r="B904" s="48">
        <v>2.9388026853832501</v>
      </c>
      <c r="C904" s="49">
        <v>3.88</v>
      </c>
      <c r="D904" s="50">
        <f t="shared" si="98"/>
        <v>1</v>
      </c>
      <c r="E904" s="50">
        <f t="shared" si="99"/>
        <v>0.2</v>
      </c>
      <c r="F904" s="50">
        <f t="shared" si="100"/>
        <v>1</v>
      </c>
      <c r="G904" s="50">
        <f t="shared" si="101"/>
        <v>0.58776053707664999</v>
      </c>
      <c r="H904" s="50">
        <f t="shared" si="102"/>
        <v>0.2</v>
      </c>
      <c r="I904" s="50">
        <f t="shared" si="103"/>
        <v>0</v>
      </c>
      <c r="J904" s="50">
        <f t="shared" si="104"/>
        <v>0</v>
      </c>
      <c r="K904" s="50">
        <f>IF(CurrentMtgRatesDataTable8[[#This Row],[WA CC]]&lt;&gt;0,C903-CurrentMtgRatesDataTable8[[#This Row],[WA CC]],0)</f>
        <v>0</v>
      </c>
      <c r="L904" s="50">
        <f>IF(CurrentMtgRatesDataTable8[[#This Row],[Servicing Spread]]&lt;=0,L903,CurrentMtgRatesDataTable8[[#This Row],[Servicing Spread]])</f>
        <v>0.88642613417952409</v>
      </c>
      <c r="M904" s="50">
        <f>CurrentMtgRatesDataTable8[[#This Row],[Servicing Spread Non-Zero]]-L903</f>
        <v>0</v>
      </c>
      <c r="N904" s="50">
        <f>IF(J903&lt;&gt;0,CurrentMtgRatesDataTable8[[#This Row],[Rate]]-C903,N903)</f>
        <v>0.10999999999999988</v>
      </c>
    </row>
    <row r="905" spans="1:14">
      <c r="A905" s="47" t="s">
        <v>951</v>
      </c>
      <c r="B905" s="48">
        <v>3.0126979954339599</v>
      </c>
      <c r="C905" s="49">
        <v>3.88</v>
      </c>
      <c r="D905" s="50">
        <f t="shared" si="98"/>
        <v>2</v>
      </c>
      <c r="E905" s="50">
        <f t="shared" si="99"/>
        <v>0.2</v>
      </c>
      <c r="F905" s="50">
        <f t="shared" si="100"/>
        <v>2</v>
      </c>
      <c r="G905" s="50">
        <f t="shared" si="101"/>
        <v>1.190300136163442</v>
      </c>
      <c r="H905" s="50">
        <f t="shared" si="102"/>
        <v>0.4</v>
      </c>
      <c r="I905" s="50">
        <f t="shared" si="103"/>
        <v>0</v>
      </c>
      <c r="J905" s="50">
        <f t="shared" si="104"/>
        <v>0</v>
      </c>
      <c r="K905" s="50">
        <f>IF(CurrentMtgRatesDataTable8[[#This Row],[WA CC]]&lt;&gt;0,C904-CurrentMtgRatesDataTable8[[#This Row],[WA CC]],0)</f>
        <v>0</v>
      </c>
      <c r="L905" s="50">
        <f>IF(CurrentMtgRatesDataTable8[[#This Row],[Servicing Spread]]&lt;=0,L904,CurrentMtgRatesDataTable8[[#This Row],[Servicing Spread]])</f>
        <v>0.88642613417952409</v>
      </c>
      <c r="M905" s="50">
        <f>CurrentMtgRatesDataTable8[[#This Row],[Servicing Spread Non-Zero]]-L904</f>
        <v>0</v>
      </c>
      <c r="N905" s="50">
        <f>IF(J904&lt;&gt;0,CurrentMtgRatesDataTable8[[#This Row],[Rate]]-C904,N904)</f>
        <v>0.10999999999999988</v>
      </c>
    </row>
    <row r="906" spans="1:14">
      <c r="A906" s="47" t="s">
        <v>952</v>
      </c>
      <c r="B906" s="48">
        <v>3.0394713990433302</v>
      </c>
      <c r="C906" s="49">
        <v>3.88</v>
      </c>
      <c r="D906" s="50">
        <f t="shared" si="98"/>
        <v>5</v>
      </c>
      <c r="E906" s="50">
        <f t="shared" si="99"/>
        <v>0.2</v>
      </c>
      <c r="F906" s="50">
        <f t="shared" si="100"/>
        <v>3</v>
      </c>
      <c r="G906" s="50">
        <f t="shared" si="101"/>
        <v>1.7981944159721079</v>
      </c>
      <c r="H906" s="50">
        <f t="shared" si="102"/>
        <v>0.60000000000000009</v>
      </c>
      <c r="I906" s="50">
        <f t="shared" si="103"/>
        <v>0</v>
      </c>
      <c r="J906" s="50">
        <f t="shared" si="104"/>
        <v>0</v>
      </c>
      <c r="K906" s="50">
        <f>IF(CurrentMtgRatesDataTable8[[#This Row],[WA CC]]&lt;&gt;0,C905-CurrentMtgRatesDataTable8[[#This Row],[WA CC]],0)</f>
        <v>0</v>
      </c>
      <c r="L906" s="50">
        <f>IF(CurrentMtgRatesDataTable8[[#This Row],[Servicing Spread]]&lt;=0,L905,CurrentMtgRatesDataTable8[[#This Row],[Servicing Spread]])</f>
        <v>0.88642613417952409</v>
      </c>
      <c r="M906" s="50">
        <f>CurrentMtgRatesDataTable8[[#This Row],[Servicing Spread Non-Zero]]-L905</f>
        <v>0</v>
      </c>
      <c r="N906" s="50">
        <f>IF(J905&lt;&gt;0,CurrentMtgRatesDataTable8[[#This Row],[Rate]]-C905,N905)</f>
        <v>0.10999999999999988</v>
      </c>
    </row>
    <row r="907" spans="1:14">
      <c r="A907" s="47" t="s">
        <v>953</v>
      </c>
      <c r="B907" s="48">
        <v>3.0240881034818901</v>
      </c>
      <c r="C907" s="49">
        <v>3.88</v>
      </c>
      <c r="D907" s="50">
        <f t="shared" si="98"/>
        <v>6</v>
      </c>
      <c r="E907" s="50">
        <f t="shared" si="99"/>
        <v>0.2</v>
      </c>
      <c r="F907" s="50">
        <f t="shared" si="100"/>
        <v>4</v>
      </c>
      <c r="G907" s="50">
        <f t="shared" si="101"/>
        <v>2.403012036668486</v>
      </c>
      <c r="H907" s="50">
        <f t="shared" si="102"/>
        <v>0.8</v>
      </c>
      <c r="I907" s="50">
        <f t="shared" si="103"/>
        <v>1</v>
      </c>
      <c r="J907" s="50">
        <f t="shared" si="104"/>
        <v>3.0037650458356073</v>
      </c>
      <c r="K907" s="50">
        <f>IF(CurrentMtgRatesDataTable8[[#This Row],[WA CC]]&lt;&gt;0,C906-CurrentMtgRatesDataTable8[[#This Row],[WA CC]],0)</f>
        <v>0.87623495416439257</v>
      </c>
      <c r="L907" s="50">
        <f>IF(CurrentMtgRatesDataTable8[[#This Row],[Servicing Spread]]&lt;=0,L906,CurrentMtgRatesDataTable8[[#This Row],[Servicing Spread]])</f>
        <v>0.87623495416439257</v>
      </c>
      <c r="M907" s="50">
        <f>CurrentMtgRatesDataTable8[[#This Row],[Servicing Spread Non-Zero]]-L906</f>
        <v>-1.0191180015131529E-2</v>
      </c>
      <c r="N907" s="50">
        <f>IF(J906&lt;&gt;0,CurrentMtgRatesDataTable8[[#This Row],[Rate]]-C906,N906)</f>
        <v>0.10999999999999988</v>
      </c>
    </row>
    <row r="908" spans="1:14">
      <c r="A908" s="39" t="s">
        <v>954</v>
      </c>
      <c r="B908" s="40">
        <v>3.0415503408748101</v>
      </c>
      <c r="C908" s="11">
        <v>3.87</v>
      </c>
      <c r="D908" s="16">
        <f t="shared" si="98"/>
        <v>1</v>
      </c>
      <c r="E908" s="16">
        <f t="shared" si="99"/>
        <v>0.2</v>
      </c>
      <c r="F908" s="16">
        <f t="shared" si="100"/>
        <v>1</v>
      </c>
      <c r="G908" s="16">
        <f t="shared" si="101"/>
        <v>0.60831006817496203</v>
      </c>
      <c r="H908" s="16">
        <f t="shared" si="102"/>
        <v>0.2</v>
      </c>
      <c r="I908" s="16">
        <f t="shared" si="103"/>
        <v>0</v>
      </c>
      <c r="J908" s="16">
        <f t="shared" si="104"/>
        <v>0</v>
      </c>
      <c r="K908" s="16">
        <f>IF(CurrentMtgRatesDataTable8[[#This Row],[WA CC]]&lt;&gt;0,C907-CurrentMtgRatesDataTable8[[#This Row],[WA CC]],0)</f>
        <v>0</v>
      </c>
      <c r="L908" s="16">
        <f>IF(CurrentMtgRatesDataTable8[[#This Row],[Servicing Spread]]&lt;=0,L907,CurrentMtgRatesDataTable8[[#This Row],[Servicing Spread]])</f>
        <v>0.87623495416439257</v>
      </c>
      <c r="M908" s="16">
        <f>CurrentMtgRatesDataTable8[[#This Row],[Servicing Spread Non-Zero]]-L907</f>
        <v>0</v>
      </c>
      <c r="N908" s="16">
        <f>IF(J907&lt;&gt;0,CurrentMtgRatesDataTable8[[#This Row],[Rate]]-C907,N907)</f>
        <v>-9.9999999999997868E-3</v>
      </c>
    </row>
    <row r="909" spans="1:14">
      <c r="A909" s="39" t="s">
        <v>955</v>
      </c>
      <c r="B909" s="40">
        <v>3.0032203766891601</v>
      </c>
      <c r="C909" s="11">
        <v>3.87</v>
      </c>
      <c r="D909" s="16">
        <f t="shared" si="98"/>
        <v>2</v>
      </c>
      <c r="E909" s="16">
        <f t="shared" si="99"/>
        <v>0.2</v>
      </c>
      <c r="F909" s="16">
        <f t="shared" si="100"/>
        <v>2</v>
      </c>
      <c r="G909" s="16">
        <f t="shared" si="101"/>
        <v>1.208954143512794</v>
      </c>
      <c r="H909" s="16">
        <f t="shared" si="102"/>
        <v>0.4</v>
      </c>
      <c r="I909" s="16">
        <f t="shared" si="103"/>
        <v>0</v>
      </c>
      <c r="J909" s="16">
        <f t="shared" si="104"/>
        <v>0</v>
      </c>
      <c r="K909" s="16">
        <f>IF(CurrentMtgRatesDataTable8[[#This Row],[WA CC]]&lt;&gt;0,C908-CurrentMtgRatesDataTable8[[#This Row],[WA CC]],0)</f>
        <v>0</v>
      </c>
      <c r="L909" s="16">
        <f>IF(CurrentMtgRatesDataTable8[[#This Row],[Servicing Spread]]&lt;=0,L908,CurrentMtgRatesDataTable8[[#This Row],[Servicing Spread]])</f>
        <v>0.87623495416439257</v>
      </c>
      <c r="M909" s="16">
        <f>CurrentMtgRatesDataTable8[[#This Row],[Servicing Spread Non-Zero]]-L908</f>
        <v>0</v>
      </c>
      <c r="N909" s="16">
        <f>IF(J908&lt;&gt;0,CurrentMtgRatesDataTable8[[#This Row],[Rate]]-C908,N908)</f>
        <v>-9.9999999999997868E-3</v>
      </c>
    </row>
    <row r="910" spans="1:14">
      <c r="A910" s="39" t="s">
        <v>956</v>
      </c>
      <c r="B910" s="40">
        <v>2.9962349476624799</v>
      </c>
      <c r="C910" s="11">
        <v>3.87</v>
      </c>
      <c r="D910" s="16">
        <f t="shared" si="98"/>
        <v>5</v>
      </c>
      <c r="E910" s="16">
        <f t="shared" si="99"/>
        <v>0.2</v>
      </c>
      <c r="F910" s="16">
        <f t="shared" si="100"/>
        <v>3</v>
      </c>
      <c r="G910" s="16">
        <f t="shared" si="101"/>
        <v>1.8082011330452898</v>
      </c>
      <c r="H910" s="16">
        <f t="shared" si="102"/>
        <v>0.60000000000000009</v>
      </c>
      <c r="I910" s="16">
        <f t="shared" si="103"/>
        <v>0</v>
      </c>
      <c r="J910" s="16">
        <f t="shared" si="104"/>
        <v>0</v>
      </c>
      <c r="K910" s="16">
        <f>IF(CurrentMtgRatesDataTable8[[#This Row],[WA CC]]&lt;&gt;0,C909-CurrentMtgRatesDataTable8[[#This Row],[WA CC]],0)</f>
        <v>0</v>
      </c>
      <c r="L910" s="16">
        <f>IF(CurrentMtgRatesDataTable8[[#This Row],[Servicing Spread]]&lt;=0,L909,CurrentMtgRatesDataTable8[[#This Row],[Servicing Spread]])</f>
        <v>0.87623495416439257</v>
      </c>
      <c r="M910" s="16">
        <f>CurrentMtgRatesDataTable8[[#This Row],[Servicing Spread Non-Zero]]-L909</f>
        <v>0</v>
      </c>
      <c r="N910" s="16">
        <f>IF(J909&lt;&gt;0,CurrentMtgRatesDataTable8[[#This Row],[Rate]]-C909,N909)</f>
        <v>-9.9999999999997868E-3</v>
      </c>
    </row>
    <row r="911" spans="1:14">
      <c r="A911" s="39" t="s">
        <v>957</v>
      </c>
      <c r="B911" s="40">
        <v>2.9829487992520902</v>
      </c>
      <c r="C911" s="11">
        <v>3.87</v>
      </c>
      <c r="D911" s="16">
        <f t="shared" si="98"/>
        <v>6</v>
      </c>
      <c r="E911" s="16">
        <f t="shared" si="99"/>
        <v>0.2</v>
      </c>
      <c r="F911" s="16">
        <f t="shared" si="100"/>
        <v>4</v>
      </c>
      <c r="G911" s="16">
        <f t="shared" si="101"/>
        <v>2.4047908928957078</v>
      </c>
      <c r="H911" s="16">
        <f t="shared" si="102"/>
        <v>0.8</v>
      </c>
      <c r="I911" s="16">
        <f t="shared" si="103"/>
        <v>0</v>
      </c>
      <c r="J911" s="16">
        <f t="shared" si="104"/>
        <v>0</v>
      </c>
      <c r="K911" s="16">
        <f>IF(CurrentMtgRatesDataTable8[[#This Row],[WA CC]]&lt;&gt;0,C910-CurrentMtgRatesDataTable8[[#This Row],[WA CC]],0)</f>
        <v>0</v>
      </c>
      <c r="L911" s="16">
        <f>IF(CurrentMtgRatesDataTable8[[#This Row],[Servicing Spread]]&lt;=0,L910,CurrentMtgRatesDataTable8[[#This Row],[Servicing Spread]])</f>
        <v>0.87623495416439257</v>
      </c>
      <c r="M911" s="16">
        <f>CurrentMtgRatesDataTable8[[#This Row],[Servicing Spread Non-Zero]]-L910</f>
        <v>0</v>
      </c>
      <c r="N911" s="16">
        <f>IF(J910&lt;&gt;0,CurrentMtgRatesDataTable8[[#This Row],[Rate]]-C910,N910)</f>
        <v>-9.9999999999997868E-3</v>
      </c>
    </row>
    <row r="912" spans="1:14">
      <c r="A912" s="39" t="s">
        <v>958</v>
      </c>
      <c r="B912" s="40">
        <v>2.97922271147955</v>
      </c>
      <c r="C912" s="11">
        <v>3.87</v>
      </c>
      <c r="D912" s="16">
        <f t="shared" si="98"/>
        <v>7</v>
      </c>
      <c r="E912" s="16">
        <f t="shared" si="99"/>
        <v>0.2</v>
      </c>
      <c r="F912" s="16">
        <f t="shared" si="100"/>
        <v>5</v>
      </c>
      <c r="G912" s="16">
        <f t="shared" si="101"/>
        <v>3.0006354351916178</v>
      </c>
      <c r="H912" s="16">
        <f t="shared" si="102"/>
        <v>1</v>
      </c>
      <c r="I912" s="16">
        <f t="shared" si="103"/>
        <v>1</v>
      </c>
      <c r="J912" s="16">
        <f t="shared" si="104"/>
        <v>3.0006354351916178</v>
      </c>
      <c r="K912" s="16">
        <f>IF(CurrentMtgRatesDataTable8[[#This Row],[WA CC]]&lt;&gt;0,C911-CurrentMtgRatesDataTable8[[#This Row],[WA CC]],0)</f>
        <v>0.86936456480838231</v>
      </c>
      <c r="L912" s="16">
        <f>IF(CurrentMtgRatesDataTable8[[#This Row],[Servicing Spread]]&lt;=0,L911,CurrentMtgRatesDataTable8[[#This Row],[Servicing Spread]])</f>
        <v>0.86936456480838231</v>
      </c>
      <c r="M912" s="16">
        <f>CurrentMtgRatesDataTable8[[#This Row],[Servicing Spread Non-Zero]]-L911</f>
        <v>-6.8703893560102536E-3</v>
      </c>
      <c r="N912" s="16">
        <f>IF(J911&lt;&gt;0,CurrentMtgRatesDataTable8[[#This Row],[Rate]]-C911,N911)</f>
        <v>-9.9999999999997868E-3</v>
      </c>
    </row>
    <row r="913" spans="1:14">
      <c r="A913" s="39" t="s">
        <v>959</v>
      </c>
      <c r="B913" s="40">
        <v>2.9567440380932299</v>
      </c>
      <c r="C913" s="11">
        <v>3.875</v>
      </c>
      <c r="D913" s="16">
        <f t="shared" si="98"/>
        <v>1</v>
      </c>
      <c r="E913" s="16">
        <f t="shared" si="99"/>
        <v>0.2</v>
      </c>
      <c r="F913" s="16">
        <f t="shared" si="100"/>
        <v>1</v>
      </c>
      <c r="G913" s="16">
        <f t="shared" si="101"/>
        <v>0.59134880761864606</v>
      </c>
      <c r="H913" s="16">
        <f t="shared" si="102"/>
        <v>0.2</v>
      </c>
      <c r="I913" s="16">
        <f t="shared" si="103"/>
        <v>0</v>
      </c>
      <c r="J913" s="16">
        <f t="shared" si="104"/>
        <v>0</v>
      </c>
      <c r="K913" s="16">
        <f>IF(CurrentMtgRatesDataTable8[[#This Row],[WA CC]]&lt;&gt;0,C912-CurrentMtgRatesDataTable8[[#This Row],[WA CC]],0)</f>
        <v>0</v>
      </c>
      <c r="L913" s="16">
        <f>IF(CurrentMtgRatesDataTable8[[#This Row],[Servicing Spread]]&lt;=0,L912,CurrentMtgRatesDataTable8[[#This Row],[Servicing Spread]])</f>
        <v>0.86936456480838231</v>
      </c>
      <c r="M913" s="16">
        <f>CurrentMtgRatesDataTable8[[#This Row],[Servicing Spread Non-Zero]]-L912</f>
        <v>0</v>
      </c>
      <c r="N913" s="16">
        <f>IF(J912&lt;&gt;0,CurrentMtgRatesDataTable8[[#This Row],[Rate]]-C912,N912)</f>
        <v>4.9999999999998934E-3</v>
      </c>
    </row>
    <row r="914" spans="1:14">
      <c r="A914" s="39" t="s">
        <v>960</v>
      </c>
      <c r="B914" s="40">
        <v>2.9778815410804498</v>
      </c>
      <c r="C914" s="11">
        <v>3.875</v>
      </c>
      <c r="D914" s="16">
        <f t="shared" si="98"/>
        <v>2</v>
      </c>
      <c r="E914" s="16">
        <f t="shared" si="99"/>
        <v>0.2</v>
      </c>
      <c r="F914" s="16">
        <f t="shared" si="100"/>
        <v>2</v>
      </c>
      <c r="G914" s="16">
        <f t="shared" si="101"/>
        <v>1.186925115834736</v>
      </c>
      <c r="H914" s="16">
        <f t="shared" si="102"/>
        <v>0.4</v>
      </c>
      <c r="I914" s="16">
        <f t="shared" si="103"/>
        <v>0</v>
      </c>
      <c r="J914" s="16">
        <f t="shared" si="104"/>
        <v>0</v>
      </c>
      <c r="K914" s="16">
        <f>IF(CurrentMtgRatesDataTable8[[#This Row],[WA CC]]&lt;&gt;0,C913-CurrentMtgRatesDataTable8[[#This Row],[WA CC]],0)</f>
        <v>0</v>
      </c>
      <c r="L914" s="16">
        <f>IF(CurrentMtgRatesDataTable8[[#This Row],[Servicing Spread]]&lt;=0,L913,CurrentMtgRatesDataTable8[[#This Row],[Servicing Spread]])</f>
        <v>0.86936456480838231</v>
      </c>
      <c r="M914" s="16">
        <f>CurrentMtgRatesDataTable8[[#This Row],[Servicing Spread Non-Zero]]-L913</f>
        <v>0</v>
      </c>
      <c r="N914" s="16">
        <f>IF(J913&lt;&gt;0,CurrentMtgRatesDataTable8[[#This Row],[Rate]]-C913,N913)</f>
        <v>4.9999999999998934E-3</v>
      </c>
    </row>
    <row r="915" spans="1:14">
      <c r="A915" s="39" t="s">
        <v>961</v>
      </c>
      <c r="B915" s="40">
        <v>2.9783756626827098</v>
      </c>
      <c r="C915" s="11">
        <v>3.875</v>
      </c>
      <c r="D915" s="16">
        <f t="shared" si="98"/>
        <v>5</v>
      </c>
      <c r="E915" s="16">
        <f t="shared" si="99"/>
        <v>0.2</v>
      </c>
      <c r="F915" s="16">
        <f t="shared" si="100"/>
        <v>3</v>
      </c>
      <c r="G915" s="16">
        <f t="shared" si="101"/>
        <v>1.7826002483712782</v>
      </c>
      <c r="H915" s="16">
        <f t="shared" si="102"/>
        <v>0.60000000000000009</v>
      </c>
      <c r="I915" s="16">
        <f t="shared" si="103"/>
        <v>0</v>
      </c>
      <c r="J915" s="16">
        <f t="shared" si="104"/>
        <v>0</v>
      </c>
      <c r="K915" s="16">
        <f>IF(CurrentMtgRatesDataTable8[[#This Row],[WA CC]]&lt;&gt;0,C914-CurrentMtgRatesDataTable8[[#This Row],[WA CC]],0)</f>
        <v>0</v>
      </c>
      <c r="L915" s="16">
        <f>IF(CurrentMtgRatesDataTable8[[#This Row],[Servicing Spread]]&lt;=0,L914,CurrentMtgRatesDataTable8[[#This Row],[Servicing Spread]])</f>
        <v>0.86936456480838231</v>
      </c>
      <c r="M915" s="16">
        <f>CurrentMtgRatesDataTable8[[#This Row],[Servicing Spread Non-Zero]]-L914</f>
        <v>0</v>
      </c>
      <c r="N915" s="16">
        <f>IF(J914&lt;&gt;0,CurrentMtgRatesDataTable8[[#This Row],[Rate]]-C914,N914)</f>
        <v>4.9999999999998934E-3</v>
      </c>
    </row>
    <row r="916" spans="1:14">
      <c r="A916" s="39" t="s">
        <v>962</v>
      </c>
      <c r="B916" s="40">
        <v>2.9726150604600501</v>
      </c>
      <c r="C916" s="11">
        <v>3.875</v>
      </c>
      <c r="D916" s="16">
        <f t="shared" si="98"/>
        <v>6</v>
      </c>
      <c r="E916" s="16">
        <f t="shared" si="99"/>
        <v>0.2</v>
      </c>
      <c r="F916" s="16">
        <f t="shared" si="100"/>
        <v>4</v>
      </c>
      <c r="G916" s="16">
        <f t="shared" si="101"/>
        <v>2.3771232604632884</v>
      </c>
      <c r="H916" s="16">
        <f t="shared" si="102"/>
        <v>0.8</v>
      </c>
      <c r="I916" s="16">
        <f t="shared" si="103"/>
        <v>0</v>
      </c>
      <c r="J916" s="16">
        <f t="shared" si="104"/>
        <v>0</v>
      </c>
      <c r="K916" s="16">
        <f>IF(CurrentMtgRatesDataTable8[[#This Row],[WA CC]]&lt;&gt;0,C915-CurrentMtgRatesDataTable8[[#This Row],[WA CC]],0)</f>
        <v>0</v>
      </c>
      <c r="L916" s="16">
        <f>IF(CurrentMtgRatesDataTable8[[#This Row],[Servicing Spread]]&lt;=0,L915,CurrentMtgRatesDataTable8[[#This Row],[Servicing Spread]])</f>
        <v>0.86936456480838231</v>
      </c>
      <c r="M916" s="16">
        <f>CurrentMtgRatesDataTable8[[#This Row],[Servicing Spread Non-Zero]]-L915</f>
        <v>0</v>
      </c>
      <c r="N916" s="16">
        <f>IF(J915&lt;&gt;0,CurrentMtgRatesDataTable8[[#This Row],[Rate]]-C915,N915)</f>
        <v>4.9999999999998934E-3</v>
      </c>
    </row>
    <row r="917" spans="1:14">
      <c r="A917" s="39" t="s">
        <v>986</v>
      </c>
      <c r="B917" s="40">
        <v>2.9699990408330801</v>
      </c>
      <c r="C917" s="11">
        <v>3.875</v>
      </c>
      <c r="D917" s="16">
        <f t="shared" si="98"/>
        <v>7</v>
      </c>
      <c r="E917" s="16">
        <f t="shared" si="99"/>
        <v>0.2</v>
      </c>
      <c r="F917" s="16">
        <f t="shared" si="100"/>
        <v>5</v>
      </c>
      <c r="G917" s="16">
        <f t="shared" si="101"/>
        <v>2.9711230686299044</v>
      </c>
      <c r="H917" s="16">
        <f t="shared" si="102"/>
        <v>1</v>
      </c>
      <c r="I917" s="16">
        <f t="shared" si="103"/>
        <v>1</v>
      </c>
      <c r="J917" s="16">
        <f t="shared" si="104"/>
        <v>2.9711230686299044</v>
      </c>
      <c r="K917" s="16">
        <f>IF(CurrentMtgRatesDataTable8[[#This Row],[WA CC]]&lt;&gt;0,C916-CurrentMtgRatesDataTable8[[#This Row],[WA CC]],0)</f>
        <v>0.90387693137009562</v>
      </c>
      <c r="L917" s="16">
        <f>IF(CurrentMtgRatesDataTable8[[#This Row],[Servicing Spread]]&lt;=0,L916,CurrentMtgRatesDataTable8[[#This Row],[Servicing Spread]])</f>
        <v>0.90387693137009562</v>
      </c>
      <c r="M917" s="16">
        <f>CurrentMtgRatesDataTable8[[#This Row],[Servicing Spread Non-Zero]]-L916</f>
        <v>3.4512366561713304E-2</v>
      </c>
      <c r="N917" s="16">
        <f>IF(J916&lt;&gt;0,CurrentMtgRatesDataTable8[[#This Row],[Rate]]-C916,N916)</f>
        <v>4.9999999999998934E-3</v>
      </c>
    </row>
    <row r="918" spans="1:14">
      <c r="A918" s="39" t="s">
        <v>963</v>
      </c>
      <c r="B918" s="40">
        <v>2.9627998266716902</v>
      </c>
      <c r="C918" s="11">
        <v>3.83</v>
      </c>
      <c r="D918" s="16">
        <f t="shared" si="98"/>
        <v>2</v>
      </c>
      <c r="E918" s="16">
        <f t="shared" si="99"/>
        <v>0.2</v>
      </c>
      <c r="F918" s="16">
        <f t="shared" si="100"/>
        <v>1</v>
      </c>
      <c r="G918" s="16">
        <f t="shared" si="101"/>
        <v>0.59255996533433808</v>
      </c>
      <c r="H918" s="16">
        <f t="shared" si="102"/>
        <v>0.2</v>
      </c>
      <c r="I918" s="16">
        <f t="shared" si="103"/>
        <v>0</v>
      </c>
      <c r="J918" s="16">
        <f t="shared" si="104"/>
        <v>0</v>
      </c>
      <c r="K918" s="16">
        <f>IF(CurrentMtgRatesDataTable8[[#This Row],[WA CC]]&lt;&gt;0,C917-CurrentMtgRatesDataTable8[[#This Row],[WA CC]],0)</f>
        <v>0</v>
      </c>
      <c r="L918" s="16">
        <f>IF(CurrentMtgRatesDataTable8[[#This Row],[Servicing Spread]]&lt;=0,L917,CurrentMtgRatesDataTable8[[#This Row],[Servicing Spread]])</f>
        <v>0.90387693137009562</v>
      </c>
      <c r="M918" s="16">
        <f>CurrentMtgRatesDataTable8[[#This Row],[Servicing Spread Non-Zero]]-L917</f>
        <v>0</v>
      </c>
      <c r="N918" s="16">
        <f>IF(J917&lt;&gt;0,CurrentMtgRatesDataTable8[[#This Row],[Rate]]-C917,N917)</f>
        <v>-4.4999999999999929E-2</v>
      </c>
    </row>
    <row r="919" spans="1:14">
      <c r="A919" s="39" t="s">
        <v>964</v>
      </c>
      <c r="B919" s="40">
        <v>2.9474672658602201</v>
      </c>
      <c r="C919" s="11">
        <v>3.83</v>
      </c>
      <c r="D919" s="16">
        <f t="shared" si="98"/>
        <v>5</v>
      </c>
      <c r="E919" s="16">
        <f t="shared" si="99"/>
        <v>0.2</v>
      </c>
      <c r="F919" s="16">
        <f t="shared" si="100"/>
        <v>2</v>
      </c>
      <c r="G919" s="16">
        <f t="shared" si="101"/>
        <v>1.1820534185063822</v>
      </c>
      <c r="H919" s="16">
        <f t="shared" si="102"/>
        <v>0.4</v>
      </c>
      <c r="I919" s="16">
        <f t="shared" si="103"/>
        <v>0</v>
      </c>
      <c r="J919" s="16">
        <f t="shared" si="104"/>
        <v>0</v>
      </c>
      <c r="K919" s="16">
        <f>IF(CurrentMtgRatesDataTable8[[#This Row],[WA CC]]&lt;&gt;0,C918-CurrentMtgRatesDataTable8[[#This Row],[WA CC]],0)</f>
        <v>0</v>
      </c>
      <c r="L919" s="16">
        <f>IF(CurrentMtgRatesDataTable8[[#This Row],[Servicing Spread]]&lt;=0,L918,CurrentMtgRatesDataTable8[[#This Row],[Servicing Spread]])</f>
        <v>0.90387693137009562</v>
      </c>
      <c r="M919" s="16">
        <f>CurrentMtgRatesDataTable8[[#This Row],[Servicing Spread Non-Zero]]-L918</f>
        <v>0</v>
      </c>
      <c r="N919" s="16">
        <f>IF(J918&lt;&gt;0,CurrentMtgRatesDataTable8[[#This Row],[Rate]]-C918,N918)</f>
        <v>-4.4999999999999929E-2</v>
      </c>
    </row>
    <row r="920" spans="1:14">
      <c r="A920" s="39" t="s">
        <v>965</v>
      </c>
      <c r="B920" s="40">
        <v>2.8947298491443201</v>
      </c>
      <c r="C920" s="11">
        <v>3.83</v>
      </c>
      <c r="D920" s="16">
        <f t="shared" si="98"/>
        <v>6</v>
      </c>
      <c r="E920" s="16">
        <f t="shared" si="99"/>
        <v>0.2</v>
      </c>
      <c r="F920" s="16">
        <f t="shared" si="100"/>
        <v>3</v>
      </c>
      <c r="G920" s="16">
        <f t="shared" si="101"/>
        <v>1.7609993883352462</v>
      </c>
      <c r="H920" s="16">
        <f t="shared" si="102"/>
        <v>0.60000000000000009</v>
      </c>
      <c r="I920" s="16">
        <f t="shared" si="103"/>
        <v>0</v>
      </c>
      <c r="J920" s="16">
        <f t="shared" si="104"/>
        <v>0</v>
      </c>
      <c r="K920" s="16">
        <f>IF(CurrentMtgRatesDataTable8[[#This Row],[WA CC]]&lt;&gt;0,C919-CurrentMtgRatesDataTable8[[#This Row],[WA CC]],0)</f>
        <v>0</v>
      </c>
      <c r="L920" s="16">
        <f>IF(CurrentMtgRatesDataTable8[[#This Row],[Servicing Spread]]&lt;=0,L919,CurrentMtgRatesDataTable8[[#This Row],[Servicing Spread]])</f>
        <v>0.90387693137009562</v>
      </c>
      <c r="M920" s="16">
        <f>CurrentMtgRatesDataTable8[[#This Row],[Servicing Spread Non-Zero]]-L919</f>
        <v>0</v>
      </c>
      <c r="N920" s="16">
        <f>IF(J919&lt;&gt;0,CurrentMtgRatesDataTable8[[#This Row],[Rate]]-C919,N919)</f>
        <v>-4.4999999999999929E-2</v>
      </c>
    </row>
    <row r="921" spans="1:14">
      <c r="A921" s="39" t="s">
        <v>966</v>
      </c>
      <c r="B921" s="40">
        <v>2.9165593470462001</v>
      </c>
      <c r="C921" s="11">
        <v>3.83</v>
      </c>
      <c r="D921" s="16">
        <f t="shared" si="98"/>
        <v>7</v>
      </c>
      <c r="E921" s="16">
        <f t="shared" si="99"/>
        <v>0.2</v>
      </c>
      <c r="F921" s="16">
        <f t="shared" si="100"/>
        <v>4</v>
      </c>
      <c r="G921" s="16">
        <f t="shared" si="101"/>
        <v>2.3443112577444865</v>
      </c>
      <c r="H921" s="16">
        <f t="shared" si="102"/>
        <v>0.8</v>
      </c>
      <c r="I921" s="16">
        <f t="shared" si="103"/>
        <v>1</v>
      </c>
      <c r="J921" s="16">
        <f t="shared" si="104"/>
        <v>2.9303890721806081</v>
      </c>
      <c r="K921" s="16">
        <f>IF(CurrentMtgRatesDataTable8[[#This Row],[WA CC]]&lt;&gt;0,C920-CurrentMtgRatesDataTable8[[#This Row],[WA CC]],0)</f>
        <v>0.899610927819392</v>
      </c>
      <c r="L921" s="16">
        <f>IF(CurrentMtgRatesDataTable8[[#This Row],[Servicing Spread]]&lt;=0,L920,CurrentMtgRatesDataTable8[[#This Row],[Servicing Spread]])</f>
        <v>0.899610927819392</v>
      </c>
      <c r="M921" s="16">
        <f>CurrentMtgRatesDataTable8[[#This Row],[Servicing Spread Non-Zero]]-L920</f>
        <v>-4.266003550703612E-3</v>
      </c>
      <c r="N921" s="16">
        <f>IF(J920&lt;&gt;0,CurrentMtgRatesDataTable8[[#This Row],[Rate]]-C920,N920)</f>
        <v>-4.4999999999999929E-2</v>
      </c>
    </row>
    <row r="922" spans="1:14">
      <c r="A922" s="39" t="s">
        <v>967</v>
      </c>
      <c r="B922" s="40">
        <v>3.0544306669029599</v>
      </c>
      <c r="C922" s="11">
        <v>3.85</v>
      </c>
      <c r="D922" s="16">
        <f t="shared" si="98"/>
        <v>1</v>
      </c>
      <c r="E922" s="16">
        <f t="shared" si="99"/>
        <v>0.2</v>
      </c>
      <c r="F922" s="16">
        <f t="shared" si="100"/>
        <v>1</v>
      </c>
      <c r="G922" s="16">
        <f t="shared" si="101"/>
        <v>0.61088613338059206</v>
      </c>
      <c r="H922" s="16">
        <f t="shared" si="102"/>
        <v>0.2</v>
      </c>
      <c r="I922" s="16">
        <f t="shared" si="103"/>
        <v>0</v>
      </c>
      <c r="J922" s="16">
        <f t="shared" si="104"/>
        <v>0</v>
      </c>
      <c r="K922" s="16">
        <f>IF(CurrentMtgRatesDataTable8[[#This Row],[WA CC]]&lt;&gt;0,C921-CurrentMtgRatesDataTable8[[#This Row],[WA CC]],0)</f>
        <v>0</v>
      </c>
      <c r="L922" s="16">
        <f>IF(CurrentMtgRatesDataTable8[[#This Row],[Servicing Spread]]&lt;=0,L921,CurrentMtgRatesDataTable8[[#This Row],[Servicing Spread]])</f>
        <v>0.899610927819392</v>
      </c>
      <c r="M922" s="16">
        <f>CurrentMtgRatesDataTable8[[#This Row],[Servicing Spread Non-Zero]]-L921</f>
        <v>0</v>
      </c>
      <c r="N922" s="16">
        <f>IF(J921&lt;&gt;0,CurrentMtgRatesDataTable8[[#This Row],[Rate]]-C921,N921)</f>
        <v>2.0000000000000018E-2</v>
      </c>
    </row>
    <row r="923" spans="1:14">
      <c r="A923" s="39" t="s">
        <v>968</v>
      </c>
      <c r="B923" s="40">
        <v>2.9966381834712199</v>
      </c>
      <c r="C923" s="11">
        <v>3.85</v>
      </c>
      <c r="D923" s="16">
        <f t="shared" si="98"/>
        <v>2</v>
      </c>
      <c r="E923" s="16">
        <f t="shared" si="99"/>
        <v>0.2</v>
      </c>
      <c r="F923" s="16">
        <f t="shared" si="100"/>
        <v>2</v>
      </c>
      <c r="G923" s="16">
        <f t="shared" si="101"/>
        <v>1.2102137700748361</v>
      </c>
      <c r="H923" s="16">
        <f t="shared" si="102"/>
        <v>0.4</v>
      </c>
      <c r="I923" s="16">
        <f t="shared" si="103"/>
        <v>0</v>
      </c>
      <c r="J923" s="16">
        <f t="shared" si="104"/>
        <v>0</v>
      </c>
      <c r="K923" s="16">
        <f>IF(CurrentMtgRatesDataTable8[[#This Row],[WA CC]]&lt;&gt;0,C922-CurrentMtgRatesDataTable8[[#This Row],[WA CC]],0)</f>
        <v>0</v>
      </c>
      <c r="L923" s="16">
        <f>IF(CurrentMtgRatesDataTable8[[#This Row],[Servicing Spread]]&lt;=0,L922,CurrentMtgRatesDataTable8[[#This Row],[Servicing Spread]])</f>
        <v>0.899610927819392</v>
      </c>
      <c r="M923" s="16">
        <f>CurrentMtgRatesDataTable8[[#This Row],[Servicing Spread Non-Zero]]-L922</f>
        <v>0</v>
      </c>
      <c r="N923" s="16">
        <f>IF(J922&lt;&gt;0,CurrentMtgRatesDataTable8[[#This Row],[Rate]]-C922,N922)</f>
        <v>2.0000000000000018E-2</v>
      </c>
    </row>
    <row r="924" spans="1:14">
      <c r="A924" s="39" t="s">
        <v>969</v>
      </c>
      <c r="B924" s="40">
        <v>2.9498986890501602</v>
      </c>
      <c r="C924" s="11">
        <v>3.85</v>
      </c>
      <c r="D924" s="16">
        <f t="shared" si="98"/>
        <v>5</v>
      </c>
      <c r="E924" s="16">
        <f t="shared" si="99"/>
        <v>0.2</v>
      </c>
      <c r="F924" s="16">
        <f t="shared" si="100"/>
        <v>3</v>
      </c>
      <c r="G924" s="16">
        <f t="shared" si="101"/>
        <v>1.8001935078848681</v>
      </c>
      <c r="H924" s="16">
        <f t="shared" si="102"/>
        <v>0.60000000000000009</v>
      </c>
      <c r="I924" s="16">
        <f t="shared" si="103"/>
        <v>0</v>
      </c>
      <c r="J924" s="16">
        <f t="shared" si="104"/>
        <v>0</v>
      </c>
      <c r="K924" s="16">
        <f>IF(CurrentMtgRatesDataTable8[[#This Row],[WA CC]]&lt;&gt;0,C923-CurrentMtgRatesDataTable8[[#This Row],[WA CC]],0)</f>
        <v>0</v>
      </c>
      <c r="L924" s="16">
        <f>IF(CurrentMtgRatesDataTable8[[#This Row],[Servicing Spread]]&lt;=0,L923,CurrentMtgRatesDataTable8[[#This Row],[Servicing Spread]])</f>
        <v>0.899610927819392</v>
      </c>
      <c r="M924" s="16">
        <f>CurrentMtgRatesDataTable8[[#This Row],[Servicing Spread Non-Zero]]-L923</f>
        <v>0</v>
      </c>
      <c r="N924" s="16">
        <f>IF(J923&lt;&gt;0,CurrentMtgRatesDataTable8[[#This Row],[Rate]]-C923,N923)</f>
        <v>2.0000000000000018E-2</v>
      </c>
    </row>
    <row r="925" spans="1:14">
      <c r="A925" s="39" t="s">
        <v>970</v>
      </c>
      <c r="B925" s="40">
        <v>2.97492729888162</v>
      </c>
      <c r="C925" s="11">
        <v>3.85</v>
      </c>
      <c r="D925" s="16">
        <f t="shared" si="98"/>
        <v>6</v>
      </c>
      <c r="E925" s="16">
        <f t="shared" si="99"/>
        <v>0.2</v>
      </c>
      <c r="F925" s="16">
        <f t="shared" si="100"/>
        <v>4</v>
      </c>
      <c r="G925" s="16">
        <f t="shared" si="101"/>
        <v>2.3951789676611921</v>
      </c>
      <c r="H925" s="16">
        <f t="shared" si="102"/>
        <v>0.8</v>
      </c>
      <c r="I925" s="16">
        <f t="shared" si="103"/>
        <v>0</v>
      </c>
      <c r="J925" s="16">
        <f t="shared" si="104"/>
        <v>0</v>
      </c>
      <c r="K925" s="16">
        <f>IF(CurrentMtgRatesDataTable8[[#This Row],[WA CC]]&lt;&gt;0,C924-CurrentMtgRatesDataTable8[[#This Row],[WA CC]],0)</f>
        <v>0</v>
      </c>
      <c r="L925" s="16">
        <f>IF(CurrentMtgRatesDataTable8[[#This Row],[Servicing Spread]]&lt;=0,L924,CurrentMtgRatesDataTable8[[#This Row],[Servicing Spread]])</f>
        <v>0.899610927819392</v>
      </c>
      <c r="M925" s="16">
        <f>CurrentMtgRatesDataTable8[[#This Row],[Servicing Spread Non-Zero]]-L924</f>
        <v>0</v>
      </c>
      <c r="N925" s="16">
        <f>IF(J924&lt;&gt;0,CurrentMtgRatesDataTable8[[#This Row],[Rate]]-C924,N924)</f>
        <v>2.0000000000000018E-2</v>
      </c>
    </row>
    <row r="926" spans="1:14">
      <c r="A926" s="39" t="s">
        <v>971</v>
      </c>
      <c r="B926" s="40">
        <v>2.9584562580557998</v>
      </c>
      <c r="C926" s="11">
        <v>3.85</v>
      </c>
      <c r="D926" s="16">
        <f t="shared" si="98"/>
        <v>7</v>
      </c>
      <c r="E926" s="16">
        <f t="shared" si="99"/>
        <v>0.2</v>
      </c>
      <c r="F926" s="16">
        <f t="shared" si="100"/>
        <v>5</v>
      </c>
      <c r="G926" s="16">
        <f t="shared" si="101"/>
        <v>2.986870219272352</v>
      </c>
      <c r="H926" s="16">
        <f t="shared" si="102"/>
        <v>1</v>
      </c>
      <c r="I926" s="16">
        <f t="shared" si="103"/>
        <v>1</v>
      </c>
      <c r="J926" s="16">
        <f t="shared" si="104"/>
        <v>2.986870219272352</v>
      </c>
      <c r="K926" s="16">
        <f>IF(CurrentMtgRatesDataTable8[[#This Row],[WA CC]]&lt;&gt;0,C925-CurrentMtgRatesDataTable8[[#This Row],[WA CC]],0)</f>
        <v>0.86312978072764812</v>
      </c>
      <c r="L926" s="16">
        <f>IF(CurrentMtgRatesDataTable8[[#This Row],[Servicing Spread]]&lt;=0,L925,CurrentMtgRatesDataTable8[[#This Row],[Servicing Spread]])</f>
        <v>0.86312978072764812</v>
      </c>
      <c r="M926" s="16">
        <f>CurrentMtgRatesDataTable8[[#This Row],[Servicing Spread Non-Zero]]-L925</f>
        <v>-3.6481147091743882E-2</v>
      </c>
      <c r="N926" s="16">
        <f>IF(J925&lt;&gt;0,CurrentMtgRatesDataTable8[[#This Row],[Rate]]-C925,N925)</f>
        <v>2.0000000000000018E-2</v>
      </c>
    </row>
    <row r="927" spans="1:14">
      <c r="A927" s="39" t="s">
        <v>972</v>
      </c>
      <c r="B927" s="40">
        <v>2.9975278287112799</v>
      </c>
      <c r="C927" s="11">
        <v>3.87</v>
      </c>
      <c r="D927" s="16">
        <f t="shared" si="98"/>
        <v>1</v>
      </c>
      <c r="E927" s="16">
        <f t="shared" si="99"/>
        <v>0.2</v>
      </c>
      <c r="F927" s="16">
        <f t="shared" si="100"/>
        <v>1</v>
      </c>
      <c r="G927" s="16">
        <f t="shared" si="101"/>
        <v>0.599505565742256</v>
      </c>
      <c r="H927" s="16">
        <f t="shared" si="102"/>
        <v>0.2</v>
      </c>
      <c r="I927" s="16">
        <f t="shared" si="103"/>
        <v>0</v>
      </c>
      <c r="J927" s="16">
        <f t="shared" si="104"/>
        <v>0</v>
      </c>
      <c r="K927" s="16">
        <f>IF(CurrentMtgRatesDataTable8[[#This Row],[WA CC]]&lt;&gt;0,C926-CurrentMtgRatesDataTable8[[#This Row],[WA CC]],0)</f>
        <v>0</v>
      </c>
      <c r="L927" s="16">
        <f>IF(CurrentMtgRatesDataTable8[[#This Row],[Servicing Spread]]&lt;=0,L926,CurrentMtgRatesDataTable8[[#This Row],[Servicing Spread]])</f>
        <v>0.86312978072764812</v>
      </c>
      <c r="M927" s="16">
        <f>CurrentMtgRatesDataTable8[[#This Row],[Servicing Spread Non-Zero]]-L926</f>
        <v>0</v>
      </c>
      <c r="N927" s="16">
        <f>IF(J926&lt;&gt;0,CurrentMtgRatesDataTable8[[#This Row],[Rate]]-C926,N926)</f>
        <v>2.0000000000000018E-2</v>
      </c>
    </row>
    <row r="928" spans="1:14">
      <c r="A928" s="39" t="s">
        <v>973</v>
      </c>
      <c r="B928" s="40">
        <v>2.93038775773327</v>
      </c>
      <c r="C928" s="11">
        <v>3.87</v>
      </c>
      <c r="D928" s="16">
        <f t="shared" si="98"/>
        <v>2</v>
      </c>
      <c r="E928" s="16">
        <f t="shared" si="99"/>
        <v>0.2</v>
      </c>
      <c r="F928" s="16">
        <f t="shared" si="100"/>
        <v>2</v>
      </c>
      <c r="G928" s="16">
        <f t="shared" si="101"/>
        <v>1.18558311728891</v>
      </c>
      <c r="H928" s="16">
        <f t="shared" si="102"/>
        <v>0.4</v>
      </c>
      <c r="I928" s="16">
        <f t="shared" si="103"/>
        <v>0</v>
      </c>
      <c r="J928" s="16">
        <f t="shared" si="104"/>
        <v>0</v>
      </c>
      <c r="K928" s="16">
        <f>IF(CurrentMtgRatesDataTable8[[#This Row],[WA CC]]&lt;&gt;0,C927-CurrentMtgRatesDataTable8[[#This Row],[WA CC]],0)</f>
        <v>0</v>
      </c>
      <c r="L928" s="16">
        <f>IF(CurrentMtgRatesDataTable8[[#This Row],[Servicing Spread]]&lt;=0,L927,CurrentMtgRatesDataTable8[[#This Row],[Servicing Spread]])</f>
        <v>0.86312978072764812</v>
      </c>
      <c r="M928" s="16">
        <f>CurrentMtgRatesDataTable8[[#This Row],[Servicing Spread Non-Zero]]-L927</f>
        <v>0</v>
      </c>
      <c r="N928" s="16">
        <f>IF(J927&lt;&gt;0,CurrentMtgRatesDataTable8[[#This Row],[Rate]]-C927,N927)</f>
        <v>2.0000000000000018E-2</v>
      </c>
    </row>
    <row r="929" spans="1:14">
      <c r="A929" s="39" t="s">
        <v>974</v>
      </c>
      <c r="B929" s="40">
        <v>2.9956917661864102</v>
      </c>
      <c r="C929" s="11">
        <v>3.87</v>
      </c>
      <c r="D929" s="16">
        <f t="shared" si="98"/>
        <v>5</v>
      </c>
      <c r="E929" s="16">
        <f t="shared" si="99"/>
        <v>0.2</v>
      </c>
      <c r="F929" s="16">
        <f t="shared" si="100"/>
        <v>3</v>
      </c>
      <c r="G929" s="16">
        <f t="shared" si="101"/>
        <v>1.784721470526192</v>
      </c>
      <c r="H929" s="16">
        <f t="shared" si="102"/>
        <v>0.60000000000000009</v>
      </c>
      <c r="I929" s="16">
        <f t="shared" si="103"/>
        <v>0</v>
      </c>
      <c r="J929" s="16">
        <f t="shared" si="104"/>
        <v>0</v>
      </c>
      <c r="K929" s="16">
        <f>IF(CurrentMtgRatesDataTable8[[#This Row],[WA CC]]&lt;&gt;0,C928-CurrentMtgRatesDataTable8[[#This Row],[WA CC]],0)</f>
        <v>0</v>
      </c>
      <c r="L929" s="16">
        <f>IF(CurrentMtgRatesDataTable8[[#This Row],[Servicing Spread]]&lt;=0,L928,CurrentMtgRatesDataTable8[[#This Row],[Servicing Spread]])</f>
        <v>0.86312978072764812</v>
      </c>
      <c r="M929" s="16">
        <f>CurrentMtgRatesDataTable8[[#This Row],[Servicing Spread Non-Zero]]-L928</f>
        <v>0</v>
      </c>
      <c r="N929" s="16">
        <f>IF(J928&lt;&gt;0,CurrentMtgRatesDataTable8[[#This Row],[Rate]]-C928,N928)</f>
        <v>2.0000000000000018E-2</v>
      </c>
    </row>
    <row r="930" spans="1:14">
      <c r="A930" s="39" t="s">
        <v>975</v>
      </c>
      <c r="B930" s="40">
        <v>3.0277544715368299</v>
      </c>
      <c r="C930" s="11">
        <v>3.87</v>
      </c>
      <c r="D930" s="16">
        <f t="shared" si="98"/>
        <v>6</v>
      </c>
      <c r="E930" s="16">
        <f t="shared" si="99"/>
        <v>0.2</v>
      </c>
      <c r="F930" s="16">
        <f t="shared" si="100"/>
        <v>4</v>
      </c>
      <c r="G930" s="16">
        <f t="shared" si="101"/>
        <v>2.390272364833558</v>
      </c>
      <c r="H930" s="16">
        <f t="shared" si="102"/>
        <v>0.8</v>
      </c>
      <c r="I930" s="16">
        <f t="shared" si="103"/>
        <v>0</v>
      </c>
      <c r="J930" s="16">
        <f t="shared" si="104"/>
        <v>0</v>
      </c>
      <c r="K930" s="16">
        <f>IF(CurrentMtgRatesDataTable8[[#This Row],[WA CC]]&lt;&gt;0,C929-CurrentMtgRatesDataTable8[[#This Row],[WA CC]],0)</f>
        <v>0</v>
      </c>
      <c r="L930" s="16">
        <f>IF(CurrentMtgRatesDataTable8[[#This Row],[Servicing Spread]]&lt;=0,L929,CurrentMtgRatesDataTable8[[#This Row],[Servicing Spread]])</f>
        <v>0.86312978072764812</v>
      </c>
      <c r="M930" s="16">
        <f>CurrentMtgRatesDataTable8[[#This Row],[Servicing Spread Non-Zero]]-L929</f>
        <v>0</v>
      </c>
      <c r="N930" s="16">
        <f>IF(J929&lt;&gt;0,CurrentMtgRatesDataTable8[[#This Row],[Rate]]-C929,N929)</f>
        <v>2.0000000000000018E-2</v>
      </c>
    </row>
    <row r="931" spans="1:14">
      <c r="A931" s="39" t="s">
        <v>976</v>
      </c>
      <c r="B931" s="40">
        <v>3.0337070171743399</v>
      </c>
      <c r="C931" s="11">
        <v>3.87</v>
      </c>
      <c r="D931" s="16">
        <f t="shared" si="98"/>
        <v>7</v>
      </c>
      <c r="E931" s="16">
        <f t="shared" si="99"/>
        <v>0.2</v>
      </c>
      <c r="F931" s="16">
        <f t="shared" si="100"/>
        <v>5</v>
      </c>
      <c r="G931" s="16">
        <f t="shared" si="101"/>
        <v>2.9970137682684261</v>
      </c>
      <c r="H931" s="16">
        <f t="shared" si="102"/>
        <v>1</v>
      </c>
      <c r="I931" s="16">
        <f t="shared" si="103"/>
        <v>1</v>
      </c>
      <c r="J931" s="16">
        <f t="shared" si="104"/>
        <v>2.9970137682684261</v>
      </c>
      <c r="K931" s="16">
        <f>IF(CurrentMtgRatesDataTable8[[#This Row],[WA CC]]&lt;&gt;0,C930-CurrentMtgRatesDataTable8[[#This Row],[WA CC]],0)</f>
        <v>0.87298623173157397</v>
      </c>
      <c r="L931" s="16">
        <f>IF(CurrentMtgRatesDataTable8[[#This Row],[Servicing Spread]]&lt;=0,L930,CurrentMtgRatesDataTable8[[#This Row],[Servicing Spread]])</f>
        <v>0.87298623173157397</v>
      </c>
      <c r="M931" s="16">
        <f>CurrentMtgRatesDataTable8[[#This Row],[Servicing Spread Non-Zero]]-L930</f>
        <v>9.8564510039258479E-3</v>
      </c>
      <c r="N931" s="16">
        <f>IF(J930&lt;&gt;0,CurrentMtgRatesDataTable8[[#This Row],[Rate]]-C930,N930)</f>
        <v>2.0000000000000018E-2</v>
      </c>
    </row>
    <row r="932" spans="1:14">
      <c r="A932" s="39" t="s">
        <v>977</v>
      </c>
      <c r="B932" s="40">
        <v>2.9938542795846499</v>
      </c>
      <c r="C932" s="11">
        <v>3.86</v>
      </c>
      <c r="D932" s="16">
        <f t="shared" si="98"/>
        <v>1</v>
      </c>
      <c r="E932" s="16">
        <f t="shared" si="99"/>
        <v>0.2</v>
      </c>
      <c r="F932" s="16">
        <f t="shared" si="100"/>
        <v>1</v>
      </c>
      <c r="G932" s="16">
        <f t="shared" si="101"/>
        <v>0.59877085591693002</v>
      </c>
      <c r="H932" s="16">
        <f t="shared" si="102"/>
        <v>0.2</v>
      </c>
      <c r="I932" s="16">
        <f t="shared" si="103"/>
        <v>0</v>
      </c>
      <c r="J932" s="16">
        <f t="shared" si="104"/>
        <v>0</v>
      </c>
      <c r="K932" s="16">
        <f>IF(CurrentMtgRatesDataTable8[[#This Row],[WA CC]]&lt;&gt;0,C931-CurrentMtgRatesDataTable8[[#This Row],[WA CC]],0)</f>
        <v>0</v>
      </c>
      <c r="L932" s="16">
        <f>IF(CurrentMtgRatesDataTable8[[#This Row],[Servicing Spread]]&lt;=0,L931,CurrentMtgRatesDataTable8[[#This Row],[Servicing Spread]])</f>
        <v>0.87298623173157397</v>
      </c>
      <c r="M932" s="16">
        <f>CurrentMtgRatesDataTable8[[#This Row],[Servicing Spread Non-Zero]]-L931</f>
        <v>0</v>
      </c>
      <c r="N932" s="16">
        <f>IF(J931&lt;&gt;0,CurrentMtgRatesDataTable8[[#This Row],[Rate]]-C931,N931)</f>
        <v>-1.0000000000000231E-2</v>
      </c>
    </row>
    <row r="933" spans="1:14">
      <c r="A933" s="39" t="s">
        <v>978</v>
      </c>
      <c r="B933" s="40">
        <v>2.9654454819851401</v>
      </c>
      <c r="C933" s="11">
        <v>3.86</v>
      </c>
      <c r="D933" s="16">
        <f t="shared" si="98"/>
        <v>2</v>
      </c>
      <c r="E933" s="16">
        <f t="shared" si="99"/>
        <v>0.2</v>
      </c>
      <c r="F933" s="16">
        <f t="shared" si="100"/>
        <v>2</v>
      </c>
      <c r="G933" s="16">
        <f t="shared" si="101"/>
        <v>1.1918599523139579</v>
      </c>
      <c r="H933" s="16">
        <f t="shared" si="102"/>
        <v>0.4</v>
      </c>
      <c r="I933" s="16">
        <f t="shared" si="103"/>
        <v>0</v>
      </c>
      <c r="J933" s="16">
        <f t="shared" si="104"/>
        <v>0</v>
      </c>
      <c r="K933" s="16">
        <f>IF(CurrentMtgRatesDataTable8[[#This Row],[WA CC]]&lt;&gt;0,C932-CurrentMtgRatesDataTable8[[#This Row],[WA CC]],0)</f>
        <v>0</v>
      </c>
      <c r="L933" s="16">
        <f>IF(CurrentMtgRatesDataTable8[[#This Row],[Servicing Spread]]&lt;=0,L932,CurrentMtgRatesDataTable8[[#This Row],[Servicing Spread]])</f>
        <v>0.87298623173157397</v>
      </c>
      <c r="M933" s="16">
        <f>CurrentMtgRatesDataTable8[[#This Row],[Servicing Spread Non-Zero]]-L932</f>
        <v>0</v>
      </c>
      <c r="N933" s="16">
        <f>IF(J932&lt;&gt;0,CurrentMtgRatesDataTable8[[#This Row],[Rate]]-C932,N932)</f>
        <v>-1.0000000000000231E-2</v>
      </c>
    </row>
    <row r="934" spans="1:14">
      <c r="A934" s="39" t="s">
        <v>979</v>
      </c>
      <c r="B934" s="40">
        <v>2.9731174036640602</v>
      </c>
      <c r="C934" s="11">
        <v>3.86</v>
      </c>
      <c r="D934" s="16">
        <f t="shared" si="98"/>
        <v>5</v>
      </c>
      <c r="E934" s="16">
        <f t="shared" si="99"/>
        <v>0.2</v>
      </c>
      <c r="F934" s="16">
        <f t="shared" si="100"/>
        <v>3</v>
      </c>
      <c r="G934" s="16">
        <f t="shared" si="101"/>
        <v>1.78648343304677</v>
      </c>
      <c r="H934" s="16">
        <f t="shared" si="102"/>
        <v>0.60000000000000009</v>
      </c>
      <c r="I934" s="16">
        <f t="shared" si="103"/>
        <v>0</v>
      </c>
      <c r="J934" s="16">
        <f t="shared" si="104"/>
        <v>0</v>
      </c>
      <c r="K934" s="16">
        <f>IF(CurrentMtgRatesDataTable8[[#This Row],[WA CC]]&lt;&gt;0,C933-CurrentMtgRatesDataTable8[[#This Row],[WA CC]],0)</f>
        <v>0</v>
      </c>
      <c r="L934" s="16">
        <f>IF(CurrentMtgRatesDataTable8[[#This Row],[Servicing Spread]]&lt;=0,L933,CurrentMtgRatesDataTable8[[#This Row],[Servicing Spread]])</f>
        <v>0.87298623173157397</v>
      </c>
      <c r="M934" s="16">
        <f>CurrentMtgRatesDataTable8[[#This Row],[Servicing Spread Non-Zero]]-L933</f>
        <v>0</v>
      </c>
      <c r="N934" s="16">
        <f>IF(J933&lt;&gt;0,CurrentMtgRatesDataTable8[[#This Row],[Rate]]-C933,N933)</f>
        <v>-1.0000000000000231E-2</v>
      </c>
    </row>
    <row r="935" spans="1:14">
      <c r="A935" s="39" t="s">
        <v>980</v>
      </c>
      <c r="B935" s="40">
        <v>3.0177597197552002</v>
      </c>
      <c r="C935" s="11">
        <v>3.86</v>
      </c>
      <c r="D935" s="16">
        <f t="shared" si="98"/>
        <v>6</v>
      </c>
      <c r="E935" s="16">
        <f t="shared" si="99"/>
        <v>0.2</v>
      </c>
      <c r="F935" s="16">
        <f t="shared" si="100"/>
        <v>4</v>
      </c>
      <c r="G935" s="16">
        <f t="shared" si="101"/>
        <v>2.39003537699781</v>
      </c>
      <c r="H935" s="16">
        <f t="shared" si="102"/>
        <v>0.8</v>
      </c>
      <c r="I935" s="16">
        <f t="shared" si="103"/>
        <v>0</v>
      </c>
      <c r="J935" s="16">
        <f t="shared" si="104"/>
        <v>0</v>
      </c>
      <c r="K935" s="16">
        <f>IF(CurrentMtgRatesDataTable8[[#This Row],[WA CC]]&lt;&gt;0,C934-CurrentMtgRatesDataTable8[[#This Row],[WA CC]],0)</f>
        <v>0</v>
      </c>
      <c r="L935" s="16">
        <f>IF(CurrentMtgRatesDataTable8[[#This Row],[Servicing Spread]]&lt;=0,L934,CurrentMtgRatesDataTable8[[#This Row],[Servicing Spread]])</f>
        <v>0.87298623173157397</v>
      </c>
      <c r="M935" s="16">
        <f>CurrentMtgRatesDataTable8[[#This Row],[Servicing Spread Non-Zero]]-L934</f>
        <v>0</v>
      </c>
      <c r="N935" s="16">
        <f>IF(J934&lt;&gt;0,CurrentMtgRatesDataTable8[[#This Row],[Rate]]-C934,N934)</f>
        <v>-1.0000000000000231E-2</v>
      </c>
    </row>
    <row r="936" spans="1:14">
      <c r="A936" s="39" t="s">
        <v>987</v>
      </c>
      <c r="B936" s="40">
        <v>3.0426080275796101</v>
      </c>
      <c r="C936" s="11">
        <v>3.86</v>
      </c>
      <c r="D936" s="16">
        <f t="shared" si="98"/>
        <v>7</v>
      </c>
      <c r="E936" s="16">
        <f t="shared" si="99"/>
        <v>0.2</v>
      </c>
      <c r="F936" s="16">
        <f t="shared" si="100"/>
        <v>5</v>
      </c>
      <c r="G936" s="16">
        <f t="shared" si="101"/>
        <v>2.9985569825137319</v>
      </c>
      <c r="H936" s="16">
        <f t="shared" si="102"/>
        <v>1</v>
      </c>
      <c r="I936" s="16">
        <f t="shared" si="103"/>
        <v>1</v>
      </c>
      <c r="J936" s="16">
        <f t="shared" si="104"/>
        <v>2.9985569825137319</v>
      </c>
      <c r="K936" s="16">
        <f>IF(CurrentMtgRatesDataTable8[[#This Row],[WA CC]]&lt;&gt;0,C935-CurrentMtgRatesDataTable8[[#This Row],[WA CC]],0)</f>
        <v>0.86144301748626795</v>
      </c>
      <c r="L936" s="16">
        <f>IF(CurrentMtgRatesDataTable8[[#This Row],[Servicing Spread]]&lt;=0,L935,CurrentMtgRatesDataTable8[[#This Row],[Servicing Spread]])</f>
        <v>0.86144301748626795</v>
      </c>
      <c r="M936" s="16">
        <f>CurrentMtgRatesDataTable8[[#This Row],[Servicing Spread Non-Zero]]-L935</f>
        <v>-1.1543214245306022E-2</v>
      </c>
      <c r="N936" s="16">
        <f>IF(J935&lt;&gt;0,CurrentMtgRatesDataTable8[[#This Row],[Rate]]-C935,N935)</f>
        <v>-1.0000000000000231E-2</v>
      </c>
    </row>
    <row r="937" spans="1:14">
      <c r="A937" s="39" t="s">
        <v>988</v>
      </c>
      <c r="B937" s="40">
        <v>3.0275766664066102</v>
      </c>
      <c r="C937" s="11">
        <v>3.9099999999999997</v>
      </c>
      <c r="D937" s="16">
        <f t="shared" si="98"/>
        <v>1</v>
      </c>
      <c r="E937" s="16">
        <f t="shared" si="99"/>
        <v>0.2</v>
      </c>
      <c r="F937" s="16">
        <f t="shared" si="100"/>
        <v>1</v>
      </c>
      <c r="G937" s="16">
        <f t="shared" si="101"/>
        <v>0.60551533328132212</v>
      </c>
      <c r="H937" s="16">
        <f t="shared" si="102"/>
        <v>0.2</v>
      </c>
      <c r="I937" s="16">
        <f t="shared" si="103"/>
        <v>0</v>
      </c>
      <c r="J937" s="16">
        <f t="shared" si="104"/>
        <v>0</v>
      </c>
      <c r="K937" s="16">
        <f>IF(CurrentMtgRatesDataTable8[[#This Row],[WA CC]]&lt;&gt;0,C936-CurrentMtgRatesDataTable8[[#This Row],[WA CC]],0)</f>
        <v>0</v>
      </c>
      <c r="L937" s="16">
        <f>IF(CurrentMtgRatesDataTable8[[#This Row],[Servicing Spread]]&lt;=0,L936,CurrentMtgRatesDataTable8[[#This Row],[Servicing Spread]])</f>
        <v>0.86144301748626795</v>
      </c>
      <c r="M937" s="16">
        <f>CurrentMtgRatesDataTable8[[#This Row],[Servicing Spread Non-Zero]]-L936</f>
        <v>0</v>
      </c>
      <c r="N937" s="16">
        <f>IF(J936&lt;&gt;0,CurrentMtgRatesDataTable8[[#This Row],[Rate]]-C936,N936)</f>
        <v>4.9999999999999822E-2</v>
      </c>
    </row>
    <row r="938" spans="1:14">
      <c r="A938" s="39" t="s">
        <v>989</v>
      </c>
      <c r="B938" s="40">
        <v>3.0029644484734299</v>
      </c>
      <c r="C938" s="11">
        <v>3.9099999999999997</v>
      </c>
      <c r="D938" s="16">
        <f t="shared" si="98"/>
        <v>5</v>
      </c>
      <c r="E938" s="16">
        <f t="shared" si="99"/>
        <v>0.2</v>
      </c>
      <c r="F938" s="16">
        <f t="shared" si="100"/>
        <v>2</v>
      </c>
      <c r="G938" s="16">
        <f t="shared" si="101"/>
        <v>1.2061082229760083</v>
      </c>
      <c r="H938" s="16">
        <f t="shared" si="102"/>
        <v>0.4</v>
      </c>
      <c r="I938" s="16">
        <f t="shared" si="103"/>
        <v>0</v>
      </c>
      <c r="J938" s="16">
        <f t="shared" si="104"/>
        <v>0</v>
      </c>
      <c r="K938" s="16">
        <f>IF(CurrentMtgRatesDataTable8[[#This Row],[WA CC]]&lt;&gt;0,C937-CurrentMtgRatesDataTable8[[#This Row],[WA CC]],0)</f>
        <v>0</v>
      </c>
      <c r="L938" s="16">
        <f>IF(CurrentMtgRatesDataTable8[[#This Row],[Servicing Spread]]&lt;=0,L937,CurrentMtgRatesDataTable8[[#This Row],[Servicing Spread]])</f>
        <v>0.86144301748626795</v>
      </c>
      <c r="M938" s="16">
        <f>CurrentMtgRatesDataTable8[[#This Row],[Servicing Spread Non-Zero]]-L937</f>
        <v>0</v>
      </c>
      <c r="N938" s="16">
        <f>IF(J937&lt;&gt;0,CurrentMtgRatesDataTable8[[#This Row],[Rate]]-C937,N937)</f>
        <v>4.9999999999999822E-2</v>
      </c>
    </row>
    <row r="939" spans="1:14">
      <c r="A939" s="39" t="s">
        <v>990</v>
      </c>
      <c r="B939" s="40">
        <v>3.05738829293283</v>
      </c>
      <c r="C939" s="11">
        <v>3.9099999999999997</v>
      </c>
      <c r="D939" s="16">
        <f t="shared" si="98"/>
        <v>6</v>
      </c>
      <c r="E939" s="16">
        <f t="shared" si="99"/>
        <v>0.2</v>
      </c>
      <c r="F939" s="16">
        <f t="shared" si="100"/>
        <v>3</v>
      </c>
      <c r="G939" s="16">
        <f t="shared" si="101"/>
        <v>1.8175858815625743</v>
      </c>
      <c r="H939" s="16">
        <f t="shared" si="102"/>
        <v>0.60000000000000009</v>
      </c>
      <c r="I939" s="16">
        <f t="shared" si="103"/>
        <v>0</v>
      </c>
      <c r="J939" s="16">
        <f t="shared" si="104"/>
        <v>0</v>
      </c>
      <c r="K939" s="16">
        <f>IF(CurrentMtgRatesDataTable8[[#This Row],[WA CC]]&lt;&gt;0,C938-CurrentMtgRatesDataTable8[[#This Row],[WA CC]],0)</f>
        <v>0</v>
      </c>
      <c r="L939" s="16">
        <f>IF(CurrentMtgRatesDataTable8[[#This Row],[Servicing Spread]]&lt;=0,L938,CurrentMtgRatesDataTable8[[#This Row],[Servicing Spread]])</f>
        <v>0.86144301748626795</v>
      </c>
      <c r="M939" s="16">
        <f>CurrentMtgRatesDataTable8[[#This Row],[Servicing Spread Non-Zero]]-L938</f>
        <v>0</v>
      </c>
      <c r="N939" s="16">
        <f>IF(J938&lt;&gt;0,CurrentMtgRatesDataTable8[[#This Row],[Rate]]-C938,N938)</f>
        <v>4.9999999999999822E-2</v>
      </c>
    </row>
    <row r="940" spans="1:14">
      <c r="A940" s="39" t="s">
        <v>991</v>
      </c>
      <c r="B940" s="40">
        <v>3.0484600868524701</v>
      </c>
      <c r="C940" s="11">
        <v>3.9099999999999997</v>
      </c>
      <c r="D940" s="16">
        <f t="shared" si="98"/>
        <v>7</v>
      </c>
      <c r="E940" s="16">
        <f t="shared" si="99"/>
        <v>0.2</v>
      </c>
      <c r="F940" s="16">
        <f t="shared" si="100"/>
        <v>4</v>
      </c>
      <c r="G940" s="16">
        <f t="shared" si="101"/>
        <v>2.4272778989330686</v>
      </c>
      <c r="H940" s="16">
        <f t="shared" si="102"/>
        <v>0.8</v>
      </c>
      <c r="I940" s="16">
        <f t="shared" si="103"/>
        <v>1</v>
      </c>
      <c r="J940" s="16">
        <f t="shared" si="104"/>
        <v>3.0340973736663357</v>
      </c>
      <c r="K940" s="16">
        <f>IF(CurrentMtgRatesDataTable8[[#This Row],[WA CC]]&lt;&gt;0,C939-CurrentMtgRatesDataTable8[[#This Row],[WA CC]],0)</f>
        <v>0.875902626333664</v>
      </c>
      <c r="L940" s="16">
        <f>IF(CurrentMtgRatesDataTable8[[#This Row],[Servicing Spread]]&lt;=0,L939,CurrentMtgRatesDataTable8[[#This Row],[Servicing Spread]])</f>
        <v>0.875902626333664</v>
      </c>
      <c r="M940" s="16">
        <f>CurrentMtgRatesDataTable8[[#This Row],[Servicing Spread Non-Zero]]-L939</f>
        <v>1.4459608847396055E-2</v>
      </c>
      <c r="N940" s="16">
        <f>IF(J939&lt;&gt;0,CurrentMtgRatesDataTable8[[#This Row],[Rate]]-C939,N939)</f>
        <v>4.9999999999999822E-2</v>
      </c>
    </row>
    <row r="941" spans="1:14">
      <c r="A941" s="39" t="s">
        <v>992</v>
      </c>
      <c r="B941" s="40">
        <v>3.0053894082817201</v>
      </c>
      <c r="C941" s="11">
        <v>3.87</v>
      </c>
      <c r="D941" s="16">
        <f t="shared" si="98"/>
        <v>1</v>
      </c>
      <c r="E941" s="16">
        <f t="shared" si="99"/>
        <v>0.2</v>
      </c>
      <c r="F941" s="16">
        <f t="shared" si="100"/>
        <v>1</v>
      </c>
      <c r="G941" s="16">
        <f t="shared" si="101"/>
        <v>0.60107788165634402</v>
      </c>
      <c r="H941" s="16">
        <f t="shared" si="102"/>
        <v>0.2</v>
      </c>
      <c r="I941" s="16">
        <f t="shared" si="103"/>
        <v>0</v>
      </c>
      <c r="J941" s="16">
        <f t="shared" si="104"/>
        <v>0</v>
      </c>
      <c r="K941" s="16">
        <f>IF(CurrentMtgRatesDataTable8[[#This Row],[WA CC]]&lt;&gt;0,C940-CurrentMtgRatesDataTable8[[#This Row],[WA CC]],0)</f>
        <v>0</v>
      </c>
      <c r="L941" s="16">
        <f>IF(CurrentMtgRatesDataTable8[[#This Row],[Servicing Spread]]&lt;=0,L940,CurrentMtgRatesDataTable8[[#This Row],[Servicing Spread]])</f>
        <v>0.875902626333664</v>
      </c>
      <c r="M941" s="16">
        <f>CurrentMtgRatesDataTable8[[#This Row],[Servicing Spread Non-Zero]]-L940</f>
        <v>0</v>
      </c>
      <c r="N941" s="16">
        <f>IF(J940&lt;&gt;0,CurrentMtgRatesDataTable8[[#This Row],[Rate]]-C940,N940)</f>
        <v>-3.9999999999999591E-2</v>
      </c>
    </row>
    <row r="942" spans="1:14">
      <c r="A942" s="39" t="s">
        <v>993</v>
      </c>
      <c r="B942" s="40">
        <v>2.993452685197</v>
      </c>
      <c r="C942" s="11">
        <v>3.87</v>
      </c>
      <c r="D942" s="16">
        <f t="shared" si="98"/>
        <v>5</v>
      </c>
      <c r="E942" s="16">
        <f t="shared" si="99"/>
        <v>0.2</v>
      </c>
      <c r="F942" s="16">
        <f t="shared" si="100"/>
        <v>2</v>
      </c>
      <c r="G942" s="16">
        <f t="shared" si="101"/>
        <v>1.199768418695744</v>
      </c>
      <c r="H942" s="16">
        <f t="shared" si="102"/>
        <v>0.4</v>
      </c>
      <c r="I942" s="16">
        <f t="shared" si="103"/>
        <v>0</v>
      </c>
      <c r="J942" s="16">
        <f t="shared" si="104"/>
        <v>0</v>
      </c>
      <c r="K942" s="16">
        <f>IF(CurrentMtgRatesDataTable8[[#This Row],[WA CC]]&lt;&gt;0,C941-CurrentMtgRatesDataTable8[[#This Row],[WA CC]],0)</f>
        <v>0</v>
      </c>
      <c r="L942" s="16">
        <f>IF(CurrentMtgRatesDataTable8[[#This Row],[Servicing Spread]]&lt;=0,L941,CurrentMtgRatesDataTable8[[#This Row],[Servicing Spread]])</f>
        <v>0.875902626333664</v>
      </c>
      <c r="M942" s="16">
        <f>CurrentMtgRatesDataTable8[[#This Row],[Servicing Spread Non-Zero]]-L941</f>
        <v>0</v>
      </c>
      <c r="N942" s="16">
        <f>IF(J941&lt;&gt;0,CurrentMtgRatesDataTable8[[#This Row],[Rate]]-C941,N941)</f>
        <v>-3.9999999999999591E-2</v>
      </c>
    </row>
    <row r="943" spans="1:14">
      <c r="A943" s="39" t="s">
        <v>994</v>
      </c>
      <c r="B943" s="40">
        <v>2.99513727920968</v>
      </c>
      <c r="C943" s="11">
        <v>3.87</v>
      </c>
      <c r="D943" s="16">
        <f t="shared" si="98"/>
        <v>6</v>
      </c>
      <c r="E943" s="16">
        <f t="shared" si="99"/>
        <v>0.2</v>
      </c>
      <c r="F943" s="16">
        <f t="shared" si="100"/>
        <v>3</v>
      </c>
      <c r="G943" s="16">
        <f t="shared" si="101"/>
        <v>1.7987958745376802</v>
      </c>
      <c r="H943" s="16">
        <f t="shared" si="102"/>
        <v>0.60000000000000009</v>
      </c>
      <c r="I943" s="16">
        <f t="shared" si="103"/>
        <v>0</v>
      </c>
      <c r="J943" s="16">
        <f t="shared" si="104"/>
        <v>0</v>
      </c>
      <c r="K943" s="16">
        <f>IF(CurrentMtgRatesDataTable8[[#This Row],[WA CC]]&lt;&gt;0,C942-CurrentMtgRatesDataTable8[[#This Row],[WA CC]],0)</f>
        <v>0</v>
      </c>
      <c r="L943" s="16">
        <f>IF(CurrentMtgRatesDataTable8[[#This Row],[Servicing Spread]]&lt;=0,L942,CurrentMtgRatesDataTable8[[#This Row],[Servicing Spread]])</f>
        <v>0.875902626333664</v>
      </c>
      <c r="M943" s="16">
        <f>CurrentMtgRatesDataTable8[[#This Row],[Servicing Spread Non-Zero]]-L942</f>
        <v>0</v>
      </c>
      <c r="N943" s="16">
        <f>IF(J942&lt;&gt;0,CurrentMtgRatesDataTable8[[#This Row],[Rate]]-C942,N942)</f>
        <v>-3.9999999999999591E-2</v>
      </c>
    </row>
    <row r="944" spans="1:14">
      <c r="A944" s="39" t="s">
        <v>995</v>
      </c>
      <c r="B944" s="40">
        <v>2.9334005201837599</v>
      </c>
      <c r="C944" s="11">
        <v>3.87</v>
      </c>
      <c r="D944" s="16">
        <f t="shared" si="98"/>
        <v>7</v>
      </c>
      <c r="E944" s="16">
        <f t="shared" si="99"/>
        <v>0.2</v>
      </c>
      <c r="F944" s="16">
        <f t="shared" si="100"/>
        <v>4</v>
      </c>
      <c r="G944" s="16">
        <f t="shared" si="101"/>
        <v>2.3854759785744322</v>
      </c>
      <c r="H944" s="16">
        <f t="shared" si="102"/>
        <v>0.8</v>
      </c>
      <c r="I944" s="16">
        <f t="shared" si="103"/>
        <v>1</v>
      </c>
      <c r="J944" s="16">
        <f t="shared" si="104"/>
        <v>2.9818449732180401</v>
      </c>
      <c r="K944" s="16">
        <f>IF(CurrentMtgRatesDataTable8[[#This Row],[WA CC]]&lt;&gt;0,C943-CurrentMtgRatesDataTable8[[#This Row],[WA CC]],0)</f>
        <v>0.88815502678196001</v>
      </c>
      <c r="L944" s="16">
        <f>IF(CurrentMtgRatesDataTable8[[#This Row],[Servicing Spread]]&lt;=0,L943,CurrentMtgRatesDataTable8[[#This Row],[Servicing Spread]])</f>
        <v>0.88815502678196001</v>
      </c>
      <c r="M944" s="16">
        <f>CurrentMtgRatesDataTable8[[#This Row],[Servicing Spread Non-Zero]]-L943</f>
        <v>1.2252400448296008E-2</v>
      </c>
      <c r="N944" s="16">
        <f>IF(J943&lt;&gt;0,CurrentMtgRatesDataTable8[[#This Row],[Rate]]-C943,N943)</f>
        <v>-3.9999999999999591E-2</v>
      </c>
    </row>
    <row r="945" spans="1:14">
      <c r="A945" s="39" t="s">
        <v>996</v>
      </c>
      <c r="B945" s="40">
        <v>2.9119506998989602</v>
      </c>
      <c r="C945" s="11">
        <v>3.82</v>
      </c>
      <c r="D945" s="16">
        <f t="shared" si="98"/>
        <v>1</v>
      </c>
      <c r="E945" s="16">
        <f t="shared" si="99"/>
        <v>0.2</v>
      </c>
      <c r="F945" s="16">
        <f t="shared" si="100"/>
        <v>1</v>
      </c>
      <c r="G945" s="16">
        <f t="shared" si="101"/>
        <v>0.58239013997979205</v>
      </c>
      <c r="H945" s="16">
        <f t="shared" si="102"/>
        <v>0.2</v>
      </c>
      <c r="I945" s="16">
        <f t="shared" si="103"/>
        <v>0</v>
      </c>
      <c r="J945" s="16">
        <f t="shared" si="104"/>
        <v>0</v>
      </c>
      <c r="K945" s="16">
        <f>IF(CurrentMtgRatesDataTable8[[#This Row],[WA CC]]&lt;&gt;0,C944-CurrentMtgRatesDataTable8[[#This Row],[WA CC]],0)</f>
        <v>0</v>
      </c>
      <c r="L945" s="16">
        <f>IF(CurrentMtgRatesDataTable8[[#This Row],[Servicing Spread]]&lt;=0,L944,CurrentMtgRatesDataTable8[[#This Row],[Servicing Spread]])</f>
        <v>0.88815502678196001</v>
      </c>
      <c r="M945" s="16">
        <f>CurrentMtgRatesDataTable8[[#This Row],[Servicing Spread Non-Zero]]-L944</f>
        <v>0</v>
      </c>
      <c r="N945" s="16">
        <f>IF(J944&lt;&gt;0,CurrentMtgRatesDataTable8[[#This Row],[Rate]]-C944,N944)</f>
        <v>-5.0000000000000266E-2</v>
      </c>
    </row>
    <row r="946" spans="1:14">
      <c r="A946" s="39" t="s">
        <v>997</v>
      </c>
      <c r="B946" s="40">
        <v>2.88545680781831</v>
      </c>
      <c r="C946" s="11">
        <v>3.82</v>
      </c>
      <c r="D946" s="16">
        <f t="shared" si="98"/>
        <v>2</v>
      </c>
      <c r="E946" s="16">
        <f t="shared" si="99"/>
        <v>0.2</v>
      </c>
      <c r="F946" s="16">
        <f t="shared" si="100"/>
        <v>2</v>
      </c>
      <c r="G946" s="16">
        <f t="shared" si="101"/>
        <v>1.1594815015434541</v>
      </c>
      <c r="H946" s="16">
        <f t="shared" si="102"/>
        <v>0.4</v>
      </c>
      <c r="I946" s="16">
        <f t="shared" si="103"/>
        <v>0</v>
      </c>
      <c r="J946" s="16">
        <f t="shared" si="104"/>
        <v>0</v>
      </c>
      <c r="K946" s="16">
        <f>IF(CurrentMtgRatesDataTable8[[#This Row],[WA CC]]&lt;&gt;0,C945-CurrentMtgRatesDataTable8[[#This Row],[WA CC]],0)</f>
        <v>0</v>
      </c>
      <c r="L946" s="16">
        <f>IF(CurrentMtgRatesDataTable8[[#This Row],[Servicing Spread]]&lt;=0,L945,CurrentMtgRatesDataTable8[[#This Row],[Servicing Spread]])</f>
        <v>0.88815502678196001</v>
      </c>
      <c r="M946" s="16">
        <f>CurrentMtgRatesDataTable8[[#This Row],[Servicing Spread Non-Zero]]-L945</f>
        <v>0</v>
      </c>
      <c r="N946" s="16">
        <f>IF(J945&lt;&gt;0,CurrentMtgRatesDataTable8[[#This Row],[Rate]]-C945,N945)</f>
        <v>-5.0000000000000266E-2</v>
      </c>
    </row>
    <row r="947" spans="1:14">
      <c r="A947" s="39" t="s">
        <v>998</v>
      </c>
      <c r="B947" s="40">
        <v>2.8978342309890999</v>
      </c>
      <c r="C947" s="11">
        <v>3.82</v>
      </c>
      <c r="D947" s="16">
        <f t="shared" si="98"/>
        <v>5</v>
      </c>
      <c r="E947" s="16">
        <f t="shared" si="99"/>
        <v>0.2</v>
      </c>
      <c r="F947" s="16">
        <f t="shared" si="100"/>
        <v>3</v>
      </c>
      <c r="G947" s="16">
        <f t="shared" si="101"/>
        <v>1.7390483477412739</v>
      </c>
      <c r="H947" s="16">
        <f t="shared" si="102"/>
        <v>0.60000000000000009</v>
      </c>
      <c r="I947" s="16">
        <f t="shared" si="103"/>
        <v>0</v>
      </c>
      <c r="J947" s="16">
        <f t="shared" si="104"/>
        <v>0</v>
      </c>
      <c r="K947" s="16">
        <f>IF(CurrentMtgRatesDataTable8[[#This Row],[WA CC]]&lt;&gt;0,C946-CurrentMtgRatesDataTable8[[#This Row],[WA CC]],0)</f>
        <v>0</v>
      </c>
      <c r="L947" s="16">
        <f>IF(CurrentMtgRatesDataTable8[[#This Row],[Servicing Spread]]&lt;=0,L946,CurrentMtgRatesDataTable8[[#This Row],[Servicing Spread]])</f>
        <v>0.88815502678196001</v>
      </c>
      <c r="M947" s="16">
        <f>CurrentMtgRatesDataTable8[[#This Row],[Servicing Spread Non-Zero]]-L946</f>
        <v>0</v>
      </c>
      <c r="N947" s="16">
        <f>IF(J946&lt;&gt;0,CurrentMtgRatesDataTable8[[#This Row],[Rate]]-C946,N946)</f>
        <v>-5.0000000000000266E-2</v>
      </c>
    </row>
    <row r="948" spans="1:14">
      <c r="A948" s="39" t="s">
        <v>999</v>
      </c>
      <c r="B948" s="40">
        <v>2.8424738889513801</v>
      </c>
      <c r="C948" s="11">
        <v>3.82</v>
      </c>
      <c r="D948" s="16">
        <f t="shared" si="98"/>
        <v>6</v>
      </c>
      <c r="E948" s="16">
        <f t="shared" si="99"/>
        <v>0.2</v>
      </c>
      <c r="F948" s="16">
        <f t="shared" si="100"/>
        <v>4</v>
      </c>
      <c r="G948" s="16">
        <f t="shared" si="101"/>
        <v>2.3075431255315499</v>
      </c>
      <c r="H948" s="16">
        <f t="shared" si="102"/>
        <v>0.8</v>
      </c>
      <c r="I948" s="16">
        <f t="shared" si="103"/>
        <v>0</v>
      </c>
      <c r="J948" s="16">
        <f t="shared" si="104"/>
        <v>0</v>
      </c>
      <c r="K948" s="16">
        <f>IF(CurrentMtgRatesDataTable8[[#This Row],[WA CC]]&lt;&gt;0,C947-CurrentMtgRatesDataTable8[[#This Row],[WA CC]],0)</f>
        <v>0</v>
      </c>
      <c r="L948" s="16">
        <f>IF(CurrentMtgRatesDataTable8[[#This Row],[Servicing Spread]]&lt;=0,L947,CurrentMtgRatesDataTable8[[#This Row],[Servicing Spread]])</f>
        <v>0.88815502678196001</v>
      </c>
      <c r="M948" s="16">
        <f>CurrentMtgRatesDataTable8[[#This Row],[Servicing Spread Non-Zero]]-L947</f>
        <v>0</v>
      </c>
      <c r="N948" s="16">
        <f>IF(J947&lt;&gt;0,CurrentMtgRatesDataTable8[[#This Row],[Rate]]-C947,N947)</f>
        <v>-5.0000000000000266E-2</v>
      </c>
    </row>
    <row r="949" spans="1:14">
      <c r="A949" s="39" t="s">
        <v>1000</v>
      </c>
      <c r="B949" s="40">
        <v>2.8127941632470699</v>
      </c>
      <c r="C949" s="11">
        <v>3.82</v>
      </c>
      <c r="D949" s="16">
        <f t="shared" si="98"/>
        <v>7</v>
      </c>
      <c r="E949" s="16">
        <f t="shared" si="99"/>
        <v>0.2</v>
      </c>
      <c r="F949" s="16">
        <f t="shared" si="100"/>
        <v>5</v>
      </c>
      <c r="G949" s="16">
        <f t="shared" si="101"/>
        <v>2.8701019581809639</v>
      </c>
      <c r="H949" s="16">
        <f t="shared" si="102"/>
        <v>1</v>
      </c>
      <c r="I949" s="16">
        <f t="shared" si="103"/>
        <v>1</v>
      </c>
      <c r="J949" s="16">
        <f t="shared" si="104"/>
        <v>2.8701019581809639</v>
      </c>
      <c r="K949" s="16">
        <f>IF(CurrentMtgRatesDataTable8[[#This Row],[WA CC]]&lt;&gt;0,C948-CurrentMtgRatesDataTable8[[#This Row],[WA CC]],0)</f>
        <v>0.94989804181903592</v>
      </c>
      <c r="L949" s="16">
        <f>IF(CurrentMtgRatesDataTable8[[#This Row],[Servicing Spread]]&lt;=0,L948,CurrentMtgRatesDataTable8[[#This Row],[Servicing Spread]])</f>
        <v>0.94989804181903592</v>
      </c>
      <c r="M949" s="16">
        <f>CurrentMtgRatesDataTable8[[#This Row],[Servicing Spread Non-Zero]]-L948</f>
        <v>6.174301503707591E-2</v>
      </c>
      <c r="N949" s="16">
        <f>IF(J948&lt;&gt;0,CurrentMtgRatesDataTable8[[#This Row],[Rate]]-C948,N948)</f>
        <v>-5.0000000000000266E-2</v>
      </c>
    </row>
    <row r="950" spans="1:14">
      <c r="A950" s="51" t="s">
        <v>1001</v>
      </c>
      <c r="B950" s="52">
        <v>2.82567876803239</v>
      </c>
      <c r="C950" s="53">
        <v>3.71</v>
      </c>
      <c r="D950" s="54">
        <f t="shared" si="98"/>
        <v>1</v>
      </c>
      <c r="E950" s="54">
        <f t="shared" si="99"/>
        <v>0.2</v>
      </c>
      <c r="F950" s="54">
        <f t="shared" si="100"/>
        <v>1</v>
      </c>
      <c r="G950" s="54">
        <f t="shared" si="101"/>
        <v>0.56513575360647805</v>
      </c>
      <c r="H950" s="54">
        <f t="shared" si="102"/>
        <v>0.2</v>
      </c>
      <c r="I950" s="54">
        <f t="shared" si="103"/>
        <v>0</v>
      </c>
      <c r="J950" s="54">
        <f t="shared" si="104"/>
        <v>0</v>
      </c>
      <c r="K950" s="54">
        <f>IF(CurrentMtgRatesDataTable8[[#This Row],[WA CC]]&lt;&gt;0,C949-CurrentMtgRatesDataTable8[[#This Row],[WA CC]],0)</f>
        <v>0</v>
      </c>
      <c r="L950" s="54">
        <f>IF(CurrentMtgRatesDataTable8[[#This Row],[Servicing Spread]]&lt;=0,L949,CurrentMtgRatesDataTable8[[#This Row],[Servicing Spread]])</f>
        <v>0.94989804181903592</v>
      </c>
      <c r="M950" s="54">
        <f>CurrentMtgRatesDataTable8[[#This Row],[Servicing Spread Non-Zero]]-L949</f>
        <v>0</v>
      </c>
      <c r="N950" s="54">
        <f>IF(J949&lt;&gt;0,CurrentMtgRatesDataTable8[[#This Row],[Rate]]-C949,N949)</f>
        <v>-0.10999999999999988</v>
      </c>
    </row>
    <row r="951" spans="1:14">
      <c r="A951" s="51" t="s">
        <v>1002</v>
      </c>
      <c r="B951" s="52">
        <v>2.78255799649583</v>
      </c>
      <c r="C951" s="53">
        <v>3.71</v>
      </c>
      <c r="D951" s="54">
        <f t="shared" si="98"/>
        <v>2</v>
      </c>
      <c r="E951" s="54">
        <f t="shared" si="99"/>
        <v>0.2</v>
      </c>
      <c r="F951" s="54">
        <f t="shared" si="100"/>
        <v>2</v>
      </c>
      <c r="G951" s="54">
        <f t="shared" si="101"/>
        <v>1.1216473529056441</v>
      </c>
      <c r="H951" s="54">
        <f t="shared" si="102"/>
        <v>0.4</v>
      </c>
      <c r="I951" s="54">
        <f t="shared" si="103"/>
        <v>0</v>
      </c>
      <c r="J951" s="54">
        <f t="shared" si="104"/>
        <v>0</v>
      </c>
      <c r="K951" s="54">
        <f>IF(CurrentMtgRatesDataTable8[[#This Row],[WA CC]]&lt;&gt;0,C950-CurrentMtgRatesDataTable8[[#This Row],[WA CC]],0)</f>
        <v>0</v>
      </c>
      <c r="L951" s="54">
        <f>IF(CurrentMtgRatesDataTable8[[#This Row],[Servicing Spread]]&lt;=0,L950,CurrentMtgRatesDataTable8[[#This Row],[Servicing Spread]])</f>
        <v>0.94989804181903592</v>
      </c>
      <c r="M951" s="54">
        <f>CurrentMtgRatesDataTable8[[#This Row],[Servicing Spread Non-Zero]]-L950</f>
        <v>0</v>
      </c>
      <c r="N951" s="54">
        <f>IF(J950&lt;&gt;0,CurrentMtgRatesDataTable8[[#This Row],[Rate]]-C950,N950)</f>
        <v>-0.10999999999999988</v>
      </c>
    </row>
    <row r="952" spans="1:14">
      <c r="A952" s="51" t="s">
        <v>1003</v>
      </c>
      <c r="B952" s="52">
        <v>2.78837847860318</v>
      </c>
      <c r="C952" s="53">
        <v>3.71</v>
      </c>
      <c r="D952" s="54">
        <f t="shared" si="98"/>
        <v>6</v>
      </c>
      <c r="E952" s="54">
        <f t="shared" si="99"/>
        <v>0.2</v>
      </c>
      <c r="F952" s="54">
        <f t="shared" si="100"/>
        <v>3</v>
      </c>
      <c r="G952" s="54">
        <f t="shared" si="101"/>
        <v>1.67932304862628</v>
      </c>
      <c r="H952" s="54">
        <f t="shared" si="102"/>
        <v>0.60000000000000009</v>
      </c>
      <c r="I952" s="54">
        <f t="shared" si="103"/>
        <v>0</v>
      </c>
      <c r="J952" s="54">
        <f t="shared" si="104"/>
        <v>0</v>
      </c>
      <c r="K952" s="54">
        <f>IF(CurrentMtgRatesDataTable8[[#This Row],[WA CC]]&lt;&gt;0,C951-CurrentMtgRatesDataTable8[[#This Row],[WA CC]],0)</f>
        <v>0</v>
      </c>
      <c r="L952" s="54">
        <f>IF(CurrentMtgRatesDataTable8[[#This Row],[Servicing Spread]]&lt;=0,L951,CurrentMtgRatesDataTable8[[#This Row],[Servicing Spread]])</f>
        <v>0.94989804181903592</v>
      </c>
      <c r="M952" s="54">
        <f>CurrentMtgRatesDataTable8[[#This Row],[Servicing Spread Non-Zero]]-L951</f>
        <v>0</v>
      </c>
      <c r="N952" s="54">
        <f>IF(J951&lt;&gt;0,CurrentMtgRatesDataTable8[[#This Row],[Rate]]-C951,N951)</f>
        <v>-0.10999999999999988</v>
      </c>
    </row>
    <row r="953" spans="1:14">
      <c r="A953" s="51" t="s">
        <v>1004</v>
      </c>
      <c r="B953" s="52">
        <v>2.7399955828051801</v>
      </c>
      <c r="C953" s="53">
        <v>3.71</v>
      </c>
      <c r="D953" s="54">
        <f t="shared" si="98"/>
        <v>7</v>
      </c>
      <c r="E953" s="54">
        <f t="shared" si="99"/>
        <v>0.2</v>
      </c>
      <c r="F953" s="54">
        <f t="shared" si="100"/>
        <v>4</v>
      </c>
      <c r="G953" s="54">
        <f t="shared" si="101"/>
        <v>2.2273221651873163</v>
      </c>
      <c r="H953" s="54">
        <f t="shared" si="102"/>
        <v>0.8</v>
      </c>
      <c r="I953" s="54">
        <f t="shared" si="103"/>
        <v>1</v>
      </c>
      <c r="J953" s="54">
        <f t="shared" si="104"/>
        <v>2.7841527064841451</v>
      </c>
      <c r="K953" s="54">
        <f>IF(CurrentMtgRatesDataTable8[[#This Row],[WA CC]]&lt;&gt;0,C952-CurrentMtgRatesDataTable8[[#This Row],[WA CC]],0)</f>
        <v>0.92584729351585482</v>
      </c>
      <c r="L953" s="54">
        <f>IF(CurrentMtgRatesDataTable8[[#This Row],[Servicing Spread]]&lt;=0,L952,CurrentMtgRatesDataTable8[[#This Row],[Servicing Spread]])</f>
        <v>0.92584729351585482</v>
      </c>
      <c r="M953" s="54">
        <f>CurrentMtgRatesDataTable8[[#This Row],[Servicing Spread Non-Zero]]-L952</f>
        <v>-2.4050748303181102E-2</v>
      </c>
      <c r="N953" s="54">
        <f>IF(J952&lt;&gt;0,CurrentMtgRatesDataTable8[[#This Row],[Rate]]-C952,N952)</f>
        <v>-0.10999999999999988</v>
      </c>
    </row>
    <row r="954" spans="1:14">
      <c r="A954" s="39" t="s">
        <v>1005</v>
      </c>
      <c r="B954" s="40">
        <v>2.7634717888750999</v>
      </c>
      <c r="C954" s="11">
        <v>3.69</v>
      </c>
      <c r="D954" s="16">
        <f t="shared" si="98"/>
        <v>1</v>
      </c>
      <c r="E954" s="16">
        <f t="shared" si="99"/>
        <v>0.2</v>
      </c>
      <c r="F954" s="16">
        <f t="shared" si="100"/>
        <v>1</v>
      </c>
      <c r="G954" s="16">
        <f t="shared" si="101"/>
        <v>0.55269435777501996</v>
      </c>
      <c r="H954" s="16">
        <f t="shared" si="102"/>
        <v>0.2</v>
      </c>
      <c r="I954" s="16">
        <f t="shared" si="103"/>
        <v>0</v>
      </c>
      <c r="J954" s="16">
        <f t="shared" si="104"/>
        <v>0</v>
      </c>
      <c r="K954" s="16">
        <f>IF(CurrentMtgRatesDataTable8[[#This Row],[WA CC]]&lt;&gt;0,C953-CurrentMtgRatesDataTable8[[#This Row],[WA CC]],0)</f>
        <v>0</v>
      </c>
      <c r="L954" s="16">
        <f>IF(CurrentMtgRatesDataTable8[[#This Row],[Servicing Spread]]&lt;=0,L953,CurrentMtgRatesDataTable8[[#This Row],[Servicing Spread]])</f>
        <v>0.92584729351585482</v>
      </c>
      <c r="M954" s="16">
        <f>CurrentMtgRatesDataTable8[[#This Row],[Servicing Spread Non-Zero]]-L953</f>
        <v>0</v>
      </c>
      <c r="N954" s="16">
        <f>IF(J953&lt;&gt;0,CurrentMtgRatesDataTable8[[#This Row],[Rate]]-C953,N953)</f>
        <v>-2.0000000000000018E-2</v>
      </c>
    </row>
    <row r="955" spans="1:14">
      <c r="A955" s="39" t="s">
        <v>1006</v>
      </c>
      <c r="B955" s="40">
        <v>2.7884908118762199</v>
      </c>
      <c r="C955" s="11">
        <v>3.69</v>
      </c>
      <c r="D955" s="16">
        <f t="shared" si="98"/>
        <v>2</v>
      </c>
      <c r="E955" s="16">
        <f t="shared" si="99"/>
        <v>0.2</v>
      </c>
      <c r="F955" s="16">
        <f t="shared" si="100"/>
        <v>2</v>
      </c>
      <c r="G955" s="16">
        <f t="shared" si="101"/>
        <v>1.110392520150264</v>
      </c>
      <c r="H955" s="16">
        <f t="shared" si="102"/>
        <v>0.4</v>
      </c>
      <c r="I955" s="16">
        <f t="shared" si="103"/>
        <v>0</v>
      </c>
      <c r="J955" s="16">
        <f t="shared" si="104"/>
        <v>0</v>
      </c>
      <c r="K955" s="16">
        <f>IF(CurrentMtgRatesDataTable8[[#This Row],[WA CC]]&lt;&gt;0,C954-CurrentMtgRatesDataTable8[[#This Row],[WA CC]],0)</f>
        <v>0</v>
      </c>
      <c r="L955" s="16">
        <f>IF(CurrentMtgRatesDataTable8[[#This Row],[Servicing Spread]]&lt;=0,L954,CurrentMtgRatesDataTable8[[#This Row],[Servicing Spread]])</f>
        <v>0.92584729351585482</v>
      </c>
      <c r="M955" s="16">
        <f>CurrentMtgRatesDataTable8[[#This Row],[Servicing Spread Non-Zero]]-L954</f>
        <v>0</v>
      </c>
      <c r="N955" s="16">
        <f>IF(J954&lt;&gt;0,CurrentMtgRatesDataTable8[[#This Row],[Rate]]-C954,N954)</f>
        <v>-2.0000000000000018E-2</v>
      </c>
    </row>
    <row r="956" spans="1:14">
      <c r="A956" s="39" t="s">
        <v>1007</v>
      </c>
      <c r="B956" s="40">
        <v>2.7702129413051901</v>
      </c>
      <c r="C956" s="11">
        <v>3.69</v>
      </c>
      <c r="D956" s="16">
        <f t="shared" si="98"/>
        <v>5</v>
      </c>
      <c r="E956" s="16">
        <f t="shared" si="99"/>
        <v>0.2</v>
      </c>
      <c r="F956" s="16">
        <f t="shared" si="100"/>
        <v>3</v>
      </c>
      <c r="G956" s="16">
        <f t="shared" si="101"/>
        <v>1.664435108411302</v>
      </c>
      <c r="H956" s="16">
        <f t="shared" si="102"/>
        <v>0.60000000000000009</v>
      </c>
      <c r="I956" s="16">
        <f t="shared" si="103"/>
        <v>0</v>
      </c>
      <c r="J956" s="16">
        <f t="shared" si="104"/>
        <v>0</v>
      </c>
      <c r="K956" s="16">
        <f>IF(CurrentMtgRatesDataTable8[[#This Row],[WA CC]]&lt;&gt;0,C955-CurrentMtgRatesDataTable8[[#This Row],[WA CC]],0)</f>
        <v>0</v>
      </c>
      <c r="L956" s="16">
        <f>IF(CurrentMtgRatesDataTable8[[#This Row],[Servicing Spread]]&lt;=0,L955,CurrentMtgRatesDataTable8[[#This Row],[Servicing Spread]])</f>
        <v>0.92584729351585482</v>
      </c>
      <c r="M956" s="16">
        <f>CurrentMtgRatesDataTable8[[#This Row],[Servicing Spread Non-Zero]]-L955</f>
        <v>0</v>
      </c>
      <c r="N956" s="16">
        <f>IF(J955&lt;&gt;0,CurrentMtgRatesDataTable8[[#This Row],[Rate]]-C955,N955)</f>
        <v>-2.0000000000000018E-2</v>
      </c>
    </row>
    <row r="957" spans="1:14">
      <c r="A957" s="39" t="s">
        <v>1008</v>
      </c>
      <c r="B957" s="40">
        <v>2.7316832790579499</v>
      </c>
      <c r="C957" s="11">
        <v>3.69</v>
      </c>
      <c r="D957" s="16">
        <f t="shared" si="98"/>
        <v>6</v>
      </c>
      <c r="E957" s="16">
        <f t="shared" si="99"/>
        <v>0.2</v>
      </c>
      <c r="F957" s="16">
        <f t="shared" si="100"/>
        <v>4</v>
      </c>
      <c r="G957" s="16">
        <f t="shared" si="101"/>
        <v>2.2107717642228919</v>
      </c>
      <c r="H957" s="16">
        <f t="shared" si="102"/>
        <v>0.8</v>
      </c>
      <c r="I957" s="16">
        <f t="shared" si="103"/>
        <v>0</v>
      </c>
      <c r="J957" s="16">
        <f t="shared" si="104"/>
        <v>0</v>
      </c>
      <c r="K957" s="16">
        <f>IF(CurrentMtgRatesDataTable8[[#This Row],[WA CC]]&lt;&gt;0,C956-CurrentMtgRatesDataTable8[[#This Row],[WA CC]],0)</f>
        <v>0</v>
      </c>
      <c r="L957" s="16">
        <f>IF(CurrentMtgRatesDataTable8[[#This Row],[Servicing Spread]]&lt;=0,L956,CurrentMtgRatesDataTable8[[#This Row],[Servicing Spread]])</f>
        <v>0.92584729351585482</v>
      </c>
      <c r="M957" s="16">
        <f>CurrentMtgRatesDataTable8[[#This Row],[Servicing Spread Non-Zero]]-L956</f>
        <v>0</v>
      </c>
      <c r="N957" s="16">
        <f>IF(J956&lt;&gt;0,CurrentMtgRatesDataTable8[[#This Row],[Rate]]-C956,N956)</f>
        <v>-2.0000000000000018E-2</v>
      </c>
    </row>
    <row r="958" spans="1:14">
      <c r="A958" s="39" t="s">
        <v>1009</v>
      </c>
      <c r="B958" s="40">
        <v>2.73574020589367</v>
      </c>
      <c r="C958" s="11">
        <v>3.69</v>
      </c>
      <c r="D958" s="16">
        <f t="shared" si="98"/>
        <v>7</v>
      </c>
      <c r="E958" s="16">
        <f t="shared" si="99"/>
        <v>0.2</v>
      </c>
      <c r="F958" s="16">
        <f t="shared" si="100"/>
        <v>5</v>
      </c>
      <c r="G958" s="16">
        <f t="shared" si="101"/>
        <v>2.7579198054016261</v>
      </c>
      <c r="H958" s="16">
        <f t="shared" si="102"/>
        <v>1</v>
      </c>
      <c r="I958" s="16">
        <f t="shared" si="103"/>
        <v>1</v>
      </c>
      <c r="J958" s="16">
        <f t="shared" si="104"/>
        <v>2.7579198054016261</v>
      </c>
      <c r="K958" s="16">
        <f>IF(CurrentMtgRatesDataTable8[[#This Row],[WA CC]]&lt;&gt;0,C957-CurrentMtgRatesDataTable8[[#This Row],[WA CC]],0)</f>
        <v>0.93208019459837388</v>
      </c>
      <c r="L958" s="16">
        <f>IF(CurrentMtgRatesDataTable8[[#This Row],[Servicing Spread]]&lt;=0,L957,CurrentMtgRatesDataTable8[[#This Row],[Servicing Spread]])</f>
        <v>0.93208019459837388</v>
      </c>
      <c r="M958" s="16">
        <f>CurrentMtgRatesDataTable8[[#This Row],[Servicing Spread Non-Zero]]-L957</f>
        <v>6.2329010825190601E-3</v>
      </c>
      <c r="N958" s="16">
        <f>IF(J957&lt;&gt;0,CurrentMtgRatesDataTable8[[#This Row],[Rate]]-C957,N957)</f>
        <v>-2.0000000000000018E-2</v>
      </c>
    </row>
    <row r="959" spans="1:14">
      <c r="A959" s="55" t="s">
        <v>1010</v>
      </c>
      <c r="B959" s="56">
        <v>2.70685241961761</v>
      </c>
      <c r="C959" s="57">
        <v>3.62</v>
      </c>
      <c r="D959" s="58">
        <f t="shared" si="98"/>
        <v>1</v>
      </c>
      <c r="E959" s="58">
        <f t="shared" si="99"/>
        <v>0.2</v>
      </c>
      <c r="F959" s="58">
        <f t="shared" si="100"/>
        <v>1</v>
      </c>
      <c r="G959" s="58">
        <f t="shared" si="101"/>
        <v>0.54137048392352205</v>
      </c>
      <c r="H959" s="58">
        <f t="shared" si="102"/>
        <v>0.2</v>
      </c>
      <c r="I959" s="58">
        <f t="shared" si="103"/>
        <v>0</v>
      </c>
      <c r="J959" s="58">
        <f t="shared" si="104"/>
        <v>0</v>
      </c>
      <c r="K959" s="58">
        <f>IF(CurrentMtgRatesDataTable8[[#This Row],[WA CC]]&lt;&gt;0,C958-CurrentMtgRatesDataTable8[[#This Row],[WA CC]],0)</f>
        <v>0</v>
      </c>
      <c r="L959" s="58">
        <f>IF(CurrentMtgRatesDataTable8[[#This Row],[Servicing Spread]]&lt;=0,L958,CurrentMtgRatesDataTable8[[#This Row],[Servicing Spread]])</f>
        <v>0.93208019459837388</v>
      </c>
      <c r="M959" s="58">
        <f>CurrentMtgRatesDataTable8[[#This Row],[Servicing Spread Non-Zero]]-L958</f>
        <v>0</v>
      </c>
      <c r="N959" s="58">
        <f>IF(J958&lt;&gt;0,CurrentMtgRatesDataTable8[[#This Row],[Rate]]-C958,N958)</f>
        <v>-6.999999999999984E-2</v>
      </c>
    </row>
    <row r="960" spans="1:14">
      <c r="A960" s="55" t="s">
        <v>1011</v>
      </c>
      <c r="B960" s="56">
        <v>2.6475345232254401</v>
      </c>
      <c r="C960" s="57">
        <v>3.62</v>
      </c>
      <c r="D960" s="58">
        <f t="shared" si="98"/>
        <v>2</v>
      </c>
      <c r="E960" s="58">
        <f t="shared" si="99"/>
        <v>0.2</v>
      </c>
      <c r="F960" s="58">
        <f t="shared" si="100"/>
        <v>2</v>
      </c>
      <c r="G960" s="58">
        <f t="shared" si="101"/>
        <v>1.07087738856861</v>
      </c>
      <c r="H960" s="58">
        <f t="shared" si="102"/>
        <v>0.4</v>
      </c>
      <c r="I960" s="58">
        <f t="shared" si="103"/>
        <v>0</v>
      </c>
      <c r="J960" s="58">
        <f t="shared" si="104"/>
        <v>0</v>
      </c>
      <c r="K960" s="58">
        <f>IF(CurrentMtgRatesDataTable8[[#This Row],[WA CC]]&lt;&gt;0,C959-CurrentMtgRatesDataTable8[[#This Row],[WA CC]],0)</f>
        <v>0</v>
      </c>
      <c r="L960" s="58">
        <f>IF(CurrentMtgRatesDataTable8[[#This Row],[Servicing Spread]]&lt;=0,L959,CurrentMtgRatesDataTable8[[#This Row],[Servicing Spread]])</f>
        <v>0.93208019459837388</v>
      </c>
      <c r="M960" s="58">
        <f>CurrentMtgRatesDataTable8[[#This Row],[Servicing Spread Non-Zero]]-L959</f>
        <v>0</v>
      </c>
      <c r="N960" s="58">
        <f>IF(J959&lt;&gt;0,CurrentMtgRatesDataTable8[[#This Row],[Rate]]-C959,N959)</f>
        <v>-6.999999999999984E-2</v>
      </c>
    </row>
    <row r="961" spans="1:14">
      <c r="A961" s="55" t="s">
        <v>1012</v>
      </c>
      <c r="B961" s="56">
        <v>2.7082747576934199</v>
      </c>
      <c r="C961" s="57">
        <v>3.62</v>
      </c>
      <c r="D961" s="58">
        <f t="shared" si="98"/>
        <v>5</v>
      </c>
      <c r="E961" s="58">
        <f t="shared" si="99"/>
        <v>0.2</v>
      </c>
      <c r="F961" s="58">
        <f t="shared" si="100"/>
        <v>3</v>
      </c>
      <c r="G961" s="58">
        <f t="shared" si="101"/>
        <v>1.6125323401072942</v>
      </c>
      <c r="H961" s="58">
        <f t="shared" si="102"/>
        <v>0.60000000000000009</v>
      </c>
      <c r="I961" s="58">
        <f t="shared" si="103"/>
        <v>0</v>
      </c>
      <c r="J961" s="58">
        <f t="shared" si="104"/>
        <v>0</v>
      </c>
      <c r="K961" s="58">
        <f>IF(CurrentMtgRatesDataTable8[[#This Row],[WA CC]]&lt;&gt;0,C960-CurrentMtgRatesDataTable8[[#This Row],[WA CC]],0)</f>
        <v>0</v>
      </c>
      <c r="L961" s="58">
        <f>IF(CurrentMtgRatesDataTable8[[#This Row],[Servicing Spread]]&lt;=0,L960,CurrentMtgRatesDataTable8[[#This Row],[Servicing Spread]])</f>
        <v>0.93208019459837388</v>
      </c>
      <c r="M961" s="58">
        <f>CurrentMtgRatesDataTable8[[#This Row],[Servicing Spread Non-Zero]]-L960</f>
        <v>0</v>
      </c>
      <c r="N961" s="58">
        <f>IF(J960&lt;&gt;0,CurrentMtgRatesDataTable8[[#This Row],[Rate]]-C960,N960)</f>
        <v>-6.999999999999984E-2</v>
      </c>
    </row>
    <row r="962" spans="1:14">
      <c r="A962" s="55" t="s">
        <v>1013</v>
      </c>
      <c r="B962" s="56">
        <v>2.6172888132357301</v>
      </c>
      <c r="C962" s="57">
        <v>3.62</v>
      </c>
      <c r="D962" s="58">
        <f t="shared" si="98"/>
        <v>6</v>
      </c>
      <c r="E962" s="58">
        <f t="shared" si="99"/>
        <v>0.2</v>
      </c>
      <c r="F962" s="58">
        <f t="shared" si="100"/>
        <v>4</v>
      </c>
      <c r="G962" s="58">
        <f t="shared" si="101"/>
        <v>2.1359901027544401</v>
      </c>
      <c r="H962" s="58">
        <f t="shared" si="102"/>
        <v>0.8</v>
      </c>
      <c r="I962" s="58">
        <f t="shared" si="103"/>
        <v>0</v>
      </c>
      <c r="J962" s="58">
        <f t="shared" si="104"/>
        <v>0</v>
      </c>
      <c r="K962" s="58">
        <f>IF(CurrentMtgRatesDataTable8[[#This Row],[WA CC]]&lt;&gt;0,C961-CurrentMtgRatesDataTable8[[#This Row],[WA CC]],0)</f>
        <v>0</v>
      </c>
      <c r="L962" s="58">
        <f>IF(CurrentMtgRatesDataTable8[[#This Row],[Servicing Spread]]&lt;=0,L961,CurrentMtgRatesDataTable8[[#This Row],[Servicing Spread]])</f>
        <v>0.93208019459837388</v>
      </c>
      <c r="M962" s="58">
        <f>CurrentMtgRatesDataTable8[[#This Row],[Servicing Spread Non-Zero]]-L961</f>
        <v>0</v>
      </c>
      <c r="N962" s="58">
        <f>IF(J961&lt;&gt;0,CurrentMtgRatesDataTable8[[#This Row],[Rate]]-C961,N961)</f>
        <v>-6.999999999999984E-2</v>
      </c>
    </row>
    <row r="963" spans="1:14">
      <c r="A963" s="55" t="s">
        <v>1014</v>
      </c>
      <c r="B963" s="56">
        <v>2.6150928157028002</v>
      </c>
      <c r="C963" s="57">
        <v>3.62</v>
      </c>
      <c r="D963" s="58">
        <f t="shared" si="98"/>
        <v>7</v>
      </c>
      <c r="E963" s="58">
        <f t="shared" si="99"/>
        <v>0.2</v>
      </c>
      <c r="F963" s="58">
        <f t="shared" si="100"/>
        <v>5</v>
      </c>
      <c r="G963" s="58">
        <f t="shared" si="101"/>
        <v>2.6590086658950001</v>
      </c>
      <c r="H963" s="58">
        <f t="shared" si="102"/>
        <v>1</v>
      </c>
      <c r="I963" s="58">
        <f t="shared" si="103"/>
        <v>1</v>
      </c>
      <c r="J963" s="58">
        <f t="shared" si="104"/>
        <v>2.6590086658950001</v>
      </c>
      <c r="K963" s="58">
        <f>IF(CurrentMtgRatesDataTable8[[#This Row],[WA CC]]&lt;&gt;0,C962-CurrentMtgRatesDataTable8[[#This Row],[WA CC]],0)</f>
        <v>0.96099133410500004</v>
      </c>
      <c r="L963" s="58">
        <f>IF(CurrentMtgRatesDataTable8[[#This Row],[Servicing Spread]]&lt;=0,L962,CurrentMtgRatesDataTable8[[#This Row],[Servicing Spread]])</f>
        <v>0.96099133410500004</v>
      </c>
      <c r="M963" s="58">
        <f>CurrentMtgRatesDataTable8[[#This Row],[Servicing Spread Non-Zero]]-L962</f>
        <v>2.891113950662616E-2</v>
      </c>
      <c r="N963" s="58">
        <f>IF(J962&lt;&gt;0,CurrentMtgRatesDataTable8[[#This Row],[Rate]]-C962,N962)</f>
        <v>-6.999999999999984E-2</v>
      </c>
    </row>
    <row r="964" spans="1:14">
      <c r="A964" s="55" t="s">
        <v>1015</v>
      </c>
      <c r="B964" s="56">
        <v>2.6195226711190198</v>
      </c>
      <c r="C964" s="57">
        <v>3.5249999999999999</v>
      </c>
      <c r="D964" s="58">
        <f t="shared" si="98"/>
        <v>1</v>
      </c>
      <c r="E964" s="58">
        <f t="shared" si="99"/>
        <v>0.2</v>
      </c>
      <c r="F964" s="58">
        <f t="shared" si="100"/>
        <v>1</v>
      </c>
      <c r="G964" s="58">
        <f t="shared" si="101"/>
        <v>0.52390453422380401</v>
      </c>
      <c r="H964" s="58">
        <f t="shared" si="102"/>
        <v>0.2</v>
      </c>
      <c r="I964" s="58">
        <f t="shared" si="103"/>
        <v>0</v>
      </c>
      <c r="J964" s="58">
        <f t="shared" si="104"/>
        <v>0</v>
      </c>
      <c r="K964" s="58">
        <f>IF(CurrentMtgRatesDataTable8[[#This Row],[WA CC]]&lt;&gt;0,C963-CurrentMtgRatesDataTable8[[#This Row],[WA CC]],0)</f>
        <v>0</v>
      </c>
      <c r="L964" s="58">
        <f>IF(CurrentMtgRatesDataTable8[[#This Row],[Servicing Spread]]&lt;=0,L963,CurrentMtgRatesDataTable8[[#This Row],[Servicing Spread]])</f>
        <v>0.96099133410500004</v>
      </c>
      <c r="M964" s="58">
        <f>CurrentMtgRatesDataTable8[[#This Row],[Servicing Spread Non-Zero]]-L963</f>
        <v>0</v>
      </c>
      <c r="N964" s="58">
        <f>IF(J963&lt;&gt;0,CurrentMtgRatesDataTable8[[#This Row],[Rate]]-C963,N963)</f>
        <v>-9.5000000000000195E-2</v>
      </c>
    </row>
    <row r="965" spans="1:14">
      <c r="A965" s="55" t="s">
        <v>1016</v>
      </c>
      <c r="B965" s="56">
        <v>2.6103236546711099</v>
      </c>
      <c r="C965" s="57">
        <v>3.5249999999999999</v>
      </c>
      <c r="D965" s="58">
        <f t="shared" ref="D965:D1028" si="105">WEEKDAY(A965,14)</f>
        <v>2</v>
      </c>
      <c r="E965" s="58">
        <f t="shared" ref="E965:E1028" si="106">VLOOKUP(D965,Q$5:R$11,2,FALSE)</f>
        <v>0.2</v>
      </c>
      <c r="F965" s="58">
        <f t="shared" ref="F965:F1028" si="107">IF(AND(D965&gt;D964,F964&lt;6),F964+1,1)</f>
        <v>2</v>
      </c>
      <c r="G965" s="58">
        <f t="shared" ref="G965:G1028" si="108">IF(F965&gt;F964,G964+B965*E965,B965*E965)</f>
        <v>1.0459692651580261</v>
      </c>
      <c r="H965" s="58">
        <f t="shared" ref="H965:H1028" si="109">IF(AND(F965&lt;6,F965&gt;F964),E965+H964,E965)</f>
        <v>0.4</v>
      </c>
      <c r="I965" s="58">
        <f t="shared" ref="I965:I1028" si="110">IF(F965&gt;F966,1,0)</f>
        <v>0</v>
      </c>
      <c r="J965" s="58">
        <f t="shared" ref="J965:J1028" si="111">IF(F965&gt;F966,G965/H965,0)</f>
        <v>0</v>
      </c>
      <c r="K965" s="58">
        <f>IF(CurrentMtgRatesDataTable8[[#This Row],[WA CC]]&lt;&gt;0,C964-CurrentMtgRatesDataTable8[[#This Row],[WA CC]],0)</f>
        <v>0</v>
      </c>
      <c r="L965" s="58">
        <f>IF(CurrentMtgRatesDataTable8[[#This Row],[Servicing Spread]]&lt;=0,L964,CurrentMtgRatesDataTable8[[#This Row],[Servicing Spread]])</f>
        <v>0.96099133410500004</v>
      </c>
      <c r="M965" s="58">
        <f>CurrentMtgRatesDataTable8[[#This Row],[Servicing Spread Non-Zero]]-L964</f>
        <v>0</v>
      </c>
      <c r="N965" s="58">
        <f>IF(J964&lt;&gt;0,CurrentMtgRatesDataTable8[[#This Row],[Rate]]-C964,N964)</f>
        <v>-9.5000000000000195E-2</v>
      </c>
    </row>
    <row r="966" spans="1:14">
      <c r="A966" s="55" t="s">
        <v>1017</v>
      </c>
      <c r="B966" s="56">
        <v>2.5303433230650998</v>
      </c>
      <c r="C966" s="57">
        <v>3.5249999999999999</v>
      </c>
      <c r="D966" s="58">
        <f t="shared" si="105"/>
        <v>5</v>
      </c>
      <c r="E966" s="58">
        <f t="shared" si="106"/>
        <v>0.2</v>
      </c>
      <c r="F966" s="58">
        <f t="shared" si="107"/>
        <v>3</v>
      </c>
      <c r="G966" s="58">
        <f t="shared" si="108"/>
        <v>1.5520379297710463</v>
      </c>
      <c r="H966" s="58">
        <f t="shared" si="109"/>
        <v>0.60000000000000009</v>
      </c>
      <c r="I966" s="58">
        <f t="shared" si="110"/>
        <v>0</v>
      </c>
      <c r="J966" s="58">
        <f t="shared" si="111"/>
        <v>0</v>
      </c>
      <c r="K966" s="58">
        <f>IF(CurrentMtgRatesDataTable8[[#This Row],[WA CC]]&lt;&gt;0,C965-CurrentMtgRatesDataTable8[[#This Row],[WA CC]],0)</f>
        <v>0</v>
      </c>
      <c r="L966" s="58">
        <f>IF(CurrentMtgRatesDataTable8[[#This Row],[Servicing Spread]]&lt;=0,L965,CurrentMtgRatesDataTable8[[#This Row],[Servicing Spread]])</f>
        <v>0.96099133410500004</v>
      </c>
      <c r="M966" s="58">
        <f>CurrentMtgRatesDataTable8[[#This Row],[Servicing Spread Non-Zero]]-L965</f>
        <v>0</v>
      </c>
      <c r="N966" s="58">
        <f>IF(J965&lt;&gt;0,CurrentMtgRatesDataTable8[[#This Row],[Rate]]-C965,N965)</f>
        <v>-9.5000000000000195E-2</v>
      </c>
    </row>
    <row r="967" spans="1:14">
      <c r="A967" s="55" t="s">
        <v>1018</v>
      </c>
      <c r="B967" s="56">
        <v>2.5047286028973201</v>
      </c>
      <c r="C967" s="57">
        <v>3.5249999999999999</v>
      </c>
      <c r="D967" s="58">
        <f t="shared" si="105"/>
        <v>6</v>
      </c>
      <c r="E967" s="58">
        <f t="shared" si="106"/>
        <v>0.2</v>
      </c>
      <c r="F967" s="58">
        <f t="shared" si="107"/>
        <v>4</v>
      </c>
      <c r="G967" s="58">
        <f t="shared" si="108"/>
        <v>2.0529836503505106</v>
      </c>
      <c r="H967" s="58">
        <f t="shared" si="109"/>
        <v>0.8</v>
      </c>
      <c r="I967" s="58">
        <f t="shared" si="110"/>
        <v>0</v>
      </c>
      <c r="J967" s="58">
        <f t="shared" si="111"/>
        <v>0</v>
      </c>
      <c r="K967" s="58">
        <f>IF(CurrentMtgRatesDataTable8[[#This Row],[WA CC]]&lt;&gt;0,C966-CurrentMtgRatesDataTable8[[#This Row],[WA CC]],0)</f>
        <v>0</v>
      </c>
      <c r="L967" s="58">
        <f>IF(CurrentMtgRatesDataTable8[[#This Row],[Servicing Spread]]&lt;=0,L966,CurrentMtgRatesDataTable8[[#This Row],[Servicing Spread]])</f>
        <v>0.96099133410500004</v>
      </c>
      <c r="M967" s="58">
        <f>CurrentMtgRatesDataTable8[[#This Row],[Servicing Spread Non-Zero]]-L966</f>
        <v>0</v>
      </c>
      <c r="N967" s="58">
        <f>IF(J966&lt;&gt;0,CurrentMtgRatesDataTable8[[#This Row],[Rate]]-C966,N966)</f>
        <v>-9.5000000000000195E-2</v>
      </c>
    </row>
    <row r="968" spans="1:14">
      <c r="A968" s="55" t="s">
        <v>1019</v>
      </c>
      <c r="B968" s="56">
        <v>2.4821302759437298</v>
      </c>
      <c r="C968" s="57">
        <v>3.5249999999999999</v>
      </c>
      <c r="D968" s="58">
        <f t="shared" si="105"/>
        <v>7</v>
      </c>
      <c r="E968" s="58">
        <f t="shared" si="106"/>
        <v>0.2</v>
      </c>
      <c r="F968" s="58">
        <f t="shared" si="107"/>
        <v>5</v>
      </c>
      <c r="G968" s="58">
        <f t="shared" si="108"/>
        <v>2.5494097055392566</v>
      </c>
      <c r="H968" s="58">
        <f t="shared" si="109"/>
        <v>1</v>
      </c>
      <c r="I968" s="58">
        <f t="shared" si="110"/>
        <v>1</v>
      </c>
      <c r="J968" s="58">
        <f t="shared" si="111"/>
        <v>2.5494097055392566</v>
      </c>
      <c r="K968" s="58">
        <f>IF(CurrentMtgRatesDataTable8[[#This Row],[WA CC]]&lt;&gt;0,C967-CurrentMtgRatesDataTable8[[#This Row],[WA CC]],0)</f>
        <v>0.9755902944607433</v>
      </c>
      <c r="L968" s="58">
        <f>IF(CurrentMtgRatesDataTable8[[#This Row],[Servicing Spread]]&lt;=0,L967,CurrentMtgRatesDataTable8[[#This Row],[Servicing Spread]])</f>
        <v>0.9755902944607433</v>
      </c>
      <c r="M968" s="58">
        <f>CurrentMtgRatesDataTable8[[#This Row],[Servicing Spread Non-Zero]]-L967</f>
        <v>1.4598960355743262E-2</v>
      </c>
      <c r="N968" s="58">
        <f>IF(J967&lt;&gt;0,CurrentMtgRatesDataTable8[[#This Row],[Rate]]-C967,N967)</f>
        <v>-9.5000000000000195E-2</v>
      </c>
    </row>
    <row r="969" spans="1:14">
      <c r="A969" s="55" t="s">
        <v>1020</v>
      </c>
      <c r="B969" s="56">
        <v>2.42881647726065</v>
      </c>
      <c r="C969" s="57">
        <v>3.5249999999999999</v>
      </c>
      <c r="D969" s="58">
        <f t="shared" si="105"/>
        <v>1</v>
      </c>
      <c r="E969" s="58">
        <f t="shared" si="106"/>
        <v>0.2</v>
      </c>
      <c r="F969" s="58">
        <f t="shared" si="107"/>
        <v>1</v>
      </c>
      <c r="G969" s="58">
        <f t="shared" si="108"/>
        <v>0.48576329545213004</v>
      </c>
      <c r="H969" s="58">
        <f t="shared" si="109"/>
        <v>0.2</v>
      </c>
      <c r="I969" s="58">
        <f t="shared" si="110"/>
        <v>0</v>
      </c>
      <c r="J969" s="58">
        <f t="shared" si="111"/>
        <v>0</v>
      </c>
      <c r="K969" s="58">
        <f>IF(CurrentMtgRatesDataTable8[[#This Row],[WA CC]]&lt;&gt;0,C968-CurrentMtgRatesDataTable8[[#This Row],[WA CC]],0)</f>
        <v>0</v>
      </c>
      <c r="L969" s="58">
        <f>IF(CurrentMtgRatesDataTable8[[#This Row],[Servicing Spread]]&lt;=0,L968,CurrentMtgRatesDataTable8[[#This Row],[Servicing Spread]])</f>
        <v>0.9755902944607433</v>
      </c>
      <c r="M969" s="58">
        <f>CurrentMtgRatesDataTable8[[#This Row],[Servicing Spread Non-Zero]]-L968</f>
        <v>0</v>
      </c>
      <c r="N969" s="58">
        <f>IF(J968&lt;&gt;0,CurrentMtgRatesDataTable8[[#This Row],[Rate]]-C968,N968)</f>
        <v>0</v>
      </c>
    </row>
    <row r="970" spans="1:14">
      <c r="A970" s="55" t="s">
        <v>1021</v>
      </c>
      <c r="B970" s="56">
        <v>2.5557387123841</v>
      </c>
      <c r="C970" s="57">
        <v>3.5249999999999999</v>
      </c>
      <c r="D970" s="58">
        <f t="shared" si="105"/>
        <v>2</v>
      </c>
      <c r="E970" s="58">
        <f t="shared" si="106"/>
        <v>0.2</v>
      </c>
      <c r="F970" s="58">
        <f t="shared" si="107"/>
        <v>2</v>
      </c>
      <c r="G970" s="58">
        <f t="shared" si="108"/>
        <v>0.99691103792895008</v>
      </c>
      <c r="H970" s="58">
        <f t="shared" si="109"/>
        <v>0.4</v>
      </c>
      <c r="I970" s="58">
        <f t="shared" si="110"/>
        <v>0</v>
      </c>
      <c r="J970" s="58">
        <f t="shared" si="111"/>
        <v>0</v>
      </c>
      <c r="K970" s="58">
        <f>IF(CurrentMtgRatesDataTable8[[#This Row],[WA CC]]&lt;&gt;0,C969-CurrentMtgRatesDataTable8[[#This Row],[WA CC]],0)</f>
        <v>0</v>
      </c>
      <c r="L970" s="58">
        <f>IF(CurrentMtgRatesDataTable8[[#This Row],[Servicing Spread]]&lt;=0,L969,CurrentMtgRatesDataTable8[[#This Row],[Servicing Spread]])</f>
        <v>0.9755902944607433</v>
      </c>
      <c r="M970" s="58">
        <f>CurrentMtgRatesDataTable8[[#This Row],[Servicing Spread Non-Zero]]-L969</f>
        <v>0</v>
      </c>
      <c r="N970" s="58">
        <f>IF(J969&lt;&gt;0,CurrentMtgRatesDataTable8[[#This Row],[Rate]]-C969,N969)</f>
        <v>0</v>
      </c>
    </row>
    <row r="971" spans="1:14">
      <c r="A971" s="55" t="s">
        <v>1022</v>
      </c>
      <c r="B971" s="56">
        <v>2.5621450125099101</v>
      </c>
      <c r="C971" s="57">
        <v>3.5249999999999999</v>
      </c>
      <c r="D971" s="58">
        <f t="shared" si="105"/>
        <v>6</v>
      </c>
      <c r="E971" s="58">
        <f t="shared" si="106"/>
        <v>0.2</v>
      </c>
      <c r="F971" s="58">
        <f t="shared" si="107"/>
        <v>3</v>
      </c>
      <c r="G971" s="58">
        <f t="shared" si="108"/>
        <v>1.5093400404309323</v>
      </c>
      <c r="H971" s="58">
        <f t="shared" si="109"/>
        <v>0.60000000000000009</v>
      </c>
      <c r="I971" s="58">
        <f t="shared" si="110"/>
        <v>0</v>
      </c>
      <c r="J971" s="58">
        <f t="shared" si="111"/>
        <v>0</v>
      </c>
      <c r="K971" s="58">
        <f>IF(CurrentMtgRatesDataTable8[[#This Row],[WA CC]]&lt;&gt;0,C970-CurrentMtgRatesDataTable8[[#This Row],[WA CC]],0)</f>
        <v>0</v>
      </c>
      <c r="L971" s="58">
        <f>IF(CurrentMtgRatesDataTable8[[#This Row],[Servicing Spread]]&lt;=0,L970,CurrentMtgRatesDataTable8[[#This Row],[Servicing Spread]])</f>
        <v>0.9755902944607433</v>
      </c>
      <c r="M971" s="58">
        <f>CurrentMtgRatesDataTable8[[#This Row],[Servicing Spread Non-Zero]]-L970</f>
        <v>0</v>
      </c>
      <c r="N971" s="58">
        <f>IF(J970&lt;&gt;0,CurrentMtgRatesDataTable8[[#This Row],[Rate]]-C970,N970)</f>
        <v>0</v>
      </c>
    </row>
    <row r="972" spans="1:14">
      <c r="A972" s="55" t="s">
        <v>1023</v>
      </c>
      <c r="B972" s="56">
        <v>2.60333938625172</v>
      </c>
      <c r="C972" s="57">
        <v>3.5249999999999999</v>
      </c>
      <c r="D972" s="58">
        <f t="shared" si="105"/>
        <v>7</v>
      </c>
      <c r="E972" s="58">
        <f t="shared" si="106"/>
        <v>0.2</v>
      </c>
      <c r="F972" s="58">
        <f t="shared" si="107"/>
        <v>4</v>
      </c>
      <c r="G972" s="58">
        <f t="shared" si="108"/>
        <v>2.0300079176812762</v>
      </c>
      <c r="H972" s="58">
        <f t="shared" si="109"/>
        <v>0.8</v>
      </c>
      <c r="I972" s="58">
        <f t="shared" si="110"/>
        <v>1</v>
      </c>
      <c r="J972" s="58">
        <f t="shared" si="111"/>
        <v>2.5375098971015952</v>
      </c>
      <c r="K972" s="58">
        <f>IF(CurrentMtgRatesDataTable8[[#This Row],[WA CC]]&lt;&gt;0,C971-CurrentMtgRatesDataTable8[[#This Row],[WA CC]],0)</f>
        <v>0.98749010289840466</v>
      </c>
      <c r="L972" s="58">
        <f>IF(CurrentMtgRatesDataTable8[[#This Row],[Servicing Spread]]&lt;=0,L971,CurrentMtgRatesDataTable8[[#This Row],[Servicing Spread]])</f>
        <v>0.98749010289840466</v>
      </c>
      <c r="M972" s="58">
        <f>CurrentMtgRatesDataTable8[[#This Row],[Servicing Spread Non-Zero]]-L971</f>
        <v>1.1899808437661363E-2</v>
      </c>
      <c r="N972" s="58">
        <f>IF(J971&lt;&gt;0,CurrentMtgRatesDataTable8[[#This Row],[Rate]]-C971,N971)</f>
        <v>0</v>
      </c>
    </row>
    <row r="973" spans="1:14">
      <c r="A973" s="39" t="s">
        <v>1024</v>
      </c>
      <c r="B973" s="40">
        <v>2.5443053522825401</v>
      </c>
      <c r="C973" s="11">
        <v>3.52</v>
      </c>
      <c r="D973" s="16">
        <f t="shared" si="105"/>
        <v>1</v>
      </c>
      <c r="E973" s="16">
        <f t="shared" si="106"/>
        <v>0.2</v>
      </c>
      <c r="F973" s="16">
        <f t="shared" si="107"/>
        <v>1</v>
      </c>
      <c r="G973" s="16">
        <f t="shared" si="108"/>
        <v>0.50886107045650808</v>
      </c>
      <c r="H973" s="16">
        <f t="shared" si="109"/>
        <v>0.2</v>
      </c>
      <c r="I973" s="16">
        <f t="shared" si="110"/>
        <v>0</v>
      </c>
      <c r="J973" s="16">
        <f t="shared" si="111"/>
        <v>0</v>
      </c>
      <c r="K973" s="16">
        <f>IF(CurrentMtgRatesDataTable8[[#This Row],[WA CC]]&lt;&gt;0,C972-CurrentMtgRatesDataTable8[[#This Row],[WA CC]],0)</f>
        <v>0</v>
      </c>
      <c r="L973" s="16">
        <f>IF(CurrentMtgRatesDataTable8[[#This Row],[Servicing Spread]]&lt;=0,L972,CurrentMtgRatesDataTable8[[#This Row],[Servicing Spread]])</f>
        <v>0.98749010289840466</v>
      </c>
      <c r="M973" s="16">
        <f>CurrentMtgRatesDataTable8[[#This Row],[Servicing Spread Non-Zero]]-L972</f>
        <v>0</v>
      </c>
      <c r="N973" s="16">
        <f>IF(J972&lt;&gt;0,CurrentMtgRatesDataTable8[[#This Row],[Rate]]-C972,N972)</f>
        <v>-4.9999999999998934E-3</v>
      </c>
    </row>
    <row r="974" spans="1:14">
      <c r="A974" s="39" t="s">
        <v>1025</v>
      </c>
      <c r="B974" s="40">
        <v>2.5449659922268899</v>
      </c>
      <c r="C974" s="11">
        <v>3.52</v>
      </c>
      <c r="D974" s="16">
        <f t="shared" si="105"/>
        <v>2</v>
      </c>
      <c r="E974" s="16">
        <f t="shared" si="106"/>
        <v>0.2</v>
      </c>
      <c r="F974" s="16">
        <f t="shared" si="107"/>
        <v>2</v>
      </c>
      <c r="G974" s="16">
        <f t="shared" si="108"/>
        <v>1.0178542689018861</v>
      </c>
      <c r="H974" s="16">
        <f t="shared" si="109"/>
        <v>0.4</v>
      </c>
      <c r="I974" s="16">
        <f t="shared" si="110"/>
        <v>0</v>
      </c>
      <c r="J974" s="16">
        <f t="shared" si="111"/>
        <v>0</v>
      </c>
      <c r="K974" s="16">
        <f>IF(CurrentMtgRatesDataTable8[[#This Row],[WA CC]]&lt;&gt;0,C973-CurrentMtgRatesDataTable8[[#This Row],[WA CC]],0)</f>
        <v>0</v>
      </c>
      <c r="L974" s="16">
        <f>IF(CurrentMtgRatesDataTable8[[#This Row],[Servicing Spread]]&lt;=0,L973,CurrentMtgRatesDataTable8[[#This Row],[Servicing Spread]])</f>
        <v>0.98749010289840466</v>
      </c>
      <c r="M974" s="16">
        <f>CurrentMtgRatesDataTable8[[#This Row],[Servicing Spread Non-Zero]]-L973</f>
        <v>0</v>
      </c>
      <c r="N974" s="16">
        <f>IF(J973&lt;&gt;0,CurrentMtgRatesDataTable8[[#This Row],[Rate]]-C973,N973)</f>
        <v>-4.9999999999998934E-3</v>
      </c>
    </row>
    <row r="975" spans="1:14">
      <c r="A975" s="39" t="s">
        <v>1026</v>
      </c>
      <c r="B975" s="40">
        <v>2.5540295471269099</v>
      </c>
      <c r="C975" s="11">
        <v>3.52</v>
      </c>
      <c r="D975" s="16">
        <f t="shared" si="105"/>
        <v>5</v>
      </c>
      <c r="E975" s="16">
        <f t="shared" si="106"/>
        <v>0.2</v>
      </c>
      <c r="F975" s="16">
        <f t="shared" si="107"/>
        <v>3</v>
      </c>
      <c r="G975" s="16">
        <f t="shared" si="108"/>
        <v>1.528660178327268</v>
      </c>
      <c r="H975" s="16">
        <f t="shared" si="109"/>
        <v>0.60000000000000009</v>
      </c>
      <c r="I975" s="16">
        <f t="shared" si="110"/>
        <v>0</v>
      </c>
      <c r="J975" s="16">
        <f t="shared" si="111"/>
        <v>0</v>
      </c>
      <c r="K975" s="16">
        <f>IF(CurrentMtgRatesDataTable8[[#This Row],[WA CC]]&lt;&gt;0,C974-CurrentMtgRatesDataTable8[[#This Row],[WA CC]],0)</f>
        <v>0</v>
      </c>
      <c r="L975" s="16">
        <f>IF(CurrentMtgRatesDataTable8[[#This Row],[Servicing Spread]]&lt;=0,L974,CurrentMtgRatesDataTable8[[#This Row],[Servicing Spread]])</f>
        <v>0.98749010289840466</v>
      </c>
      <c r="M975" s="16">
        <f>CurrentMtgRatesDataTable8[[#This Row],[Servicing Spread Non-Zero]]-L974</f>
        <v>0</v>
      </c>
      <c r="N975" s="16">
        <f>IF(J974&lt;&gt;0,CurrentMtgRatesDataTable8[[#This Row],[Rate]]-C974,N974)</f>
        <v>-4.9999999999998934E-3</v>
      </c>
    </row>
    <row r="976" spans="1:14">
      <c r="A976" s="39" t="s">
        <v>1027</v>
      </c>
      <c r="B976" s="40">
        <v>2.5356667445590699</v>
      </c>
      <c r="C976" s="11">
        <v>3.52</v>
      </c>
      <c r="D976" s="16">
        <f t="shared" si="105"/>
        <v>6</v>
      </c>
      <c r="E976" s="16">
        <f t="shared" si="106"/>
        <v>0.2</v>
      </c>
      <c r="F976" s="16">
        <f t="shared" si="107"/>
        <v>4</v>
      </c>
      <c r="G976" s="16">
        <f t="shared" si="108"/>
        <v>2.0357935272390821</v>
      </c>
      <c r="H976" s="16">
        <f t="shared" si="109"/>
        <v>0.8</v>
      </c>
      <c r="I976" s="16">
        <f t="shared" si="110"/>
        <v>0</v>
      </c>
      <c r="J976" s="16">
        <f t="shared" si="111"/>
        <v>0</v>
      </c>
      <c r="K976" s="16">
        <f>IF(CurrentMtgRatesDataTable8[[#This Row],[WA CC]]&lt;&gt;0,C975-CurrentMtgRatesDataTable8[[#This Row],[WA CC]],0)</f>
        <v>0</v>
      </c>
      <c r="L976" s="16">
        <f>IF(CurrentMtgRatesDataTable8[[#This Row],[Servicing Spread]]&lt;=0,L975,CurrentMtgRatesDataTable8[[#This Row],[Servicing Spread]])</f>
        <v>0.98749010289840466</v>
      </c>
      <c r="M976" s="16">
        <f>CurrentMtgRatesDataTable8[[#This Row],[Servicing Spread Non-Zero]]-L975</f>
        <v>0</v>
      </c>
      <c r="N976" s="16">
        <f>IF(J975&lt;&gt;0,CurrentMtgRatesDataTable8[[#This Row],[Rate]]-C975,N975)</f>
        <v>-4.9999999999998934E-3</v>
      </c>
    </row>
    <row r="977" spans="1:14">
      <c r="A977" s="39" t="s">
        <v>1028</v>
      </c>
      <c r="B977" s="40">
        <v>2.5165312715175401</v>
      </c>
      <c r="C977" s="11">
        <v>3.52</v>
      </c>
      <c r="D977" s="16">
        <f t="shared" si="105"/>
        <v>7</v>
      </c>
      <c r="E977" s="16">
        <f t="shared" si="106"/>
        <v>0.2</v>
      </c>
      <c r="F977" s="16">
        <f t="shared" si="107"/>
        <v>5</v>
      </c>
      <c r="G977" s="16">
        <f t="shared" si="108"/>
        <v>2.53909978154259</v>
      </c>
      <c r="H977" s="16">
        <f t="shared" si="109"/>
        <v>1</v>
      </c>
      <c r="I977" s="16">
        <f t="shared" si="110"/>
        <v>1</v>
      </c>
      <c r="J977" s="16">
        <f t="shared" si="111"/>
        <v>2.53909978154259</v>
      </c>
      <c r="K977" s="16">
        <f>IF(CurrentMtgRatesDataTable8[[#This Row],[WA CC]]&lt;&gt;0,C976-CurrentMtgRatesDataTable8[[#This Row],[WA CC]],0)</f>
        <v>0.98090021845741004</v>
      </c>
      <c r="L977" s="16">
        <f>IF(CurrentMtgRatesDataTable8[[#This Row],[Servicing Spread]]&lt;=0,L976,CurrentMtgRatesDataTable8[[#This Row],[Servicing Spread]])</f>
        <v>0.98090021845741004</v>
      </c>
      <c r="M977" s="16">
        <f>CurrentMtgRatesDataTable8[[#This Row],[Servicing Spread Non-Zero]]-L976</f>
        <v>-6.58988444099462E-3</v>
      </c>
      <c r="N977" s="16">
        <f>IF(J976&lt;&gt;0,CurrentMtgRatesDataTable8[[#This Row],[Rate]]-C976,N976)</f>
        <v>-4.9999999999998934E-3</v>
      </c>
    </row>
    <row r="978" spans="1:14">
      <c r="A978" s="39" t="s">
        <v>1029</v>
      </c>
      <c r="B978" s="40">
        <v>2.4936082120119001</v>
      </c>
      <c r="C978" s="11">
        <v>3.5150000000000001</v>
      </c>
      <c r="D978" s="16">
        <f t="shared" si="105"/>
        <v>1</v>
      </c>
      <c r="E978" s="16">
        <f t="shared" si="106"/>
        <v>0.2</v>
      </c>
      <c r="F978" s="16">
        <f t="shared" si="107"/>
        <v>1</v>
      </c>
      <c r="G978" s="16">
        <f t="shared" si="108"/>
        <v>0.49872164240238004</v>
      </c>
      <c r="H978" s="16">
        <f t="shared" si="109"/>
        <v>0.2</v>
      </c>
      <c r="I978" s="16">
        <f t="shared" si="110"/>
        <v>0</v>
      </c>
      <c r="J978" s="16">
        <f t="shared" si="111"/>
        <v>0</v>
      </c>
      <c r="K978" s="16">
        <f>IF(CurrentMtgRatesDataTable8[[#This Row],[WA CC]]&lt;&gt;0,C977-CurrentMtgRatesDataTable8[[#This Row],[WA CC]],0)</f>
        <v>0</v>
      </c>
      <c r="L978" s="16">
        <f>IF(CurrentMtgRatesDataTable8[[#This Row],[Servicing Spread]]&lt;=0,L977,CurrentMtgRatesDataTable8[[#This Row],[Servicing Spread]])</f>
        <v>0.98090021845741004</v>
      </c>
      <c r="M978" s="16">
        <f>CurrentMtgRatesDataTable8[[#This Row],[Servicing Spread Non-Zero]]-L977</f>
        <v>0</v>
      </c>
      <c r="N978" s="16">
        <f>IF(J977&lt;&gt;0,CurrentMtgRatesDataTable8[[#This Row],[Rate]]-C977,N977)</f>
        <v>-4.9999999999998934E-3</v>
      </c>
    </row>
    <row r="979" spans="1:14">
      <c r="A979" s="39" t="s">
        <v>1030</v>
      </c>
      <c r="B979" s="40">
        <v>2.5559111404476602</v>
      </c>
      <c r="C979" s="11">
        <v>3.5150000000000001</v>
      </c>
      <c r="D979" s="16">
        <f t="shared" si="105"/>
        <v>2</v>
      </c>
      <c r="E979" s="16">
        <f t="shared" si="106"/>
        <v>0.2</v>
      </c>
      <c r="F979" s="16">
        <f t="shared" si="107"/>
        <v>2</v>
      </c>
      <c r="G979" s="16">
        <f t="shared" si="108"/>
        <v>1.0099038704919121</v>
      </c>
      <c r="H979" s="16">
        <f t="shared" si="109"/>
        <v>0.4</v>
      </c>
      <c r="I979" s="16">
        <f t="shared" si="110"/>
        <v>0</v>
      </c>
      <c r="J979" s="16">
        <f t="shared" si="111"/>
        <v>0</v>
      </c>
      <c r="K979" s="16">
        <f>IF(CurrentMtgRatesDataTable8[[#This Row],[WA CC]]&lt;&gt;0,C978-CurrentMtgRatesDataTable8[[#This Row],[WA CC]],0)</f>
        <v>0</v>
      </c>
      <c r="L979" s="16">
        <f>IF(CurrentMtgRatesDataTable8[[#This Row],[Servicing Spread]]&lt;=0,L978,CurrentMtgRatesDataTable8[[#This Row],[Servicing Spread]])</f>
        <v>0.98090021845741004</v>
      </c>
      <c r="M979" s="16">
        <f>CurrentMtgRatesDataTable8[[#This Row],[Servicing Spread Non-Zero]]-L978</f>
        <v>0</v>
      </c>
      <c r="N979" s="16">
        <f>IF(J978&lt;&gt;0,CurrentMtgRatesDataTable8[[#This Row],[Rate]]-C978,N978)</f>
        <v>-4.9999999999998934E-3</v>
      </c>
    </row>
    <row r="980" spans="1:14">
      <c r="A980" s="39" t="s">
        <v>1031</v>
      </c>
      <c r="B980" s="40">
        <v>2.52735457322752</v>
      </c>
      <c r="C980" s="11">
        <v>3.5150000000000001</v>
      </c>
      <c r="D980" s="16">
        <f t="shared" si="105"/>
        <v>5</v>
      </c>
      <c r="E980" s="16">
        <f t="shared" si="106"/>
        <v>0.2</v>
      </c>
      <c r="F980" s="16">
        <f t="shared" si="107"/>
        <v>3</v>
      </c>
      <c r="G980" s="16">
        <f t="shared" si="108"/>
        <v>1.515374785137416</v>
      </c>
      <c r="H980" s="16">
        <f t="shared" si="109"/>
        <v>0.60000000000000009</v>
      </c>
      <c r="I980" s="16">
        <f t="shared" si="110"/>
        <v>0</v>
      </c>
      <c r="J980" s="16">
        <f t="shared" si="111"/>
        <v>0</v>
      </c>
      <c r="K980" s="16">
        <f>IF(CurrentMtgRatesDataTable8[[#This Row],[WA CC]]&lt;&gt;0,C979-CurrentMtgRatesDataTable8[[#This Row],[WA CC]],0)</f>
        <v>0</v>
      </c>
      <c r="L980" s="16">
        <f>IF(CurrentMtgRatesDataTable8[[#This Row],[Servicing Spread]]&lt;=0,L979,CurrentMtgRatesDataTable8[[#This Row],[Servicing Spread]])</f>
        <v>0.98090021845741004</v>
      </c>
      <c r="M980" s="16">
        <f>CurrentMtgRatesDataTable8[[#This Row],[Servicing Spread Non-Zero]]-L979</f>
        <v>0</v>
      </c>
      <c r="N980" s="16">
        <f>IF(J979&lt;&gt;0,CurrentMtgRatesDataTable8[[#This Row],[Rate]]-C979,N979)</f>
        <v>-4.9999999999998934E-3</v>
      </c>
    </row>
    <row r="981" spans="1:14">
      <c r="A981" s="39" t="s">
        <v>1032</v>
      </c>
      <c r="B981" s="40">
        <v>2.6160113869012802</v>
      </c>
      <c r="C981" s="11">
        <v>3.5150000000000001</v>
      </c>
      <c r="D981" s="16">
        <f t="shared" si="105"/>
        <v>6</v>
      </c>
      <c r="E981" s="16">
        <f t="shared" si="106"/>
        <v>0.2</v>
      </c>
      <c r="F981" s="16">
        <f t="shared" si="107"/>
        <v>4</v>
      </c>
      <c r="G981" s="16">
        <f t="shared" si="108"/>
        <v>2.038577062517672</v>
      </c>
      <c r="H981" s="16">
        <f t="shared" si="109"/>
        <v>0.8</v>
      </c>
      <c r="I981" s="16">
        <f t="shared" si="110"/>
        <v>0</v>
      </c>
      <c r="J981" s="16">
        <f t="shared" si="111"/>
        <v>0</v>
      </c>
      <c r="K981" s="16">
        <f>IF(CurrentMtgRatesDataTable8[[#This Row],[WA CC]]&lt;&gt;0,C980-CurrentMtgRatesDataTable8[[#This Row],[WA CC]],0)</f>
        <v>0</v>
      </c>
      <c r="L981" s="16">
        <f>IF(CurrentMtgRatesDataTable8[[#This Row],[Servicing Spread]]&lt;=0,L980,CurrentMtgRatesDataTable8[[#This Row],[Servicing Spread]])</f>
        <v>0.98090021845741004</v>
      </c>
      <c r="M981" s="16">
        <f>CurrentMtgRatesDataTable8[[#This Row],[Servicing Spread Non-Zero]]-L980</f>
        <v>0</v>
      </c>
      <c r="N981" s="16">
        <f>IF(J980&lt;&gt;0,CurrentMtgRatesDataTable8[[#This Row],[Rate]]-C980,N980)</f>
        <v>-4.9999999999998934E-3</v>
      </c>
    </row>
    <row r="982" spans="1:14">
      <c r="A982" s="39" t="s">
        <v>1033</v>
      </c>
      <c r="B982" s="40">
        <v>2.6371866759210301</v>
      </c>
      <c r="C982" s="11">
        <v>3.5150000000000001</v>
      </c>
      <c r="D982" s="16">
        <f t="shared" si="105"/>
        <v>7</v>
      </c>
      <c r="E982" s="16">
        <f t="shared" si="106"/>
        <v>0.2</v>
      </c>
      <c r="F982" s="16">
        <f t="shared" si="107"/>
        <v>5</v>
      </c>
      <c r="G982" s="16">
        <f t="shared" si="108"/>
        <v>2.5660143977018781</v>
      </c>
      <c r="H982" s="16">
        <f t="shared" si="109"/>
        <v>1</v>
      </c>
      <c r="I982" s="16">
        <f t="shared" si="110"/>
        <v>1</v>
      </c>
      <c r="J982" s="16">
        <f t="shared" si="111"/>
        <v>2.5660143977018781</v>
      </c>
      <c r="K982" s="16">
        <f>IF(CurrentMtgRatesDataTable8[[#This Row],[WA CC]]&lt;&gt;0,C981-CurrentMtgRatesDataTable8[[#This Row],[WA CC]],0)</f>
        <v>0.94898560229812201</v>
      </c>
      <c r="L982" s="16">
        <f>IF(CurrentMtgRatesDataTable8[[#This Row],[Servicing Spread]]&lt;=0,L981,CurrentMtgRatesDataTable8[[#This Row],[Servicing Spread]])</f>
        <v>0.94898560229812201</v>
      </c>
      <c r="M982" s="16">
        <f>CurrentMtgRatesDataTable8[[#This Row],[Servicing Spread Non-Zero]]-L981</f>
        <v>-3.1914616159288034E-2</v>
      </c>
      <c r="N982" s="16">
        <f>IF(J981&lt;&gt;0,CurrentMtgRatesDataTable8[[#This Row],[Rate]]-C981,N981)</f>
        <v>-4.9999999999998934E-3</v>
      </c>
    </row>
    <row r="983" spans="1:14">
      <c r="A983" s="39" t="s">
        <v>1034</v>
      </c>
      <c r="B983" s="40">
        <v>2.6040316185117298</v>
      </c>
      <c r="C983" s="11">
        <v>3.5550000000000002</v>
      </c>
      <c r="D983" s="16">
        <f t="shared" si="105"/>
        <v>1</v>
      </c>
      <c r="E983" s="16">
        <f t="shared" si="106"/>
        <v>0.2</v>
      </c>
      <c r="F983" s="16">
        <f t="shared" si="107"/>
        <v>1</v>
      </c>
      <c r="G983" s="16">
        <f t="shared" si="108"/>
        <v>0.52080632370234603</v>
      </c>
      <c r="H983" s="16">
        <f t="shared" si="109"/>
        <v>0.2</v>
      </c>
      <c r="I983" s="16">
        <f t="shared" si="110"/>
        <v>0</v>
      </c>
      <c r="J983" s="16">
        <f t="shared" si="111"/>
        <v>0</v>
      </c>
      <c r="K983" s="16">
        <f>IF(CurrentMtgRatesDataTable8[[#This Row],[WA CC]]&lt;&gt;0,C982-CurrentMtgRatesDataTable8[[#This Row],[WA CC]],0)</f>
        <v>0</v>
      </c>
      <c r="L983" s="16">
        <f>IF(CurrentMtgRatesDataTable8[[#This Row],[Servicing Spread]]&lt;=0,L982,CurrentMtgRatesDataTable8[[#This Row],[Servicing Spread]])</f>
        <v>0.94898560229812201</v>
      </c>
      <c r="M983" s="16">
        <f>CurrentMtgRatesDataTable8[[#This Row],[Servicing Spread Non-Zero]]-L982</f>
        <v>0</v>
      </c>
      <c r="N983" s="16">
        <f>IF(J982&lt;&gt;0,CurrentMtgRatesDataTable8[[#This Row],[Rate]]-C982,N982)</f>
        <v>4.0000000000000036E-2</v>
      </c>
    </row>
    <row r="984" spans="1:14">
      <c r="A984" s="39" t="s">
        <v>1035</v>
      </c>
      <c r="B984" s="40">
        <v>2.6456437130167698</v>
      </c>
      <c r="C984" s="11">
        <v>3.5550000000000002</v>
      </c>
      <c r="D984" s="16">
        <f t="shared" si="105"/>
        <v>2</v>
      </c>
      <c r="E984" s="16">
        <f t="shared" si="106"/>
        <v>0.2</v>
      </c>
      <c r="F984" s="16">
        <f t="shared" si="107"/>
        <v>2</v>
      </c>
      <c r="G984" s="16">
        <f t="shared" si="108"/>
        <v>1.0499350663057001</v>
      </c>
      <c r="H984" s="16">
        <f t="shared" si="109"/>
        <v>0.4</v>
      </c>
      <c r="I984" s="16">
        <f t="shared" si="110"/>
        <v>0</v>
      </c>
      <c r="J984" s="16">
        <f t="shared" si="111"/>
        <v>0</v>
      </c>
      <c r="K984" s="16">
        <f>IF(CurrentMtgRatesDataTable8[[#This Row],[WA CC]]&lt;&gt;0,C983-CurrentMtgRatesDataTable8[[#This Row],[WA CC]],0)</f>
        <v>0</v>
      </c>
      <c r="L984" s="16">
        <f>IF(CurrentMtgRatesDataTable8[[#This Row],[Servicing Spread]]&lt;=0,L983,CurrentMtgRatesDataTable8[[#This Row],[Servicing Spread]])</f>
        <v>0.94898560229812201</v>
      </c>
      <c r="M984" s="16">
        <f>CurrentMtgRatesDataTable8[[#This Row],[Servicing Spread Non-Zero]]-L983</f>
        <v>0</v>
      </c>
      <c r="N984" s="16">
        <f>IF(J983&lt;&gt;0,CurrentMtgRatesDataTable8[[#This Row],[Rate]]-C983,N983)</f>
        <v>4.0000000000000036E-2</v>
      </c>
    </row>
    <row r="985" spans="1:14">
      <c r="A985" s="39" t="s">
        <v>1036</v>
      </c>
      <c r="B985" s="40">
        <v>2.6797159507930601</v>
      </c>
      <c r="C985" s="11">
        <v>3.5550000000000002</v>
      </c>
      <c r="D985" s="16">
        <f t="shared" si="105"/>
        <v>5</v>
      </c>
      <c r="E985" s="16">
        <f t="shared" si="106"/>
        <v>0.2</v>
      </c>
      <c r="F985" s="16">
        <f t="shared" si="107"/>
        <v>3</v>
      </c>
      <c r="G985" s="16">
        <f t="shared" si="108"/>
        <v>1.5858782564643121</v>
      </c>
      <c r="H985" s="16">
        <f t="shared" si="109"/>
        <v>0.60000000000000009</v>
      </c>
      <c r="I985" s="16">
        <f t="shared" si="110"/>
        <v>0</v>
      </c>
      <c r="J985" s="16">
        <f t="shared" si="111"/>
        <v>0</v>
      </c>
      <c r="K985" s="16">
        <f>IF(CurrentMtgRatesDataTable8[[#This Row],[WA CC]]&lt;&gt;0,C984-CurrentMtgRatesDataTable8[[#This Row],[WA CC]],0)</f>
        <v>0</v>
      </c>
      <c r="L985" s="16">
        <f>IF(CurrentMtgRatesDataTable8[[#This Row],[Servicing Spread]]&lt;=0,L984,CurrentMtgRatesDataTable8[[#This Row],[Servicing Spread]])</f>
        <v>0.94898560229812201</v>
      </c>
      <c r="M985" s="16">
        <f>CurrentMtgRatesDataTable8[[#This Row],[Servicing Spread Non-Zero]]-L984</f>
        <v>0</v>
      </c>
      <c r="N985" s="16">
        <f>IF(J984&lt;&gt;0,CurrentMtgRatesDataTable8[[#This Row],[Rate]]-C984,N984)</f>
        <v>4.0000000000000036E-2</v>
      </c>
    </row>
    <row r="986" spans="1:14">
      <c r="A986" s="39" t="s">
        <v>1037</v>
      </c>
      <c r="B986" s="40">
        <v>2.6318246797468499</v>
      </c>
      <c r="C986" s="11">
        <v>3.5550000000000002</v>
      </c>
      <c r="D986" s="16">
        <f t="shared" si="105"/>
        <v>6</v>
      </c>
      <c r="E986" s="16">
        <f t="shared" si="106"/>
        <v>0.2</v>
      </c>
      <c r="F986" s="16">
        <f t="shared" si="107"/>
        <v>4</v>
      </c>
      <c r="G986" s="16">
        <f t="shared" si="108"/>
        <v>2.1122431924136822</v>
      </c>
      <c r="H986" s="16">
        <f t="shared" si="109"/>
        <v>0.8</v>
      </c>
      <c r="I986" s="16">
        <f t="shared" si="110"/>
        <v>0</v>
      </c>
      <c r="J986" s="16">
        <f t="shared" si="111"/>
        <v>0</v>
      </c>
      <c r="K986" s="16">
        <f>IF(CurrentMtgRatesDataTable8[[#This Row],[WA CC]]&lt;&gt;0,C985-CurrentMtgRatesDataTable8[[#This Row],[WA CC]],0)</f>
        <v>0</v>
      </c>
      <c r="L986" s="16">
        <f>IF(CurrentMtgRatesDataTable8[[#This Row],[Servicing Spread]]&lt;=0,L985,CurrentMtgRatesDataTable8[[#This Row],[Servicing Spread]])</f>
        <v>0.94898560229812201</v>
      </c>
      <c r="M986" s="16">
        <f>CurrentMtgRatesDataTable8[[#This Row],[Servicing Spread Non-Zero]]-L985</f>
        <v>0</v>
      </c>
      <c r="N986" s="16">
        <f>IF(J985&lt;&gt;0,CurrentMtgRatesDataTable8[[#This Row],[Rate]]-C985,N985)</f>
        <v>4.0000000000000036E-2</v>
      </c>
    </row>
    <row r="987" spans="1:14">
      <c r="A987" s="39" t="s">
        <v>1038</v>
      </c>
      <c r="B987" s="40">
        <v>2.6993160821671598</v>
      </c>
      <c r="C987" s="11">
        <v>3.5550000000000002</v>
      </c>
      <c r="D987" s="16">
        <f t="shared" si="105"/>
        <v>7</v>
      </c>
      <c r="E987" s="16">
        <f t="shared" si="106"/>
        <v>0.2</v>
      </c>
      <c r="F987" s="16">
        <f t="shared" si="107"/>
        <v>5</v>
      </c>
      <c r="G987" s="16">
        <f t="shared" si="108"/>
        <v>2.6521064088471142</v>
      </c>
      <c r="H987" s="16">
        <f t="shared" si="109"/>
        <v>1</v>
      </c>
      <c r="I987" s="16">
        <f t="shared" si="110"/>
        <v>1</v>
      </c>
      <c r="J987" s="16">
        <f t="shared" si="111"/>
        <v>2.6521064088471142</v>
      </c>
      <c r="K987" s="16">
        <f>IF(CurrentMtgRatesDataTable8[[#This Row],[WA CC]]&lt;&gt;0,C986-CurrentMtgRatesDataTable8[[#This Row],[WA CC]],0)</f>
        <v>0.90289359115288592</v>
      </c>
      <c r="L987" s="16">
        <f>IF(CurrentMtgRatesDataTable8[[#This Row],[Servicing Spread]]&lt;=0,L986,CurrentMtgRatesDataTable8[[#This Row],[Servicing Spread]])</f>
        <v>0.90289359115288592</v>
      </c>
      <c r="M987" s="16">
        <f>CurrentMtgRatesDataTable8[[#This Row],[Servicing Spread Non-Zero]]-L986</f>
        <v>-4.6092011145236089E-2</v>
      </c>
      <c r="N987" s="16">
        <f>IF(J986&lt;&gt;0,CurrentMtgRatesDataTable8[[#This Row],[Rate]]-C986,N986)</f>
        <v>4.0000000000000036E-2</v>
      </c>
    </row>
    <row r="988" spans="1:14">
      <c r="A988" s="39" t="s">
        <v>1039</v>
      </c>
      <c r="B988" s="40">
        <v>2.7087001450916599</v>
      </c>
      <c r="C988" s="11">
        <v>3.605</v>
      </c>
      <c r="D988" s="16">
        <f t="shared" si="105"/>
        <v>1</v>
      </c>
      <c r="E988" s="16">
        <f t="shared" si="106"/>
        <v>0.2</v>
      </c>
      <c r="F988" s="16">
        <f t="shared" si="107"/>
        <v>1</v>
      </c>
      <c r="G988" s="16">
        <f t="shared" si="108"/>
        <v>0.54174002901833196</v>
      </c>
      <c r="H988" s="16">
        <f t="shared" si="109"/>
        <v>0.2</v>
      </c>
      <c r="I988" s="16">
        <f t="shared" si="110"/>
        <v>0</v>
      </c>
      <c r="J988" s="16">
        <f t="shared" si="111"/>
        <v>0</v>
      </c>
      <c r="K988" s="16">
        <f>IF(CurrentMtgRatesDataTable8[[#This Row],[WA CC]]&lt;&gt;0,C987-CurrentMtgRatesDataTable8[[#This Row],[WA CC]],0)</f>
        <v>0</v>
      </c>
      <c r="L988" s="16">
        <f>IF(CurrentMtgRatesDataTable8[[#This Row],[Servicing Spread]]&lt;=0,L987,CurrentMtgRatesDataTable8[[#This Row],[Servicing Spread]])</f>
        <v>0.90289359115288592</v>
      </c>
      <c r="M988" s="16">
        <f>CurrentMtgRatesDataTable8[[#This Row],[Servicing Spread Non-Zero]]-L987</f>
        <v>0</v>
      </c>
      <c r="N988" s="16">
        <f>IF(J987&lt;&gt;0,CurrentMtgRatesDataTable8[[#This Row],[Rate]]-C987,N987)</f>
        <v>4.9999999999999822E-2</v>
      </c>
    </row>
    <row r="989" spans="1:14">
      <c r="A989" s="39" t="s">
        <v>1040</v>
      </c>
      <c r="B989" s="40">
        <v>2.7411857736504301</v>
      </c>
      <c r="C989" s="11">
        <v>3.605</v>
      </c>
      <c r="D989" s="16">
        <f t="shared" si="105"/>
        <v>2</v>
      </c>
      <c r="E989" s="16">
        <f t="shared" si="106"/>
        <v>0.2</v>
      </c>
      <c r="F989" s="16">
        <f t="shared" si="107"/>
        <v>2</v>
      </c>
      <c r="G989" s="16">
        <f t="shared" si="108"/>
        <v>1.089977183748418</v>
      </c>
      <c r="H989" s="16">
        <f t="shared" si="109"/>
        <v>0.4</v>
      </c>
      <c r="I989" s="16">
        <f t="shared" si="110"/>
        <v>0</v>
      </c>
      <c r="J989" s="16">
        <f t="shared" si="111"/>
        <v>0</v>
      </c>
      <c r="K989" s="16">
        <f>IF(CurrentMtgRatesDataTable8[[#This Row],[WA CC]]&lt;&gt;0,C988-CurrentMtgRatesDataTable8[[#This Row],[WA CC]],0)</f>
        <v>0</v>
      </c>
      <c r="L989" s="16">
        <f>IF(CurrentMtgRatesDataTable8[[#This Row],[Servicing Spread]]&lt;=0,L988,CurrentMtgRatesDataTable8[[#This Row],[Servicing Spread]])</f>
        <v>0.90289359115288592</v>
      </c>
      <c r="M989" s="16">
        <f>CurrentMtgRatesDataTable8[[#This Row],[Servicing Spread Non-Zero]]-L988</f>
        <v>0</v>
      </c>
      <c r="N989" s="16">
        <f>IF(J988&lt;&gt;0,CurrentMtgRatesDataTable8[[#This Row],[Rate]]-C988,N988)</f>
        <v>4.9999999999999822E-2</v>
      </c>
    </row>
    <row r="990" spans="1:14">
      <c r="A990" s="39" t="s">
        <v>1041</v>
      </c>
      <c r="B990" s="40">
        <v>2.7302113432602999</v>
      </c>
      <c r="C990" s="11">
        <v>3.605</v>
      </c>
      <c r="D990" s="16">
        <f t="shared" si="105"/>
        <v>5</v>
      </c>
      <c r="E990" s="16">
        <f t="shared" si="106"/>
        <v>0.2</v>
      </c>
      <c r="F990" s="16">
        <f t="shared" si="107"/>
        <v>3</v>
      </c>
      <c r="G990" s="16">
        <f t="shared" si="108"/>
        <v>1.6360194524004781</v>
      </c>
      <c r="H990" s="16">
        <f t="shared" si="109"/>
        <v>0.60000000000000009</v>
      </c>
      <c r="I990" s="16">
        <f t="shared" si="110"/>
        <v>0</v>
      </c>
      <c r="J990" s="16">
        <f t="shared" si="111"/>
        <v>0</v>
      </c>
      <c r="K990" s="16">
        <f>IF(CurrentMtgRatesDataTable8[[#This Row],[WA CC]]&lt;&gt;0,C989-CurrentMtgRatesDataTable8[[#This Row],[WA CC]],0)</f>
        <v>0</v>
      </c>
      <c r="L990" s="16">
        <f>IF(CurrentMtgRatesDataTable8[[#This Row],[Servicing Spread]]&lt;=0,L989,CurrentMtgRatesDataTable8[[#This Row],[Servicing Spread]])</f>
        <v>0.90289359115288592</v>
      </c>
      <c r="M990" s="16">
        <f>CurrentMtgRatesDataTable8[[#This Row],[Servicing Spread Non-Zero]]-L989</f>
        <v>0</v>
      </c>
      <c r="N990" s="16">
        <f>IF(J989&lt;&gt;0,CurrentMtgRatesDataTable8[[#This Row],[Rate]]-C989,N989)</f>
        <v>4.9999999999999822E-2</v>
      </c>
    </row>
    <row r="991" spans="1:14">
      <c r="A991" s="39" t="s">
        <v>1042</v>
      </c>
      <c r="B991" s="40">
        <v>2.7488667702223699</v>
      </c>
      <c r="C991" s="11">
        <v>3.605</v>
      </c>
      <c r="D991" s="16">
        <f t="shared" si="105"/>
        <v>6</v>
      </c>
      <c r="E991" s="16">
        <f t="shared" si="106"/>
        <v>0.2</v>
      </c>
      <c r="F991" s="16">
        <f t="shared" si="107"/>
        <v>4</v>
      </c>
      <c r="G991" s="16">
        <f t="shared" si="108"/>
        <v>2.1857928064449519</v>
      </c>
      <c r="H991" s="16">
        <f t="shared" si="109"/>
        <v>0.8</v>
      </c>
      <c r="I991" s="16">
        <f t="shared" si="110"/>
        <v>0</v>
      </c>
      <c r="J991" s="16">
        <f t="shared" si="111"/>
        <v>0</v>
      </c>
      <c r="K991" s="16">
        <f>IF(CurrentMtgRatesDataTable8[[#This Row],[WA CC]]&lt;&gt;0,C990-CurrentMtgRatesDataTable8[[#This Row],[WA CC]],0)</f>
        <v>0</v>
      </c>
      <c r="L991" s="16">
        <f>IF(CurrentMtgRatesDataTable8[[#This Row],[Servicing Spread]]&lt;=0,L990,CurrentMtgRatesDataTable8[[#This Row],[Servicing Spread]])</f>
        <v>0.90289359115288592</v>
      </c>
      <c r="M991" s="16">
        <f>CurrentMtgRatesDataTable8[[#This Row],[Servicing Spread Non-Zero]]-L990</f>
        <v>0</v>
      </c>
      <c r="N991" s="16">
        <f>IF(J990&lt;&gt;0,CurrentMtgRatesDataTable8[[#This Row],[Rate]]-C990,N990)</f>
        <v>4.9999999999999822E-2</v>
      </c>
    </row>
    <row r="992" spans="1:14">
      <c r="A992" s="39" t="s">
        <v>1043</v>
      </c>
      <c r="B992" s="40">
        <v>2.6989079918651599</v>
      </c>
      <c r="C992" s="11">
        <v>3.605</v>
      </c>
      <c r="D992" s="16">
        <f t="shared" si="105"/>
        <v>7</v>
      </c>
      <c r="E992" s="16">
        <f t="shared" si="106"/>
        <v>0.2</v>
      </c>
      <c r="F992" s="16">
        <f t="shared" si="107"/>
        <v>5</v>
      </c>
      <c r="G992" s="16">
        <f t="shared" si="108"/>
        <v>2.725574404817984</v>
      </c>
      <c r="H992" s="16">
        <f t="shared" si="109"/>
        <v>1</v>
      </c>
      <c r="I992" s="16">
        <f t="shared" si="110"/>
        <v>1</v>
      </c>
      <c r="J992" s="16">
        <f t="shared" si="111"/>
        <v>2.725574404817984</v>
      </c>
      <c r="K992" s="16">
        <f>IF(CurrentMtgRatesDataTable8[[#This Row],[WA CC]]&lt;&gt;0,C991-CurrentMtgRatesDataTable8[[#This Row],[WA CC]],0)</f>
        <v>0.87942559518201602</v>
      </c>
      <c r="L992" s="16">
        <f>IF(CurrentMtgRatesDataTable8[[#This Row],[Servicing Spread]]&lt;=0,L991,CurrentMtgRatesDataTable8[[#This Row],[Servicing Spread]])</f>
        <v>0.87942559518201602</v>
      </c>
      <c r="M992" s="16">
        <f>CurrentMtgRatesDataTable8[[#This Row],[Servicing Spread Non-Zero]]-L991</f>
        <v>-2.3467995970869904E-2</v>
      </c>
      <c r="N992" s="16">
        <f>IF(J991&lt;&gt;0,CurrentMtgRatesDataTable8[[#This Row],[Rate]]-C991,N991)</f>
        <v>4.9999999999999822E-2</v>
      </c>
    </row>
    <row r="993" spans="1:14">
      <c r="A993" s="39" t="s">
        <v>1044</v>
      </c>
      <c r="B993" s="40">
        <v>2.6507645211895499</v>
      </c>
      <c r="C993" s="11">
        <v>3.585</v>
      </c>
      <c r="D993" s="16">
        <f t="shared" si="105"/>
        <v>1</v>
      </c>
      <c r="E993" s="16">
        <f t="shared" si="106"/>
        <v>0.2</v>
      </c>
      <c r="F993" s="16">
        <f t="shared" si="107"/>
        <v>1</v>
      </c>
      <c r="G993" s="16">
        <f t="shared" si="108"/>
        <v>0.53015290423790995</v>
      </c>
      <c r="H993" s="16">
        <f t="shared" si="109"/>
        <v>0.2</v>
      </c>
      <c r="I993" s="16">
        <f t="shared" si="110"/>
        <v>0</v>
      </c>
      <c r="J993" s="16">
        <f t="shared" si="111"/>
        <v>0</v>
      </c>
      <c r="K993" s="16">
        <f>IF(CurrentMtgRatesDataTable8[[#This Row],[WA CC]]&lt;&gt;0,C992-CurrentMtgRatesDataTable8[[#This Row],[WA CC]],0)</f>
        <v>0</v>
      </c>
      <c r="L993" s="16">
        <f>IF(CurrentMtgRatesDataTable8[[#This Row],[Servicing Spread]]&lt;=0,L992,CurrentMtgRatesDataTable8[[#This Row],[Servicing Spread]])</f>
        <v>0.87942559518201602</v>
      </c>
      <c r="M993" s="16">
        <f>CurrentMtgRatesDataTable8[[#This Row],[Servicing Spread Non-Zero]]-L992</f>
        <v>0</v>
      </c>
      <c r="N993" s="16">
        <f>IF(J992&lt;&gt;0,CurrentMtgRatesDataTable8[[#This Row],[Rate]]-C992,N992)</f>
        <v>-2.0000000000000018E-2</v>
      </c>
    </row>
    <row r="994" spans="1:14">
      <c r="A994" s="39" t="s">
        <v>1045</v>
      </c>
      <c r="B994" s="40">
        <v>2.6443435040904602</v>
      </c>
      <c r="C994" s="11">
        <v>3.585</v>
      </c>
      <c r="D994" s="16">
        <f t="shared" si="105"/>
        <v>2</v>
      </c>
      <c r="E994" s="16">
        <f t="shared" si="106"/>
        <v>0.2</v>
      </c>
      <c r="F994" s="16">
        <f t="shared" si="107"/>
        <v>2</v>
      </c>
      <c r="G994" s="16">
        <f t="shared" si="108"/>
        <v>1.059021605056002</v>
      </c>
      <c r="H994" s="16">
        <f t="shared" si="109"/>
        <v>0.4</v>
      </c>
      <c r="I994" s="16">
        <f t="shared" si="110"/>
        <v>0</v>
      </c>
      <c r="J994" s="16">
        <f t="shared" si="111"/>
        <v>0</v>
      </c>
      <c r="K994" s="16">
        <f>IF(CurrentMtgRatesDataTable8[[#This Row],[WA CC]]&lt;&gt;0,C993-CurrentMtgRatesDataTable8[[#This Row],[WA CC]],0)</f>
        <v>0</v>
      </c>
      <c r="L994" s="16">
        <f>IF(CurrentMtgRatesDataTable8[[#This Row],[Servicing Spread]]&lt;=0,L993,CurrentMtgRatesDataTable8[[#This Row],[Servicing Spread]])</f>
        <v>0.87942559518201602</v>
      </c>
      <c r="M994" s="16">
        <f>CurrentMtgRatesDataTable8[[#This Row],[Servicing Spread Non-Zero]]-L993</f>
        <v>0</v>
      </c>
      <c r="N994" s="16">
        <f>IF(J993&lt;&gt;0,CurrentMtgRatesDataTable8[[#This Row],[Rate]]-C993,N993)</f>
        <v>-2.0000000000000018E-2</v>
      </c>
    </row>
    <row r="995" spans="1:14">
      <c r="A995" s="39" t="s">
        <v>1046</v>
      </c>
      <c r="B995" s="40">
        <v>2.6999804416345499</v>
      </c>
      <c r="C995" s="11">
        <v>3.585</v>
      </c>
      <c r="D995" s="16">
        <f t="shared" si="105"/>
        <v>5</v>
      </c>
      <c r="E995" s="16">
        <f t="shared" si="106"/>
        <v>0.2</v>
      </c>
      <c r="F995" s="16">
        <f t="shared" si="107"/>
        <v>3</v>
      </c>
      <c r="G995" s="16">
        <f t="shared" si="108"/>
        <v>1.5990176933829119</v>
      </c>
      <c r="H995" s="16">
        <f t="shared" si="109"/>
        <v>0.60000000000000009</v>
      </c>
      <c r="I995" s="16">
        <f t="shared" si="110"/>
        <v>0</v>
      </c>
      <c r="J995" s="16">
        <f t="shared" si="111"/>
        <v>0</v>
      </c>
      <c r="K995" s="16">
        <f>IF(CurrentMtgRatesDataTable8[[#This Row],[WA CC]]&lt;&gt;0,C994-CurrentMtgRatesDataTable8[[#This Row],[WA CC]],0)</f>
        <v>0</v>
      </c>
      <c r="L995" s="16">
        <f>IF(CurrentMtgRatesDataTable8[[#This Row],[Servicing Spread]]&lt;=0,L994,CurrentMtgRatesDataTable8[[#This Row],[Servicing Spread]])</f>
        <v>0.87942559518201602</v>
      </c>
      <c r="M995" s="16">
        <f>CurrentMtgRatesDataTable8[[#This Row],[Servicing Spread Non-Zero]]-L994</f>
        <v>0</v>
      </c>
      <c r="N995" s="16">
        <f>IF(J994&lt;&gt;0,CurrentMtgRatesDataTable8[[#This Row],[Rate]]-C994,N994)</f>
        <v>-2.0000000000000018E-2</v>
      </c>
    </row>
    <row r="996" spans="1:14">
      <c r="A996" s="39" t="s">
        <v>1047</v>
      </c>
      <c r="B996" s="40">
        <v>2.7181679952198698</v>
      </c>
      <c r="C996" s="11">
        <v>3.585</v>
      </c>
      <c r="D996" s="16">
        <f t="shared" si="105"/>
        <v>6</v>
      </c>
      <c r="E996" s="16">
        <f t="shared" si="106"/>
        <v>0.2</v>
      </c>
      <c r="F996" s="16">
        <f t="shared" si="107"/>
        <v>4</v>
      </c>
      <c r="G996" s="16">
        <f t="shared" si="108"/>
        <v>2.1426512924268861</v>
      </c>
      <c r="H996" s="16">
        <f t="shared" si="109"/>
        <v>0.8</v>
      </c>
      <c r="I996" s="16">
        <f t="shared" si="110"/>
        <v>0</v>
      </c>
      <c r="J996" s="16">
        <f t="shared" si="111"/>
        <v>0</v>
      </c>
      <c r="K996" s="16">
        <f>IF(CurrentMtgRatesDataTable8[[#This Row],[WA CC]]&lt;&gt;0,C995-CurrentMtgRatesDataTable8[[#This Row],[WA CC]],0)</f>
        <v>0</v>
      </c>
      <c r="L996" s="16">
        <f>IF(CurrentMtgRatesDataTable8[[#This Row],[Servicing Spread]]&lt;=0,L995,CurrentMtgRatesDataTable8[[#This Row],[Servicing Spread]])</f>
        <v>0.87942559518201602</v>
      </c>
      <c r="M996" s="16">
        <f>CurrentMtgRatesDataTable8[[#This Row],[Servicing Spread Non-Zero]]-L995</f>
        <v>0</v>
      </c>
      <c r="N996" s="16">
        <f>IF(J995&lt;&gt;0,CurrentMtgRatesDataTable8[[#This Row],[Rate]]-C995,N995)</f>
        <v>-2.0000000000000018E-2</v>
      </c>
    </row>
    <row r="997" spans="1:14">
      <c r="A997" s="39" t="s">
        <v>1048</v>
      </c>
      <c r="B997" s="40">
        <v>2.66584672213606</v>
      </c>
      <c r="C997" s="11">
        <v>3.585</v>
      </c>
      <c r="D997" s="16">
        <f t="shared" si="105"/>
        <v>7</v>
      </c>
      <c r="E997" s="16">
        <f t="shared" si="106"/>
        <v>0.2</v>
      </c>
      <c r="F997" s="16">
        <f t="shared" si="107"/>
        <v>5</v>
      </c>
      <c r="G997" s="16">
        <f t="shared" si="108"/>
        <v>2.6758206368540982</v>
      </c>
      <c r="H997" s="16">
        <f t="shared" si="109"/>
        <v>1</v>
      </c>
      <c r="I997" s="16">
        <f t="shared" si="110"/>
        <v>1</v>
      </c>
      <c r="J997" s="16">
        <f t="shared" si="111"/>
        <v>2.6758206368540982</v>
      </c>
      <c r="K997" s="16">
        <f>IF(CurrentMtgRatesDataTable8[[#This Row],[WA CC]]&lt;&gt;0,C996-CurrentMtgRatesDataTable8[[#This Row],[WA CC]],0)</f>
        <v>0.90917936314590175</v>
      </c>
      <c r="L997" s="16">
        <f>IF(CurrentMtgRatesDataTable8[[#This Row],[Servicing Spread]]&lt;=0,L996,CurrentMtgRatesDataTable8[[#This Row],[Servicing Spread]])</f>
        <v>0.90917936314590175</v>
      </c>
      <c r="M997" s="16">
        <f>CurrentMtgRatesDataTable8[[#This Row],[Servicing Spread Non-Zero]]-L996</f>
        <v>2.9753767963885736E-2</v>
      </c>
      <c r="N997" s="16">
        <f>IF(J996&lt;&gt;0,CurrentMtgRatesDataTable8[[#This Row],[Rate]]-C996,N996)</f>
        <v>-2.0000000000000018E-2</v>
      </c>
    </row>
    <row r="998" spans="1:14">
      <c r="A998" s="39" t="s">
        <v>1049</v>
      </c>
      <c r="B998" s="40">
        <v>2.6924441854195602</v>
      </c>
      <c r="C998" s="11">
        <v>3.585</v>
      </c>
      <c r="D998" s="16">
        <f t="shared" si="105"/>
        <v>1</v>
      </c>
      <c r="E998" s="16">
        <f t="shared" si="106"/>
        <v>0.2</v>
      </c>
      <c r="F998" s="16">
        <f t="shared" si="107"/>
        <v>1</v>
      </c>
      <c r="G998" s="16">
        <f t="shared" si="108"/>
        <v>0.53848883708391204</v>
      </c>
      <c r="H998" s="16">
        <f t="shared" si="109"/>
        <v>0.2</v>
      </c>
      <c r="I998" s="16">
        <f t="shared" si="110"/>
        <v>0</v>
      </c>
      <c r="J998" s="16">
        <f t="shared" si="111"/>
        <v>0</v>
      </c>
      <c r="K998" s="16">
        <f>IF(CurrentMtgRatesDataTable8[[#This Row],[WA CC]]&lt;&gt;0,C997-CurrentMtgRatesDataTable8[[#This Row],[WA CC]],0)</f>
        <v>0</v>
      </c>
      <c r="L998" s="16">
        <f>IF(CurrentMtgRatesDataTable8[[#This Row],[Servicing Spread]]&lt;=0,L997,CurrentMtgRatesDataTable8[[#This Row],[Servicing Spread]])</f>
        <v>0.90917936314590175</v>
      </c>
      <c r="M998" s="16">
        <f>CurrentMtgRatesDataTable8[[#This Row],[Servicing Spread Non-Zero]]-L997</f>
        <v>0</v>
      </c>
      <c r="N998" s="16">
        <f>IF(J997&lt;&gt;0,CurrentMtgRatesDataTable8[[#This Row],[Rate]]-C997,N997)</f>
        <v>0</v>
      </c>
    </row>
    <row r="999" spans="1:14">
      <c r="A999" s="39" t="s">
        <v>1050</v>
      </c>
      <c r="B999" s="40">
        <v>2.6784573232198698</v>
      </c>
      <c r="C999" s="11">
        <v>3.585</v>
      </c>
      <c r="D999" s="16">
        <f t="shared" si="105"/>
        <v>5</v>
      </c>
      <c r="E999" s="16">
        <f t="shared" si="106"/>
        <v>0.2</v>
      </c>
      <c r="F999" s="16">
        <f t="shared" si="107"/>
        <v>2</v>
      </c>
      <c r="G999" s="16">
        <f t="shared" si="108"/>
        <v>1.0741803017278859</v>
      </c>
      <c r="H999" s="16">
        <f t="shared" si="109"/>
        <v>0.4</v>
      </c>
      <c r="I999" s="16">
        <f t="shared" si="110"/>
        <v>0</v>
      </c>
      <c r="J999" s="16">
        <f t="shared" si="111"/>
        <v>0</v>
      </c>
      <c r="K999" s="16">
        <f>IF(CurrentMtgRatesDataTable8[[#This Row],[WA CC]]&lt;&gt;0,C998-CurrentMtgRatesDataTable8[[#This Row],[WA CC]],0)</f>
        <v>0</v>
      </c>
      <c r="L999" s="16">
        <f>IF(CurrentMtgRatesDataTable8[[#This Row],[Servicing Spread]]&lt;=0,L998,CurrentMtgRatesDataTable8[[#This Row],[Servicing Spread]])</f>
        <v>0.90917936314590175</v>
      </c>
      <c r="M999" s="16">
        <f>CurrentMtgRatesDataTable8[[#This Row],[Servicing Spread Non-Zero]]-L998</f>
        <v>0</v>
      </c>
      <c r="N999" s="16">
        <f>IF(J998&lt;&gt;0,CurrentMtgRatesDataTable8[[#This Row],[Rate]]-C998,N998)</f>
        <v>0</v>
      </c>
    </row>
    <row r="1000" spans="1:14">
      <c r="A1000" s="39" t="s">
        <v>1051</v>
      </c>
      <c r="B1000" s="40">
        <v>2.5818538340504298</v>
      </c>
      <c r="C1000" s="11">
        <v>3.585</v>
      </c>
      <c r="D1000" s="16">
        <f t="shared" si="105"/>
        <v>6</v>
      </c>
      <c r="E1000" s="16">
        <f t="shared" si="106"/>
        <v>0.2</v>
      </c>
      <c r="F1000" s="16">
        <f t="shared" si="107"/>
        <v>3</v>
      </c>
      <c r="G1000" s="16">
        <f t="shared" si="108"/>
        <v>1.5905510685379718</v>
      </c>
      <c r="H1000" s="16">
        <f t="shared" si="109"/>
        <v>0.60000000000000009</v>
      </c>
      <c r="I1000" s="16">
        <f t="shared" si="110"/>
        <v>0</v>
      </c>
      <c r="J1000" s="16">
        <f t="shared" si="111"/>
        <v>0</v>
      </c>
      <c r="K1000" s="16">
        <f>IF(CurrentMtgRatesDataTable8[[#This Row],[WA CC]]&lt;&gt;0,C999-CurrentMtgRatesDataTable8[[#This Row],[WA CC]],0)</f>
        <v>0</v>
      </c>
      <c r="L1000" s="16">
        <f>IF(CurrentMtgRatesDataTable8[[#This Row],[Servicing Spread]]&lt;=0,L999,CurrentMtgRatesDataTable8[[#This Row],[Servicing Spread]])</f>
        <v>0.90917936314590175</v>
      </c>
      <c r="M1000" s="16">
        <f>CurrentMtgRatesDataTable8[[#This Row],[Servicing Spread Non-Zero]]-L999</f>
        <v>0</v>
      </c>
      <c r="N1000" s="16">
        <f>IF(J999&lt;&gt;0,CurrentMtgRatesDataTable8[[#This Row],[Rate]]-C999,N999)</f>
        <v>0</v>
      </c>
    </row>
    <row r="1001" spans="1:14">
      <c r="A1001" s="39" t="s">
        <v>1052</v>
      </c>
      <c r="B1001" s="40">
        <v>2.5932132712975302</v>
      </c>
      <c r="C1001" s="11">
        <v>3.585</v>
      </c>
      <c r="D1001" s="16">
        <f t="shared" si="105"/>
        <v>7</v>
      </c>
      <c r="E1001" s="16">
        <f t="shared" si="106"/>
        <v>0.2</v>
      </c>
      <c r="F1001" s="16">
        <f t="shared" si="107"/>
        <v>4</v>
      </c>
      <c r="G1001" s="16">
        <f t="shared" si="108"/>
        <v>2.1091937227974777</v>
      </c>
      <c r="H1001" s="16">
        <f t="shared" si="109"/>
        <v>0.8</v>
      </c>
      <c r="I1001" s="16">
        <f t="shared" si="110"/>
        <v>1</v>
      </c>
      <c r="J1001" s="16">
        <f t="shared" si="111"/>
        <v>2.6364921534968468</v>
      </c>
      <c r="K1001" s="16">
        <f>IF(CurrentMtgRatesDataTable8[[#This Row],[WA CC]]&lt;&gt;0,C1000-CurrentMtgRatesDataTable8[[#This Row],[WA CC]],0)</f>
        <v>0.94850784650315312</v>
      </c>
      <c r="L1001" s="16">
        <f>IF(CurrentMtgRatesDataTable8[[#This Row],[Servicing Spread]]&lt;=0,L1000,CurrentMtgRatesDataTable8[[#This Row],[Servicing Spread]])</f>
        <v>0.94850784650315312</v>
      </c>
      <c r="M1001" s="16">
        <f>CurrentMtgRatesDataTable8[[#This Row],[Servicing Spread Non-Zero]]-L1000</f>
        <v>3.9328483357251365E-2</v>
      </c>
      <c r="N1001" s="16">
        <f>IF(J1000&lt;&gt;0,CurrentMtgRatesDataTable8[[#This Row],[Rate]]-C1000,N1000)</f>
        <v>0</v>
      </c>
    </row>
    <row r="1002" spans="1:14">
      <c r="A1002" s="39" t="s">
        <v>1053</v>
      </c>
      <c r="B1002" s="40">
        <v>2.5397621553493499</v>
      </c>
      <c r="C1002" s="11">
        <v>3.4649999999999999</v>
      </c>
      <c r="D1002" s="16">
        <f t="shared" si="105"/>
        <v>1</v>
      </c>
      <c r="E1002" s="16">
        <f t="shared" si="106"/>
        <v>0.2</v>
      </c>
      <c r="F1002" s="16">
        <f t="shared" si="107"/>
        <v>1</v>
      </c>
      <c r="G1002" s="16">
        <f t="shared" si="108"/>
        <v>0.50795243106986998</v>
      </c>
      <c r="H1002" s="16">
        <f t="shared" si="109"/>
        <v>0.2</v>
      </c>
      <c r="I1002" s="16">
        <f t="shared" si="110"/>
        <v>0</v>
      </c>
      <c r="J1002" s="16">
        <f t="shared" si="111"/>
        <v>0</v>
      </c>
      <c r="K1002" s="16">
        <f>IF(CurrentMtgRatesDataTable8[[#This Row],[WA CC]]&lt;&gt;0,C1001-CurrentMtgRatesDataTable8[[#This Row],[WA CC]],0)</f>
        <v>0</v>
      </c>
      <c r="L1002" s="16">
        <f>IF(CurrentMtgRatesDataTable8[[#This Row],[Servicing Spread]]&lt;=0,L1001,CurrentMtgRatesDataTable8[[#This Row],[Servicing Spread]])</f>
        <v>0.94850784650315312</v>
      </c>
      <c r="M1002" s="16">
        <f>CurrentMtgRatesDataTable8[[#This Row],[Servicing Spread Non-Zero]]-L1001</f>
        <v>0</v>
      </c>
      <c r="N1002" s="16">
        <f>IF(J1001&lt;&gt;0,CurrentMtgRatesDataTable8[[#This Row],[Rate]]-C1001,N1001)</f>
        <v>-0.12000000000000011</v>
      </c>
    </row>
    <row r="1003" spans="1:14">
      <c r="A1003" s="39" t="s">
        <v>1054</v>
      </c>
      <c r="B1003" s="40">
        <v>2.5354129105946002</v>
      </c>
      <c r="C1003" s="11">
        <v>3.4649999999999999</v>
      </c>
      <c r="D1003" s="16">
        <f t="shared" si="105"/>
        <v>2</v>
      </c>
      <c r="E1003" s="16">
        <f t="shared" si="106"/>
        <v>0.2</v>
      </c>
      <c r="F1003" s="16">
        <f t="shared" si="107"/>
        <v>2</v>
      </c>
      <c r="G1003" s="16">
        <f t="shared" si="108"/>
        <v>1.0150350131887902</v>
      </c>
      <c r="H1003" s="16">
        <f t="shared" si="109"/>
        <v>0.4</v>
      </c>
      <c r="I1003" s="16">
        <f t="shared" si="110"/>
        <v>0</v>
      </c>
      <c r="J1003" s="16">
        <f t="shared" si="111"/>
        <v>0</v>
      </c>
      <c r="K1003" s="16">
        <f>IF(CurrentMtgRatesDataTable8[[#This Row],[WA CC]]&lt;&gt;0,C1002-CurrentMtgRatesDataTable8[[#This Row],[WA CC]],0)</f>
        <v>0</v>
      </c>
      <c r="L1003" s="16">
        <f>IF(CurrentMtgRatesDataTable8[[#This Row],[Servicing Spread]]&lt;=0,L1002,CurrentMtgRatesDataTable8[[#This Row],[Servicing Spread]])</f>
        <v>0.94850784650315312</v>
      </c>
      <c r="M1003" s="16">
        <f>CurrentMtgRatesDataTable8[[#This Row],[Servicing Spread Non-Zero]]-L1002</f>
        <v>0</v>
      </c>
      <c r="N1003" s="16">
        <f>IF(J1002&lt;&gt;0,CurrentMtgRatesDataTable8[[#This Row],[Rate]]-C1002,N1002)</f>
        <v>-0.12000000000000011</v>
      </c>
    </row>
    <row r="1004" spans="1:14">
      <c r="A1004" s="39" t="s">
        <v>1055</v>
      </c>
      <c r="B1004" s="40">
        <v>2.5272030973588802</v>
      </c>
      <c r="C1004" s="11">
        <v>3.4649999999999999</v>
      </c>
      <c r="D1004" s="16">
        <f t="shared" si="105"/>
        <v>5</v>
      </c>
      <c r="E1004" s="16">
        <f t="shared" si="106"/>
        <v>0.2</v>
      </c>
      <c r="F1004" s="16">
        <f t="shared" si="107"/>
        <v>3</v>
      </c>
      <c r="G1004" s="16">
        <f t="shared" si="108"/>
        <v>1.5204756326605664</v>
      </c>
      <c r="H1004" s="16">
        <f t="shared" si="109"/>
        <v>0.60000000000000009</v>
      </c>
      <c r="I1004" s="16">
        <f t="shared" si="110"/>
        <v>0</v>
      </c>
      <c r="J1004" s="16">
        <f t="shared" si="111"/>
        <v>0</v>
      </c>
      <c r="K1004" s="16">
        <f>IF(CurrentMtgRatesDataTable8[[#This Row],[WA CC]]&lt;&gt;0,C1003-CurrentMtgRatesDataTable8[[#This Row],[WA CC]],0)</f>
        <v>0</v>
      </c>
      <c r="L1004" s="16">
        <f>IF(CurrentMtgRatesDataTable8[[#This Row],[Servicing Spread]]&lt;=0,L1003,CurrentMtgRatesDataTable8[[#This Row],[Servicing Spread]])</f>
        <v>0.94850784650315312</v>
      </c>
      <c r="M1004" s="16">
        <f>CurrentMtgRatesDataTable8[[#This Row],[Servicing Spread Non-Zero]]-L1003</f>
        <v>0</v>
      </c>
      <c r="N1004" s="16">
        <f>IF(J1003&lt;&gt;0,CurrentMtgRatesDataTable8[[#This Row],[Rate]]-C1003,N1003)</f>
        <v>-0.12000000000000011</v>
      </c>
    </row>
    <row r="1005" spans="1:14">
      <c r="A1005" s="39" t="s">
        <v>1056</v>
      </c>
      <c r="B1005" s="40">
        <v>2.49044583951994</v>
      </c>
      <c r="C1005" s="11">
        <v>3.4649999999999999</v>
      </c>
      <c r="D1005" s="16">
        <f t="shared" si="105"/>
        <v>6</v>
      </c>
      <c r="E1005" s="16">
        <f t="shared" si="106"/>
        <v>0.2</v>
      </c>
      <c r="F1005" s="16">
        <f t="shared" si="107"/>
        <v>4</v>
      </c>
      <c r="G1005" s="16">
        <f t="shared" si="108"/>
        <v>2.0185648005645547</v>
      </c>
      <c r="H1005" s="16">
        <f t="shared" si="109"/>
        <v>0.8</v>
      </c>
      <c r="I1005" s="16">
        <f t="shared" si="110"/>
        <v>0</v>
      </c>
      <c r="J1005" s="16">
        <f t="shared" si="111"/>
        <v>0</v>
      </c>
      <c r="K1005" s="16">
        <f>IF(CurrentMtgRatesDataTable8[[#This Row],[WA CC]]&lt;&gt;0,C1004-CurrentMtgRatesDataTable8[[#This Row],[WA CC]],0)</f>
        <v>0</v>
      </c>
      <c r="L1005" s="16">
        <f>IF(CurrentMtgRatesDataTable8[[#This Row],[Servicing Spread]]&lt;=0,L1004,CurrentMtgRatesDataTable8[[#This Row],[Servicing Spread]])</f>
        <v>0.94850784650315312</v>
      </c>
      <c r="M1005" s="16">
        <f>CurrentMtgRatesDataTable8[[#This Row],[Servicing Spread Non-Zero]]-L1004</f>
        <v>0</v>
      </c>
      <c r="N1005" s="16">
        <f>IF(J1004&lt;&gt;0,CurrentMtgRatesDataTable8[[#This Row],[Rate]]-C1004,N1004)</f>
        <v>-0.12000000000000011</v>
      </c>
    </row>
    <row r="1006" spans="1:14">
      <c r="A1006" s="39" t="s">
        <v>1057</v>
      </c>
      <c r="B1006" s="40">
        <v>2.5206676223705302</v>
      </c>
      <c r="C1006" s="11">
        <v>3.4649999999999999</v>
      </c>
      <c r="D1006" s="16">
        <f t="shared" si="105"/>
        <v>7</v>
      </c>
      <c r="E1006" s="16">
        <f t="shared" si="106"/>
        <v>0.2</v>
      </c>
      <c r="F1006" s="16">
        <f t="shared" si="107"/>
        <v>5</v>
      </c>
      <c r="G1006" s="16">
        <f t="shared" si="108"/>
        <v>2.522698325038661</v>
      </c>
      <c r="H1006" s="16">
        <f t="shared" si="109"/>
        <v>1</v>
      </c>
      <c r="I1006" s="16">
        <f t="shared" si="110"/>
        <v>1</v>
      </c>
      <c r="J1006" s="16">
        <f t="shared" si="111"/>
        <v>2.522698325038661</v>
      </c>
      <c r="K1006" s="16">
        <f>IF(CurrentMtgRatesDataTable8[[#This Row],[WA CC]]&lt;&gt;0,C1005-CurrentMtgRatesDataTable8[[#This Row],[WA CC]],0)</f>
        <v>0.94230167496133888</v>
      </c>
      <c r="L1006" s="16">
        <f>IF(CurrentMtgRatesDataTable8[[#This Row],[Servicing Spread]]&lt;=0,L1005,CurrentMtgRatesDataTable8[[#This Row],[Servicing Spread]])</f>
        <v>0.94230167496133888</v>
      </c>
      <c r="M1006" s="16">
        <f>CurrentMtgRatesDataTable8[[#This Row],[Servicing Spread Non-Zero]]-L1005</f>
        <v>-6.2061715418142427E-3</v>
      </c>
      <c r="N1006" s="16">
        <f>IF(J1005&lt;&gt;0,CurrentMtgRatesDataTable8[[#This Row],[Rate]]-C1005,N1005)</f>
        <v>-0.12000000000000011</v>
      </c>
    </row>
    <row r="1007" spans="1:14">
      <c r="A1007" s="39" t="s">
        <v>1058</v>
      </c>
      <c r="B1007" s="40">
        <v>2.47278907327191</v>
      </c>
      <c r="C1007" s="11">
        <v>3.4550000000000001</v>
      </c>
      <c r="D1007" s="16">
        <f t="shared" si="105"/>
        <v>1</v>
      </c>
      <c r="E1007" s="16">
        <f t="shared" si="106"/>
        <v>0.2</v>
      </c>
      <c r="F1007" s="16">
        <f t="shared" si="107"/>
        <v>1</v>
      </c>
      <c r="G1007" s="16">
        <f t="shared" si="108"/>
        <v>0.49455781465438203</v>
      </c>
      <c r="H1007" s="16">
        <f t="shared" si="109"/>
        <v>0.2</v>
      </c>
      <c r="I1007" s="16">
        <f t="shared" si="110"/>
        <v>0</v>
      </c>
      <c r="J1007" s="16">
        <f t="shared" si="111"/>
        <v>0</v>
      </c>
      <c r="K1007" s="16">
        <f>IF(CurrentMtgRatesDataTable8[[#This Row],[WA CC]]&lt;&gt;0,C1006-CurrentMtgRatesDataTable8[[#This Row],[WA CC]],0)</f>
        <v>0</v>
      </c>
      <c r="L1007" s="16">
        <f>IF(CurrentMtgRatesDataTable8[[#This Row],[Servicing Spread]]&lt;=0,L1006,CurrentMtgRatesDataTable8[[#This Row],[Servicing Spread]])</f>
        <v>0.94230167496133888</v>
      </c>
      <c r="M1007" s="16">
        <f>CurrentMtgRatesDataTable8[[#This Row],[Servicing Spread Non-Zero]]-L1006</f>
        <v>0</v>
      </c>
      <c r="N1007" s="16">
        <f>IF(J1006&lt;&gt;0,CurrentMtgRatesDataTable8[[#This Row],[Rate]]-C1006,N1006)</f>
        <v>-9.9999999999997868E-3</v>
      </c>
    </row>
    <row r="1008" spans="1:14">
      <c r="A1008" s="39" t="s">
        <v>1059</v>
      </c>
      <c r="B1008" s="40">
        <v>2.47640548535824</v>
      </c>
      <c r="C1008" s="11">
        <v>3.4550000000000001</v>
      </c>
      <c r="D1008" s="16">
        <f t="shared" si="105"/>
        <v>2</v>
      </c>
      <c r="E1008" s="16">
        <f t="shared" si="106"/>
        <v>0.2</v>
      </c>
      <c r="F1008" s="16">
        <f t="shared" si="107"/>
        <v>2</v>
      </c>
      <c r="G1008" s="16">
        <f t="shared" si="108"/>
        <v>0.98983891172603</v>
      </c>
      <c r="H1008" s="16">
        <f t="shared" si="109"/>
        <v>0.4</v>
      </c>
      <c r="I1008" s="16">
        <f t="shared" si="110"/>
        <v>0</v>
      </c>
      <c r="J1008" s="16">
        <f t="shared" si="111"/>
        <v>0</v>
      </c>
      <c r="K1008" s="16">
        <f>IF(CurrentMtgRatesDataTable8[[#This Row],[WA CC]]&lt;&gt;0,C1007-CurrentMtgRatesDataTable8[[#This Row],[WA CC]],0)</f>
        <v>0</v>
      </c>
      <c r="L1008" s="16">
        <f>IF(CurrentMtgRatesDataTable8[[#This Row],[Servicing Spread]]&lt;=0,L1007,CurrentMtgRatesDataTable8[[#This Row],[Servicing Spread]])</f>
        <v>0.94230167496133888</v>
      </c>
      <c r="M1008" s="16">
        <f>CurrentMtgRatesDataTable8[[#This Row],[Servicing Spread Non-Zero]]-L1007</f>
        <v>0</v>
      </c>
      <c r="N1008" s="16">
        <f>IF(J1007&lt;&gt;0,CurrentMtgRatesDataTable8[[#This Row],[Rate]]-C1007,N1007)</f>
        <v>-9.9999999999997868E-3</v>
      </c>
    </row>
    <row r="1009" spans="1:14">
      <c r="A1009" s="39" t="s">
        <v>1060</v>
      </c>
      <c r="B1009" s="40">
        <v>2.4761946977279501</v>
      </c>
      <c r="C1009" s="11">
        <v>3.4550000000000001</v>
      </c>
      <c r="D1009" s="16">
        <f t="shared" si="105"/>
        <v>5</v>
      </c>
      <c r="E1009" s="16">
        <f t="shared" si="106"/>
        <v>0.2</v>
      </c>
      <c r="F1009" s="16">
        <f t="shared" si="107"/>
        <v>3</v>
      </c>
      <c r="G1009" s="16">
        <f t="shared" si="108"/>
        <v>1.4850778512716201</v>
      </c>
      <c r="H1009" s="16">
        <f t="shared" si="109"/>
        <v>0.60000000000000009</v>
      </c>
      <c r="I1009" s="16">
        <f t="shared" si="110"/>
        <v>0</v>
      </c>
      <c r="J1009" s="16">
        <f t="shared" si="111"/>
        <v>0</v>
      </c>
      <c r="K1009" s="16">
        <f>IF(CurrentMtgRatesDataTable8[[#This Row],[WA CC]]&lt;&gt;0,C1008-CurrentMtgRatesDataTable8[[#This Row],[WA CC]],0)</f>
        <v>0</v>
      </c>
      <c r="L1009" s="16">
        <f>IF(CurrentMtgRatesDataTable8[[#This Row],[Servicing Spread]]&lt;=0,L1008,CurrentMtgRatesDataTable8[[#This Row],[Servicing Spread]])</f>
        <v>0.94230167496133888</v>
      </c>
      <c r="M1009" s="16">
        <f>CurrentMtgRatesDataTable8[[#This Row],[Servicing Spread Non-Zero]]-L1008</f>
        <v>0</v>
      </c>
      <c r="N1009" s="16">
        <f>IF(J1008&lt;&gt;0,CurrentMtgRatesDataTable8[[#This Row],[Rate]]-C1008,N1008)</f>
        <v>-9.9999999999997868E-3</v>
      </c>
    </row>
    <row r="1010" spans="1:14">
      <c r="A1010" s="39" t="s">
        <v>1061</v>
      </c>
      <c r="B1010" s="40">
        <v>2.52514420347971</v>
      </c>
      <c r="C1010" s="11">
        <v>3.4550000000000001</v>
      </c>
      <c r="D1010" s="16">
        <f t="shared" si="105"/>
        <v>6</v>
      </c>
      <c r="E1010" s="16">
        <f t="shared" si="106"/>
        <v>0.2</v>
      </c>
      <c r="F1010" s="16">
        <f t="shared" si="107"/>
        <v>4</v>
      </c>
      <c r="G1010" s="16">
        <f t="shared" si="108"/>
        <v>1.9901066919675621</v>
      </c>
      <c r="H1010" s="16">
        <f t="shared" si="109"/>
        <v>0.8</v>
      </c>
      <c r="I1010" s="16">
        <f t="shared" si="110"/>
        <v>0</v>
      </c>
      <c r="J1010" s="16">
        <f t="shared" si="111"/>
        <v>0</v>
      </c>
      <c r="K1010" s="16">
        <f>IF(CurrentMtgRatesDataTable8[[#This Row],[WA CC]]&lt;&gt;0,C1009-CurrentMtgRatesDataTable8[[#This Row],[WA CC]],0)</f>
        <v>0</v>
      </c>
      <c r="L1010" s="16">
        <f>IF(CurrentMtgRatesDataTable8[[#This Row],[Servicing Spread]]&lt;=0,L1009,CurrentMtgRatesDataTable8[[#This Row],[Servicing Spread]])</f>
        <v>0.94230167496133888</v>
      </c>
      <c r="M1010" s="16">
        <f>CurrentMtgRatesDataTable8[[#This Row],[Servicing Spread Non-Zero]]-L1009</f>
        <v>0</v>
      </c>
      <c r="N1010" s="16">
        <f>IF(J1009&lt;&gt;0,CurrentMtgRatesDataTable8[[#This Row],[Rate]]-C1009,N1009)</f>
        <v>-9.9999999999997868E-3</v>
      </c>
    </row>
    <row r="1011" spans="1:14">
      <c r="A1011" s="39" t="s">
        <v>1062</v>
      </c>
      <c r="B1011" s="40">
        <v>2.5121043496510298</v>
      </c>
      <c r="C1011" s="11">
        <v>3.4550000000000001</v>
      </c>
      <c r="D1011" s="16">
        <f t="shared" si="105"/>
        <v>7</v>
      </c>
      <c r="E1011" s="16">
        <f t="shared" si="106"/>
        <v>0.2</v>
      </c>
      <c r="F1011" s="16">
        <f t="shared" si="107"/>
        <v>5</v>
      </c>
      <c r="G1011" s="16">
        <f t="shared" si="108"/>
        <v>2.4925275618977683</v>
      </c>
      <c r="H1011" s="16">
        <f t="shared" si="109"/>
        <v>1</v>
      </c>
      <c r="I1011" s="16">
        <f t="shared" si="110"/>
        <v>1</v>
      </c>
      <c r="J1011" s="16">
        <f t="shared" si="111"/>
        <v>2.4925275618977683</v>
      </c>
      <c r="K1011" s="16">
        <f>IF(CurrentMtgRatesDataTable8[[#This Row],[WA CC]]&lt;&gt;0,C1010-CurrentMtgRatesDataTable8[[#This Row],[WA CC]],0)</f>
        <v>0.96247243810223182</v>
      </c>
      <c r="L1011" s="16">
        <f>IF(CurrentMtgRatesDataTable8[[#This Row],[Servicing Spread]]&lt;=0,L1010,CurrentMtgRatesDataTable8[[#This Row],[Servicing Spread]])</f>
        <v>0.96247243810223182</v>
      </c>
      <c r="M1011" s="16">
        <f>CurrentMtgRatesDataTable8[[#This Row],[Servicing Spread Non-Zero]]-L1010</f>
        <v>2.0170763140892944E-2</v>
      </c>
      <c r="N1011" s="16">
        <f>IF(J1010&lt;&gt;0,CurrentMtgRatesDataTable8[[#This Row],[Rate]]-C1010,N1010)</f>
        <v>-9.9999999999997868E-3</v>
      </c>
    </row>
    <row r="1012" spans="1:14">
      <c r="A1012" s="39" t="s">
        <v>1063</v>
      </c>
      <c r="B1012" s="40">
        <v>2.5130719329869802</v>
      </c>
      <c r="C1012" s="11">
        <v>3.4899999999999998</v>
      </c>
      <c r="D1012" s="16">
        <f t="shared" si="105"/>
        <v>1</v>
      </c>
      <c r="E1012" s="16">
        <f t="shared" si="106"/>
        <v>0.2</v>
      </c>
      <c r="F1012" s="16">
        <f t="shared" si="107"/>
        <v>1</v>
      </c>
      <c r="G1012" s="16">
        <f t="shared" si="108"/>
        <v>0.5026143865973961</v>
      </c>
      <c r="H1012" s="16">
        <f t="shared" si="109"/>
        <v>0.2</v>
      </c>
      <c r="I1012" s="16">
        <f t="shared" si="110"/>
        <v>0</v>
      </c>
      <c r="J1012" s="16">
        <f t="shared" si="111"/>
        <v>0</v>
      </c>
      <c r="K1012" s="16">
        <f>IF(CurrentMtgRatesDataTable8[[#This Row],[WA CC]]&lt;&gt;0,C1011-CurrentMtgRatesDataTable8[[#This Row],[WA CC]],0)</f>
        <v>0</v>
      </c>
      <c r="L1012" s="16">
        <f>IF(CurrentMtgRatesDataTable8[[#This Row],[Servicing Spread]]&lt;=0,L1011,CurrentMtgRatesDataTable8[[#This Row],[Servicing Spread]])</f>
        <v>0.96247243810223182</v>
      </c>
      <c r="M1012" s="16">
        <f>CurrentMtgRatesDataTable8[[#This Row],[Servicing Spread Non-Zero]]-L1011</f>
        <v>0</v>
      </c>
      <c r="N1012" s="16">
        <f>IF(J1011&lt;&gt;0,CurrentMtgRatesDataTable8[[#This Row],[Rate]]-C1011,N1011)</f>
        <v>3.4999999999999698E-2</v>
      </c>
    </row>
    <row r="1013" spans="1:14">
      <c r="A1013" s="39" t="s">
        <v>1064</v>
      </c>
      <c r="B1013" s="40">
        <v>2.50830487739315</v>
      </c>
      <c r="C1013" s="11">
        <v>3.4899999999999998</v>
      </c>
      <c r="D1013" s="16">
        <f t="shared" si="105"/>
        <v>2</v>
      </c>
      <c r="E1013" s="16">
        <f t="shared" si="106"/>
        <v>0.2</v>
      </c>
      <c r="F1013" s="16">
        <f t="shared" si="107"/>
        <v>2</v>
      </c>
      <c r="G1013" s="16">
        <f t="shared" si="108"/>
        <v>1.0042753620760261</v>
      </c>
      <c r="H1013" s="16">
        <f t="shared" si="109"/>
        <v>0.4</v>
      </c>
      <c r="I1013" s="16">
        <f t="shared" si="110"/>
        <v>0</v>
      </c>
      <c r="J1013" s="16">
        <f t="shared" si="111"/>
        <v>0</v>
      </c>
      <c r="K1013" s="16">
        <f>IF(CurrentMtgRatesDataTable8[[#This Row],[WA CC]]&lt;&gt;0,C1012-CurrentMtgRatesDataTable8[[#This Row],[WA CC]],0)</f>
        <v>0</v>
      </c>
      <c r="L1013" s="16">
        <f>IF(CurrentMtgRatesDataTable8[[#This Row],[Servicing Spread]]&lt;=0,L1012,CurrentMtgRatesDataTable8[[#This Row],[Servicing Spread]])</f>
        <v>0.96247243810223182</v>
      </c>
      <c r="M1013" s="16">
        <f>CurrentMtgRatesDataTable8[[#This Row],[Servicing Spread Non-Zero]]-L1012</f>
        <v>0</v>
      </c>
      <c r="N1013" s="16">
        <f>IF(J1012&lt;&gt;0,CurrentMtgRatesDataTable8[[#This Row],[Rate]]-C1012,N1012)</f>
        <v>3.4999999999999698E-2</v>
      </c>
    </row>
    <row r="1014" spans="1:14">
      <c r="A1014" s="39" t="s">
        <v>1065</v>
      </c>
      <c r="B1014" s="40">
        <v>2.5181131981013598</v>
      </c>
      <c r="C1014" s="11">
        <v>3.4899999999999998</v>
      </c>
      <c r="D1014" s="16">
        <f t="shared" si="105"/>
        <v>5</v>
      </c>
      <c r="E1014" s="16">
        <f t="shared" si="106"/>
        <v>0.2</v>
      </c>
      <c r="F1014" s="16">
        <f t="shared" si="107"/>
        <v>3</v>
      </c>
      <c r="G1014" s="16">
        <f t="shared" si="108"/>
        <v>1.5078980016962982</v>
      </c>
      <c r="H1014" s="16">
        <f t="shared" si="109"/>
        <v>0.60000000000000009</v>
      </c>
      <c r="I1014" s="16">
        <f t="shared" si="110"/>
        <v>0</v>
      </c>
      <c r="J1014" s="16">
        <f t="shared" si="111"/>
        <v>0</v>
      </c>
      <c r="K1014" s="16">
        <f>IF(CurrentMtgRatesDataTable8[[#This Row],[WA CC]]&lt;&gt;0,C1013-CurrentMtgRatesDataTable8[[#This Row],[WA CC]],0)</f>
        <v>0</v>
      </c>
      <c r="L1014" s="16">
        <f>IF(CurrentMtgRatesDataTable8[[#This Row],[Servicing Spread]]&lt;=0,L1013,CurrentMtgRatesDataTable8[[#This Row],[Servicing Spread]])</f>
        <v>0.96247243810223182</v>
      </c>
      <c r="M1014" s="16">
        <f>CurrentMtgRatesDataTable8[[#This Row],[Servicing Spread Non-Zero]]-L1013</f>
        <v>0</v>
      </c>
      <c r="N1014" s="16">
        <f>IF(J1013&lt;&gt;0,CurrentMtgRatesDataTable8[[#This Row],[Rate]]-C1013,N1013)</f>
        <v>3.4999999999999698E-2</v>
      </c>
    </row>
    <row r="1015" spans="1:14">
      <c r="A1015" s="39" t="s">
        <v>1066</v>
      </c>
      <c r="B1015" s="40">
        <v>2.5437168006359601</v>
      </c>
      <c r="C1015" s="11">
        <v>3.4899999999999998</v>
      </c>
      <c r="D1015" s="16">
        <f t="shared" si="105"/>
        <v>6</v>
      </c>
      <c r="E1015" s="16">
        <f t="shared" si="106"/>
        <v>0.2</v>
      </c>
      <c r="F1015" s="16">
        <f t="shared" si="107"/>
        <v>4</v>
      </c>
      <c r="G1015" s="16">
        <f t="shared" si="108"/>
        <v>2.0166413618234902</v>
      </c>
      <c r="H1015" s="16">
        <f t="shared" si="109"/>
        <v>0.8</v>
      </c>
      <c r="I1015" s="16">
        <f t="shared" si="110"/>
        <v>0</v>
      </c>
      <c r="J1015" s="16">
        <f t="shared" si="111"/>
        <v>0</v>
      </c>
      <c r="K1015" s="16">
        <f>IF(CurrentMtgRatesDataTable8[[#This Row],[WA CC]]&lt;&gt;0,C1014-CurrentMtgRatesDataTable8[[#This Row],[WA CC]],0)</f>
        <v>0</v>
      </c>
      <c r="L1015" s="16">
        <f>IF(CurrentMtgRatesDataTable8[[#This Row],[Servicing Spread]]&lt;=0,L1014,CurrentMtgRatesDataTable8[[#This Row],[Servicing Spread]])</f>
        <v>0.96247243810223182</v>
      </c>
      <c r="M1015" s="16">
        <f>CurrentMtgRatesDataTable8[[#This Row],[Servicing Spread Non-Zero]]-L1014</f>
        <v>0</v>
      </c>
      <c r="N1015" s="16">
        <f>IF(J1014&lt;&gt;0,CurrentMtgRatesDataTable8[[#This Row],[Rate]]-C1014,N1014)</f>
        <v>3.4999999999999698E-2</v>
      </c>
    </row>
    <row r="1016" spans="1:14">
      <c r="A1016" s="39" t="s">
        <v>1067</v>
      </c>
      <c r="B1016" s="40">
        <v>2.6250547369401902</v>
      </c>
      <c r="C1016" s="11">
        <v>3.4899999999999998</v>
      </c>
      <c r="D1016" s="16">
        <f t="shared" si="105"/>
        <v>7</v>
      </c>
      <c r="E1016" s="16">
        <f t="shared" si="106"/>
        <v>0.2</v>
      </c>
      <c r="F1016" s="16">
        <f t="shared" si="107"/>
        <v>5</v>
      </c>
      <c r="G1016" s="16">
        <f t="shared" si="108"/>
        <v>2.5416523092115284</v>
      </c>
      <c r="H1016" s="16">
        <f t="shared" si="109"/>
        <v>1</v>
      </c>
      <c r="I1016" s="16">
        <f t="shared" si="110"/>
        <v>1</v>
      </c>
      <c r="J1016" s="16">
        <f t="shared" si="111"/>
        <v>2.5416523092115284</v>
      </c>
      <c r="K1016" s="16">
        <f>IF(CurrentMtgRatesDataTable8[[#This Row],[WA CC]]&lt;&gt;0,C1015-CurrentMtgRatesDataTable8[[#This Row],[WA CC]],0)</f>
        <v>0.94834769078847136</v>
      </c>
      <c r="L1016" s="16">
        <f>IF(CurrentMtgRatesDataTable8[[#This Row],[Servicing Spread]]&lt;=0,L1015,CurrentMtgRatesDataTable8[[#This Row],[Servicing Spread]])</f>
        <v>0.94834769078847136</v>
      </c>
      <c r="M1016" s="16">
        <f>CurrentMtgRatesDataTable8[[#This Row],[Servicing Spread Non-Zero]]-L1015</f>
        <v>-1.4124747313760455E-2</v>
      </c>
      <c r="N1016" s="16">
        <f>IF(J1015&lt;&gt;0,CurrentMtgRatesDataTable8[[#This Row],[Rate]]-C1015,N1015)</f>
        <v>3.4999999999999698E-2</v>
      </c>
    </row>
    <row r="1017" spans="1:14">
      <c r="A1017" s="39" t="s">
        <v>1068</v>
      </c>
      <c r="B1017" s="40">
        <v>2.6404764057609502</v>
      </c>
      <c r="C1017" s="11">
        <v>3.56</v>
      </c>
      <c r="D1017" s="16">
        <f t="shared" si="105"/>
        <v>1</v>
      </c>
      <c r="E1017" s="16">
        <f t="shared" si="106"/>
        <v>0.2</v>
      </c>
      <c r="F1017" s="16">
        <f t="shared" si="107"/>
        <v>1</v>
      </c>
      <c r="G1017" s="16">
        <f t="shared" si="108"/>
        <v>0.52809528115219007</v>
      </c>
      <c r="H1017" s="16">
        <f t="shared" si="109"/>
        <v>0.2</v>
      </c>
      <c r="I1017" s="16">
        <f t="shared" si="110"/>
        <v>0</v>
      </c>
      <c r="J1017" s="16">
        <f t="shared" si="111"/>
        <v>0</v>
      </c>
      <c r="K1017" s="16">
        <f>IF(CurrentMtgRatesDataTable8[[#This Row],[WA CC]]&lt;&gt;0,C1016-CurrentMtgRatesDataTable8[[#This Row],[WA CC]],0)</f>
        <v>0</v>
      </c>
      <c r="L1017" s="16">
        <f>IF(CurrentMtgRatesDataTable8[[#This Row],[Servicing Spread]]&lt;=0,L1016,CurrentMtgRatesDataTable8[[#This Row],[Servicing Spread]])</f>
        <v>0.94834769078847136</v>
      </c>
      <c r="M1017" s="16">
        <f>CurrentMtgRatesDataTable8[[#This Row],[Servicing Spread Non-Zero]]-L1016</f>
        <v>0</v>
      </c>
      <c r="N1017" s="16">
        <f>IF(J1016&lt;&gt;0,CurrentMtgRatesDataTable8[[#This Row],[Rate]]-C1016,N1016)</f>
        <v>7.0000000000000284E-2</v>
      </c>
    </row>
    <row r="1018" spans="1:14">
      <c r="A1018" s="39" t="s">
        <v>1069</v>
      </c>
      <c r="B1018" s="40">
        <v>2.6550245016792</v>
      </c>
      <c r="C1018" s="11">
        <v>3.56</v>
      </c>
      <c r="D1018" s="16">
        <f t="shared" si="105"/>
        <v>2</v>
      </c>
      <c r="E1018" s="16">
        <f t="shared" si="106"/>
        <v>0.2</v>
      </c>
      <c r="F1018" s="16">
        <f t="shared" si="107"/>
        <v>2</v>
      </c>
      <c r="G1018" s="16">
        <f t="shared" si="108"/>
        <v>1.0591001814880301</v>
      </c>
      <c r="H1018" s="16">
        <f t="shared" si="109"/>
        <v>0.4</v>
      </c>
      <c r="I1018" s="16">
        <f t="shared" si="110"/>
        <v>0</v>
      </c>
      <c r="J1018" s="16">
        <f t="shared" si="111"/>
        <v>0</v>
      </c>
      <c r="K1018" s="16">
        <f>IF(CurrentMtgRatesDataTable8[[#This Row],[WA CC]]&lt;&gt;0,C1017-CurrentMtgRatesDataTable8[[#This Row],[WA CC]],0)</f>
        <v>0</v>
      </c>
      <c r="L1018" s="16">
        <f>IF(CurrentMtgRatesDataTable8[[#This Row],[Servicing Spread]]&lt;=0,L1017,CurrentMtgRatesDataTable8[[#This Row],[Servicing Spread]])</f>
        <v>0.94834769078847136</v>
      </c>
      <c r="M1018" s="16">
        <f>CurrentMtgRatesDataTable8[[#This Row],[Servicing Spread Non-Zero]]-L1017</f>
        <v>0</v>
      </c>
      <c r="N1018" s="16">
        <f>IF(J1017&lt;&gt;0,CurrentMtgRatesDataTable8[[#This Row],[Rate]]-C1017,N1017)</f>
        <v>7.0000000000000284E-2</v>
      </c>
    </row>
    <row r="1019" spans="1:14">
      <c r="A1019" s="39" t="s">
        <v>1070</v>
      </c>
      <c r="B1019" s="40">
        <v>2.6615233310635298</v>
      </c>
      <c r="C1019" s="11">
        <v>3.56</v>
      </c>
      <c r="D1019" s="16">
        <f t="shared" si="105"/>
        <v>5</v>
      </c>
      <c r="E1019" s="16">
        <f t="shared" si="106"/>
        <v>0.2</v>
      </c>
      <c r="F1019" s="16">
        <f t="shared" si="107"/>
        <v>3</v>
      </c>
      <c r="G1019" s="16">
        <f t="shared" si="108"/>
        <v>1.5914048477007361</v>
      </c>
      <c r="H1019" s="16">
        <f t="shared" si="109"/>
        <v>0.60000000000000009</v>
      </c>
      <c r="I1019" s="16">
        <f t="shared" si="110"/>
        <v>0</v>
      </c>
      <c r="J1019" s="16">
        <f t="shared" si="111"/>
        <v>0</v>
      </c>
      <c r="K1019" s="16">
        <f>IF(CurrentMtgRatesDataTable8[[#This Row],[WA CC]]&lt;&gt;0,C1018-CurrentMtgRatesDataTable8[[#This Row],[WA CC]],0)</f>
        <v>0</v>
      </c>
      <c r="L1019" s="16">
        <f>IF(CurrentMtgRatesDataTable8[[#This Row],[Servicing Spread]]&lt;=0,L1018,CurrentMtgRatesDataTable8[[#This Row],[Servicing Spread]])</f>
        <v>0.94834769078847136</v>
      </c>
      <c r="M1019" s="16">
        <f>CurrentMtgRatesDataTable8[[#This Row],[Servicing Spread Non-Zero]]-L1018</f>
        <v>0</v>
      </c>
      <c r="N1019" s="16">
        <f>IF(J1018&lt;&gt;0,CurrentMtgRatesDataTable8[[#This Row],[Rate]]-C1018,N1018)</f>
        <v>7.0000000000000284E-2</v>
      </c>
    </row>
    <row r="1020" spans="1:14">
      <c r="A1020" s="39" t="s">
        <v>1071</v>
      </c>
      <c r="B1020" s="40">
        <v>2.6761661289504999</v>
      </c>
      <c r="C1020" s="11">
        <v>3.56</v>
      </c>
      <c r="D1020" s="16">
        <f t="shared" si="105"/>
        <v>6</v>
      </c>
      <c r="E1020" s="16">
        <f t="shared" si="106"/>
        <v>0.2</v>
      </c>
      <c r="F1020" s="16">
        <f t="shared" si="107"/>
        <v>4</v>
      </c>
      <c r="G1020" s="16">
        <f t="shared" si="108"/>
        <v>2.1266380734908363</v>
      </c>
      <c r="H1020" s="16">
        <f t="shared" si="109"/>
        <v>0.8</v>
      </c>
      <c r="I1020" s="16">
        <f t="shared" si="110"/>
        <v>0</v>
      </c>
      <c r="J1020" s="16">
        <f t="shared" si="111"/>
        <v>0</v>
      </c>
      <c r="K1020" s="16">
        <f>IF(CurrentMtgRatesDataTable8[[#This Row],[WA CC]]&lt;&gt;0,C1019-CurrentMtgRatesDataTable8[[#This Row],[WA CC]],0)</f>
        <v>0</v>
      </c>
      <c r="L1020" s="16">
        <f>IF(CurrentMtgRatesDataTable8[[#This Row],[Servicing Spread]]&lt;=0,L1019,CurrentMtgRatesDataTable8[[#This Row],[Servicing Spread]])</f>
        <v>0.94834769078847136</v>
      </c>
      <c r="M1020" s="16">
        <f>CurrentMtgRatesDataTable8[[#This Row],[Servicing Spread Non-Zero]]-L1019</f>
        <v>0</v>
      </c>
      <c r="N1020" s="16">
        <f>IF(J1019&lt;&gt;0,CurrentMtgRatesDataTable8[[#This Row],[Rate]]-C1019,N1019)</f>
        <v>7.0000000000000284E-2</v>
      </c>
    </row>
    <row r="1021" spans="1:14">
      <c r="A1021" s="39" t="s">
        <v>1072</v>
      </c>
      <c r="B1021" s="40">
        <v>2.6300132369593099</v>
      </c>
      <c r="C1021" s="11">
        <v>3.56</v>
      </c>
      <c r="D1021" s="16">
        <f t="shared" si="105"/>
        <v>7</v>
      </c>
      <c r="E1021" s="16">
        <f t="shared" si="106"/>
        <v>0.2</v>
      </c>
      <c r="F1021" s="16">
        <f t="shared" si="107"/>
        <v>5</v>
      </c>
      <c r="G1021" s="16">
        <f t="shared" si="108"/>
        <v>2.6526407208826983</v>
      </c>
      <c r="H1021" s="16">
        <f t="shared" si="109"/>
        <v>1</v>
      </c>
      <c r="I1021" s="16">
        <f t="shared" si="110"/>
        <v>1</v>
      </c>
      <c r="J1021" s="16">
        <f t="shared" si="111"/>
        <v>2.6526407208826983</v>
      </c>
      <c r="K1021" s="16">
        <f>IF(CurrentMtgRatesDataTable8[[#This Row],[WA CC]]&lt;&gt;0,C1020-CurrentMtgRatesDataTable8[[#This Row],[WA CC]],0)</f>
        <v>0.90735927911730174</v>
      </c>
      <c r="L1021" s="16">
        <f>IF(CurrentMtgRatesDataTable8[[#This Row],[Servicing Spread]]&lt;=0,L1020,CurrentMtgRatesDataTable8[[#This Row],[Servicing Spread]])</f>
        <v>0.90735927911730174</v>
      </c>
      <c r="M1021" s="16">
        <f>CurrentMtgRatesDataTable8[[#This Row],[Servicing Spread Non-Zero]]-L1020</f>
        <v>-4.0988411671169622E-2</v>
      </c>
      <c r="N1021" s="16">
        <f>IF(J1020&lt;&gt;0,CurrentMtgRatesDataTable8[[#This Row],[Rate]]-C1020,N1020)</f>
        <v>7.0000000000000284E-2</v>
      </c>
    </row>
    <row r="1022" spans="1:14">
      <c r="A1022" s="39" t="s">
        <v>1073</v>
      </c>
      <c r="B1022" s="40">
        <v>2.5822903724603399</v>
      </c>
      <c r="C1022" s="11">
        <v>3.51</v>
      </c>
      <c r="D1022" s="16">
        <f t="shared" si="105"/>
        <v>1</v>
      </c>
      <c r="E1022" s="16">
        <f t="shared" si="106"/>
        <v>0.2</v>
      </c>
      <c r="F1022" s="16">
        <f t="shared" si="107"/>
        <v>1</v>
      </c>
      <c r="G1022" s="16">
        <f t="shared" si="108"/>
        <v>0.51645807449206804</v>
      </c>
      <c r="H1022" s="16">
        <f t="shared" si="109"/>
        <v>0.2</v>
      </c>
      <c r="I1022" s="16">
        <f t="shared" si="110"/>
        <v>0</v>
      </c>
      <c r="J1022" s="16">
        <f t="shared" si="111"/>
        <v>0</v>
      </c>
      <c r="K1022" s="16">
        <f>IF(CurrentMtgRatesDataTable8[[#This Row],[WA CC]]&lt;&gt;0,C1021-CurrentMtgRatesDataTable8[[#This Row],[WA CC]],0)</f>
        <v>0</v>
      </c>
      <c r="L1022" s="16">
        <f>IF(CurrentMtgRatesDataTable8[[#This Row],[Servicing Spread]]&lt;=0,L1021,CurrentMtgRatesDataTable8[[#This Row],[Servicing Spread]])</f>
        <v>0.90735927911730174</v>
      </c>
      <c r="M1022" s="16">
        <f>CurrentMtgRatesDataTable8[[#This Row],[Servicing Spread Non-Zero]]-L1021</f>
        <v>0</v>
      </c>
      <c r="N1022" s="16">
        <f>IF(J1021&lt;&gt;0,CurrentMtgRatesDataTable8[[#This Row],[Rate]]-C1021,N1021)</f>
        <v>-5.0000000000000266E-2</v>
      </c>
    </row>
    <row r="1023" spans="1:14">
      <c r="A1023" s="39" t="s">
        <v>1074</v>
      </c>
      <c r="B1023" s="40">
        <v>2.5646426996598599</v>
      </c>
      <c r="C1023" s="11">
        <v>3.51</v>
      </c>
      <c r="D1023" s="16">
        <f t="shared" si="105"/>
        <v>2</v>
      </c>
      <c r="E1023" s="16">
        <f t="shared" si="106"/>
        <v>0.2</v>
      </c>
      <c r="F1023" s="16">
        <f t="shared" si="107"/>
        <v>2</v>
      </c>
      <c r="G1023" s="16">
        <f t="shared" si="108"/>
        <v>1.02938661442404</v>
      </c>
      <c r="H1023" s="16">
        <f t="shared" si="109"/>
        <v>0.4</v>
      </c>
      <c r="I1023" s="16">
        <f t="shared" si="110"/>
        <v>0</v>
      </c>
      <c r="J1023" s="16">
        <f t="shared" si="111"/>
        <v>0</v>
      </c>
      <c r="K1023" s="16">
        <f>IF(CurrentMtgRatesDataTable8[[#This Row],[WA CC]]&lt;&gt;0,C1022-CurrentMtgRatesDataTable8[[#This Row],[WA CC]],0)</f>
        <v>0</v>
      </c>
      <c r="L1023" s="16">
        <f>IF(CurrentMtgRatesDataTable8[[#This Row],[Servicing Spread]]&lt;=0,L1022,CurrentMtgRatesDataTable8[[#This Row],[Servicing Spread]])</f>
        <v>0.90735927911730174</v>
      </c>
      <c r="M1023" s="16">
        <f>CurrentMtgRatesDataTable8[[#This Row],[Servicing Spread Non-Zero]]-L1022</f>
        <v>0</v>
      </c>
      <c r="N1023" s="16">
        <f>IF(J1022&lt;&gt;0,CurrentMtgRatesDataTable8[[#This Row],[Rate]]-C1022,N1022)</f>
        <v>-5.0000000000000266E-2</v>
      </c>
    </row>
    <row r="1024" spans="1:14">
      <c r="A1024" s="39" t="s">
        <v>1075</v>
      </c>
      <c r="B1024" s="40">
        <v>2.6083213948699102</v>
      </c>
      <c r="C1024" s="11">
        <v>3.51</v>
      </c>
      <c r="D1024" s="16">
        <f t="shared" si="105"/>
        <v>5</v>
      </c>
      <c r="E1024" s="16">
        <f t="shared" si="106"/>
        <v>0.2</v>
      </c>
      <c r="F1024" s="16">
        <f t="shared" si="107"/>
        <v>3</v>
      </c>
      <c r="G1024" s="16">
        <f t="shared" si="108"/>
        <v>1.551050893398022</v>
      </c>
      <c r="H1024" s="16">
        <f t="shared" si="109"/>
        <v>0.60000000000000009</v>
      </c>
      <c r="I1024" s="16">
        <f t="shared" si="110"/>
        <v>0</v>
      </c>
      <c r="J1024" s="16">
        <f t="shared" si="111"/>
        <v>0</v>
      </c>
      <c r="K1024" s="16">
        <f>IF(CurrentMtgRatesDataTable8[[#This Row],[WA CC]]&lt;&gt;0,C1023-CurrentMtgRatesDataTable8[[#This Row],[WA CC]],0)</f>
        <v>0</v>
      </c>
      <c r="L1024" s="16">
        <f>IF(CurrentMtgRatesDataTable8[[#This Row],[Servicing Spread]]&lt;=0,L1023,CurrentMtgRatesDataTable8[[#This Row],[Servicing Spread]])</f>
        <v>0.90735927911730174</v>
      </c>
      <c r="M1024" s="16">
        <f>CurrentMtgRatesDataTable8[[#This Row],[Servicing Spread Non-Zero]]-L1023</f>
        <v>0</v>
      </c>
      <c r="N1024" s="16">
        <f>IF(J1023&lt;&gt;0,CurrentMtgRatesDataTable8[[#This Row],[Rate]]-C1023,N1023)</f>
        <v>-5.0000000000000266E-2</v>
      </c>
    </row>
    <row r="1025" spans="1:14">
      <c r="A1025" s="39" t="s">
        <v>1076</v>
      </c>
      <c r="B1025" s="40">
        <v>2.5475265739167301</v>
      </c>
      <c r="C1025" s="11">
        <v>3.51</v>
      </c>
      <c r="D1025" s="16">
        <f t="shared" si="105"/>
        <v>6</v>
      </c>
      <c r="E1025" s="16">
        <f t="shared" si="106"/>
        <v>0.2</v>
      </c>
      <c r="F1025" s="16">
        <f t="shared" si="107"/>
        <v>4</v>
      </c>
      <c r="G1025" s="16">
        <f t="shared" si="108"/>
        <v>2.0605562081813682</v>
      </c>
      <c r="H1025" s="16">
        <f t="shared" si="109"/>
        <v>0.8</v>
      </c>
      <c r="I1025" s="16">
        <f t="shared" si="110"/>
        <v>0</v>
      </c>
      <c r="J1025" s="16">
        <f t="shared" si="111"/>
        <v>0</v>
      </c>
      <c r="K1025" s="16">
        <f>IF(CurrentMtgRatesDataTable8[[#This Row],[WA CC]]&lt;&gt;0,C1024-CurrentMtgRatesDataTable8[[#This Row],[WA CC]],0)</f>
        <v>0</v>
      </c>
      <c r="L1025" s="16">
        <f>IF(CurrentMtgRatesDataTable8[[#This Row],[Servicing Spread]]&lt;=0,L1024,CurrentMtgRatesDataTable8[[#This Row],[Servicing Spread]])</f>
        <v>0.90735927911730174</v>
      </c>
      <c r="M1025" s="16">
        <f>CurrentMtgRatesDataTable8[[#This Row],[Servicing Spread Non-Zero]]-L1024</f>
        <v>0</v>
      </c>
      <c r="N1025" s="16">
        <f>IF(J1024&lt;&gt;0,CurrentMtgRatesDataTable8[[#This Row],[Rate]]-C1024,N1024)</f>
        <v>-5.0000000000000266E-2</v>
      </c>
    </row>
    <row r="1026" spans="1:14">
      <c r="A1026" s="39" t="s">
        <v>1077</v>
      </c>
      <c r="B1026" s="40">
        <v>2.55214527077672</v>
      </c>
      <c r="C1026" s="11">
        <v>3.51</v>
      </c>
      <c r="D1026" s="16">
        <f t="shared" si="105"/>
        <v>7</v>
      </c>
      <c r="E1026" s="16">
        <f t="shared" si="106"/>
        <v>0.2</v>
      </c>
      <c r="F1026" s="16">
        <f t="shared" si="107"/>
        <v>5</v>
      </c>
      <c r="G1026" s="16">
        <f t="shared" si="108"/>
        <v>2.5709852623367122</v>
      </c>
      <c r="H1026" s="16">
        <f t="shared" si="109"/>
        <v>1</v>
      </c>
      <c r="I1026" s="16">
        <f t="shared" si="110"/>
        <v>1</v>
      </c>
      <c r="J1026" s="16">
        <f t="shared" si="111"/>
        <v>2.5709852623367122</v>
      </c>
      <c r="K1026" s="16">
        <f>IF(CurrentMtgRatesDataTable8[[#This Row],[WA CC]]&lt;&gt;0,C1025-CurrentMtgRatesDataTable8[[#This Row],[WA CC]],0)</f>
        <v>0.93901473766328758</v>
      </c>
      <c r="L1026" s="16">
        <f>IF(CurrentMtgRatesDataTable8[[#This Row],[Servicing Spread]]&lt;=0,L1025,CurrentMtgRatesDataTable8[[#This Row],[Servicing Spread]])</f>
        <v>0.93901473766328758</v>
      </c>
      <c r="M1026" s="16">
        <f>CurrentMtgRatesDataTable8[[#This Row],[Servicing Spread Non-Zero]]-L1025</f>
        <v>3.1655458545985837E-2</v>
      </c>
      <c r="N1026" s="16">
        <f>IF(J1025&lt;&gt;0,CurrentMtgRatesDataTable8[[#This Row],[Rate]]-C1025,N1025)</f>
        <v>-5.0000000000000266E-2</v>
      </c>
    </row>
    <row r="1027" spans="1:14">
      <c r="A1027" s="39" t="s">
        <v>1078</v>
      </c>
      <c r="B1027" s="40">
        <v>2.5164663859594998</v>
      </c>
      <c r="C1027" s="11">
        <v>3.4449999999999998</v>
      </c>
      <c r="D1027" s="16">
        <f t="shared" si="105"/>
        <v>1</v>
      </c>
      <c r="E1027" s="16">
        <f t="shared" si="106"/>
        <v>0.2</v>
      </c>
      <c r="F1027" s="16">
        <f t="shared" si="107"/>
        <v>1</v>
      </c>
      <c r="G1027" s="16">
        <f t="shared" si="108"/>
        <v>0.50329327719189998</v>
      </c>
      <c r="H1027" s="16">
        <f t="shared" si="109"/>
        <v>0.2</v>
      </c>
      <c r="I1027" s="16">
        <f t="shared" si="110"/>
        <v>0</v>
      </c>
      <c r="J1027" s="16">
        <f t="shared" si="111"/>
        <v>0</v>
      </c>
      <c r="K1027" s="16">
        <f>IF(CurrentMtgRatesDataTable8[[#This Row],[WA CC]]&lt;&gt;0,C1026-CurrentMtgRatesDataTable8[[#This Row],[WA CC]],0)</f>
        <v>0</v>
      </c>
      <c r="L1027" s="16">
        <f>IF(CurrentMtgRatesDataTable8[[#This Row],[Servicing Spread]]&lt;=0,L1026,CurrentMtgRatesDataTable8[[#This Row],[Servicing Spread]])</f>
        <v>0.93901473766328758</v>
      </c>
      <c r="M1027" s="16">
        <f>CurrentMtgRatesDataTable8[[#This Row],[Servicing Spread Non-Zero]]-L1026</f>
        <v>0</v>
      </c>
      <c r="N1027" s="16">
        <f>IF(J1026&lt;&gt;0,CurrentMtgRatesDataTable8[[#This Row],[Rate]]-C1026,N1026)</f>
        <v>-6.4999999999999947E-2</v>
      </c>
    </row>
    <row r="1028" spans="1:14">
      <c r="A1028" s="39" t="s">
        <v>1079</v>
      </c>
      <c r="B1028" s="40">
        <v>2.5169224725100698</v>
      </c>
      <c r="C1028" s="11">
        <v>3.4449999999999998</v>
      </c>
      <c r="D1028" s="16">
        <f t="shared" si="105"/>
        <v>2</v>
      </c>
      <c r="E1028" s="16">
        <f t="shared" si="106"/>
        <v>0.2</v>
      </c>
      <c r="F1028" s="16">
        <f t="shared" si="107"/>
        <v>2</v>
      </c>
      <c r="G1028" s="16">
        <f t="shared" si="108"/>
        <v>1.0066777716939139</v>
      </c>
      <c r="H1028" s="16">
        <f t="shared" si="109"/>
        <v>0.4</v>
      </c>
      <c r="I1028" s="16">
        <f t="shared" si="110"/>
        <v>0</v>
      </c>
      <c r="J1028" s="16">
        <f t="shared" si="111"/>
        <v>0</v>
      </c>
      <c r="K1028" s="16">
        <f>IF(CurrentMtgRatesDataTable8[[#This Row],[WA CC]]&lt;&gt;0,C1027-CurrentMtgRatesDataTable8[[#This Row],[WA CC]],0)</f>
        <v>0</v>
      </c>
      <c r="L1028" s="16">
        <f>IF(CurrentMtgRatesDataTable8[[#This Row],[Servicing Spread]]&lt;=0,L1027,CurrentMtgRatesDataTable8[[#This Row],[Servicing Spread]])</f>
        <v>0.93901473766328758</v>
      </c>
      <c r="M1028" s="16">
        <f>CurrentMtgRatesDataTable8[[#This Row],[Servicing Spread Non-Zero]]-L1027</f>
        <v>0</v>
      </c>
      <c r="N1028" s="16">
        <f>IF(J1027&lt;&gt;0,CurrentMtgRatesDataTable8[[#This Row],[Rate]]-C1027,N1027)</f>
        <v>-6.4999999999999947E-2</v>
      </c>
    </row>
    <row r="1029" spans="1:14">
      <c r="A1029" s="39" t="s">
        <v>1080</v>
      </c>
      <c r="B1029" s="40">
        <v>2.5026837288081998</v>
      </c>
      <c r="C1029" s="11">
        <v>3.4449999999999998</v>
      </c>
      <c r="D1029" s="16">
        <f t="shared" ref="D1029:D1092" si="112">WEEKDAY(A1029,14)</f>
        <v>5</v>
      </c>
      <c r="E1029" s="16">
        <f t="shared" ref="E1029:E1092" si="113">VLOOKUP(D1029,Q$5:R$11,2,FALSE)</f>
        <v>0.2</v>
      </c>
      <c r="F1029" s="16">
        <f t="shared" ref="F1029:F1092" si="114">IF(AND(D1029&gt;D1028,F1028&lt;6),F1028+1,1)</f>
        <v>3</v>
      </c>
      <c r="G1029" s="16">
        <f t="shared" ref="G1029:G1092" si="115">IF(F1029&gt;F1028,G1028+B1029*E1029,B1029*E1029)</f>
        <v>1.5072145174555538</v>
      </c>
      <c r="H1029" s="16">
        <f t="shared" ref="H1029:H1092" si="116">IF(AND(F1029&lt;6,F1029&gt;F1028),E1029+H1028,E1029)</f>
        <v>0.60000000000000009</v>
      </c>
      <c r="I1029" s="16">
        <f t="shared" ref="I1029:I1092" si="117">IF(F1029&gt;F1030,1,0)</f>
        <v>0</v>
      </c>
      <c r="J1029" s="16">
        <f t="shared" ref="J1029:J1092" si="118">IF(F1029&gt;F1030,G1029/H1029,0)</f>
        <v>0</v>
      </c>
      <c r="K1029" s="16">
        <f>IF(CurrentMtgRatesDataTable8[[#This Row],[WA CC]]&lt;&gt;0,C1028-CurrentMtgRatesDataTable8[[#This Row],[WA CC]],0)</f>
        <v>0</v>
      </c>
      <c r="L1029" s="16">
        <f>IF(CurrentMtgRatesDataTable8[[#This Row],[Servicing Spread]]&lt;=0,L1028,CurrentMtgRatesDataTable8[[#This Row],[Servicing Spread]])</f>
        <v>0.93901473766328758</v>
      </c>
      <c r="M1029" s="16">
        <f>CurrentMtgRatesDataTable8[[#This Row],[Servicing Spread Non-Zero]]-L1028</f>
        <v>0</v>
      </c>
      <c r="N1029" s="16">
        <f>IF(J1028&lt;&gt;0,CurrentMtgRatesDataTable8[[#This Row],[Rate]]-C1028,N1028)</f>
        <v>-6.4999999999999947E-2</v>
      </c>
    </row>
    <row r="1030" spans="1:14">
      <c r="A1030" s="39" t="s">
        <v>1081</v>
      </c>
      <c r="B1030" s="40">
        <v>2.5182072919323999</v>
      </c>
      <c r="C1030" s="11">
        <v>3.4449999999999998</v>
      </c>
      <c r="D1030" s="16">
        <f t="shared" si="112"/>
        <v>6</v>
      </c>
      <c r="E1030" s="16">
        <f t="shared" si="113"/>
        <v>0.2</v>
      </c>
      <c r="F1030" s="16">
        <f t="shared" si="114"/>
        <v>4</v>
      </c>
      <c r="G1030" s="16">
        <f t="shared" si="115"/>
        <v>2.0108559758420337</v>
      </c>
      <c r="H1030" s="16">
        <f t="shared" si="116"/>
        <v>0.8</v>
      </c>
      <c r="I1030" s="16">
        <f t="shared" si="117"/>
        <v>0</v>
      </c>
      <c r="J1030" s="16">
        <f t="shared" si="118"/>
        <v>0</v>
      </c>
      <c r="K1030" s="16">
        <f>IF(CurrentMtgRatesDataTable8[[#This Row],[WA CC]]&lt;&gt;0,C1029-CurrentMtgRatesDataTable8[[#This Row],[WA CC]],0)</f>
        <v>0</v>
      </c>
      <c r="L1030" s="16">
        <f>IF(CurrentMtgRatesDataTable8[[#This Row],[Servicing Spread]]&lt;=0,L1029,CurrentMtgRatesDataTable8[[#This Row],[Servicing Spread]])</f>
        <v>0.93901473766328758</v>
      </c>
      <c r="M1030" s="16">
        <f>CurrentMtgRatesDataTable8[[#This Row],[Servicing Spread Non-Zero]]-L1029</f>
        <v>0</v>
      </c>
      <c r="N1030" s="16">
        <f>IF(J1029&lt;&gt;0,CurrentMtgRatesDataTable8[[#This Row],[Rate]]-C1029,N1029)</f>
        <v>-6.4999999999999947E-2</v>
      </c>
    </row>
    <row r="1031" spans="1:14">
      <c r="A1031" s="39" t="s">
        <v>1082</v>
      </c>
      <c r="B1031" s="40">
        <v>2.5137546946134099</v>
      </c>
      <c r="C1031" s="11">
        <v>3.4449999999999998</v>
      </c>
      <c r="D1031" s="16">
        <f t="shared" si="112"/>
        <v>7</v>
      </c>
      <c r="E1031" s="16">
        <f t="shared" si="113"/>
        <v>0.2</v>
      </c>
      <c r="F1031" s="16">
        <f t="shared" si="114"/>
        <v>5</v>
      </c>
      <c r="G1031" s="16">
        <f t="shared" si="115"/>
        <v>2.5136069147647158</v>
      </c>
      <c r="H1031" s="16">
        <f t="shared" si="116"/>
        <v>1</v>
      </c>
      <c r="I1031" s="16">
        <f t="shared" si="117"/>
        <v>1</v>
      </c>
      <c r="J1031" s="16">
        <f t="shared" si="118"/>
        <v>2.5136069147647158</v>
      </c>
      <c r="K1031" s="16">
        <f>IF(CurrentMtgRatesDataTable8[[#This Row],[WA CC]]&lt;&gt;0,C1030-CurrentMtgRatesDataTable8[[#This Row],[WA CC]],0)</f>
        <v>0.93139308523528408</v>
      </c>
      <c r="L1031" s="16">
        <f>IF(CurrentMtgRatesDataTable8[[#This Row],[Servicing Spread]]&lt;=0,L1030,CurrentMtgRatesDataTable8[[#This Row],[Servicing Spread]])</f>
        <v>0.93139308523528408</v>
      </c>
      <c r="M1031" s="16">
        <f>CurrentMtgRatesDataTable8[[#This Row],[Servicing Spread Non-Zero]]-L1030</f>
        <v>-7.6216524280035003E-3</v>
      </c>
      <c r="N1031" s="16">
        <f>IF(J1030&lt;&gt;0,CurrentMtgRatesDataTable8[[#This Row],[Rate]]-C1030,N1030)</f>
        <v>-6.4999999999999947E-2</v>
      </c>
    </row>
    <row r="1032" spans="1:14">
      <c r="A1032" s="39" t="s">
        <v>1083</v>
      </c>
      <c r="B1032" s="40">
        <v>2.5257961096675898</v>
      </c>
      <c r="C1032" s="11">
        <v>3.48</v>
      </c>
      <c r="D1032" s="16">
        <f t="shared" si="112"/>
        <v>1</v>
      </c>
      <c r="E1032" s="16">
        <f t="shared" si="113"/>
        <v>0.2</v>
      </c>
      <c r="F1032" s="16">
        <f t="shared" si="114"/>
        <v>1</v>
      </c>
      <c r="G1032" s="16">
        <f t="shared" si="115"/>
        <v>0.50515922193351803</v>
      </c>
      <c r="H1032" s="16">
        <f t="shared" si="116"/>
        <v>0.2</v>
      </c>
      <c r="I1032" s="16">
        <f t="shared" si="117"/>
        <v>0</v>
      </c>
      <c r="J1032" s="16">
        <f t="shared" si="118"/>
        <v>0</v>
      </c>
      <c r="K1032" s="16">
        <f>IF(CurrentMtgRatesDataTable8[[#This Row],[WA CC]]&lt;&gt;0,C1031-CurrentMtgRatesDataTable8[[#This Row],[WA CC]],0)</f>
        <v>0</v>
      </c>
      <c r="L1032" s="16">
        <f>IF(CurrentMtgRatesDataTable8[[#This Row],[Servicing Spread]]&lt;=0,L1031,CurrentMtgRatesDataTable8[[#This Row],[Servicing Spread]])</f>
        <v>0.93139308523528408</v>
      </c>
      <c r="M1032" s="16">
        <f>CurrentMtgRatesDataTable8[[#This Row],[Servicing Spread Non-Zero]]-L1031</f>
        <v>0</v>
      </c>
      <c r="N1032" s="16">
        <f>IF(J1031&lt;&gt;0,CurrentMtgRatesDataTable8[[#This Row],[Rate]]-C1031,N1031)</f>
        <v>3.5000000000000142E-2</v>
      </c>
    </row>
    <row r="1033" spans="1:14">
      <c r="A1033" s="39" t="s">
        <v>1084</v>
      </c>
      <c r="B1033" s="40">
        <v>2.4834878565514402</v>
      </c>
      <c r="C1033" s="11">
        <v>3.48</v>
      </c>
      <c r="D1033" s="16">
        <f t="shared" si="112"/>
        <v>2</v>
      </c>
      <c r="E1033" s="16">
        <f t="shared" si="113"/>
        <v>0.2</v>
      </c>
      <c r="F1033" s="16">
        <f t="shared" si="114"/>
        <v>2</v>
      </c>
      <c r="G1033" s="16">
        <f t="shared" si="115"/>
        <v>1.0018567932438061</v>
      </c>
      <c r="H1033" s="16">
        <f t="shared" si="116"/>
        <v>0.4</v>
      </c>
      <c r="I1033" s="16">
        <f t="shared" si="117"/>
        <v>0</v>
      </c>
      <c r="J1033" s="16">
        <f t="shared" si="118"/>
        <v>0</v>
      </c>
      <c r="K1033" s="16">
        <f>IF(CurrentMtgRatesDataTable8[[#This Row],[WA CC]]&lt;&gt;0,C1032-CurrentMtgRatesDataTable8[[#This Row],[WA CC]],0)</f>
        <v>0</v>
      </c>
      <c r="L1033" s="16">
        <f>IF(CurrentMtgRatesDataTable8[[#This Row],[Servicing Spread]]&lt;=0,L1032,CurrentMtgRatesDataTable8[[#This Row],[Servicing Spread]])</f>
        <v>0.93139308523528408</v>
      </c>
      <c r="M1033" s="16">
        <f>CurrentMtgRatesDataTable8[[#This Row],[Servicing Spread Non-Zero]]-L1032</f>
        <v>0</v>
      </c>
      <c r="N1033" s="16">
        <f>IF(J1032&lt;&gt;0,CurrentMtgRatesDataTable8[[#This Row],[Rate]]-C1032,N1032)</f>
        <v>3.5000000000000142E-2</v>
      </c>
    </row>
    <row r="1034" spans="1:14">
      <c r="A1034" s="39" t="s">
        <v>1085</v>
      </c>
      <c r="B1034" s="40">
        <v>2.5243153261906799</v>
      </c>
      <c r="C1034" s="11">
        <v>3.48</v>
      </c>
      <c r="D1034" s="16">
        <f t="shared" si="112"/>
        <v>5</v>
      </c>
      <c r="E1034" s="16">
        <f t="shared" si="113"/>
        <v>0.2</v>
      </c>
      <c r="F1034" s="16">
        <f t="shared" si="114"/>
        <v>3</v>
      </c>
      <c r="G1034" s="16">
        <f t="shared" si="115"/>
        <v>1.5067198584819419</v>
      </c>
      <c r="H1034" s="16">
        <f t="shared" si="116"/>
        <v>0.60000000000000009</v>
      </c>
      <c r="I1034" s="16">
        <f t="shared" si="117"/>
        <v>0</v>
      </c>
      <c r="J1034" s="16">
        <f t="shared" si="118"/>
        <v>0</v>
      </c>
      <c r="K1034" s="16">
        <f>IF(CurrentMtgRatesDataTable8[[#This Row],[WA CC]]&lt;&gt;0,C1033-CurrentMtgRatesDataTable8[[#This Row],[WA CC]],0)</f>
        <v>0</v>
      </c>
      <c r="L1034" s="16">
        <f>IF(CurrentMtgRatesDataTable8[[#This Row],[Servicing Spread]]&lt;=0,L1033,CurrentMtgRatesDataTable8[[#This Row],[Servicing Spread]])</f>
        <v>0.93139308523528408</v>
      </c>
      <c r="M1034" s="16">
        <f>CurrentMtgRatesDataTable8[[#This Row],[Servicing Spread Non-Zero]]-L1033</f>
        <v>0</v>
      </c>
      <c r="N1034" s="16">
        <f>IF(J1033&lt;&gt;0,CurrentMtgRatesDataTable8[[#This Row],[Rate]]-C1033,N1033)</f>
        <v>3.5000000000000142E-2</v>
      </c>
    </row>
    <row r="1035" spans="1:14">
      <c r="A1035" s="39" t="s">
        <v>1086</v>
      </c>
      <c r="B1035" s="40">
        <v>2.5507411556917998</v>
      </c>
      <c r="C1035" s="11">
        <v>3.48</v>
      </c>
      <c r="D1035" s="16">
        <f t="shared" si="112"/>
        <v>6</v>
      </c>
      <c r="E1035" s="16">
        <f t="shared" si="113"/>
        <v>0.2</v>
      </c>
      <c r="F1035" s="16">
        <f t="shared" si="114"/>
        <v>4</v>
      </c>
      <c r="G1035" s="16">
        <f t="shared" si="115"/>
        <v>2.016868089620302</v>
      </c>
      <c r="H1035" s="16">
        <f t="shared" si="116"/>
        <v>0.8</v>
      </c>
      <c r="I1035" s="16">
        <f t="shared" si="117"/>
        <v>0</v>
      </c>
      <c r="J1035" s="16">
        <f t="shared" si="118"/>
        <v>0</v>
      </c>
      <c r="K1035" s="16">
        <f>IF(CurrentMtgRatesDataTable8[[#This Row],[WA CC]]&lt;&gt;0,C1034-CurrentMtgRatesDataTable8[[#This Row],[WA CC]],0)</f>
        <v>0</v>
      </c>
      <c r="L1035" s="16">
        <f>IF(CurrentMtgRatesDataTable8[[#This Row],[Servicing Spread]]&lt;=0,L1034,CurrentMtgRatesDataTable8[[#This Row],[Servicing Spread]])</f>
        <v>0.93139308523528408</v>
      </c>
      <c r="M1035" s="16">
        <f>CurrentMtgRatesDataTable8[[#This Row],[Servicing Spread Non-Zero]]-L1034</f>
        <v>0</v>
      </c>
      <c r="N1035" s="16">
        <f>IF(J1034&lt;&gt;0,CurrentMtgRatesDataTable8[[#This Row],[Rate]]-C1034,N1034)</f>
        <v>3.5000000000000142E-2</v>
      </c>
    </row>
    <row r="1036" spans="1:14">
      <c r="A1036" s="39" t="s">
        <v>1087</v>
      </c>
      <c r="B1036" s="40">
        <v>2.6588027556734102</v>
      </c>
      <c r="C1036" s="11">
        <v>3.48</v>
      </c>
      <c r="D1036" s="16">
        <f t="shared" si="112"/>
        <v>7</v>
      </c>
      <c r="E1036" s="16">
        <f t="shared" si="113"/>
        <v>0.2</v>
      </c>
      <c r="F1036" s="16">
        <f t="shared" si="114"/>
        <v>5</v>
      </c>
      <c r="G1036" s="16">
        <f t="shared" si="115"/>
        <v>2.5486286407549841</v>
      </c>
      <c r="H1036" s="16">
        <f t="shared" si="116"/>
        <v>1</v>
      </c>
      <c r="I1036" s="16">
        <f t="shared" si="117"/>
        <v>1</v>
      </c>
      <c r="J1036" s="16">
        <f t="shared" si="118"/>
        <v>2.5486286407549841</v>
      </c>
      <c r="K1036" s="16">
        <f>IF(CurrentMtgRatesDataTable8[[#This Row],[WA CC]]&lt;&gt;0,C1035-CurrentMtgRatesDataTable8[[#This Row],[WA CC]],0)</f>
        <v>0.93137135924501591</v>
      </c>
      <c r="L1036" s="16">
        <f>IF(CurrentMtgRatesDataTable8[[#This Row],[Servicing Spread]]&lt;=0,L1035,CurrentMtgRatesDataTable8[[#This Row],[Servicing Spread]])</f>
        <v>0.93137135924501591</v>
      </c>
      <c r="M1036" s="16">
        <f>CurrentMtgRatesDataTable8[[#This Row],[Servicing Spread Non-Zero]]-L1035</f>
        <v>-2.1725990268173234E-5</v>
      </c>
      <c r="N1036" s="16">
        <f>IF(J1035&lt;&gt;0,CurrentMtgRatesDataTable8[[#This Row],[Rate]]-C1035,N1035)</f>
        <v>3.5000000000000142E-2</v>
      </c>
    </row>
    <row r="1037" spans="1:14">
      <c r="A1037" s="39" t="s">
        <v>1088</v>
      </c>
      <c r="B1037" s="40">
        <v>2.61087975726997</v>
      </c>
      <c r="C1037" s="11">
        <v>3.5150000000000001</v>
      </c>
      <c r="D1037" s="16">
        <f t="shared" si="112"/>
        <v>1</v>
      </c>
      <c r="E1037" s="16">
        <f t="shared" si="113"/>
        <v>0.2</v>
      </c>
      <c r="F1037" s="16">
        <f t="shared" si="114"/>
        <v>1</v>
      </c>
      <c r="G1037" s="16">
        <f t="shared" si="115"/>
        <v>0.52217595145399398</v>
      </c>
      <c r="H1037" s="16">
        <f t="shared" si="116"/>
        <v>0.2</v>
      </c>
      <c r="I1037" s="16">
        <f t="shared" si="117"/>
        <v>0</v>
      </c>
      <c r="J1037" s="16">
        <f t="shared" si="118"/>
        <v>0</v>
      </c>
      <c r="K1037" s="16">
        <f>IF(CurrentMtgRatesDataTable8[[#This Row],[WA CC]]&lt;&gt;0,C1036-CurrentMtgRatesDataTable8[[#This Row],[WA CC]],0)</f>
        <v>0</v>
      </c>
      <c r="L1037" s="16">
        <f>IF(CurrentMtgRatesDataTable8[[#This Row],[Servicing Spread]]&lt;=0,L1036,CurrentMtgRatesDataTable8[[#This Row],[Servicing Spread]])</f>
        <v>0.93137135924501591</v>
      </c>
      <c r="M1037" s="16">
        <f>CurrentMtgRatesDataTable8[[#This Row],[Servicing Spread Non-Zero]]-L1036</f>
        <v>0</v>
      </c>
      <c r="N1037" s="16">
        <f>IF(J1036&lt;&gt;0,CurrentMtgRatesDataTable8[[#This Row],[Rate]]-C1036,N1036)</f>
        <v>3.5000000000000142E-2</v>
      </c>
    </row>
    <row r="1038" spans="1:14">
      <c r="A1038" s="39" t="s">
        <v>1089</v>
      </c>
      <c r="B1038" s="40">
        <v>2.6144990771795702</v>
      </c>
      <c r="C1038" s="11">
        <v>3.5150000000000001</v>
      </c>
      <c r="D1038" s="16">
        <f t="shared" si="112"/>
        <v>2</v>
      </c>
      <c r="E1038" s="16">
        <f t="shared" si="113"/>
        <v>0.2</v>
      </c>
      <c r="F1038" s="16">
        <f t="shared" si="114"/>
        <v>2</v>
      </c>
      <c r="G1038" s="16">
        <f t="shared" si="115"/>
        <v>1.045075766889908</v>
      </c>
      <c r="H1038" s="16">
        <f t="shared" si="116"/>
        <v>0.4</v>
      </c>
      <c r="I1038" s="16">
        <f t="shared" si="117"/>
        <v>0</v>
      </c>
      <c r="J1038" s="16">
        <f t="shared" si="118"/>
        <v>0</v>
      </c>
      <c r="K1038" s="16">
        <f>IF(CurrentMtgRatesDataTable8[[#This Row],[WA CC]]&lt;&gt;0,C1037-CurrentMtgRatesDataTable8[[#This Row],[WA CC]],0)</f>
        <v>0</v>
      </c>
      <c r="L1038" s="16">
        <f>IF(CurrentMtgRatesDataTable8[[#This Row],[Servicing Spread]]&lt;=0,L1037,CurrentMtgRatesDataTable8[[#This Row],[Servicing Spread]])</f>
        <v>0.93137135924501591</v>
      </c>
      <c r="M1038" s="16">
        <f>CurrentMtgRatesDataTable8[[#This Row],[Servicing Spread Non-Zero]]-L1037</f>
        <v>0</v>
      </c>
      <c r="N1038" s="16">
        <f>IF(J1037&lt;&gt;0,CurrentMtgRatesDataTable8[[#This Row],[Rate]]-C1037,N1037)</f>
        <v>3.5000000000000142E-2</v>
      </c>
    </row>
    <row r="1039" spans="1:14">
      <c r="A1039" s="39" t="s">
        <v>1090</v>
      </c>
      <c r="B1039" s="40">
        <v>2.6073788484172402</v>
      </c>
      <c r="C1039" s="11">
        <v>3.5150000000000001</v>
      </c>
      <c r="D1039" s="16">
        <f t="shared" si="112"/>
        <v>5</v>
      </c>
      <c r="E1039" s="16">
        <f t="shared" si="113"/>
        <v>0.2</v>
      </c>
      <c r="F1039" s="16">
        <f t="shared" si="114"/>
        <v>3</v>
      </c>
      <c r="G1039" s="16">
        <f t="shared" si="115"/>
        <v>1.566551536573356</v>
      </c>
      <c r="H1039" s="16">
        <f t="shared" si="116"/>
        <v>0.60000000000000009</v>
      </c>
      <c r="I1039" s="16">
        <f t="shared" si="117"/>
        <v>0</v>
      </c>
      <c r="J1039" s="16">
        <f t="shared" si="118"/>
        <v>0</v>
      </c>
      <c r="K1039" s="16">
        <f>IF(CurrentMtgRatesDataTable8[[#This Row],[WA CC]]&lt;&gt;0,C1038-CurrentMtgRatesDataTable8[[#This Row],[WA CC]],0)</f>
        <v>0</v>
      </c>
      <c r="L1039" s="16">
        <f>IF(CurrentMtgRatesDataTable8[[#This Row],[Servicing Spread]]&lt;=0,L1038,CurrentMtgRatesDataTable8[[#This Row],[Servicing Spread]])</f>
        <v>0.93137135924501591</v>
      </c>
      <c r="M1039" s="16">
        <f>CurrentMtgRatesDataTable8[[#This Row],[Servicing Spread Non-Zero]]-L1038</f>
        <v>0</v>
      </c>
      <c r="N1039" s="16">
        <f>IF(J1038&lt;&gt;0,CurrentMtgRatesDataTable8[[#This Row],[Rate]]-C1038,N1038)</f>
        <v>3.5000000000000142E-2</v>
      </c>
    </row>
    <row r="1040" spans="1:14">
      <c r="A1040" s="39" t="s">
        <v>1091</v>
      </c>
      <c r="B1040" s="40">
        <v>2.6240146186215201</v>
      </c>
      <c r="C1040" s="11">
        <v>3.5150000000000001</v>
      </c>
      <c r="D1040" s="16">
        <f t="shared" si="112"/>
        <v>6</v>
      </c>
      <c r="E1040" s="16">
        <f t="shared" si="113"/>
        <v>0.2</v>
      </c>
      <c r="F1040" s="16">
        <f t="shared" si="114"/>
        <v>4</v>
      </c>
      <c r="G1040" s="16">
        <f t="shared" si="115"/>
        <v>2.0913544602976599</v>
      </c>
      <c r="H1040" s="16">
        <f t="shared" si="116"/>
        <v>0.8</v>
      </c>
      <c r="I1040" s="16">
        <f t="shared" si="117"/>
        <v>0</v>
      </c>
      <c r="J1040" s="16">
        <f t="shared" si="118"/>
        <v>0</v>
      </c>
      <c r="K1040" s="16">
        <f>IF(CurrentMtgRatesDataTable8[[#This Row],[WA CC]]&lt;&gt;0,C1039-CurrentMtgRatesDataTable8[[#This Row],[WA CC]],0)</f>
        <v>0</v>
      </c>
      <c r="L1040" s="16">
        <f>IF(CurrentMtgRatesDataTable8[[#This Row],[Servicing Spread]]&lt;=0,L1039,CurrentMtgRatesDataTable8[[#This Row],[Servicing Spread]])</f>
        <v>0.93137135924501591</v>
      </c>
      <c r="M1040" s="16">
        <f>CurrentMtgRatesDataTable8[[#This Row],[Servicing Spread Non-Zero]]-L1039</f>
        <v>0</v>
      </c>
      <c r="N1040" s="16">
        <f>IF(J1039&lt;&gt;0,CurrentMtgRatesDataTable8[[#This Row],[Rate]]-C1039,N1039)</f>
        <v>3.5000000000000142E-2</v>
      </c>
    </row>
    <row r="1041" spans="1:14">
      <c r="A1041" s="39" t="s">
        <v>1092</v>
      </c>
      <c r="B1041" s="40">
        <v>2.6451164330337602</v>
      </c>
      <c r="C1041" s="11">
        <v>3.5150000000000001</v>
      </c>
      <c r="D1041" s="16">
        <f t="shared" si="112"/>
        <v>7</v>
      </c>
      <c r="E1041" s="16">
        <f t="shared" si="113"/>
        <v>0.2</v>
      </c>
      <c r="F1041" s="16">
        <f t="shared" si="114"/>
        <v>5</v>
      </c>
      <c r="G1041" s="16">
        <f t="shared" si="115"/>
        <v>2.6203777469044121</v>
      </c>
      <c r="H1041" s="16">
        <f t="shared" si="116"/>
        <v>1</v>
      </c>
      <c r="I1041" s="16">
        <f t="shared" si="117"/>
        <v>1</v>
      </c>
      <c r="J1041" s="16">
        <f t="shared" si="118"/>
        <v>2.6203777469044121</v>
      </c>
      <c r="K1041" s="16">
        <f>IF(CurrentMtgRatesDataTable8[[#This Row],[WA CC]]&lt;&gt;0,C1040-CurrentMtgRatesDataTable8[[#This Row],[WA CC]],0)</f>
        <v>0.89462225309558807</v>
      </c>
      <c r="L1041" s="16">
        <f>IF(CurrentMtgRatesDataTable8[[#This Row],[Servicing Spread]]&lt;=0,L1040,CurrentMtgRatesDataTable8[[#This Row],[Servicing Spread]])</f>
        <v>0.89462225309558807</v>
      </c>
      <c r="M1041" s="16">
        <f>CurrentMtgRatesDataTable8[[#This Row],[Servicing Spread Non-Zero]]-L1040</f>
        <v>-3.6749106149427835E-2</v>
      </c>
      <c r="N1041" s="16">
        <f>IF(J1040&lt;&gt;0,CurrentMtgRatesDataTable8[[#This Row],[Rate]]-C1040,N1040)</f>
        <v>3.5000000000000142E-2</v>
      </c>
    </row>
    <row r="1042" spans="1:14">
      <c r="A1042" s="39" t="s">
        <v>1093</v>
      </c>
      <c r="B1042" s="40">
        <v>2.59920787607486</v>
      </c>
      <c r="C1042" s="11">
        <v>3.5350000000000001</v>
      </c>
      <c r="D1042" s="16">
        <f t="shared" si="112"/>
        <v>1</v>
      </c>
      <c r="E1042" s="16">
        <f t="shared" si="113"/>
        <v>0.2</v>
      </c>
      <c r="F1042" s="16">
        <f t="shared" si="114"/>
        <v>1</v>
      </c>
      <c r="G1042" s="16">
        <f t="shared" si="115"/>
        <v>0.51984157521497198</v>
      </c>
      <c r="H1042" s="16">
        <f t="shared" si="116"/>
        <v>0.2</v>
      </c>
      <c r="I1042" s="16">
        <f t="shared" si="117"/>
        <v>0</v>
      </c>
      <c r="J1042" s="16">
        <f t="shared" si="118"/>
        <v>0</v>
      </c>
      <c r="K1042" s="16">
        <f>IF(CurrentMtgRatesDataTable8[[#This Row],[WA CC]]&lt;&gt;0,C1041-CurrentMtgRatesDataTable8[[#This Row],[WA CC]],0)</f>
        <v>0</v>
      </c>
      <c r="L1042" s="16">
        <f>IF(CurrentMtgRatesDataTable8[[#This Row],[Servicing Spread]]&lt;=0,L1041,CurrentMtgRatesDataTable8[[#This Row],[Servicing Spread]])</f>
        <v>0.89462225309558807</v>
      </c>
      <c r="M1042" s="16">
        <f>CurrentMtgRatesDataTable8[[#This Row],[Servicing Spread Non-Zero]]-L1041</f>
        <v>0</v>
      </c>
      <c r="N1042" s="16">
        <f>IF(J1041&lt;&gt;0,CurrentMtgRatesDataTable8[[#This Row],[Rate]]-C1041,N1041)</f>
        <v>2.0000000000000018E-2</v>
      </c>
    </row>
    <row r="1043" spans="1:14">
      <c r="A1043" s="39" t="s">
        <v>1094</v>
      </c>
      <c r="B1043" s="40">
        <v>2.6025934291599802</v>
      </c>
      <c r="C1043" s="11">
        <v>3.5350000000000001</v>
      </c>
      <c r="D1043" s="16">
        <f t="shared" si="112"/>
        <v>2</v>
      </c>
      <c r="E1043" s="16">
        <f t="shared" si="113"/>
        <v>0.2</v>
      </c>
      <c r="F1043" s="16">
        <f t="shared" si="114"/>
        <v>2</v>
      </c>
      <c r="G1043" s="16">
        <f t="shared" si="115"/>
        <v>1.040360261046968</v>
      </c>
      <c r="H1043" s="16">
        <f t="shared" si="116"/>
        <v>0.4</v>
      </c>
      <c r="I1043" s="16">
        <f t="shared" si="117"/>
        <v>0</v>
      </c>
      <c r="J1043" s="16">
        <f t="shared" si="118"/>
        <v>0</v>
      </c>
      <c r="K1043" s="16">
        <f>IF(CurrentMtgRatesDataTable8[[#This Row],[WA CC]]&lt;&gt;0,C1042-CurrentMtgRatesDataTable8[[#This Row],[WA CC]],0)</f>
        <v>0</v>
      </c>
      <c r="L1043" s="16">
        <f>IF(CurrentMtgRatesDataTable8[[#This Row],[Servicing Spread]]&lt;=0,L1042,CurrentMtgRatesDataTable8[[#This Row],[Servicing Spread]])</f>
        <v>0.89462225309558807</v>
      </c>
      <c r="M1043" s="16">
        <f>CurrentMtgRatesDataTable8[[#This Row],[Servicing Spread Non-Zero]]-L1042</f>
        <v>0</v>
      </c>
      <c r="N1043" s="16">
        <f>IF(J1042&lt;&gt;0,CurrentMtgRatesDataTable8[[#This Row],[Rate]]-C1042,N1042)</f>
        <v>2.0000000000000018E-2</v>
      </c>
    </row>
    <row r="1044" spans="1:14">
      <c r="A1044" s="39" t="s">
        <v>1095</v>
      </c>
      <c r="B1044" s="40">
        <v>2.5912536258674699</v>
      </c>
      <c r="C1044" s="11">
        <v>3.5350000000000001</v>
      </c>
      <c r="D1044" s="16">
        <f t="shared" si="112"/>
        <v>6</v>
      </c>
      <c r="E1044" s="16">
        <f t="shared" si="113"/>
        <v>0.2</v>
      </c>
      <c r="F1044" s="16">
        <f t="shared" si="114"/>
        <v>3</v>
      </c>
      <c r="G1044" s="16">
        <f t="shared" si="115"/>
        <v>1.558610986220462</v>
      </c>
      <c r="H1044" s="16">
        <f t="shared" si="116"/>
        <v>0.60000000000000009</v>
      </c>
      <c r="I1044" s="16">
        <f t="shared" si="117"/>
        <v>0</v>
      </c>
      <c r="J1044" s="16">
        <f t="shared" si="118"/>
        <v>0</v>
      </c>
      <c r="K1044" s="16">
        <f>IF(CurrentMtgRatesDataTable8[[#This Row],[WA CC]]&lt;&gt;0,C1043-CurrentMtgRatesDataTable8[[#This Row],[WA CC]],0)</f>
        <v>0</v>
      </c>
      <c r="L1044" s="16">
        <f>IF(CurrentMtgRatesDataTable8[[#This Row],[Servicing Spread]]&lt;=0,L1043,CurrentMtgRatesDataTable8[[#This Row],[Servicing Spread]])</f>
        <v>0.89462225309558807</v>
      </c>
      <c r="M1044" s="16">
        <f>CurrentMtgRatesDataTable8[[#This Row],[Servicing Spread Non-Zero]]-L1043</f>
        <v>0</v>
      </c>
      <c r="N1044" s="16">
        <f>IF(J1043&lt;&gt;0,CurrentMtgRatesDataTable8[[#This Row],[Rate]]-C1043,N1043)</f>
        <v>2.0000000000000018E-2</v>
      </c>
    </row>
    <row r="1045" spans="1:14">
      <c r="A1045" s="39" t="s">
        <v>1096</v>
      </c>
      <c r="B1045" s="40">
        <v>2.6061508171936398</v>
      </c>
      <c r="C1045" s="11">
        <v>3.5350000000000001</v>
      </c>
      <c r="D1045" s="16">
        <f t="shared" si="112"/>
        <v>7</v>
      </c>
      <c r="E1045" s="16">
        <f t="shared" si="113"/>
        <v>0.2</v>
      </c>
      <c r="F1045" s="16">
        <f t="shared" si="114"/>
        <v>4</v>
      </c>
      <c r="G1045" s="16">
        <f t="shared" si="115"/>
        <v>2.07984114965919</v>
      </c>
      <c r="H1045" s="16">
        <f t="shared" si="116"/>
        <v>0.8</v>
      </c>
      <c r="I1045" s="16">
        <f t="shared" si="117"/>
        <v>1</v>
      </c>
      <c r="J1045" s="16">
        <f t="shared" si="118"/>
        <v>2.5998014370739875</v>
      </c>
      <c r="K1045" s="16">
        <f>IF(CurrentMtgRatesDataTable8[[#This Row],[WA CC]]&lt;&gt;0,C1044-CurrentMtgRatesDataTable8[[#This Row],[WA CC]],0)</f>
        <v>0.93519856292601267</v>
      </c>
      <c r="L1045" s="16">
        <f>IF(CurrentMtgRatesDataTable8[[#This Row],[Servicing Spread]]&lt;=0,L1044,CurrentMtgRatesDataTable8[[#This Row],[Servicing Spread]])</f>
        <v>0.93519856292601267</v>
      </c>
      <c r="M1045" s="16">
        <f>CurrentMtgRatesDataTable8[[#This Row],[Servicing Spread Non-Zero]]-L1044</f>
        <v>4.0576309830424595E-2</v>
      </c>
      <c r="N1045" s="16">
        <f>IF(J1044&lt;&gt;0,CurrentMtgRatesDataTable8[[#This Row],[Rate]]-C1044,N1044)</f>
        <v>2.0000000000000018E-2</v>
      </c>
    </row>
    <row r="1046" spans="1:14">
      <c r="A1046" s="39" t="s">
        <v>1097</v>
      </c>
      <c r="B1046" s="40">
        <v>2.5951614206570599</v>
      </c>
      <c r="C1046" s="11">
        <v>3.4750000000000001</v>
      </c>
      <c r="D1046" s="16">
        <f t="shared" si="112"/>
        <v>1</v>
      </c>
      <c r="E1046" s="16">
        <f t="shared" si="113"/>
        <v>0.2</v>
      </c>
      <c r="F1046" s="16">
        <f t="shared" si="114"/>
        <v>1</v>
      </c>
      <c r="G1046" s="16">
        <f t="shared" si="115"/>
        <v>0.519032284131412</v>
      </c>
      <c r="H1046" s="16">
        <f t="shared" si="116"/>
        <v>0.2</v>
      </c>
      <c r="I1046" s="16">
        <f t="shared" si="117"/>
        <v>0</v>
      </c>
      <c r="J1046" s="16">
        <f t="shared" si="118"/>
        <v>0</v>
      </c>
      <c r="K1046" s="16">
        <f>IF(CurrentMtgRatesDataTable8[[#This Row],[WA CC]]&lt;&gt;0,C1045-CurrentMtgRatesDataTable8[[#This Row],[WA CC]],0)</f>
        <v>0</v>
      </c>
      <c r="L1046" s="16">
        <f>IF(CurrentMtgRatesDataTable8[[#This Row],[Servicing Spread]]&lt;=0,L1045,CurrentMtgRatesDataTable8[[#This Row],[Servicing Spread]])</f>
        <v>0.93519856292601267</v>
      </c>
      <c r="M1046" s="16">
        <f>CurrentMtgRatesDataTable8[[#This Row],[Servicing Spread Non-Zero]]-L1045</f>
        <v>0</v>
      </c>
      <c r="N1046" s="16">
        <f>IF(J1045&lt;&gt;0,CurrentMtgRatesDataTable8[[#This Row],[Rate]]-C1045,N1045)</f>
        <v>-6.0000000000000053E-2</v>
      </c>
    </row>
    <row r="1047" spans="1:14">
      <c r="A1047" s="39" t="s">
        <v>1098</v>
      </c>
      <c r="B1047" s="40">
        <v>2.50110738001568</v>
      </c>
      <c r="C1047" s="11">
        <v>3.4750000000000001</v>
      </c>
      <c r="D1047" s="16">
        <f t="shared" si="112"/>
        <v>2</v>
      </c>
      <c r="E1047" s="16">
        <f t="shared" si="113"/>
        <v>0.2</v>
      </c>
      <c r="F1047" s="16">
        <f t="shared" si="114"/>
        <v>2</v>
      </c>
      <c r="G1047" s="16">
        <f t="shared" si="115"/>
        <v>1.0192537601345482</v>
      </c>
      <c r="H1047" s="16">
        <f t="shared" si="116"/>
        <v>0.4</v>
      </c>
      <c r="I1047" s="16">
        <f t="shared" si="117"/>
        <v>0</v>
      </c>
      <c r="J1047" s="16">
        <f t="shared" si="118"/>
        <v>0</v>
      </c>
      <c r="K1047" s="16">
        <f>IF(CurrentMtgRatesDataTable8[[#This Row],[WA CC]]&lt;&gt;0,C1046-CurrentMtgRatesDataTable8[[#This Row],[WA CC]],0)</f>
        <v>0</v>
      </c>
      <c r="L1047" s="16">
        <f>IF(CurrentMtgRatesDataTable8[[#This Row],[Servicing Spread]]&lt;=0,L1046,CurrentMtgRatesDataTable8[[#This Row],[Servicing Spread]])</f>
        <v>0.93519856292601267</v>
      </c>
      <c r="M1047" s="16">
        <f>CurrentMtgRatesDataTable8[[#This Row],[Servicing Spread Non-Zero]]-L1046</f>
        <v>0</v>
      </c>
      <c r="N1047" s="16">
        <f>IF(J1046&lt;&gt;0,CurrentMtgRatesDataTable8[[#This Row],[Rate]]-C1046,N1046)</f>
        <v>-6.0000000000000053E-2</v>
      </c>
    </row>
    <row r="1048" spans="1:14">
      <c r="A1048" s="39" t="s">
        <v>1099</v>
      </c>
      <c r="B1048" s="40">
        <v>2.50890733570674</v>
      </c>
      <c r="C1048" s="11">
        <v>3.4750000000000001</v>
      </c>
      <c r="D1048" s="16">
        <f t="shared" si="112"/>
        <v>5</v>
      </c>
      <c r="E1048" s="16">
        <f t="shared" si="113"/>
        <v>0.2</v>
      </c>
      <c r="F1048" s="16">
        <f t="shared" si="114"/>
        <v>3</v>
      </c>
      <c r="G1048" s="16">
        <f t="shared" si="115"/>
        <v>1.5210352272758962</v>
      </c>
      <c r="H1048" s="16">
        <f t="shared" si="116"/>
        <v>0.60000000000000009</v>
      </c>
      <c r="I1048" s="16">
        <f t="shared" si="117"/>
        <v>0</v>
      </c>
      <c r="J1048" s="16">
        <f t="shared" si="118"/>
        <v>0</v>
      </c>
      <c r="K1048" s="16">
        <f>IF(CurrentMtgRatesDataTable8[[#This Row],[WA CC]]&lt;&gt;0,C1047-CurrentMtgRatesDataTable8[[#This Row],[WA CC]],0)</f>
        <v>0</v>
      </c>
      <c r="L1048" s="16">
        <f>IF(CurrentMtgRatesDataTable8[[#This Row],[Servicing Spread]]&lt;=0,L1047,CurrentMtgRatesDataTable8[[#This Row],[Servicing Spread]])</f>
        <v>0.93519856292601267</v>
      </c>
      <c r="M1048" s="16">
        <f>CurrentMtgRatesDataTable8[[#This Row],[Servicing Spread Non-Zero]]-L1047</f>
        <v>0</v>
      </c>
      <c r="N1048" s="16">
        <f>IF(J1047&lt;&gt;0,CurrentMtgRatesDataTable8[[#This Row],[Rate]]-C1047,N1047)</f>
        <v>-6.0000000000000053E-2</v>
      </c>
    </row>
    <row r="1049" spans="1:14">
      <c r="A1049" s="39" t="s">
        <v>1100</v>
      </c>
      <c r="B1049" s="40">
        <v>2.5084011199927301</v>
      </c>
      <c r="C1049" s="11">
        <v>3.4750000000000001</v>
      </c>
      <c r="D1049" s="16">
        <f t="shared" si="112"/>
        <v>6</v>
      </c>
      <c r="E1049" s="16">
        <f t="shared" si="113"/>
        <v>0.2</v>
      </c>
      <c r="F1049" s="16">
        <f t="shared" si="114"/>
        <v>4</v>
      </c>
      <c r="G1049" s="16">
        <f t="shared" si="115"/>
        <v>2.0227154512744425</v>
      </c>
      <c r="H1049" s="16">
        <f t="shared" si="116"/>
        <v>0.8</v>
      </c>
      <c r="I1049" s="16">
        <f t="shared" si="117"/>
        <v>0</v>
      </c>
      <c r="J1049" s="16">
        <f t="shared" si="118"/>
        <v>0</v>
      </c>
      <c r="K1049" s="16">
        <f>IF(CurrentMtgRatesDataTable8[[#This Row],[WA CC]]&lt;&gt;0,C1048-CurrentMtgRatesDataTable8[[#This Row],[WA CC]],0)</f>
        <v>0</v>
      </c>
      <c r="L1049" s="16">
        <f>IF(CurrentMtgRatesDataTable8[[#This Row],[Servicing Spread]]&lt;=0,L1048,CurrentMtgRatesDataTable8[[#This Row],[Servicing Spread]])</f>
        <v>0.93519856292601267</v>
      </c>
      <c r="M1049" s="16">
        <f>CurrentMtgRatesDataTable8[[#This Row],[Servicing Spread Non-Zero]]-L1048</f>
        <v>0</v>
      </c>
      <c r="N1049" s="16">
        <f>IF(J1048&lt;&gt;0,CurrentMtgRatesDataTable8[[#This Row],[Rate]]-C1048,N1048)</f>
        <v>-6.0000000000000053E-2</v>
      </c>
    </row>
    <row r="1050" spans="1:14">
      <c r="A1050" s="39" t="s">
        <v>1101</v>
      </c>
      <c r="B1050" s="40">
        <v>2.5005077726390401</v>
      </c>
      <c r="C1050" s="11">
        <v>3.4750000000000001</v>
      </c>
      <c r="D1050" s="16">
        <f t="shared" si="112"/>
        <v>7</v>
      </c>
      <c r="E1050" s="16">
        <f t="shared" si="113"/>
        <v>0.2</v>
      </c>
      <c r="F1050" s="16">
        <f t="shared" si="114"/>
        <v>5</v>
      </c>
      <c r="G1050" s="16">
        <f t="shared" si="115"/>
        <v>2.5228170058022505</v>
      </c>
      <c r="H1050" s="16">
        <f t="shared" si="116"/>
        <v>1</v>
      </c>
      <c r="I1050" s="16">
        <f t="shared" si="117"/>
        <v>1</v>
      </c>
      <c r="J1050" s="16">
        <f t="shared" si="118"/>
        <v>2.5228170058022505</v>
      </c>
      <c r="K1050" s="16">
        <f>IF(CurrentMtgRatesDataTable8[[#This Row],[WA CC]]&lt;&gt;0,C1049-CurrentMtgRatesDataTable8[[#This Row],[WA CC]],0)</f>
        <v>0.95218299419774954</v>
      </c>
      <c r="L1050" s="16">
        <f>IF(CurrentMtgRatesDataTable8[[#This Row],[Servicing Spread]]&lt;=0,L1049,CurrentMtgRatesDataTable8[[#This Row],[Servicing Spread]])</f>
        <v>0.95218299419774954</v>
      </c>
      <c r="M1050" s="16">
        <f>CurrentMtgRatesDataTable8[[#This Row],[Servicing Spread Non-Zero]]-L1049</f>
        <v>1.6984431271736877E-2</v>
      </c>
      <c r="N1050" s="16">
        <f>IF(J1049&lt;&gt;0,CurrentMtgRatesDataTable8[[#This Row],[Rate]]-C1049,N1049)</f>
        <v>-6.0000000000000053E-2</v>
      </c>
    </row>
    <row r="1051" spans="1:14">
      <c r="A1051" s="39" t="s">
        <v>1102</v>
      </c>
      <c r="B1051" s="40">
        <v>2.4857330932558601</v>
      </c>
      <c r="C1051" s="11">
        <v>3.415</v>
      </c>
      <c r="D1051" s="16">
        <f t="shared" si="112"/>
        <v>1</v>
      </c>
      <c r="E1051" s="16">
        <f t="shared" si="113"/>
        <v>0.2</v>
      </c>
      <c r="F1051" s="16">
        <f t="shared" si="114"/>
        <v>1</v>
      </c>
      <c r="G1051" s="16">
        <f t="shared" si="115"/>
        <v>0.49714661865117205</v>
      </c>
      <c r="H1051" s="16">
        <f t="shared" si="116"/>
        <v>0.2</v>
      </c>
      <c r="I1051" s="16">
        <f t="shared" si="117"/>
        <v>0</v>
      </c>
      <c r="J1051" s="16">
        <f t="shared" si="118"/>
        <v>0</v>
      </c>
      <c r="K1051" s="16">
        <f>IF(CurrentMtgRatesDataTable8[[#This Row],[WA CC]]&lt;&gt;0,C1050-CurrentMtgRatesDataTable8[[#This Row],[WA CC]],0)</f>
        <v>0</v>
      </c>
      <c r="L1051" s="16">
        <f>IF(CurrentMtgRatesDataTable8[[#This Row],[Servicing Spread]]&lt;=0,L1050,CurrentMtgRatesDataTable8[[#This Row],[Servicing Spread]])</f>
        <v>0.95218299419774954</v>
      </c>
      <c r="M1051" s="16">
        <f>CurrentMtgRatesDataTable8[[#This Row],[Servicing Spread Non-Zero]]-L1050</f>
        <v>0</v>
      </c>
      <c r="N1051" s="16">
        <f>IF(J1050&lt;&gt;0,CurrentMtgRatesDataTable8[[#This Row],[Rate]]-C1050,N1050)</f>
        <v>-6.0000000000000053E-2</v>
      </c>
    </row>
    <row r="1052" spans="1:14">
      <c r="A1052" s="39" t="s">
        <v>1103</v>
      </c>
      <c r="B1052" s="40">
        <v>2.4694934611032302</v>
      </c>
      <c r="C1052" s="11">
        <v>3.415</v>
      </c>
      <c r="D1052" s="16">
        <f t="shared" si="112"/>
        <v>2</v>
      </c>
      <c r="E1052" s="16">
        <f t="shared" si="113"/>
        <v>0.2</v>
      </c>
      <c r="F1052" s="16">
        <f t="shared" si="114"/>
        <v>2</v>
      </c>
      <c r="G1052" s="16">
        <f t="shared" si="115"/>
        <v>0.99104531087181813</v>
      </c>
      <c r="H1052" s="16">
        <f t="shared" si="116"/>
        <v>0.4</v>
      </c>
      <c r="I1052" s="16">
        <f t="shared" si="117"/>
        <v>0</v>
      </c>
      <c r="J1052" s="16">
        <f t="shared" si="118"/>
        <v>0</v>
      </c>
      <c r="K1052" s="16">
        <f>IF(CurrentMtgRatesDataTable8[[#This Row],[WA CC]]&lt;&gt;0,C1051-CurrentMtgRatesDataTable8[[#This Row],[WA CC]],0)</f>
        <v>0</v>
      </c>
      <c r="L1052" s="16">
        <f>IF(CurrentMtgRatesDataTable8[[#This Row],[Servicing Spread]]&lt;=0,L1051,CurrentMtgRatesDataTable8[[#This Row],[Servicing Spread]])</f>
        <v>0.95218299419774954</v>
      </c>
      <c r="M1052" s="16">
        <f>CurrentMtgRatesDataTable8[[#This Row],[Servicing Spread Non-Zero]]-L1051</f>
        <v>0</v>
      </c>
      <c r="N1052" s="16">
        <f>IF(J1051&lt;&gt;0,CurrentMtgRatesDataTable8[[#This Row],[Rate]]-C1051,N1051)</f>
        <v>-6.0000000000000053E-2</v>
      </c>
    </row>
    <row r="1053" spans="1:14">
      <c r="A1053" s="39" t="s">
        <v>1104</v>
      </c>
      <c r="B1053" s="40">
        <v>2.45908468763596</v>
      </c>
      <c r="C1053" s="11">
        <v>3.415</v>
      </c>
      <c r="D1053" s="16">
        <f t="shared" si="112"/>
        <v>5</v>
      </c>
      <c r="E1053" s="16">
        <f t="shared" si="113"/>
        <v>0.2</v>
      </c>
      <c r="F1053" s="16">
        <f t="shared" si="114"/>
        <v>3</v>
      </c>
      <c r="G1053" s="16">
        <f t="shared" si="115"/>
        <v>1.4828622483990102</v>
      </c>
      <c r="H1053" s="16">
        <f t="shared" si="116"/>
        <v>0.60000000000000009</v>
      </c>
      <c r="I1053" s="16">
        <f t="shared" si="117"/>
        <v>0</v>
      </c>
      <c r="J1053" s="16">
        <f t="shared" si="118"/>
        <v>0</v>
      </c>
      <c r="K1053" s="16">
        <f>IF(CurrentMtgRatesDataTable8[[#This Row],[WA CC]]&lt;&gt;0,C1052-CurrentMtgRatesDataTable8[[#This Row],[WA CC]],0)</f>
        <v>0</v>
      </c>
      <c r="L1053" s="16">
        <f>IF(CurrentMtgRatesDataTable8[[#This Row],[Servicing Spread]]&lt;=0,L1052,CurrentMtgRatesDataTable8[[#This Row],[Servicing Spread]])</f>
        <v>0.95218299419774954</v>
      </c>
      <c r="M1053" s="16">
        <f>CurrentMtgRatesDataTable8[[#This Row],[Servicing Spread Non-Zero]]-L1052</f>
        <v>0</v>
      </c>
      <c r="N1053" s="16">
        <f>IF(J1052&lt;&gt;0,CurrentMtgRatesDataTable8[[#This Row],[Rate]]-C1052,N1052)</f>
        <v>-6.0000000000000053E-2</v>
      </c>
    </row>
    <row r="1054" spans="1:14">
      <c r="A1054" s="39" t="s">
        <v>1105</v>
      </c>
      <c r="B1054" s="40">
        <v>2.46769011076751</v>
      </c>
      <c r="C1054" s="11">
        <v>3.415</v>
      </c>
      <c r="D1054" s="16">
        <f t="shared" si="112"/>
        <v>6</v>
      </c>
      <c r="E1054" s="16">
        <f t="shared" si="113"/>
        <v>0.2</v>
      </c>
      <c r="F1054" s="16">
        <f t="shared" si="114"/>
        <v>4</v>
      </c>
      <c r="G1054" s="16">
        <f t="shared" si="115"/>
        <v>1.9764002705525121</v>
      </c>
      <c r="H1054" s="16">
        <f t="shared" si="116"/>
        <v>0.8</v>
      </c>
      <c r="I1054" s="16">
        <f t="shared" si="117"/>
        <v>0</v>
      </c>
      <c r="J1054" s="16">
        <f t="shared" si="118"/>
        <v>0</v>
      </c>
      <c r="K1054" s="16">
        <f>IF(CurrentMtgRatesDataTable8[[#This Row],[WA CC]]&lt;&gt;0,C1053-CurrentMtgRatesDataTable8[[#This Row],[WA CC]],0)</f>
        <v>0</v>
      </c>
      <c r="L1054" s="16">
        <f>IF(CurrentMtgRatesDataTable8[[#This Row],[Servicing Spread]]&lt;=0,L1053,CurrentMtgRatesDataTable8[[#This Row],[Servicing Spread]])</f>
        <v>0.95218299419774954</v>
      </c>
      <c r="M1054" s="16">
        <f>CurrentMtgRatesDataTable8[[#This Row],[Servicing Spread Non-Zero]]-L1053</f>
        <v>0</v>
      </c>
      <c r="N1054" s="16">
        <f>IF(J1053&lt;&gt;0,CurrentMtgRatesDataTable8[[#This Row],[Rate]]-C1053,N1053)</f>
        <v>-6.0000000000000053E-2</v>
      </c>
    </row>
    <row r="1055" spans="1:14">
      <c r="A1055" s="39" t="s">
        <v>1106</v>
      </c>
      <c r="B1055" s="40">
        <v>2.45037012960805</v>
      </c>
      <c r="C1055" s="11">
        <v>3.415</v>
      </c>
      <c r="D1055" s="16">
        <f t="shared" si="112"/>
        <v>7</v>
      </c>
      <c r="E1055" s="16">
        <f t="shared" si="113"/>
        <v>0.2</v>
      </c>
      <c r="F1055" s="16">
        <f t="shared" si="114"/>
        <v>5</v>
      </c>
      <c r="G1055" s="16">
        <f t="shared" si="115"/>
        <v>2.466474296474122</v>
      </c>
      <c r="H1055" s="16">
        <f t="shared" si="116"/>
        <v>1</v>
      </c>
      <c r="I1055" s="16">
        <f t="shared" si="117"/>
        <v>1</v>
      </c>
      <c r="J1055" s="16">
        <f t="shared" si="118"/>
        <v>2.466474296474122</v>
      </c>
      <c r="K1055" s="16">
        <f>IF(CurrentMtgRatesDataTable8[[#This Row],[WA CC]]&lt;&gt;0,C1054-CurrentMtgRatesDataTable8[[#This Row],[WA CC]],0)</f>
        <v>0.94852570352587806</v>
      </c>
      <c r="L1055" s="16">
        <f>IF(CurrentMtgRatesDataTable8[[#This Row],[Servicing Spread]]&lt;=0,L1054,CurrentMtgRatesDataTable8[[#This Row],[Servicing Spread]])</f>
        <v>0.94852570352587806</v>
      </c>
      <c r="M1055" s="16">
        <f>CurrentMtgRatesDataTable8[[#This Row],[Servicing Spread Non-Zero]]-L1054</f>
        <v>-3.6572906718714826E-3</v>
      </c>
      <c r="N1055" s="16">
        <f>IF(J1054&lt;&gt;0,CurrentMtgRatesDataTable8[[#This Row],[Rate]]-C1054,N1054)</f>
        <v>-6.0000000000000053E-2</v>
      </c>
    </row>
    <row r="1056" spans="1:14">
      <c r="A1056" s="39" t="s">
        <v>1107</v>
      </c>
      <c r="B1056" s="40">
        <v>2.4315261347107602</v>
      </c>
      <c r="C1056" s="11">
        <v>3.46</v>
      </c>
      <c r="D1056" s="16">
        <f t="shared" si="112"/>
        <v>1</v>
      </c>
      <c r="E1056" s="16">
        <f t="shared" si="113"/>
        <v>0.2</v>
      </c>
      <c r="F1056" s="16">
        <f t="shared" si="114"/>
        <v>1</v>
      </c>
      <c r="G1056" s="16">
        <f t="shared" si="115"/>
        <v>0.48630522694215206</v>
      </c>
      <c r="H1056" s="16">
        <f t="shared" si="116"/>
        <v>0.2</v>
      </c>
      <c r="I1056" s="16">
        <f t="shared" si="117"/>
        <v>0</v>
      </c>
      <c r="J1056" s="16">
        <f t="shared" si="118"/>
        <v>0</v>
      </c>
      <c r="K1056" s="16">
        <f>IF(CurrentMtgRatesDataTable8[[#This Row],[WA CC]]&lt;&gt;0,C1055-CurrentMtgRatesDataTable8[[#This Row],[WA CC]],0)</f>
        <v>0</v>
      </c>
      <c r="L1056" s="16">
        <f>IF(CurrentMtgRatesDataTable8[[#This Row],[Servicing Spread]]&lt;=0,L1055,CurrentMtgRatesDataTable8[[#This Row],[Servicing Spread]])</f>
        <v>0.94852570352587806</v>
      </c>
      <c r="M1056" s="16">
        <f>CurrentMtgRatesDataTable8[[#This Row],[Servicing Spread Non-Zero]]-L1055</f>
        <v>0</v>
      </c>
      <c r="N1056" s="16">
        <f>IF(J1055&lt;&gt;0,CurrentMtgRatesDataTable8[[#This Row],[Rate]]-C1055,N1055)</f>
        <v>4.4999999999999929E-2</v>
      </c>
    </row>
    <row r="1057" spans="1:14">
      <c r="A1057" s="39" t="s">
        <v>1108</v>
      </c>
      <c r="B1057" s="40">
        <v>2.47900822312821</v>
      </c>
      <c r="C1057" s="11">
        <v>3.46</v>
      </c>
      <c r="D1057" s="16">
        <f t="shared" si="112"/>
        <v>2</v>
      </c>
      <c r="E1057" s="16">
        <f t="shared" si="113"/>
        <v>0.2</v>
      </c>
      <c r="F1057" s="16">
        <f t="shared" si="114"/>
        <v>2</v>
      </c>
      <c r="G1057" s="16">
        <f t="shared" si="115"/>
        <v>0.98210687156779408</v>
      </c>
      <c r="H1057" s="16">
        <f t="shared" si="116"/>
        <v>0.4</v>
      </c>
      <c r="I1057" s="16">
        <f t="shared" si="117"/>
        <v>0</v>
      </c>
      <c r="J1057" s="16">
        <f t="shared" si="118"/>
        <v>0</v>
      </c>
      <c r="K1057" s="16">
        <f>IF(CurrentMtgRatesDataTable8[[#This Row],[WA CC]]&lt;&gt;0,C1056-CurrentMtgRatesDataTable8[[#This Row],[WA CC]],0)</f>
        <v>0</v>
      </c>
      <c r="L1057" s="16">
        <f>IF(CurrentMtgRatesDataTable8[[#This Row],[Servicing Spread]]&lt;=0,L1056,CurrentMtgRatesDataTable8[[#This Row],[Servicing Spread]])</f>
        <v>0.94852570352587806</v>
      </c>
      <c r="M1057" s="16">
        <f>CurrentMtgRatesDataTable8[[#This Row],[Servicing Spread Non-Zero]]-L1056</f>
        <v>0</v>
      </c>
      <c r="N1057" s="16">
        <f>IF(J1056&lt;&gt;0,CurrentMtgRatesDataTable8[[#This Row],[Rate]]-C1056,N1056)</f>
        <v>4.4999999999999929E-2</v>
      </c>
    </row>
    <row r="1058" spans="1:14">
      <c r="A1058" s="39" t="s">
        <v>1109</v>
      </c>
      <c r="B1058" s="40">
        <v>2.50328408923819</v>
      </c>
      <c r="C1058" s="11">
        <v>3.46</v>
      </c>
      <c r="D1058" s="16">
        <f t="shared" si="112"/>
        <v>5</v>
      </c>
      <c r="E1058" s="16">
        <f t="shared" si="113"/>
        <v>0.2</v>
      </c>
      <c r="F1058" s="16">
        <f t="shared" si="114"/>
        <v>3</v>
      </c>
      <c r="G1058" s="16">
        <f t="shared" si="115"/>
        <v>1.4827636894154321</v>
      </c>
      <c r="H1058" s="16">
        <f t="shared" si="116"/>
        <v>0.60000000000000009</v>
      </c>
      <c r="I1058" s="16">
        <f t="shared" si="117"/>
        <v>0</v>
      </c>
      <c r="J1058" s="16">
        <f t="shared" si="118"/>
        <v>0</v>
      </c>
      <c r="K1058" s="16">
        <f>IF(CurrentMtgRatesDataTable8[[#This Row],[WA CC]]&lt;&gt;0,C1057-CurrentMtgRatesDataTable8[[#This Row],[WA CC]],0)</f>
        <v>0</v>
      </c>
      <c r="L1058" s="16">
        <f>IF(CurrentMtgRatesDataTable8[[#This Row],[Servicing Spread]]&lt;=0,L1057,CurrentMtgRatesDataTable8[[#This Row],[Servicing Spread]])</f>
        <v>0.94852570352587806</v>
      </c>
      <c r="M1058" s="16">
        <f>CurrentMtgRatesDataTable8[[#This Row],[Servicing Spread Non-Zero]]-L1057</f>
        <v>0</v>
      </c>
      <c r="N1058" s="16">
        <f>IF(J1057&lt;&gt;0,CurrentMtgRatesDataTable8[[#This Row],[Rate]]-C1057,N1057)</f>
        <v>4.4999999999999929E-2</v>
      </c>
    </row>
    <row r="1059" spans="1:14">
      <c r="A1059" s="39" t="s">
        <v>1110</v>
      </c>
      <c r="B1059" s="40">
        <v>2.5153297074650598</v>
      </c>
      <c r="C1059" s="11">
        <v>3.46</v>
      </c>
      <c r="D1059" s="16">
        <f t="shared" si="112"/>
        <v>6</v>
      </c>
      <c r="E1059" s="16">
        <f t="shared" si="113"/>
        <v>0.2</v>
      </c>
      <c r="F1059" s="16">
        <f t="shared" si="114"/>
        <v>4</v>
      </c>
      <c r="G1059" s="16">
        <f t="shared" si="115"/>
        <v>1.985829630908444</v>
      </c>
      <c r="H1059" s="16">
        <f t="shared" si="116"/>
        <v>0.8</v>
      </c>
      <c r="I1059" s="16">
        <f t="shared" si="117"/>
        <v>0</v>
      </c>
      <c r="J1059" s="16">
        <f t="shared" si="118"/>
        <v>0</v>
      </c>
      <c r="K1059" s="16">
        <f>IF(CurrentMtgRatesDataTable8[[#This Row],[WA CC]]&lt;&gt;0,C1058-CurrentMtgRatesDataTable8[[#This Row],[WA CC]],0)</f>
        <v>0</v>
      </c>
      <c r="L1059" s="16">
        <f>IF(CurrentMtgRatesDataTable8[[#This Row],[Servicing Spread]]&lt;=0,L1058,CurrentMtgRatesDataTable8[[#This Row],[Servicing Spread]])</f>
        <v>0.94852570352587806</v>
      </c>
      <c r="M1059" s="16">
        <f>CurrentMtgRatesDataTable8[[#This Row],[Servicing Spread Non-Zero]]-L1058</f>
        <v>0</v>
      </c>
      <c r="N1059" s="16">
        <f>IF(J1058&lt;&gt;0,CurrentMtgRatesDataTable8[[#This Row],[Rate]]-C1058,N1058)</f>
        <v>4.4999999999999929E-2</v>
      </c>
    </row>
    <row r="1060" spans="1:14">
      <c r="A1060" s="39" t="s">
        <v>1111</v>
      </c>
      <c r="B1060" s="40">
        <v>2.51044994669209</v>
      </c>
      <c r="C1060" s="11">
        <v>3.46</v>
      </c>
      <c r="D1060" s="16">
        <f t="shared" si="112"/>
        <v>7</v>
      </c>
      <c r="E1060" s="16">
        <f t="shared" si="113"/>
        <v>0.2</v>
      </c>
      <c r="F1060" s="16">
        <f t="shared" si="114"/>
        <v>5</v>
      </c>
      <c r="G1060" s="16">
        <f t="shared" si="115"/>
        <v>2.4879196202468621</v>
      </c>
      <c r="H1060" s="16">
        <f t="shared" si="116"/>
        <v>1</v>
      </c>
      <c r="I1060" s="16">
        <f t="shared" si="117"/>
        <v>1</v>
      </c>
      <c r="J1060" s="16">
        <f t="shared" si="118"/>
        <v>2.4879196202468621</v>
      </c>
      <c r="K1060" s="16">
        <f>IF(CurrentMtgRatesDataTable8[[#This Row],[WA CC]]&lt;&gt;0,C1059-CurrentMtgRatesDataTable8[[#This Row],[WA CC]],0)</f>
        <v>0.97208037975313788</v>
      </c>
      <c r="L1060" s="16">
        <f>IF(CurrentMtgRatesDataTable8[[#This Row],[Servicing Spread]]&lt;=0,L1059,CurrentMtgRatesDataTable8[[#This Row],[Servicing Spread]])</f>
        <v>0.97208037975313788</v>
      </c>
      <c r="M1060" s="16">
        <f>CurrentMtgRatesDataTable8[[#This Row],[Servicing Spread Non-Zero]]-L1059</f>
        <v>2.3554676227259819E-2</v>
      </c>
      <c r="N1060" s="16">
        <f>IF(J1059&lt;&gt;0,CurrentMtgRatesDataTable8[[#This Row],[Rate]]-C1059,N1059)</f>
        <v>4.4999999999999929E-2</v>
      </c>
    </row>
    <row r="1061" spans="1:14">
      <c r="A1061" s="39" t="s">
        <v>1112</v>
      </c>
      <c r="B1061" s="40">
        <v>2.5328661525509899</v>
      </c>
      <c r="C1061" s="11">
        <v>3.355</v>
      </c>
      <c r="D1061" s="16">
        <f t="shared" si="112"/>
        <v>1</v>
      </c>
      <c r="E1061" s="16">
        <f t="shared" si="113"/>
        <v>0.2</v>
      </c>
      <c r="F1061" s="16">
        <f t="shared" si="114"/>
        <v>1</v>
      </c>
      <c r="G1061" s="16">
        <f t="shared" si="115"/>
        <v>0.50657323051019798</v>
      </c>
      <c r="H1061" s="16">
        <f t="shared" si="116"/>
        <v>0.2</v>
      </c>
      <c r="I1061" s="16">
        <f t="shared" si="117"/>
        <v>0</v>
      </c>
      <c r="J1061" s="16">
        <f t="shared" si="118"/>
        <v>0</v>
      </c>
      <c r="K1061" s="16">
        <f>IF(CurrentMtgRatesDataTable8[[#This Row],[WA CC]]&lt;&gt;0,C1060-CurrentMtgRatesDataTable8[[#This Row],[WA CC]],0)</f>
        <v>0</v>
      </c>
      <c r="L1061" s="16">
        <f>IF(CurrentMtgRatesDataTable8[[#This Row],[Servicing Spread]]&lt;=0,L1060,CurrentMtgRatesDataTable8[[#This Row],[Servicing Spread]])</f>
        <v>0.97208037975313788</v>
      </c>
      <c r="M1061" s="16">
        <f>CurrentMtgRatesDataTable8[[#This Row],[Servicing Spread Non-Zero]]-L1060</f>
        <v>0</v>
      </c>
      <c r="N1061" s="16">
        <f>IF(J1060&lt;&gt;0,CurrentMtgRatesDataTable8[[#This Row],[Rate]]-C1060,N1060)</f>
        <v>-0.10499999999999998</v>
      </c>
    </row>
    <row r="1062" spans="1:14">
      <c r="A1062" s="39" t="s">
        <v>1113</v>
      </c>
      <c r="B1062" s="40">
        <v>2.42238784637689</v>
      </c>
      <c r="C1062" s="11">
        <v>3.355</v>
      </c>
      <c r="D1062" s="16">
        <f t="shared" si="112"/>
        <v>2</v>
      </c>
      <c r="E1062" s="16">
        <f t="shared" si="113"/>
        <v>0.2</v>
      </c>
      <c r="F1062" s="16">
        <f t="shared" si="114"/>
        <v>2</v>
      </c>
      <c r="G1062" s="16">
        <f t="shared" si="115"/>
        <v>0.99105079978557598</v>
      </c>
      <c r="H1062" s="16">
        <f t="shared" si="116"/>
        <v>0.4</v>
      </c>
      <c r="I1062" s="16">
        <f t="shared" si="117"/>
        <v>0</v>
      </c>
      <c r="J1062" s="16">
        <f t="shared" si="118"/>
        <v>0</v>
      </c>
      <c r="K1062" s="16">
        <f>IF(CurrentMtgRatesDataTable8[[#This Row],[WA CC]]&lt;&gt;0,C1061-CurrentMtgRatesDataTable8[[#This Row],[WA CC]],0)</f>
        <v>0</v>
      </c>
      <c r="L1062" s="16">
        <f>IF(CurrentMtgRatesDataTable8[[#This Row],[Servicing Spread]]&lt;=0,L1061,CurrentMtgRatesDataTable8[[#This Row],[Servicing Spread]])</f>
        <v>0.97208037975313788</v>
      </c>
      <c r="M1062" s="16">
        <f>CurrentMtgRatesDataTable8[[#This Row],[Servicing Spread Non-Zero]]-L1061</f>
        <v>0</v>
      </c>
      <c r="N1062" s="16">
        <f>IF(J1061&lt;&gt;0,CurrentMtgRatesDataTable8[[#This Row],[Rate]]-C1061,N1061)</f>
        <v>-0.10499999999999998</v>
      </c>
    </row>
    <row r="1063" spans="1:14">
      <c r="A1063" s="39" t="s">
        <v>1114</v>
      </c>
      <c r="B1063" s="40">
        <v>2.28975271762293</v>
      </c>
      <c r="C1063" s="11">
        <v>3.355</v>
      </c>
      <c r="D1063" s="16">
        <f t="shared" si="112"/>
        <v>5</v>
      </c>
      <c r="E1063" s="16">
        <f t="shared" si="113"/>
        <v>0.2</v>
      </c>
      <c r="F1063" s="16">
        <f t="shared" si="114"/>
        <v>3</v>
      </c>
      <c r="G1063" s="16">
        <f t="shared" si="115"/>
        <v>1.4490013433101621</v>
      </c>
      <c r="H1063" s="16">
        <f t="shared" si="116"/>
        <v>0.60000000000000009</v>
      </c>
      <c r="I1063" s="16">
        <f t="shared" si="117"/>
        <v>0</v>
      </c>
      <c r="J1063" s="16">
        <f t="shared" si="118"/>
        <v>0</v>
      </c>
      <c r="K1063" s="16">
        <f>IF(CurrentMtgRatesDataTable8[[#This Row],[WA CC]]&lt;&gt;0,C1062-CurrentMtgRatesDataTable8[[#This Row],[WA CC]],0)</f>
        <v>0</v>
      </c>
      <c r="L1063" s="16">
        <f>IF(CurrentMtgRatesDataTable8[[#This Row],[Servicing Spread]]&lt;=0,L1062,CurrentMtgRatesDataTable8[[#This Row],[Servicing Spread]])</f>
        <v>0.97208037975313788</v>
      </c>
      <c r="M1063" s="16">
        <f>CurrentMtgRatesDataTable8[[#This Row],[Servicing Spread Non-Zero]]-L1062</f>
        <v>0</v>
      </c>
      <c r="N1063" s="16">
        <f>IF(J1062&lt;&gt;0,CurrentMtgRatesDataTable8[[#This Row],[Rate]]-C1062,N1062)</f>
        <v>-0.10499999999999998</v>
      </c>
    </row>
    <row r="1064" spans="1:14">
      <c r="A1064" s="39" t="s">
        <v>1115</v>
      </c>
      <c r="B1064" s="40">
        <v>2.2924928729045799</v>
      </c>
      <c r="C1064" s="11">
        <v>3.355</v>
      </c>
      <c r="D1064" s="16">
        <f t="shared" si="112"/>
        <v>6</v>
      </c>
      <c r="E1064" s="16">
        <f t="shared" si="113"/>
        <v>0.2</v>
      </c>
      <c r="F1064" s="16">
        <f t="shared" si="114"/>
        <v>4</v>
      </c>
      <c r="G1064" s="16">
        <f t="shared" si="115"/>
        <v>1.9074999178910781</v>
      </c>
      <c r="H1064" s="16">
        <f t="shared" si="116"/>
        <v>0.8</v>
      </c>
      <c r="I1064" s="16">
        <f t="shared" si="117"/>
        <v>0</v>
      </c>
      <c r="J1064" s="16">
        <f t="shared" si="118"/>
        <v>0</v>
      </c>
      <c r="K1064" s="16">
        <f>IF(CurrentMtgRatesDataTable8[[#This Row],[WA CC]]&lt;&gt;0,C1063-CurrentMtgRatesDataTable8[[#This Row],[WA CC]],0)</f>
        <v>0</v>
      </c>
      <c r="L1064" s="16">
        <f>IF(CurrentMtgRatesDataTable8[[#This Row],[Servicing Spread]]&lt;=0,L1063,CurrentMtgRatesDataTable8[[#This Row],[Servicing Spread]])</f>
        <v>0.97208037975313788</v>
      </c>
      <c r="M1064" s="16">
        <f>CurrentMtgRatesDataTable8[[#This Row],[Servicing Spread Non-Zero]]-L1063</f>
        <v>0</v>
      </c>
      <c r="N1064" s="16">
        <f>IF(J1063&lt;&gt;0,CurrentMtgRatesDataTable8[[#This Row],[Rate]]-C1063,N1063)</f>
        <v>-0.10499999999999998</v>
      </c>
    </row>
    <row r="1065" spans="1:14">
      <c r="A1065" s="39" t="s">
        <v>1116</v>
      </c>
      <c r="B1065" s="40">
        <v>2.2865529695176998</v>
      </c>
      <c r="C1065" s="11">
        <v>3.355</v>
      </c>
      <c r="D1065" s="16">
        <f t="shared" si="112"/>
        <v>7</v>
      </c>
      <c r="E1065" s="16">
        <f t="shared" si="113"/>
        <v>0.2</v>
      </c>
      <c r="F1065" s="16">
        <f t="shared" si="114"/>
        <v>5</v>
      </c>
      <c r="G1065" s="16">
        <f t="shared" si="115"/>
        <v>2.3648105117946181</v>
      </c>
      <c r="H1065" s="16">
        <f t="shared" si="116"/>
        <v>1</v>
      </c>
      <c r="I1065" s="16">
        <f t="shared" si="117"/>
        <v>1</v>
      </c>
      <c r="J1065" s="16">
        <f t="shared" si="118"/>
        <v>2.3648105117946181</v>
      </c>
      <c r="K1065" s="16">
        <f>IF(CurrentMtgRatesDataTable8[[#This Row],[WA CC]]&lt;&gt;0,C1064-CurrentMtgRatesDataTable8[[#This Row],[WA CC]],0)</f>
        <v>0.99018948820538188</v>
      </c>
      <c r="L1065" s="16">
        <f>IF(CurrentMtgRatesDataTable8[[#This Row],[Servicing Spread]]&lt;=0,L1064,CurrentMtgRatesDataTable8[[#This Row],[Servicing Spread]])</f>
        <v>0.99018948820538188</v>
      </c>
      <c r="M1065" s="16">
        <f>CurrentMtgRatesDataTable8[[#This Row],[Servicing Spread Non-Zero]]-L1064</f>
        <v>1.8109108452244005E-2</v>
      </c>
      <c r="N1065" s="16">
        <f>IF(J1064&lt;&gt;0,CurrentMtgRatesDataTable8[[#This Row],[Rate]]-C1064,N1064)</f>
        <v>-0.10499999999999998</v>
      </c>
    </row>
    <row r="1066" spans="1:14">
      <c r="A1066" s="59" t="s">
        <v>1117</v>
      </c>
      <c r="B1066" s="60">
        <v>2.2474863691242</v>
      </c>
      <c r="C1066" s="61">
        <v>3.2850000000000001</v>
      </c>
      <c r="D1066" s="62">
        <f t="shared" si="112"/>
        <v>1</v>
      </c>
      <c r="E1066" s="62">
        <f t="shared" si="113"/>
        <v>0.2</v>
      </c>
      <c r="F1066" s="62">
        <f t="shared" si="114"/>
        <v>1</v>
      </c>
      <c r="G1066" s="62">
        <f t="shared" si="115"/>
        <v>0.44949727382484</v>
      </c>
      <c r="H1066" s="62">
        <f t="shared" si="116"/>
        <v>0.2</v>
      </c>
      <c r="I1066" s="62">
        <f t="shared" si="117"/>
        <v>0</v>
      </c>
      <c r="J1066" s="62">
        <f t="shared" si="118"/>
        <v>0</v>
      </c>
      <c r="K1066" s="62">
        <f>IF(CurrentMtgRatesDataTable8[[#This Row],[WA CC]]&lt;&gt;0,C1065-CurrentMtgRatesDataTable8[[#This Row],[WA CC]],0)</f>
        <v>0</v>
      </c>
      <c r="L1066" s="62">
        <f>IF(CurrentMtgRatesDataTable8[[#This Row],[Servicing Spread]]&lt;=0,L1065,CurrentMtgRatesDataTable8[[#This Row],[Servicing Spread]])</f>
        <v>0.99018948820538188</v>
      </c>
      <c r="M1066" s="62">
        <f>CurrentMtgRatesDataTable8[[#This Row],[Servicing Spread Non-Zero]]-L1065</f>
        <v>0</v>
      </c>
      <c r="N1066" s="62">
        <f>IF(J1065&lt;&gt;0,CurrentMtgRatesDataTable8[[#This Row],[Rate]]-C1065,N1065)</f>
        <v>-6.999999999999984E-2</v>
      </c>
    </row>
    <row r="1067" spans="1:14">
      <c r="A1067" s="59" t="s">
        <v>1118</v>
      </c>
      <c r="B1067" s="60">
        <v>2.2397995226071998</v>
      </c>
      <c r="C1067" s="61">
        <v>3.2850000000000001</v>
      </c>
      <c r="D1067" s="62">
        <f t="shared" si="112"/>
        <v>2</v>
      </c>
      <c r="E1067" s="62">
        <f t="shared" si="113"/>
        <v>0.2</v>
      </c>
      <c r="F1067" s="62">
        <f t="shared" si="114"/>
        <v>2</v>
      </c>
      <c r="G1067" s="62">
        <f t="shared" si="115"/>
        <v>0.89745717834627992</v>
      </c>
      <c r="H1067" s="62">
        <f t="shared" si="116"/>
        <v>0.4</v>
      </c>
      <c r="I1067" s="62">
        <f t="shared" si="117"/>
        <v>0</v>
      </c>
      <c r="J1067" s="62">
        <f t="shared" si="118"/>
        <v>0</v>
      </c>
      <c r="K1067" s="62">
        <f>IF(CurrentMtgRatesDataTable8[[#This Row],[WA CC]]&lt;&gt;0,C1066-CurrentMtgRatesDataTable8[[#This Row],[WA CC]],0)</f>
        <v>0</v>
      </c>
      <c r="L1067" s="62">
        <f>IF(CurrentMtgRatesDataTable8[[#This Row],[Servicing Spread]]&lt;=0,L1066,CurrentMtgRatesDataTable8[[#This Row],[Servicing Spread]])</f>
        <v>0.99018948820538188</v>
      </c>
      <c r="M1067" s="62">
        <f>CurrentMtgRatesDataTable8[[#This Row],[Servicing Spread Non-Zero]]-L1066</f>
        <v>0</v>
      </c>
      <c r="N1067" s="62">
        <f>IF(J1066&lt;&gt;0,CurrentMtgRatesDataTable8[[#This Row],[Rate]]-C1066,N1066)</f>
        <v>-6.999999999999984E-2</v>
      </c>
    </row>
    <row r="1068" spans="1:14">
      <c r="A1068" s="59" t="s">
        <v>1119</v>
      </c>
      <c r="B1068" s="60">
        <v>2.1596234413025202</v>
      </c>
      <c r="C1068" s="61">
        <v>3.2850000000000001</v>
      </c>
      <c r="D1068" s="62">
        <f t="shared" si="112"/>
        <v>6</v>
      </c>
      <c r="E1068" s="62">
        <f t="shared" si="113"/>
        <v>0.2</v>
      </c>
      <c r="F1068" s="62">
        <f t="shared" si="114"/>
        <v>3</v>
      </c>
      <c r="G1068" s="62">
        <f t="shared" si="115"/>
        <v>1.329381866606784</v>
      </c>
      <c r="H1068" s="62">
        <f t="shared" si="116"/>
        <v>0.60000000000000009</v>
      </c>
      <c r="I1068" s="62">
        <f t="shared" si="117"/>
        <v>0</v>
      </c>
      <c r="J1068" s="62">
        <f t="shared" si="118"/>
        <v>0</v>
      </c>
      <c r="K1068" s="62">
        <f>IF(CurrentMtgRatesDataTable8[[#This Row],[WA CC]]&lt;&gt;0,C1067-CurrentMtgRatesDataTable8[[#This Row],[WA CC]],0)</f>
        <v>0</v>
      </c>
      <c r="L1068" s="62">
        <f>IF(CurrentMtgRatesDataTable8[[#This Row],[Servicing Spread]]&lt;=0,L1067,CurrentMtgRatesDataTable8[[#This Row],[Servicing Spread]])</f>
        <v>0.99018948820538188</v>
      </c>
      <c r="M1068" s="62">
        <f>CurrentMtgRatesDataTable8[[#This Row],[Servicing Spread Non-Zero]]-L1067</f>
        <v>0</v>
      </c>
      <c r="N1068" s="62">
        <f>IF(J1067&lt;&gt;0,CurrentMtgRatesDataTable8[[#This Row],[Rate]]-C1067,N1067)</f>
        <v>-6.999999999999984E-2</v>
      </c>
    </row>
    <row r="1069" spans="1:14">
      <c r="A1069" s="59" t="s">
        <v>1120</v>
      </c>
      <c r="B1069" s="60">
        <v>2.19882717699562</v>
      </c>
      <c r="C1069" s="61">
        <v>3.2850000000000001</v>
      </c>
      <c r="D1069" s="62">
        <f t="shared" si="112"/>
        <v>7</v>
      </c>
      <c r="E1069" s="62">
        <f t="shared" si="113"/>
        <v>0.2</v>
      </c>
      <c r="F1069" s="62">
        <f t="shared" si="114"/>
        <v>4</v>
      </c>
      <c r="G1069" s="62">
        <f t="shared" si="115"/>
        <v>1.7691473020059081</v>
      </c>
      <c r="H1069" s="62">
        <f t="shared" si="116"/>
        <v>0.8</v>
      </c>
      <c r="I1069" s="62">
        <f t="shared" si="117"/>
        <v>1</v>
      </c>
      <c r="J1069" s="62">
        <f t="shared" si="118"/>
        <v>2.2114341275073848</v>
      </c>
      <c r="K1069" s="62">
        <f>IF(CurrentMtgRatesDataTable8[[#This Row],[WA CC]]&lt;&gt;0,C1068-CurrentMtgRatesDataTable8[[#This Row],[WA CC]],0)</f>
        <v>1.0735658724926154</v>
      </c>
      <c r="L1069" s="62">
        <f>IF(CurrentMtgRatesDataTable8[[#This Row],[Servicing Spread]]&lt;=0,L1068,CurrentMtgRatesDataTable8[[#This Row],[Servicing Spread]])</f>
        <v>1.0735658724926154</v>
      </c>
      <c r="M1069" s="62">
        <f>CurrentMtgRatesDataTable8[[#This Row],[Servicing Spread Non-Zero]]-L1068</f>
        <v>8.3376384287233485E-2</v>
      </c>
      <c r="N1069" s="62">
        <f>IF(J1068&lt;&gt;0,CurrentMtgRatesDataTable8[[#This Row],[Rate]]-C1068,N1068)</f>
        <v>-6.999999999999984E-2</v>
      </c>
    </row>
    <row r="1070" spans="1:14">
      <c r="A1070" s="59" t="s">
        <v>1121</v>
      </c>
      <c r="B1070" s="60">
        <v>2.2327355208775002</v>
      </c>
      <c r="C1070" s="61">
        <v>3.2949999999999999</v>
      </c>
      <c r="D1070" s="62">
        <f t="shared" si="112"/>
        <v>1</v>
      </c>
      <c r="E1070" s="62">
        <f t="shared" si="113"/>
        <v>0.2</v>
      </c>
      <c r="F1070" s="62">
        <f t="shared" si="114"/>
        <v>1</v>
      </c>
      <c r="G1070" s="62">
        <f t="shared" si="115"/>
        <v>0.44654710417550003</v>
      </c>
      <c r="H1070" s="62">
        <f t="shared" si="116"/>
        <v>0.2</v>
      </c>
      <c r="I1070" s="62">
        <f t="shared" si="117"/>
        <v>0</v>
      </c>
      <c r="J1070" s="62">
        <f t="shared" si="118"/>
        <v>0</v>
      </c>
      <c r="K1070" s="62">
        <f>IF(CurrentMtgRatesDataTable8[[#This Row],[WA CC]]&lt;&gt;0,C1069-CurrentMtgRatesDataTable8[[#This Row],[WA CC]],0)</f>
        <v>0</v>
      </c>
      <c r="L1070" s="62">
        <f>IF(CurrentMtgRatesDataTable8[[#This Row],[Servicing Spread]]&lt;=0,L1069,CurrentMtgRatesDataTable8[[#This Row],[Servicing Spread]])</f>
        <v>1.0735658724926154</v>
      </c>
      <c r="M1070" s="62">
        <f>CurrentMtgRatesDataTable8[[#This Row],[Servicing Spread Non-Zero]]-L1069</f>
        <v>0</v>
      </c>
      <c r="N1070" s="62">
        <f>IF(J1069&lt;&gt;0,CurrentMtgRatesDataTable8[[#This Row],[Rate]]-C1069,N1069)</f>
        <v>9.9999999999997868E-3</v>
      </c>
    </row>
    <row r="1071" spans="1:14">
      <c r="A1071" s="59" t="s">
        <v>1122</v>
      </c>
      <c r="B1071" s="60">
        <v>2.22171317291324</v>
      </c>
      <c r="C1071" s="61">
        <v>3.2949999999999999</v>
      </c>
      <c r="D1071" s="62">
        <f t="shared" si="112"/>
        <v>2</v>
      </c>
      <c r="E1071" s="62">
        <f t="shared" si="113"/>
        <v>0.2</v>
      </c>
      <c r="F1071" s="62">
        <f t="shared" si="114"/>
        <v>2</v>
      </c>
      <c r="G1071" s="62">
        <f t="shared" si="115"/>
        <v>0.89088973875814803</v>
      </c>
      <c r="H1071" s="62">
        <f t="shared" si="116"/>
        <v>0.4</v>
      </c>
      <c r="I1071" s="62">
        <f t="shared" si="117"/>
        <v>0</v>
      </c>
      <c r="J1071" s="62">
        <f t="shared" si="118"/>
        <v>0</v>
      </c>
      <c r="K1071" s="62">
        <f>IF(CurrentMtgRatesDataTable8[[#This Row],[WA CC]]&lt;&gt;0,C1070-CurrentMtgRatesDataTable8[[#This Row],[WA CC]],0)</f>
        <v>0</v>
      </c>
      <c r="L1071" s="62">
        <f>IF(CurrentMtgRatesDataTable8[[#This Row],[Servicing Spread]]&lt;=0,L1070,CurrentMtgRatesDataTable8[[#This Row],[Servicing Spread]])</f>
        <v>1.0735658724926154</v>
      </c>
      <c r="M1071" s="62">
        <f>CurrentMtgRatesDataTable8[[#This Row],[Servicing Spread Non-Zero]]-L1070</f>
        <v>0</v>
      </c>
      <c r="N1071" s="62">
        <f>IF(J1070&lt;&gt;0,CurrentMtgRatesDataTable8[[#This Row],[Rate]]-C1070,N1070)</f>
        <v>9.9999999999997868E-3</v>
      </c>
    </row>
    <row r="1072" spans="1:14">
      <c r="A1072" s="59" t="s">
        <v>1123</v>
      </c>
      <c r="B1072" s="60">
        <v>2.2498836736013899</v>
      </c>
      <c r="C1072" s="61">
        <v>3.2949999999999999</v>
      </c>
      <c r="D1072" s="62">
        <f t="shared" si="112"/>
        <v>5</v>
      </c>
      <c r="E1072" s="62">
        <f t="shared" si="113"/>
        <v>0.2</v>
      </c>
      <c r="F1072" s="62">
        <f t="shared" si="114"/>
        <v>3</v>
      </c>
      <c r="G1072" s="62">
        <f t="shared" si="115"/>
        <v>1.3408664734784259</v>
      </c>
      <c r="H1072" s="62">
        <f t="shared" si="116"/>
        <v>0.60000000000000009</v>
      </c>
      <c r="I1072" s="62">
        <f t="shared" si="117"/>
        <v>0</v>
      </c>
      <c r="J1072" s="62">
        <f t="shared" si="118"/>
        <v>0</v>
      </c>
      <c r="K1072" s="62">
        <f>IF(CurrentMtgRatesDataTable8[[#This Row],[WA CC]]&lt;&gt;0,C1071-CurrentMtgRatesDataTable8[[#This Row],[WA CC]],0)</f>
        <v>0</v>
      </c>
      <c r="L1072" s="62">
        <f>IF(CurrentMtgRatesDataTable8[[#This Row],[Servicing Spread]]&lt;=0,L1071,CurrentMtgRatesDataTable8[[#This Row],[Servicing Spread]])</f>
        <v>1.0735658724926154</v>
      </c>
      <c r="M1072" s="62">
        <f>CurrentMtgRatesDataTable8[[#This Row],[Servicing Spread Non-Zero]]-L1071</f>
        <v>0</v>
      </c>
      <c r="N1072" s="62">
        <f>IF(J1071&lt;&gt;0,CurrentMtgRatesDataTable8[[#This Row],[Rate]]-C1071,N1071)</f>
        <v>9.9999999999997868E-3</v>
      </c>
    </row>
    <row r="1073" spans="1:14">
      <c r="A1073" s="59" t="s">
        <v>1124</v>
      </c>
      <c r="B1073" s="60">
        <v>2.3035973514028201</v>
      </c>
      <c r="C1073" s="61">
        <v>3.2949999999999999</v>
      </c>
      <c r="D1073" s="62">
        <f t="shared" si="112"/>
        <v>6</v>
      </c>
      <c r="E1073" s="62">
        <f t="shared" si="113"/>
        <v>0.2</v>
      </c>
      <c r="F1073" s="62">
        <f t="shared" si="114"/>
        <v>4</v>
      </c>
      <c r="G1073" s="62">
        <f t="shared" si="115"/>
        <v>1.8015859437589898</v>
      </c>
      <c r="H1073" s="62">
        <f t="shared" si="116"/>
        <v>0.8</v>
      </c>
      <c r="I1073" s="62">
        <f t="shared" si="117"/>
        <v>0</v>
      </c>
      <c r="J1073" s="62">
        <f t="shared" si="118"/>
        <v>0</v>
      </c>
      <c r="K1073" s="62">
        <f>IF(CurrentMtgRatesDataTable8[[#This Row],[WA CC]]&lt;&gt;0,C1072-CurrentMtgRatesDataTable8[[#This Row],[WA CC]],0)</f>
        <v>0</v>
      </c>
      <c r="L1073" s="62">
        <f>IF(CurrentMtgRatesDataTable8[[#This Row],[Servicing Spread]]&lt;=0,L1072,CurrentMtgRatesDataTable8[[#This Row],[Servicing Spread]])</f>
        <v>1.0735658724926154</v>
      </c>
      <c r="M1073" s="62">
        <f>CurrentMtgRatesDataTable8[[#This Row],[Servicing Spread Non-Zero]]-L1072</f>
        <v>0</v>
      </c>
      <c r="N1073" s="62">
        <f>IF(J1072&lt;&gt;0,CurrentMtgRatesDataTable8[[#This Row],[Rate]]-C1072,N1072)</f>
        <v>9.9999999999997868E-3</v>
      </c>
    </row>
    <row r="1074" spans="1:14">
      <c r="A1074" s="59" t="s">
        <v>1125</v>
      </c>
      <c r="B1074" s="60">
        <v>2.2780835111266402</v>
      </c>
      <c r="C1074" s="61">
        <v>3.2949999999999999</v>
      </c>
      <c r="D1074" s="62">
        <f t="shared" si="112"/>
        <v>7</v>
      </c>
      <c r="E1074" s="62">
        <f t="shared" si="113"/>
        <v>0.2</v>
      </c>
      <c r="F1074" s="62">
        <f t="shared" si="114"/>
        <v>5</v>
      </c>
      <c r="G1074" s="62">
        <f t="shared" si="115"/>
        <v>2.257202645984318</v>
      </c>
      <c r="H1074" s="62">
        <f t="shared" si="116"/>
        <v>1</v>
      </c>
      <c r="I1074" s="62">
        <f t="shared" si="117"/>
        <v>1</v>
      </c>
      <c r="J1074" s="62">
        <f t="shared" si="118"/>
        <v>2.257202645984318</v>
      </c>
      <c r="K1074" s="62">
        <f>IF(CurrentMtgRatesDataTable8[[#This Row],[WA CC]]&lt;&gt;0,C1073-CurrentMtgRatesDataTable8[[#This Row],[WA CC]],0)</f>
        <v>1.037797354015682</v>
      </c>
      <c r="L1074" s="62">
        <f>IF(CurrentMtgRatesDataTable8[[#This Row],[Servicing Spread]]&lt;=0,L1073,CurrentMtgRatesDataTable8[[#This Row],[Servicing Spread]])</f>
        <v>1.037797354015682</v>
      </c>
      <c r="M1074" s="62">
        <f>CurrentMtgRatesDataTable8[[#This Row],[Servicing Spread Non-Zero]]-L1073</f>
        <v>-3.5768518476933409E-2</v>
      </c>
      <c r="N1074" s="62">
        <f>IF(J1073&lt;&gt;0,CurrentMtgRatesDataTable8[[#This Row],[Rate]]-C1073,N1073)</f>
        <v>9.9999999999997868E-3</v>
      </c>
    </row>
    <row r="1075" spans="1:14">
      <c r="A1075" s="59" t="s">
        <v>1126</v>
      </c>
      <c r="B1075" s="60">
        <v>2.3132728669173401</v>
      </c>
      <c r="C1075" s="61">
        <v>3.3250000000000002</v>
      </c>
      <c r="D1075" s="62">
        <f t="shared" si="112"/>
        <v>1</v>
      </c>
      <c r="E1075" s="62">
        <f t="shared" si="113"/>
        <v>0.2</v>
      </c>
      <c r="F1075" s="62">
        <f t="shared" si="114"/>
        <v>1</v>
      </c>
      <c r="G1075" s="62">
        <f t="shared" si="115"/>
        <v>0.46265457338346805</v>
      </c>
      <c r="H1075" s="62">
        <f t="shared" si="116"/>
        <v>0.2</v>
      </c>
      <c r="I1075" s="62">
        <f t="shared" si="117"/>
        <v>0</v>
      </c>
      <c r="J1075" s="62">
        <f t="shared" si="118"/>
        <v>0</v>
      </c>
      <c r="K1075" s="62">
        <f>IF(CurrentMtgRatesDataTable8[[#This Row],[WA CC]]&lt;&gt;0,C1074-CurrentMtgRatesDataTable8[[#This Row],[WA CC]],0)</f>
        <v>0</v>
      </c>
      <c r="L1075" s="62">
        <f>IF(CurrentMtgRatesDataTable8[[#This Row],[Servicing Spread]]&lt;=0,L1074,CurrentMtgRatesDataTable8[[#This Row],[Servicing Spread]])</f>
        <v>1.037797354015682</v>
      </c>
      <c r="M1075" s="62">
        <f>CurrentMtgRatesDataTable8[[#This Row],[Servicing Spread Non-Zero]]-L1074</f>
        <v>0</v>
      </c>
      <c r="N1075" s="62">
        <f>IF(J1074&lt;&gt;0,CurrentMtgRatesDataTable8[[#This Row],[Rate]]-C1074,N1074)</f>
        <v>3.0000000000000249E-2</v>
      </c>
    </row>
    <row r="1076" spans="1:14">
      <c r="A1076" s="59" t="s">
        <v>1127</v>
      </c>
      <c r="B1076" s="60">
        <v>2.3587572487332702</v>
      </c>
      <c r="C1076" s="61">
        <v>3.3250000000000002</v>
      </c>
      <c r="D1076" s="62">
        <f t="shared" si="112"/>
        <v>2</v>
      </c>
      <c r="E1076" s="62">
        <f t="shared" si="113"/>
        <v>0.2</v>
      </c>
      <c r="F1076" s="62">
        <f t="shared" si="114"/>
        <v>2</v>
      </c>
      <c r="G1076" s="62">
        <f t="shared" si="115"/>
        <v>0.93440602313012211</v>
      </c>
      <c r="H1076" s="62">
        <f t="shared" si="116"/>
        <v>0.4</v>
      </c>
      <c r="I1076" s="62">
        <f t="shared" si="117"/>
        <v>0</v>
      </c>
      <c r="J1076" s="62">
        <f t="shared" si="118"/>
        <v>0</v>
      </c>
      <c r="K1076" s="62">
        <f>IF(CurrentMtgRatesDataTable8[[#This Row],[WA CC]]&lt;&gt;0,C1075-CurrentMtgRatesDataTable8[[#This Row],[WA CC]],0)</f>
        <v>0</v>
      </c>
      <c r="L1076" s="62">
        <f>IF(CurrentMtgRatesDataTable8[[#This Row],[Servicing Spread]]&lt;=0,L1075,CurrentMtgRatesDataTable8[[#This Row],[Servicing Spread]])</f>
        <v>1.037797354015682</v>
      </c>
      <c r="M1076" s="62">
        <f>CurrentMtgRatesDataTable8[[#This Row],[Servicing Spread Non-Zero]]-L1075</f>
        <v>0</v>
      </c>
      <c r="N1076" s="62">
        <f>IF(J1075&lt;&gt;0,CurrentMtgRatesDataTable8[[#This Row],[Rate]]-C1075,N1075)</f>
        <v>3.0000000000000249E-2</v>
      </c>
    </row>
    <row r="1077" spans="1:14">
      <c r="A1077" s="59" t="s">
        <v>1128</v>
      </c>
      <c r="B1077" s="60">
        <v>2.3547084525242998</v>
      </c>
      <c r="C1077" s="61">
        <v>3.3250000000000002</v>
      </c>
      <c r="D1077" s="62">
        <f t="shared" si="112"/>
        <v>5</v>
      </c>
      <c r="E1077" s="62">
        <f t="shared" si="113"/>
        <v>0.2</v>
      </c>
      <c r="F1077" s="62">
        <f t="shared" si="114"/>
        <v>3</v>
      </c>
      <c r="G1077" s="62">
        <f t="shared" si="115"/>
        <v>1.4053477136349821</v>
      </c>
      <c r="H1077" s="62">
        <f t="shared" si="116"/>
        <v>0.60000000000000009</v>
      </c>
      <c r="I1077" s="62">
        <f t="shared" si="117"/>
        <v>0</v>
      </c>
      <c r="J1077" s="62">
        <f t="shared" si="118"/>
        <v>0</v>
      </c>
      <c r="K1077" s="62">
        <f>IF(CurrentMtgRatesDataTable8[[#This Row],[WA CC]]&lt;&gt;0,C1076-CurrentMtgRatesDataTable8[[#This Row],[WA CC]],0)</f>
        <v>0</v>
      </c>
      <c r="L1077" s="62">
        <f>IF(CurrentMtgRatesDataTable8[[#This Row],[Servicing Spread]]&lt;=0,L1076,CurrentMtgRatesDataTable8[[#This Row],[Servicing Spread]])</f>
        <v>1.037797354015682</v>
      </c>
      <c r="M1077" s="62">
        <f>CurrentMtgRatesDataTable8[[#This Row],[Servicing Spread Non-Zero]]-L1076</f>
        <v>0</v>
      </c>
      <c r="N1077" s="62">
        <f>IF(J1076&lt;&gt;0,CurrentMtgRatesDataTable8[[#This Row],[Rate]]-C1076,N1076)</f>
        <v>3.0000000000000249E-2</v>
      </c>
    </row>
    <row r="1078" spans="1:14">
      <c r="A1078" s="59" t="s">
        <v>1129</v>
      </c>
      <c r="B1078" s="60">
        <v>2.3280330351195899</v>
      </c>
      <c r="C1078" s="61">
        <v>3.3250000000000002</v>
      </c>
      <c r="D1078" s="62">
        <f t="shared" si="112"/>
        <v>6</v>
      </c>
      <c r="E1078" s="62">
        <f t="shared" si="113"/>
        <v>0.2</v>
      </c>
      <c r="F1078" s="62">
        <f t="shared" si="114"/>
        <v>4</v>
      </c>
      <c r="G1078" s="62">
        <f t="shared" si="115"/>
        <v>1.8709543206589001</v>
      </c>
      <c r="H1078" s="62">
        <f t="shared" si="116"/>
        <v>0.8</v>
      </c>
      <c r="I1078" s="62">
        <f t="shared" si="117"/>
        <v>0</v>
      </c>
      <c r="J1078" s="62">
        <f t="shared" si="118"/>
        <v>0</v>
      </c>
      <c r="K1078" s="62">
        <f>IF(CurrentMtgRatesDataTable8[[#This Row],[WA CC]]&lt;&gt;0,C1077-CurrentMtgRatesDataTable8[[#This Row],[WA CC]],0)</f>
        <v>0</v>
      </c>
      <c r="L1078" s="62">
        <f>IF(CurrentMtgRatesDataTable8[[#This Row],[Servicing Spread]]&lt;=0,L1077,CurrentMtgRatesDataTable8[[#This Row],[Servicing Spread]])</f>
        <v>1.037797354015682</v>
      </c>
      <c r="M1078" s="62">
        <f>CurrentMtgRatesDataTable8[[#This Row],[Servicing Spread Non-Zero]]-L1077</f>
        <v>0</v>
      </c>
      <c r="N1078" s="62">
        <f>IF(J1077&lt;&gt;0,CurrentMtgRatesDataTable8[[#This Row],[Rate]]-C1077,N1077)</f>
        <v>3.0000000000000249E-2</v>
      </c>
    </row>
    <row r="1079" spans="1:14">
      <c r="A1079" s="59" t="s">
        <v>1130</v>
      </c>
      <c r="B1079" s="60">
        <v>2.34677807026147</v>
      </c>
      <c r="C1079" s="61">
        <v>3.3250000000000002</v>
      </c>
      <c r="D1079" s="62">
        <f t="shared" si="112"/>
        <v>7</v>
      </c>
      <c r="E1079" s="62">
        <f t="shared" si="113"/>
        <v>0.2</v>
      </c>
      <c r="F1079" s="62">
        <f t="shared" si="114"/>
        <v>5</v>
      </c>
      <c r="G1079" s="62">
        <f t="shared" si="115"/>
        <v>2.3403099347111942</v>
      </c>
      <c r="H1079" s="62">
        <f t="shared" si="116"/>
        <v>1</v>
      </c>
      <c r="I1079" s="62">
        <f t="shared" si="117"/>
        <v>1</v>
      </c>
      <c r="J1079" s="62">
        <f t="shared" si="118"/>
        <v>2.3403099347111942</v>
      </c>
      <c r="K1079" s="62">
        <f>IF(CurrentMtgRatesDataTable8[[#This Row],[WA CC]]&lt;&gt;0,C1078-CurrentMtgRatesDataTable8[[#This Row],[WA CC]],0)</f>
        <v>0.98469006528880598</v>
      </c>
      <c r="L1079" s="62">
        <f>IF(CurrentMtgRatesDataTable8[[#This Row],[Servicing Spread]]&lt;=0,L1078,CurrentMtgRatesDataTable8[[#This Row],[Servicing Spread]])</f>
        <v>0.98469006528880598</v>
      </c>
      <c r="M1079" s="62">
        <f>CurrentMtgRatesDataTable8[[#This Row],[Servicing Spread Non-Zero]]-L1078</f>
        <v>-5.3107288726875979E-2</v>
      </c>
      <c r="N1079" s="62">
        <f>IF(J1078&lt;&gt;0,CurrentMtgRatesDataTable8[[#This Row],[Rate]]-C1078,N1078)</f>
        <v>3.0000000000000249E-2</v>
      </c>
    </row>
    <row r="1080" spans="1:14">
      <c r="A1080" s="59" t="s">
        <v>1131</v>
      </c>
      <c r="B1080" s="60">
        <v>2.3508657378420699</v>
      </c>
      <c r="C1080" s="61">
        <v>3.355</v>
      </c>
      <c r="D1080" s="62">
        <f t="shared" si="112"/>
        <v>1</v>
      </c>
      <c r="E1080" s="62">
        <f t="shared" si="113"/>
        <v>0.2</v>
      </c>
      <c r="F1080" s="62">
        <f t="shared" si="114"/>
        <v>1</v>
      </c>
      <c r="G1080" s="62">
        <f t="shared" si="115"/>
        <v>0.470173147568414</v>
      </c>
      <c r="H1080" s="62">
        <f t="shared" si="116"/>
        <v>0.2</v>
      </c>
      <c r="I1080" s="62">
        <f t="shared" si="117"/>
        <v>0</v>
      </c>
      <c r="J1080" s="62">
        <f t="shared" si="118"/>
        <v>0</v>
      </c>
      <c r="K1080" s="62">
        <f>IF(CurrentMtgRatesDataTable8[[#This Row],[WA CC]]&lt;&gt;0,C1079-CurrentMtgRatesDataTable8[[#This Row],[WA CC]],0)</f>
        <v>0</v>
      </c>
      <c r="L1080" s="62">
        <f>IF(CurrentMtgRatesDataTable8[[#This Row],[Servicing Spread]]&lt;=0,L1079,CurrentMtgRatesDataTable8[[#This Row],[Servicing Spread]])</f>
        <v>0.98469006528880598</v>
      </c>
      <c r="M1080" s="62">
        <f>CurrentMtgRatesDataTable8[[#This Row],[Servicing Spread Non-Zero]]-L1079</f>
        <v>0</v>
      </c>
      <c r="N1080" s="62">
        <f>IF(J1079&lt;&gt;0,CurrentMtgRatesDataTable8[[#This Row],[Rate]]-C1079,N1079)</f>
        <v>2.9999999999999805E-2</v>
      </c>
    </row>
    <row r="1081" spans="1:14">
      <c r="A1081" s="59" t="s">
        <v>1132</v>
      </c>
      <c r="B1081" s="60">
        <v>2.3723679310859498</v>
      </c>
      <c r="C1081" s="61">
        <v>3.355</v>
      </c>
      <c r="D1081" s="62">
        <f t="shared" si="112"/>
        <v>2</v>
      </c>
      <c r="E1081" s="62">
        <f t="shared" si="113"/>
        <v>0.2</v>
      </c>
      <c r="F1081" s="62">
        <f t="shared" si="114"/>
        <v>2</v>
      </c>
      <c r="G1081" s="62">
        <f t="shared" si="115"/>
        <v>0.94464673378560393</v>
      </c>
      <c r="H1081" s="62">
        <f t="shared" si="116"/>
        <v>0.4</v>
      </c>
      <c r="I1081" s="62">
        <f t="shared" si="117"/>
        <v>0</v>
      </c>
      <c r="J1081" s="62">
        <f t="shared" si="118"/>
        <v>0</v>
      </c>
      <c r="K1081" s="62">
        <f>IF(CurrentMtgRatesDataTable8[[#This Row],[WA CC]]&lt;&gt;0,C1080-CurrentMtgRatesDataTable8[[#This Row],[WA CC]],0)</f>
        <v>0</v>
      </c>
      <c r="L1081" s="62">
        <f>IF(CurrentMtgRatesDataTable8[[#This Row],[Servicing Spread]]&lt;=0,L1080,CurrentMtgRatesDataTable8[[#This Row],[Servicing Spread]])</f>
        <v>0.98469006528880598</v>
      </c>
      <c r="M1081" s="62">
        <f>CurrentMtgRatesDataTable8[[#This Row],[Servicing Spread Non-Zero]]-L1080</f>
        <v>0</v>
      </c>
      <c r="N1081" s="62">
        <f>IF(J1080&lt;&gt;0,CurrentMtgRatesDataTable8[[#This Row],[Rate]]-C1080,N1080)</f>
        <v>2.9999999999999805E-2</v>
      </c>
    </row>
    <row r="1082" spans="1:14">
      <c r="A1082" s="59" t="s">
        <v>1133</v>
      </c>
      <c r="B1082" s="60">
        <v>2.3827340297619202</v>
      </c>
      <c r="C1082" s="61">
        <v>3.355</v>
      </c>
      <c r="D1082" s="62">
        <f t="shared" si="112"/>
        <v>5</v>
      </c>
      <c r="E1082" s="62">
        <f t="shared" si="113"/>
        <v>0.2</v>
      </c>
      <c r="F1082" s="62">
        <f t="shared" si="114"/>
        <v>3</v>
      </c>
      <c r="G1082" s="62">
        <f t="shared" si="115"/>
        <v>1.421193539737988</v>
      </c>
      <c r="H1082" s="62">
        <f t="shared" si="116"/>
        <v>0.60000000000000009</v>
      </c>
      <c r="I1082" s="62">
        <f t="shared" si="117"/>
        <v>0</v>
      </c>
      <c r="J1082" s="62">
        <f t="shared" si="118"/>
        <v>0</v>
      </c>
      <c r="K1082" s="62">
        <f>IF(CurrentMtgRatesDataTable8[[#This Row],[WA CC]]&lt;&gt;0,C1081-CurrentMtgRatesDataTable8[[#This Row],[WA CC]],0)</f>
        <v>0</v>
      </c>
      <c r="L1082" s="62">
        <f>IF(CurrentMtgRatesDataTable8[[#This Row],[Servicing Spread]]&lt;=0,L1081,CurrentMtgRatesDataTable8[[#This Row],[Servicing Spread]])</f>
        <v>0.98469006528880598</v>
      </c>
      <c r="M1082" s="62">
        <f>CurrentMtgRatesDataTable8[[#This Row],[Servicing Spread Non-Zero]]-L1081</f>
        <v>0</v>
      </c>
      <c r="N1082" s="62">
        <f>IF(J1081&lt;&gt;0,CurrentMtgRatesDataTable8[[#This Row],[Rate]]-C1081,N1081)</f>
        <v>2.9999999999999805E-2</v>
      </c>
    </row>
    <row r="1083" spans="1:14">
      <c r="A1083" s="59" t="s">
        <v>1134</v>
      </c>
      <c r="B1083" s="60">
        <v>2.3913145424010498</v>
      </c>
      <c r="C1083" s="61">
        <v>3.355</v>
      </c>
      <c r="D1083" s="62">
        <f t="shared" si="112"/>
        <v>6</v>
      </c>
      <c r="E1083" s="62">
        <f t="shared" si="113"/>
        <v>0.2</v>
      </c>
      <c r="F1083" s="62">
        <f t="shared" si="114"/>
        <v>4</v>
      </c>
      <c r="G1083" s="62">
        <f t="shared" si="115"/>
        <v>1.8994564482181979</v>
      </c>
      <c r="H1083" s="62">
        <f t="shared" si="116"/>
        <v>0.8</v>
      </c>
      <c r="I1083" s="62">
        <f t="shared" si="117"/>
        <v>0</v>
      </c>
      <c r="J1083" s="62">
        <f t="shared" si="118"/>
        <v>0</v>
      </c>
      <c r="K1083" s="62">
        <f>IF(CurrentMtgRatesDataTable8[[#This Row],[WA CC]]&lt;&gt;0,C1082-CurrentMtgRatesDataTable8[[#This Row],[WA CC]],0)</f>
        <v>0</v>
      </c>
      <c r="L1083" s="62">
        <f>IF(CurrentMtgRatesDataTable8[[#This Row],[Servicing Spread]]&lt;=0,L1082,CurrentMtgRatesDataTable8[[#This Row],[Servicing Spread]])</f>
        <v>0.98469006528880598</v>
      </c>
      <c r="M1083" s="62">
        <f>CurrentMtgRatesDataTable8[[#This Row],[Servicing Spread Non-Zero]]-L1082</f>
        <v>0</v>
      </c>
      <c r="N1083" s="62">
        <f>IF(J1082&lt;&gt;0,CurrentMtgRatesDataTable8[[#This Row],[Rate]]-C1082,N1082)</f>
        <v>2.9999999999999805E-2</v>
      </c>
    </row>
    <row r="1084" spans="1:14">
      <c r="A1084" s="59" t="s">
        <v>1135</v>
      </c>
      <c r="B1084" s="60">
        <v>2.3415396621578699</v>
      </c>
      <c r="C1084" s="61">
        <v>3.355</v>
      </c>
      <c r="D1084" s="62">
        <f t="shared" si="112"/>
        <v>7</v>
      </c>
      <c r="E1084" s="62">
        <f t="shared" si="113"/>
        <v>0.2</v>
      </c>
      <c r="F1084" s="62">
        <f t="shared" si="114"/>
        <v>5</v>
      </c>
      <c r="G1084" s="62">
        <f t="shared" si="115"/>
        <v>2.3677643806497719</v>
      </c>
      <c r="H1084" s="62">
        <f t="shared" si="116"/>
        <v>1</v>
      </c>
      <c r="I1084" s="62">
        <f t="shared" si="117"/>
        <v>1</v>
      </c>
      <c r="J1084" s="62">
        <f t="shared" si="118"/>
        <v>2.3677643806497719</v>
      </c>
      <c r="K1084" s="62">
        <f>IF(CurrentMtgRatesDataTable8[[#This Row],[WA CC]]&lt;&gt;0,C1083-CurrentMtgRatesDataTable8[[#This Row],[WA CC]],0)</f>
        <v>0.98723561935022808</v>
      </c>
      <c r="L1084" s="62">
        <f>IF(CurrentMtgRatesDataTable8[[#This Row],[Servicing Spread]]&lt;=0,L1083,CurrentMtgRatesDataTable8[[#This Row],[Servicing Spread]])</f>
        <v>0.98723561935022808</v>
      </c>
      <c r="M1084" s="62">
        <f>CurrentMtgRatesDataTable8[[#This Row],[Servicing Spread Non-Zero]]-L1083</f>
        <v>2.5455540614220951E-3</v>
      </c>
      <c r="N1084" s="62">
        <f>IF(J1083&lt;&gt;0,CurrentMtgRatesDataTable8[[#This Row],[Rate]]-C1083,N1083)</f>
        <v>2.9999999999999805E-2</v>
      </c>
    </row>
    <row r="1085" spans="1:14">
      <c r="A1085" s="59" t="s">
        <v>1136</v>
      </c>
      <c r="B1085" s="60">
        <v>2.3214949111864098</v>
      </c>
      <c r="C1085" s="61">
        <v>3.3050000000000002</v>
      </c>
      <c r="D1085" s="62">
        <f t="shared" si="112"/>
        <v>1</v>
      </c>
      <c r="E1085" s="62">
        <f t="shared" si="113"/>
        <v>0.2</v>
      </c>
      <c r="F1085" s="62">
        <f t="shared" si="114"/>
        <v>1</v>
      </c>
      <c r="G1085" s="62">
        <f t="shared" si="115"/>
        <v>0.464298982237282</v>
      </c>
      <c r="H1085" s="62">
        <f t="shared" si="116"/>
        <v>0.2</v>
      </c>
      <c r="I1085" s="62">
        <f t="shared" si="117"/>
        <v>0</v>
      </c>
      <c r="J1085" s="62">
        <f t="shared" si="118"/>
        <v>0</v>
      </c>
      <c r="K1085" s="62">
        <f>IF(CurrentMtgRatesDataTable8[[#This Row],[WA CC]]&lt;&gt;0,C1084-CurrentMtgRatesDataTable8[[#This Row],[WA CC]],0)</f>
        <v>0</v>
      </c>
      <c r="L1085" s="62">
        <f>IF(CurrentMtgRatesDataTable8[[#This Row],[Servicing Spread]]&lt;=0,L1084,CurrentMtgRatesDataTable8[[#This Row],[Servicing Spread]])</f>
        <v>0.98723561935022808</v>
      </c>
      <c r="M1085" s="62">
        <f>CurrentMtgRatesDataTable8[[#This Row],[Servicing Spread Non-Zero]]-L1084</f>
        <v>0</v>
      </c>
      <c r="N1085" s="62">
        <f>IF(J1084&lt;&gt;0,CurrentMtgRatesDataTable8[[#This Row],[Rate]]-C1084,N1084)</f>
        <v>-4.9999999999999822E-2</v>
      </c>
    </row>
    <row r="1086" spans="1:14">
      <c r="A1086" s="59" t="s">
        <v>1137</v>
      </c>
      <c r="B1086" s="60">
        <v>2.2658760705109899</v>
      </c>
      <c r="C1086" s="61">
        <v>3.3050000000000002</v>
      </c>
      <c r="D1086" s="62">
        <f t="shared" si="112"/>
        <v>2</v>
      </c>
      <c r="E1086" s="62">
        <f t="shared" si="113"/>
        <v>0.2</v>
      </c>
      <c r="F1086" s="62">
        <f t="shared" si="114"/>
        <v>2</v>
      </c>
      <c r="G1086" s="62">
        <f t="shared" si="115"/>
        <v>0.91747419633948002</v>
      </c>
      <c r="H1086" s="62">
        <f t="shared" si="116"/>
        <v>0.4</v>
      </c>
      <c r="I1086" s="62">
        <f t="shared" si="117"/>
        <v>0</v>
      </c>
      <c r="J1086" s="62">
        <f t="shared" si="118"/>
        <v>0</v>
      </c>
      <c r="K1086" s="62">
        <f>IF(CurrentMtgRatesDataTable8[[#This Row],[WA CC]]&lt;&gt;0,C1085-CurrentMtgRatesDataTable8[[#This Row],[WA CC]],0)</f>
        <v>0</v>
      </c>
      <c r="L1086" s="62">
        <f>IF(CurrentMtgRatesDataTable8[[#This Row],[Servicing Spread]]&lt;=0,L1085,CurrentMtgRatesDataTable8[[#This Row],[Servicing Spread]])</f>
        <v>0.98723561935022808</v>
      </c>
      <c r="M1086" s="62">
        <f>CurrentMtgRatesDataTable8[[#This Row],[Servicing Spread Non-Zero]]-L1085</f>
        <v>0</v>
      </c>
      <c r="N1086" s="62">
        <f>IF(J1085&lt;&gt;0,CurrentMtgRatesDataTable8[[#This Row],[Rate]]-C1085,N1085)</f>
        <v>-4.9999999999999822E-2</v>
      </c>
    </row>
    <row r="1087" spans="1:14">
      <c r="A1087" s="59" t="s">
        <v>1138</v>
      </c>
      <c r="B1087" s="60">
        <v>2.2903256966230399</v>
      </c>
      <c r="C1087" s="61">
        <v>3.3050000000000002</v>
      </c>
      <c r="D1087" s="62">
        <f t="shared" si="112"/>
        <v>5</v>
      </c>
      <c r="E1087" s="62">
        <f t="shared" si="113"/>
        <v>0.2</v>
      </c>
      <c r="F1087" s="62">
        <f t="shared" si="114"/>
        <v>3</v>
      </c>
      <c r="G1087" s="62">
        <f t="shared" si="115"/>
        <v>1.3755393356640879</v>
      </c>
      <c r="H1087" s="62">
        <f t="shared" si="116"/>
        <v>0.60000000000000009</v>
      </c>
      <c r="I1087" s="62">
        <f t="shared" si="117"/>
        <v>0</v>
      </c>
      <c r="J1087" s="62">
        <f t="shared" si="118"/>
        <v>0</v>
      </c>
      <c r="K1087" s="62">
        <f>IF(CurrentMtgRatesDataTable8[[#This Row],[WA CC]]&lt;&gt;0,C1086-CurrentMtgRatesDataTable8[[#This Row],[WA CC]],0)</f>
        <v>0</v>
      </c>
      <c r="L1087" s="62">
        <f>IF(CurrentMtgRatesDataTable8[[#This Row],[Servicing Spread]]&lt;=0,L1086,CurrentMtgRatesDataTable8[[#This Row],[Servicing Spread]])</f>
        <v>0.98723561935022808</v>
      </c>
      <c r="M1087" s="62">
        <f>CurrentMtgRatesDataTable8[[#This Row],[Servicing Spread Non-Zero]]-L1086</f>
        <v>0</v>
      </c>
      <c r="N1087" s="62">
        <f>IF(J1086&lt;&gt;0,CurrentMtgRatesDataTable8[[#This Row],[Rate]]-C1086,N1086)</f>
        <v>-4.9999999999999822E-2</v>
      </c>
    </row>
    <row r="1088" spans="1:14">
      <c r="A1088" s="59" t="s">
        <v>1139</v>
      </c>
      <c r="B1088" s="60">
        <v>2.3285237865503698</v>
      </c>
      <c r="C1088" s="61">
        <v>3.3050000000000002</v>
      </c>
      <c r="D1088" s="62">
        <f t="shared" si="112"/>
        <v>6</v>
      </c>
      <c r="E1088" s="62">
        <f t="shared" si="113"/>
        <v>0.2</v>
      </c>
      <c r="F1088" s="62">
        <f t="shared" si="114"/>
        <v>4</v>
      </c>
      <c r="G1088" s="62">
        <f t="shared" si="115"/>
        <v>1.8412440929741618</v>
      </c>
      <c r="H1088" s="62">
        <f t="shared" si="116"/>
        <v>0.8</v>
      </c>
      <c r="I1088" s="62">
        <f t="shared" si="117"/>
        <v>0</v>
      </c>
      <c r="J1088" s="62">
        <f t="shared" si="118"/>
        <v>0</v>
      </c>
      <c r="K1088" s="62">
        <f>IF(CurrentMtgRatesDataTable8[[#This Row],[WA CC]]&lt;&gt;0,C1087-CurrentMtgRatesDataTable8[[#This Row],[WA CC]],0)</f>
        <v>0</v>
      </c>
      <c r="L1088" s="62">
        <f>IF(CurrentMtgRatesDataTable8[[#This Row],[Servicing Spread]]&lt;=0,L1087,CurrentMtgRatesDataTable8[[#This Row],[Servicing Spread]])</f>
        <v>0.98723561935022808</v>
      </c>
      <c r="M1088" s="62">
        <f>CurrentMtgRatesDataTable8[[#This Row],[Servicing Spread Non-Zero]]-L1087</f>
        <v>0</v>
      </c>
      <c r="N1088" s="62">
        <f>IF(J1087&lt;&gt;0,CurrentMtgRatesDataTable8[[#This Row],[Rate]]-C1087,N1087)</f>
        <v>-4.9999999999999822E-2</v>
      </c>
    </row>
    <row r="1089" spans="1:14">
      <c r="A1089" s="59" t="s">
        <v>1140</v>
      </c>
      <c r="B1089" s="60">
        <v>2.3355292606834301</v>
      </c>
      <c r="C1089" s="61">
        <v>3.3050000000000002</v>
      </c>
      <c r="D1089" s="62">
        <f t="shared" si="112"/>
        <v>7</v>
      </c>
      <c r="E1089" s="62">
        <f t="shared" si="113"/>
        <v>0.2</v>
      </c>
      <c r="F1089" s="62">
        <f t="shared" si="114"/>
        <v>5</v>
      </c>
      <c r="G1089" s="62">
        <f t="shared" si="115"/>
        <v>2.308349945110848</v>
      </c>
      <c r="H1089" s="62">
        <f t="shared" si="116"/>
        <v>1</v>
      </c>
      <c r="I1089" s="62">
        <f t="shared" si="117"/>
        <v>1</v>
      </c>
      <c r="J1089" s="62">
        <f t="shared" si="118"/>
        <v>2.308349945110848</v>
      </c>
      <c r="K1089" s="62">
        <f>IF(CurrentMtgRatesDataTable8[[#This Row],[WA CC]]&lt;&gt;0,C1088-CurrentMtgRatesDataTable8[[#This Row],[WA CC]],0)</f>
        <v>0.99665005488915215</v>
      </c>
      <c r="L1089" s="62">
        <f>IF(CurrentMtgRatesDataTable8[[#This Row],[Servicing Spread]]&lt;=0,L1088,CurrentMtgRatesDataTable8[[#This Row],[Servicing Spread]])</f>
        <v>0.99665005488915215</v>
      </c>
      <c r="M1089" s="62">
        <f>CurrentMtgRatesDataTable8[[#This Row],[Servicing Spread Non-Zero]]-L1088</f>
        <v>9.4144355389240708E-3</v>
      </c>
      <c r="N1089" s="62">
        <f>IF(J1088&lt;&gt;0,CurrentMtgRatesDataTable8[[#This Row],[Rate]]-C1088,N1088)</f>
        <v>-4.9999999999999822E-2</v>
      </c>
    </row>
    <row r="1090" spans="1:14">
      <c r="A1090" s="39" t="s">
        <v>1141</v>
      </c>
      <c r="B1090" s="40">
        <v>2.2962196436559199</v>
      </c>
      <c r="C1090" s="11">
        <v>3.3250000000000002</v>
      </c>
      <c r="D1090" s="16">
        <f t="shared" si="112"/>
        <v>1</v>
      </c>
      <c r="E1090" s="16">
        <f t="shared" si="113"/>
        <v>0.2</v>
      </c>
      <c r="F1090" s="16">
        <f t="shared" si="114"/>
        <v>1</v>
      </c>
      <c r="G1090" s="16">
        <f t="shared" si="115"/>
        <v>0.45924392873118403</v>
      </c>
      <c r="H1090" s="16">
        <f t="shared" si="116"/>
        <v>0.2</v>
      </c>
      <c r="I1090" s="16">
        <f t="shared" si="117"/>
        <v>0</v>
      </c>
      <c r="J1090" s="16">
        <f t="shared" si="118"/>
        <v>0</v>
      </c>
      <c r="K1090" s="16">
        <f>IF(CurrentMtgRatesDataTable8[[#This Row],[WA CC]]&lt;&gt;0,C1089-CurrentMtgRatesDataTable8[[#This Row],[WA CC]],0)</f>
        <v>0</v>
      </c>
      <c r="L1090" s="16">
        <f>IF(CurrentMtgRatesDataTable8[[#This Row],[Servicing Spread]]&lt;=0,L1089,CurrentMtgRatesDataTable8[[#This Row],[Servicing Spread]])</f>
        <v>0.99665005488915215</v>
      </c>
      <c r="M1090" s="16">
        <f>CurrentMtgRatesDataTable8[[#This Row],[Servicing Spread Non-Zero]]-L1089</f>
        <v>0</v>
      </c>
      <c r="N1090" s="16">
        <f>IF(J1089&lt;&gt;0,CurrentMtgRatesDataTable8[[#This Row],[Rate]]-C1089,N1089)</f>
        <v>2.0000000000000018E-2</v>
      </c>
    </row>
    <row r="1091" spans="1:14">
      <c r="A1091" s="39" t="s">
        <v>1142</v>
      </c>
      <c r="B1091" s="40">
        <v>2.36176289703742</v>
      </c>
      <c r="C1091" s="11">
        <v>3.3250000000000002</v>
      </c>
      <c r="D1091" s="16">
        <f t="shared" si="112"/>
        <v>2</v>
      </c>
      <c r="E1091" s="16">
        <f t="shared" si="113"/>
        <v>0.2</v>
      </c>
      <c r="F1091" s="16">
        <f t="shared" si="114"/>
        <v>2</v>
      </c>
      <c r="G1091" s="16">
        <f t="shared" si="115"/>
        <v>0.93159650813866812</v>
      </c>
      <c r="H1091" s="16">
        <f t="shared" si="116"/>
        <v>0.4</v>
      </c>
      <c r="I1091" s="16">
        <f t="shared" si="117"/>
        <v>0</v>
      </c>
      <c r="J1091" s="16">
        <f t="shared" si="118"/>
        <v>0</v>
      </c>
      <c r="K1091" s="16">
        <f>IF(CurrentMtgRatesDataTable8[[#This Row],[WA CC]]&lt;&gt;0,C1090-CurrentMtgRatesDataTable8[[#This Row],[WA CC]],0)</f>
        <v>0</v>
      </c>
      <c r="L1091" s="16">
        <f>IF(CurrentMtgRatesDataTable8[[#This Row],[Servicing Spread]]&lt;=0,L1090,CurrentMtgRatesDataTable8[[#This Row],[Servicing Spread]])</f>
        <v>0.99665005488915215</v>
      </c>
      <c r="M1091" s="16">
        <f>CurrentMtgRatesDataTable8[[#This Row],[Servicing Spread Non-Zero]]-L1090</f>
        <v>0</v>
      </c>
      <c r="N1091" s="16">
        <f>IF(J1090&lt;&gt;0,CurrentMtgRatesDataTable8[[#This Row],[Rate]]-C1090,N1090)</f>
        <v>2.0000000000000018E-2</v>
      </c>
    </row>
    <row r="1092" spans="1:14">
      <c r="A1092" s="39" t="s">
        <v>1143</v>
      </c>
      <c r="B1092" s="40">
        <v>2.3691281963665198</v>
      </c>
      <c r="C1092" s="11">
        <v>3.3250000000000002</v>
      </c>
      <c r="D1092" s="16">
        <f t="shared" si="112"/>
        <v>5</v>
      </c>
      <c r="E1092" s="16">
        <f t="shared" si="113"/>
        <v>0.2</v>
      </c>
      <c r="F1092" s="16">
        <f t="shared" si="114"/>
        <v>3</v>
      </c>
      <c r="G1092" s="16">
        <f t="shared" si="115"/>
        <v>1.4054221474119721</v>
      </c>
      <c r="H1092" s="16">
        <f t="shared" si="116"/>
        <v>0.60000000000000009</v>
      </c>
      <c r="I1092" s="16">
        <f t="shared" si="117"/>
        <v>0</v>
      </c>
      <c r="J1092" s="16">
        <f t="shared" si="118"/>
        <v>0</v>
      </c>
      <c r="K1092" s="16">
        <f>IF(CurrentMtgRatesDataTable8[[#This Row],[WA CC]]&lt;&gt;0,C1091-CurrentMtgRatesDataTable8[[#This Row],[WA CC]],0)</f>
        <v>0</v>
      </c>
      <c r="L1092" s="16">
        <f>IF(CurrentMtgRatesDataTable8[[#This Row],[Servicing Spread]]&lt;=0,L1091,CurrentMtgRatesDataTable8[[#This Row],[Servicing Spread]])</f>
        <v>0.99665005488915215</v>
      </c>
      <c r="M1092" s="16">
        <f>CurrentMtgRatesDataTable8[[#This Row],[Servicing Spread Non-Zero]]-L1091</f>
        <v>0</v>
      </c>
      <c r="N1092" s="16">
        <f>IF(J1091&lt;&gt;0,CurrentMtgRatesDataTable8[[#This Row],[Rate]]-C1091,N1091)</f>
        <v>2.0000000000000018E-2</v>
      </c>
    </row>
    <row r="1093" spans="1:14">
      <c r="A1093" s="39" t="s">
        <v>1144</v>
      </c>
      <c r="B1093" s="40">
        <v>2.33119047788963</v>
      </c>
      <c r="C1093" s="11">
        <v>3.3250000000000002</v>
      </c>
      <c r="D1093" s="16">
        <f t="shared" ref="D1093:D1156" si="119">WEEKDAY(A1093,14)</f>
        <v>6</v>
      </c>
      <c r="E1093" s="16">
        <f t="shared" ref="E1093:E1156" si="120">VLOOKUP(D1093,Q$5:R$11,2,FALSE)</f>
        <v>0.2</v>
      </c>
      <c r="F1093" s="16">
        <f t="shared" ref="F1093:F1156" si="121">IF(AND(D1093&gt;D1092,F1092&lt;6),F1092+1,1)</f>
        <v>4</v>
      </c>
      <c r="G1093" s="16">
        <f t="shared" ref="G1093:G1156" si="122">IF(F1093&gt;F1092,G1092+B1093*E1093,B1093*E1093)</f>
        <v>1.8716602429898981</v>
      </c>
      <c r="H1093" s="16">
        <f t="shared" ref="H1093:H1156" si="123">IF(AND(F1093&lt;6,F1093&gt;F1092),E1093+H1092,E1093)</f>
        <v>0.8</v>
      </c>
      <c r="I1093" s="16">
        <f t="shared" ref="I1093:I1156" si="124">IF(F1093&gt;F1094,1,0)</f>
        <v>0</v>
      </c>
      <c r="J1093" s="16">
        <f t="shared" ref="J1093:J1156" si="125">IF(F1093&gt;F1094,G1093/H1093,0)</f>
        <v>0</v>
      </c>
      <c r="K1093" s="16">
        <f>IF(CurrentMtgRatesDataTable8[[#This Row],[WA CC]]&lt;&gt;0,C1092-CurrentMtgRatesDataTable8[[#This Row],[WA CC]],0)</f>
        <v>0</v>
      </c>
      <c r="L1093" s="16">
        <f>IF(CurrentMtgRatesDataTable8[[#This Row],[Servicing Spread]]&lt;=0,L1092,CurrentMtgRatesDataTable8[[#This Row],[Servicing Spread]])</f>
        <v>0.99665005488915215</v>
      </c>
      <c r="M1093" s="16">
        <f>CurrentMtgRatesDataTable8[[#This Row],[Servicing Spread Non-Zero]]-L1092</f>
        <v>0</v>
      </c>
      <c r="N1093" s="16">
        <f>IF(J1092&lt;&gt;0,CurrentMtgRatesDataTable8[[#This Row],[Rate]]-C1092,N1092)</f>
        <v>2.0000000000000018E-2</v>
      </c>
    </row>
    <row r="1094" spans="1:14">
      <c r="A1094" s="39" t="s">
        <v>1145</v>
      </c>
      <c r="B1094" s="40">
        <v>2.2940770499801002</v>
      </c>
      <c r="C1094" s="11">
        <v>3.3250000000000002</v>
      </c>
      <c r="D1094" s="16">
        <f t="shared" si="119"/>
        <v>7</v>
      </c>
      <c r="E1094" s="16">
        <f t="shared" si="120"/>
        <v>0.2</v>
      </c>
      <c r="F1094" s="16">
        <f t="shared" si="121"/>
        <v>5</v>
      </c>
      <c r="G1094" s="16">
        <f t="shared" si="122"/>
        <v>2.3304756529859181</v>
      </c>
      <c r="H1094" s="16">
        <f t="shared" si="123"/>
        <v>1</v>
      </c>
      <c r="I1094" s="16">
        <f t="shared" si="124"/>
        <v>1</v>
      </c>
      <c r="J1094" s="16">
        <f t="shared" si="125"/>
        <v>2.3304756529859181</v>
      </c>
      <c r="K1094" s="16">
        <f>IF(CurrentMtgRatesDataTable8[[#This Row],[WA CC]]&lt;&gt;0,C1093-CurrentMtgRatesDataTable8[[#This Row],[WA CC]],0)</f>
        <v>0.9945243470140821</v>
      </c>
      <c r="L1094" s="16">
        <f>IF(CurrentMtgRatesDataTable8[[#This Row],[Servicing Spread]]&lt;=0,L1093,CurrentMtgRatesDataTable8[[#This Row],[Servicing Spread]])</f>
        <v>0.9945243470140821</v>
      </c>
      <c r="M1094" s="16">
        <f>CurrentMtgRatesDataTable8[[#This Row],[Servicing Spread Non-Zero]]-L1093</f>
        <v>-2.1257078750700487E-3</v>
      </c>
      <c r="N1094" s="16">
        <f>IF(J1093&lt;&gt;0,CurrentMtgRatesDataTable8[[#This Row],[Rate]]-C1093,N1093)</f>
        <v>2.0000000000000018E-2</v>
      </c>
    </row>
    <row r="1095" spans="1:14">
      <c r="A1095" s="39" t="s">
        <v>1146</v>
      </c>
      <c r="B1095" s="40">
        <v>2.3497760407358701</v>
      </c>
      <c r="C1095" s="11">
        <v>3.3050000000000002</v>
      </c>
      <c r="D1095" s="16">
        <f t="shared" si="119"/>
        <v>1</v>
      </c>
      <c r="E1095" s="16">
        <f t="shared" si="120"/>
        <v>0.2</v>
      </c>
      <c r="F1095" s="16">
        <f t="shared" si="121"/>
        <v>1</v>
      </c>
      <c r="G1095" s="16">
        <f t="shared" si="122"/>
        <v>0.46995520814717406</v>
      </c>
      <c r="H1095" s="16">
        <f t="shared" si="123"/>
        <v>0.2</v>
      </c>
      <c r="I1095" s="16">
        <f t="shared" si="124"/>
        <v>0</v>
      </c>
      <c r="J1095" s="16">
        <f t="shared" si="125"/>
        <v>0</v>
      </c>
      <c r="K1095" s="16">
        <f>IF(CurrentMtgRatesDataTable8[[#This Row],[WA CC]]&lt;&gt;0,C1094-CurrentMtgRatesDataTable8[[#This Row],[WA CC]],0)</f>
        <v>0</v>
      </c>
      <c r="L1095" s="16">
        <f>IF(CurrentMtgRatesDataTable8[[#This Row],[Servicing Spread]]&lt;=0,L1094,CurrentMtgRatesDataTable8[[#This Row],[Servicing Spread]])</f>
        <v>0.9945243470140821</v>
      </c>
      <c r="M1095" s="16">
        <f>CurrentMtgRatesDataTable8[[#This Row],[Servicing Spread Non-Zero]]-L1094</f>
        <v>0</v>
      </c>
      <c r="N1095" s="16">
        <f>IF(J1094&lt;&gt;0,CurrentMtgRatesDataTable8[[#This Row],[Rate]]-C1094,N1094)</f>
        <v>-2.0000000000000018E-2</v>
      </c>
    </row>
    <row r="1096" spans="1:14">
      <c r="A1096" s="39" t="s">
        <v>1147</v>
      </c>
      <c r="B1096" s="40">
        <v>2.31461753479971</v>
      </c>
      <c r="C1096" s="11">
        <v>3.3050000000000002</v>
      </c>
      <c r="D1096" s="16">
        <f t="shared" si="119"/>
        <v>2</v>
      </c>
      <c r="E1096" s="16">
        <f t="shared" si="120"/>
        <v>0.2</v>
      </c>
      <c r="F1096" s="16">
        <f t="shared" si="121"/>
        <v>2</v>
      </c>
      <c r="G1096" s="16">
        <f t="shared" si="122"/>
        <v>0.93287871510711606</v>
      </c>
      <c r="H1096" s="16">
        <f t="shared" si="123"/>
        <v>0.4</v>
      </c>
      <c r="I1096" s="16">
        <f t="shared" si="124"/>
        <v>0</v>
      </c>
      <c r="J1096" s="16">
        <f t="shared" si="125"/>
        <v>0</v>
      </c>
      <c r="K1096" s="16">
        <f>IF(CurrentMtgRatesDataTable8[[#This Row],[WA CC]]&lt;&gt;0,C1095-CurrentMtgRatesDataTable8[[#This Row],[WA CC]],0)</f>
        <v>0</v>
      </c>
      <c r="L1096" s="16">
        <f>IF(CurrentMtgRatesDataTable8[[#This Row],[Servicing Spread]]&lt;=0,L1095,CurrentMtgRatesDataTable8[[#This Row],[Servicing Spread]])</f>
        <v>0.9945243470140821</v>
      </c>
      <c r="M1096" s="16">
        <f>CurrentMtgRatesDataTable8[[#This Row],[Servicing Spread Non-Zero]]-L1095</f>
        <v>0</v>
      </c>
      <c r="N1096" s="16">
        <f>IF(J1095&lt;&gt;0,CurrentMtgRatesDataTable8[[#This Row],[Rate]]-C1095,N1095)</f>
        <v>-2.0000000000000018E-2</v>
      </c>
    </row>
    <row r="1097" spans="1:14">
      <c r="A1097" s="39" t="s">
        <v>1148</v>
      </c>
      <c r="B1097" s="40">
        <v>2.34200914311478</v>
      </c>
      <c r="C1097" s="11">
        <v>3.3050000000000002</v>
      </c>
      <c r="D1097" s="16">
        <f t="shared" si="119"/>
        <v>5</v>
      </c>
      <c r="E1097" s="16">
        <f t="shared" si="120"/>
        <v>0.2</v>
      </c>
      <c r="F1097" s="16">
        <f t="shared" si="121"/>
        <v>3</v>
      </c>
      <c r="G1097" s="16">
        <f t="shared" si="122"/>
        <v>1.4012805437300722</v>
      </c>
      <c r="H1097" s="16">
        <f t="shared" si="123"/>
        <v>0.60000000000000009</v>
      </c>
      <c r="I1097" s="16">
        <f t="shared" si="124"/>
        <v>0</v>
      </c>
      <c r="J1097" s="16">
        <f t="shared" si="125"/>
        <v>0</v>
      </c>
      <c r="K1097" s="16">
        <f>IF(CurrentMtgRatesDataTable8[[#This Row],[WA CC]]&lt;&gt;0,C1096-CurrentMtgRatesDataTable8[[#This Row],[WA CC]],0)</f>
        <v>0</v>
      </c>
      <c r="L1097" s="16">
        <f>IF(CurrentMtgRatesDataTable8[[#This Row],[Servicing Spread]]&lt;=0,L1096,CurrentMtgRatesDataTable8[[#This Row],[Servicing Spread]])</f>
        <v>0.9945243470140821</v>
      </c>
      <c r="M1097" s="16">
        <f>CurrentMtgRatesDataTable8[[#This Row],[Servicing Spread Non-Zero]]-L1096</f>
        <v>0</v>
      </c>
      <c r="N1097" s="16">
        <f>IF(J1096&lt;&gt;0,CurrentMtgRatesDataTable8[[#This Row],[Rate]]-C1096,N1096)</f>
        <v>-2.0000000000000018E-2</v>
      </c>
    </row>
    <row r="1098" spans="1:14">
      <c r="A1098" s="39" t="s">
        <v>1149</v>
      </c>
      <c r="B1098" s="40">
        <v>2.35874720795284</v>
      </c>
      <c r="C1098" s="11">
        <v>3.3050000000000002</v>
      </c>
      <c r="D1098" s="16">
        <f t="shared" si="119"/>
        <v>6</v>
      </c>
      <c r="E1098" s="16">
        <f t="shared" si="120"/>
        <v>0.2</v>
      </c>
      <c r="F1098" s="16">
        <f t="shared" si="121"/>
        <v>4</v>
      </c>
      <c r="G1098" s="16">
        <f t="shared" si="122"/>
        <v>1.8730299853206402</v>
      </c>
      <c r="H1098" s="16">
        <f t="shared" si="123"/>
        <v>0.8</v>
      </c>
      <c r="I1098" s="16">
        <f t="shared" si="124"/>
        <v>0</v>
      </c>
      <c r="J1098" s="16">
        <f t="shared" si="125"/>
        <v>0</v>
      </c>
      <c r="K1098" s="16">
        <f>IF(CurrentMtgRatesDataTable8[[#This Row],[WA CC]]&lt;&gt;0,C1097-CurrentMtgRatesDataTable8[[#This Row],[WA CC]],0)</f>
        <v>0</v>
      </c>
      <c r="L1098" s="16">
        <f>IF(CurrentMtgRatesDataTable8[[#This Row],[Servicing Spread]]&lt;=0,L1097,CurrentMtgRatesDataTable8[[#This Row],[Servicing Spread]])</f>
        <v>0.9945243470140821</v>
      </c>
      <c r="M1098" s="16">
        <f>CurrentMtgRatesDataTable8[[#This Row],[Servicing Spread Non-Zero]]-L1097</f>
        <v>0</v>
      </c>
      <c r="N1098" s="16">
        <f>IF(J1097&lt;&gt;0,CurrentMtgRatesDataTable8[[#This Row],[Rate]]-C1097,N1097)</f>
        <v>-2.0000000000000018E-2</v>
      </c>
    </row>
    <row r="1099" spans="1:14">
      <c r="A1099" s="39" t="s">
        <v>1150</v>
      </c>
      <c r="B1099" s="40">
        <v>2.34960598186067</v>
      </c>
      <c r="C1099" s="11">
        <v>3.3050000000000002</v>
      </c>
      <c r="D1099" s="16">
        <f t="shared" si="119"/>
        <v>7</v>
      </c>
      <c r="E1099" s="16">
        <f t="shared" si="120"/>
        <v>0.2</v>
      </c>
      <c r="F1099" s="16">
        <f t="shared" si="121"/>
        <v>5</v>
      </c>
      <c r="G1099" s="16">
        <f t="shared" si="122"/>
        <v>2.3429511816927744</v>
      </c>
      <c r="H1099" s="16">
        <f t="shared" si="123"/>
        <v>1</v>
      </c>
      <c r="I1099" s="16">
        <f t="shared" si="124"/>
        <v>1</v>
      </c>
      <c r="J1099" s="16">
        <f t="shared" si="125"/>
        <v>2.3429511816927744</v>
      </c>
      <c r="K1099" s="16">
        <f>IF(CurrentMtgRatesDataTable8[[#This Row],[WA CC]]&lt;&gt;0,C1098-CurrentMtgRatesDataTable8[[#This Row],[WA CC]],0)</f>
        <v>0.96204881830722577</v>
      </c>
      <c r="L1099" s="16">
        <f>IF(CurrentMtgRatesDataTable8[[#This Row],[Servicing Spread]]&lt;=0,L1098,CurrentMtgRatesDataTable8[[#This Row],[Servicing Spread]])</f>
        <v>0.96204881830722577</v>
      </c>
      <c r="M1099" s="16">
        <f>CurrentMtgRatesDataTable8[[#This Row],[Servicing Spread Non-Zero]]-L1098</f>
        <v>-3.2475528706856327E-2</v>
      </c>
      <c r="N1099" s="16">
        <f>IF(J1098&lt;&gt;0,CurrentMtgRatesDataTable8[[#This Row],[Rate]]-C1098,N1098)</f>
        <v>-2.0000000000000018E-2</v>
      </c>
    </row>
    <row r="1100" spans="1:14">
      <c r="A1100" s="39" t="s">
        <v>1151</v>
      </c>
      <c r="B1100" s="40">
        <v>2.32201570653978</v>
      </c>
      <c r="C1100" s="11">
        <v>3.33</v>
      </c>
      <c r="D1100" s="16">
        <f t="shared" si="119"/>
        <v>1</v>
      </c>
      <c r="E1100" s="16">
        <f t="shared" si="120"/>
        <v>0.2</v>
      </c>
      <c r="F1100" s="16">
        <f t="shared" si="121"/>
        <v>1</v>
      </c>
      <c r="G1100" s="16">
        <f t="shared" si="122"/>
        <v>0.46440314130795601</v>
      </c>
      <c r="H1100" s="16">
        <f t="shared" si="123"/>
        <v>0.2</v>
      </c>
      <c r="I1100" s="16">
        <f t="shared" si="124"/>
        <v>0</v>
      </c>
      <c r="J1100" s="16">
        <f t="shared" si="125"/>
        <v>0</v>
      </c>
      <c r="K1100" s="16">
        <f>IF(CurrentMtgRatesDataTable8[[#This Row],[WA CC]]&lt;&gt;0,C1099-CurrentMtgRatesDataTable8[[#This Row],[WA CC]],0)</f>
        <v>0</v>
      </c>
      <c r="L1100" s="16">
        <f>IF(CurrentMtgRatesDataTable8[[#This Row],[Servicing Spread]]&lt;=0,L1099,CurrentMtgRatesDataTable8[[#This Row],[Servicing Spread]])</f>
        <v>0.96204881830722577</v>
      </c>
      <c r="M1100" s="16">
        <f>CurrentMtgRatesDataTable8[[#This Row],[Servicing Spread Non-Zero]]-L1099</f>
        <v>0</v>
      </c>
      <c r="N1100" s="16">
        <f>IF(J1099&lt;&gt;0,CurrentMtgRatesDataTable8[[#This Row],[Rate]]-C1099,N1099)</f>
        <v>2.4999999999999911E-2</v>
      </c>
    </row>
    <row r="1101" spans="1:14">
      <c r="A1101" s="39" t="s">
        <v>1152</v>
      </c>
      <c r="B1101" s="40">
        <v>2.3744079472292099</v>
      </c>
      <c r="C1101" s="11">
        <v>3.33</v>
      </c>
      <c r="D1101" s="16">
        <f t="shared" si="119"/>
        <v>2</v>
      </c>
      <c r="E1101" s="16">
        <f t="shared" si="120"/>
        <v>0.2</v>
      </c>
      <c r="F1101" s="16">
        <f t="shared" si="121"/>
        <v>2</v>
      </c>
      <c r="G1101" s="16">
        <f t="shared" si="122"/>
        <v>0.93928473075379804</v>
      </c>
      <c r="H1101" s="16">
        <f t="shared" si="123"/>
        <v>0.4</v>
      </c>
      <c r="I1101" s="16">
        <f t="shared" si="124"/>
        <v>0</v>
      </c>
      <c r="J1101" s="16">
        <f t="shared" si="125"/>
        <v>0</v>
      </c>
      <c r="K1101" s="16">
        <f>IF(CurrentMtgRatesDataTable8[[#This Row],[WA CC]]&lt;&gt;0,C1100-CurrentMtgRatesDataTable8[[#This Row],[WA CC]],0)</f>
        <v>0</v>
      </c>
      <c r="L1101" s="16">
        <f>IF(CurrentMtgRatesDataTable8[[#This Row],[Servicing Spread]]&lt;=0,L1100,CurrentMtgRatesDataTable8[[#This Row],[Servicing Spread]])</f>
        <v>0.96204881830722577</v>
      </c>
      <c r="M1101" s="16">
        <f>CurrentMtgRatesDataTable8[[#This Row],[Servicing Spread Non-Zero]]-L1100</f>
        <v>0</v>
      </c>
      <c r="N1101" s="16">
        <f>IF(J1100&lt;&gt;0,CurrentMtgRatesDataTable8[[#This Row],[Rate]]-C1100,N1100)</f>
        <v>2.4999999999999911E-2</v>
      </c>
    </row>
    <row r="1102" spans="1:14">
      <c r="A1102" s="39" t="s">
        <v>1153</v>
      </c>
      <c r="B1102" s="40">
        <v>2.35076611353908</v>
      </c>
      <c r="C1102" s="11">
        <v>3.33</v>
      </c>
      <c r="D1102" s="16">
        <f t="shared" si="119"/>
        <v>5</v>
      </c>
      <c r="E1102" s="16">
        <f t="shared" si="120"/>
        <v>0.2</v>
      </c>
      <c r="F1102" s="16">
        <f t="shared" si="121"/>
        <v>3</v>
      </c>
      <c r="G1102" s="16">
        <f t="shared" si="122"/>
        <v>1.4094379534616142</v>
      </c>
      <c r="H1102" s="16">
        <f t="shared" si="123"/>
        <v>0.60000000000000009</v>
      </c>
      <c r="I1102" s="16">
        <f t="shared" si="124"/>
        <v>0</v>
      </c>
      <c r="J1102" s="16">
        <f t="shared" si="125"/>
        <v>0</v>
      </c>
      <c r="K1102" s="16">
        <f>IF(CurrentMtgRatesDataTable8[[#This Row],[WA CC]]&lt;&gt;0,C1101-CurrentMtgRatesDataTable8[[#This Row],[WA CC]],0)</f>
        <v>0</v>
      </c>
      <c r="L1102" s="16">
        <f>IF(CurrentMtgRatesDataTable8[[#This Row],[Servicing Spread]]&lt;=0,L1101,CurrentMtgRatesDataTable8[[#This Row],[Servicing Spread]])</f>
        <v>0.96204881830722577</v>
      </c>
      <c r="M1102" s="16">
        <f>CurrentMtgRatesDataTable8[[#This Row],[Servicing Spread Non-Zero]]-L1101</f>
        <v>0</v>
      </c>
      <c r="N1102" s="16">
        <f>IF(J1101&lt;&gt;0,CurrentMtgRatesDataTable8[[#This Row],[Rate]]-C1101,N1101)</f>
        <v>2.4999999999999911E-2</v>
      </c>
    </row>
    <row r="1103" spans="1:14">
      <c r="A1103" s="39" t="s">
        <v>1154</v>
      </c>
      <c r="B1103" s="40">
        <v>2.34539470834196</v>
      </c>
      <c r="C1103" s="11">
        <v>3.33</v>
      </c>
      <c r="D1103" s="16">
        <f t="shared" si="119"/>
        <v>6</v>
      </c>
      <c r="E1103" s="16">
        <f t="shared" si="120"/>
        <v>0.2</v>
      </c>
      <c r="F1103" s="16">
        <f t="shared" si="121"/>
        <v>4</v>
      </c>
      <c r="G1103" s="16">
        <f t="shared" si="122"/>
        <v>1.8785168951300062</v>
      </c>
      <c r="H1103" s="16">
        <f t="shared" si="123"/>
        <v>0.8</v>
      </c>
      <c r="I1103" s="16">
        <f t="shared" si="124"/>
        <v>0</v>
      </c>
      <c r="J1103" s="16">
        <f t="shared" si="125"/>
        <v>0</v>
      </c>
      <c r="K1103" s="16">
        <f>IF(CurrentMtgRatesDataTable8[[#This Row],[WA CC]]&lt;&gt;0,C1102-CurrentMtgRatesDataTable8[[#This Row],[WA CC]],0)</f>
        <v>0</v>
      </c>
      <c r="L1103" s="16">
        <f>IF(CurrentMtgRatesDataTable8[[#This Row],[Servicing Spread]]&lt;=0,L1102,CurrentMtgRatesDataTable8[[#This Row],[Servicing Spread]])</f>
        <v>0.96204881830722577</v>
      </c>
      <c r="M1103" s="16">
        <f>CurrentMtgRatesDataTable8[[#This Row],[Servicing Spread Non-Zero]]-L1102</f>
        <v>0</v>
      </c>
      <c r="N1103" s="16">
        <f>IF(J1102&lt;&gt;0,CurrentMtgRatesDataTable8[[#This Row],[Rate]]-C1102,N1102)</f>
        <v>2.4999999999999911E-2</v>
      </c>
    </row>
    <row r="1104" spans="1:14">
      <c r="A1104" s="39" t="s">
        <v>1155</v>
      </c>
      <c r="B1104" s="40">
        <v>2.3488178258811199</v>
      </c>
      <c r="C1104" s="11">
        <v>3.33</v>
      </c>
      <c r="D1104" s="16">
        <f t="shared" si="119"/>
        <v>7</v>
      </c>
      <c r="E1104" s="16">
        <f t="shared" si="120"/>
        <v>0.2</v>
      </c>
      <c r="F1104" s="16">
        <f t="shared" si="121"/>
        <v>5</v>
      </c>
      <c r="G1104" s="16">
        <f t="shared" si="122"/>
        <v>2.3482804603062304</v>
      </c>
      <c r="H1104" s="16">
        <f t="shared" si="123"/>
        <v>1</v>
      </c>
      <c r="I1104" s="16">
        <f t="shared" si="124"/>
        <v>1</v>
      </c>
      <c r="J1104" s="16">
        <f t="shared" si="125"/>
        <v>2.3482804603062304</v>
      </c>
      <c r="K1104" s="16">
        <f>IF(CurrentMtgRatesDataTable8[[#This Row],[WA CC]]&lt;&gt;0,C1103-CurrentMtgRatesDataTable8[[#This Row],[WA CC]],0)</f>
        <v>0.98171953969376968</v>
      </c>
      <c r="L1104" s="16">
        <f>IF(CurrentMtgRatesDataTable8[[#This Row],[Servicing Spread]]&lt;=0,L1103,CurrentMtgRatesDataTable8[[#This Row],[Servicing Spread]])</f>
        <v>0.98171953969376968</v>
      </c>
      <c r="M1104" s="16">
        <f>CurrentMtgRatesDataTable8[[#This Row],[Servicing Spread Non-Zero]]-L1103</f>
        <v>1.967072138654391E-2</v>
      </c>
      <c r="N1104" s="16">
        <f>IF(J1103&lt;&gt;0,CurrentMtgRatesDataTable8[[#This Row],[Rate]]-C1103,N1103)</f>
        <v>2.4999999999999911E-2</v>
      </c>
    </row>
    <row r="1105" spans="1:14">
      <c r="A1105" s="39" t="s">
        <v>1156</v>
      </c>
      <c r="B1105" s="40">
        <v>2.35475537195207</v>
      </c>
      <c r="C1105" s="11">
        <v>3.335</v>
      </c>
      <c r="D1105" s="16">
        <f t="shared" si="119"/>
        <v>1</v>
      </c>
      <c r="E1105" s="16">
        <f t="shared" si="120"/>
        <v>0.2</v>
      </c>
      <c r="F1105" s="16">
        <f t="shared" si="121"/>
        <v>1</v>
      </c>
      <c r="G1105" s="16">
        <f t="shared" si="122"/>
        <v>0.470951074390414</v>
      </c>
      <c r="H1105" s="16">
        <f t="shared" si="123"/>
        <v>0.2</v>
      </c>
      <c r="I1105" s="16">
        <f t="shared" si="124"/>
        <v>0</v>
      </c>
      <c r="J1105" s="16">
        <f t="shared" si="125"/>
        <v>0</v>
      </c>
      <c r="K1105" s="16">
        <f>IF(CurrentMtgRatesDataTable8[[#This Row],[WA CC]]&lt;&gt;0,C1104-CurrentMtgRatesDataTable8[[#This Row],[WA CC]],0)</f>
        <v>0</v>
      </c>
      <c r="L1105" s="16">
        <f>IF(CurrentMtgRatesDataTable8[[#This Row],[Servicing Spread]]&lt;=0,L1104,CurrentMtgRatesDataTable8[[#This Row],[Servicing Spread]])</f>
        <v>0.98171953969376968</v>
      </c>
      <c r="M1105" s="16">
        <f>CurrentMtgRatesDataTable8[[#This Row],[Servicing Spread Non-Zero]]-L1104</f>
        <v>0</v>
      </c>
      <c r="N1105" s="16">
        <f>IF(J1104&lt;&gt;0,CurrentMtgRatesDataTable8[[#This Row],[Rate]]-C1104,N1104)</f>
        <v>4.9999999999998934E-3</v>
      </c>
    </row>
    <row r="1106" spans="1:14">
      <c r="A1106" s="39" t="s">
        <v>1157</v>
      </c>
      <c r="B1106" s="40">
        <v>2.3971487906373001</v>
      </c>
      <c r="C1106" s="11">
        <v>3.335</v>
      </c>
      <c r="D1106" s="16">
        <f t="shared" si="119"/>
        <v>2</v>
      </c>
      <c r="E1106" s="16">
        <f t="shared" si="120"/>
        <v>0.2</v>
      </c>
      <c r="F1106" s="16">
        <f t="shared" si="121"/>
        <v>2</v>
      </c>
      <c r="G1106" s="16">
        <f t="shared" si="122"/>
        <v>0.95038083251787397</v>
      </c>
      <c r="H1106" s="16">
        <f t="shared" si="123"/>
        <v>0.4</v>
      </c>
      <c r="I1106" s="16">
        <f t="shared" si="124"/>
        <v>0</v>
      </c>
      <c r="J1106" s="16">
        <f t="shared" si="125"/>
        <v>0</v>
      </c>
      <c r="K1106" s="16">
        <f>IF(CurrentMtgRatesDataTable8[[#This Row],[WA CC]]&lt;&gt;0,C1105-CurrentMtgRatesDataTable8[[#This Row],[WA CC]],0)</f>
        <v>0</v>
      </c>
      <c r="L1106" s="16">
        <f>IF(CurrentMtgRatesDataTable8[[#This Row],[Servicing Spread]]&lt;=0,L1105,CurrentMtgRatesDataTable8[[#This Row],[Servicing Spread]])</f>
        <v>0.98171953969376968</v>
      </c>
      <c r="M1106" s="16">
        <f>CurrentMtgRatesDataTable8[[#This Row],[Servicing Spread Non-Zero]]-L1105</f>
        <v>0</v>
      </c>
      <c r="N1106" s="16">
        <f>IF(J1105&lt;&gt;0,CurrentMtgRatesDataTable8[[#This Row],[Rate]]-C1105,N1105)</f>
        <v>4.9999999999998934E-3</v>
      </c>
    </row>
    <row r="1107" spans="1:14">
      <c r="A1107" s="39" t="s">
        <v>1158</v>
      </c>
      <c r="B1107" s="40">
        <v>2.3636791601900198</v>
      </c>
      <c r="C1107" s="11">
        <v>3.335</v>
      </c>
      <c r="D1107" s="16">
        <f t="shared" si="119"/>
        <v>5</v>
      </c>
      <c r="E1107" s="16">
        <f t="shared" si="120"/>
        <v>0.2</v>
      </c>
      <c r="F1107" s="16">
        <f t="shared" si="121"/>
        <v>3</v>
      </c>
      <c r="G1107" s="16">
        <f t="shared" si="122"/>
        <v>1.4231166645558779</v>
      </c>
      <c r="H1107" s="16">
        <f t="shared" si="123"/>
        <v>0.60000000000000009</v>
      </c>
      <c r="I1107" s="16">
        <f t="shared" si="124"/>
        <v>0</v>
      </c>
      <c r="J1107" s="16">
        <f t="shared" si="125"/>
        <v>0</v>
      </c>
      <c r="K1107" s="16">
        <f>IF(CurrentMtgRatesDataTable8[[#This Row],[WA CC]]&lt;&gt;0,C1106-CurrentMtgRatesDataTable8[[#This Row],[WA CC]],0)</f>
        <v>0</v>
      </c>
      <c r="L1107" s="16">
        <f>IF(CurrentMtgRatesDataTable8[[#This Row],[Servicing Spread]]&lt;=0,L1106,CurrentMtgRatesDataTable8[[#This Row],[Servicing Spread]])</f>
        <v>0.98171953969376968</v>
      </c>
      <c r="M1107" s="16">
        <f>CurrentMtgRatesDataTable8[[#This Row],[Servicing Spread Non-Zero]]-L1106</f>
        <v>0</v>
      </c>
      <c r="N1107" s="16">
        <f>IF(J1106&lt;&gt;0,CurrentMtgRatesDataTable8[[#This Row],[Rate]]-C1106,N1106)</f>
        <v>4.9999999999998934E-3</v>
      </c>
    </row>
    <row r="1108" spans="1:14">
      <c r="A1108" s="39" t="s">
        <v>1159</v>
      </c>
      <c r="B1108" s="40">
        <v>2.3673893775366199</v>
      </c>
      <c r="C1108" s="11">
        <v>3.335</v>
      </c>
      <c r="D1108" s="16">
        <f t="shared" si="119"/>
        <v>6</v>
      </c>
      <c r="E1108" s="16">
        <f t="shared" si="120"/>
        <v>0.2</v>
      </c>
      <c r="F1108" s="16">
        <f t="shared" si="121"/>
        <v>4</v>
      </c>
      <c r="G1108" s="16">
        <f t="shared" si="122"/>
        <v>1.8965945400632021</v>
      </c>
      <c r="H1108" s="16">
        <f t="shared" si="123"/>
        <v>0.8</v>
      </c>
      <c r="I1108" s="16">
        <f t="shared" si="124"/>
        <v>0</v>
      </c>
      <c r="J1108" s="16">
        <f t="shared" si="125"/>
        <v>0</v>
      </c>
      <c r="K1108" s="16">
        <f>IF(CurrentMtgRatesDataTable8[[#This Row],[WA CC]]&lt;&gt;0,C1107-CurrentMtgRatesDataTable8[[#This Row],[WA CC]],0)</f>
        <v>0</v>
      </c>
      <c r="L1108" s="16">
        <f>IF(CurrentMtgRatesDataTable8[[#This Row],[Servicing Spread]]&lt;=0,L1107,CurrentMtgRatesDataTable8[[#This Row],[Servicing Spread]])</f>
        <v>0.98171953969376968</v>
      </c>
      <c r="M1108" s="16">
        <f>CurrentMtgRatesDataTable8[[#This Row],[Servicing Spread Non-Zero]]-L1107</f>
        <v>0</v>
      </c>
      <c r="N1108" s="16">
        <f>IF(J1107&lt;&gt;0,CurrentMtgRatesDataTable8[[#This Row],[Rate]]-C1107,N1107)</f>
        <v>4.9999999999998934E-3</v>
      </c>
    </row>
    <row r="1109" spans="1:14">
      <c r="A1109" s="39" t="s">
        <v>1160</v>
      </c>
      <c r="B1109" s="40">
        <v>2.3666135397931098</v>
      </c>
      <c r="C1109" s="11">
        <v>3.335</v>
      </c>
      <c r="D1109" s="16">
        <f t="shared" si="119"/>
        <v>7</v>
      </c>
      <c r="E1109" s="16">
        <f t="shared" si="120"/>
        <v>0.2</v>
      </c>
      <c r="F1109" s="16">
        <f t="shared" si="121"/>
        <v>5</v>
      </c>
      <c r="G1109" s="16">
        <f t="shared" si="122"/>
        <v>2.369917248021824</v>
      </c>
      <c r="H1109" s="16">
        <f t="shared" si="123"/>
        <v>1</v>
      </c>
      <c r="I1109" s="16">
        <f t="shared" si="124"/>
        <v>1</v>
      </c>
      <c r="J1109" s="16">
        <f t="shared" si="125"/>
        <v>2.369917248021824</v>
      </c>
      <c r="K1109" s="16">
        <f>IF(CurrentMtgRatesDataTable8[[#This Row],[WA CC]]&lt;&gt;0,C1108-CurrentMtgRatesDataTable8[[#This Row],[WA CC]],0)</f>
        <v>0.96508275197817595</v>
      </c>
      <c r="L1109" s="16">
        <f>IF(CurrentMtgRatesDataTable8[[#This Row],[Servicing Spread]]&lt;=0,L1108,CurrentMtgRatesDataTable8[[#This Row],[Servicing Spread]])</f>
        <v>0.96508275197817595</v>
      </c>
      <c r="M1109" s="16">
        <f>CurrentMtgRatesDataTable8[[#This Row],[Servicing Spread Non-Zero]]-L1108</f>
        <v>-1.6636787715593737E-2</v>
      </c>
      <c r="N1109" s="16">
        <f>IF(J1108&lt;&gt;0,CurrentMtgRatesDataTable8[[#This Row],[Rate]]-C1108,N1108)</f>
        <v>4.9999999999998934E-3</v>
      </c>
    </row>
    <row r="1110" spans="1:14">
      <c r="A1110" s="39" t="s">
        <v>1161</v>
      </c>
      <c r="B1110" s="40">
        <v>2.3803157009582701</v>
      </c>
      <c r="C1110" s="11">
        <v>3.34</v>
      </c>
      <c r="D1110" s="16">
        <f t="shared" si="119"/>
        <v>1</v>
      </c>
      <c r="E1110" s="16">
        <f t="shared" si="120"/>
        <v>0.2</v>
      </c>
      <c r="F1110" s="16">
        <f t="shared" si="121"/>
        <v>1</v>
      </c>
      <c r="G1110" s="16">
        <f t="shared" si="122"/>
        <v>0.47606314019165402</v>
      </c>
      <c r="H1110" s="16">
        <f t="shared" si="123"/>
        <v>0.2</v>
      </c>
      <c r="I1110" s="16">
        <f t="shared" si="124"/>
        <v>0</v>
      </c>
      <c r="J1110" s="16">
        <f t="shared" si="125"/>
        <v>0</v>
      </c>
      <c r="K1110" s="16">
        <f>IF(CurrentMtgRatesDataTable8[[#This Row],[WA CC]]&lt;&gt;0,C1109-CurrentMtgRatesDataTable8[[#This Row],[WA CC]],0)</f>
        <v>0</v>
      </c>
      <c r="L1110" s="16">
        <f>IF(CurrentMtgRatesDataTable8[[#This Row],[Servicing Spread]]&lt;=0,L1109,CurrentMtgRatesDataTable8[[#This Row],[Servicing Spread]])</f>
        <v>0.96508275197817595</v>
      </c>
      <c r="M1110" s="16">
        <f>CurrentMtgRatesDataTable8[[#This Row],[Servicing Spread Non-Zero]]-L1109</f>
        <v>0</v>
      </c>
      <c r="N1110" s="16">
        <f>IF(J1109&lt;&gt;0,CurrentMtgRatesDataTable8[[#This Row],[Rate]]-C1109,N1109)</f>
        <v>4.9999999999998934E-3</v>
      </c>
    </row>
    <row r="1111" spans="1:14">
      <c r="A1111" s="39" t="s">
        <v>1162</v>
      </c>
      <c r="B1111" s="40">
        <v>2.3963402358760302</v>
      </c>
      <c r="C1111" s="11">
        <v>3.34</v>
      </c>
      <c r="D1111" s="16">
        <f t="shared" si="119"/>
        <v>2</v>
      </c>
      <c r="E1111" s="16">
        <f t="shared" si="120"/>
        <v>0.2</v>
      </c>
      <c r="F1111" s="16">
        <f t="shared" si="121"/>
        <v>2</v>
      </c>
      <c r="G1111" s="16">
        <f t="shared" si="122"/>
        <v>0.95533118736686007</v>
      </c>
      <c r="H1111" s="16">
        <f t="shared" si="123"/>
        <v>0.4</v>
      </c>
      <c r="I1111" s="16">
        <f t="shared" si="124"/>
        <v>0</v>
      </c>
      <c r="J1111" s="16">
        <f t="shared" si="125"/>
        <v>0</v>
      </c>
      <c r="K1111" s="16">
        <f>IF(CurrentMtgRatesDataTable8[[#This Row],[WA CC]]&lt;&gt;0,C1110-CurrentMtgRatesDataTable8[[#This Row],[WA CC]],0)</f>
        <v>0</v>
      </c>
      <c r="L1111" s="16">
        <f>IF(CurrentMtgRatesDataTable8[[#This Row],[Servicing Spread]]&lt;=0,L1110,CurrentMtgRatesDataTable8[[#This Row],[Servicing Spread]])</f>
        <v>0.96508275197817595</v>
      </c>
      <c r="M1111" s="16">
        <f>CurrentMtgRatesDataTable8[[#This Row],[Servicing Spread Non-Zero]]-L1110</f>
        <v>0</v>
      </c>
      <c r="N1111" s="16">
        <f>IF(J1110&lt;&gt;0,CurrentMtgRatesDataTable8[[#This Row],[Rate]]-C1110,N1110)</f>
        <v>4.9999999999998934E-3</v>
      </c>
    </row>
    <row r="1112" spans="1:14">
      <c r="A1112" s="39" t="s">
        <v>1163</v>
      </c>
      <c r="B1112" s="40">
        <v>2.3497707860559398</v>
      </c>
      <c r="C1112" s="11">
        <v>3.34</v>
      </c>
      <c r="D1112" s="16">
        <f t="shared" si="119"/>
        <v>6</v>
      </c>
      <c r="E1112" s="16">
        <f t="shared" si="120"/>
        <v>0.2</v>
      </c>
      <c r="F1112" s="16">
        <f t="shared" si="121"/>
        <v>3</v>
      </c>
      <c r="G1112" s="16">
        <f t="shared" si="122"/>
        <v>1.425285344578048</v>
      </c>
      <c r="H1112" s="16">
        <f t="shared" si="123"/>
        <v>0.60000000000000009</v>
      </c>
      <c r="I1112" s="16">
        <f t="shared" si="124"/>
        <v>0</v>
      </c>
      <c r="J1112" s="16">
        <f t="shared" si="125"/>
        <v>0</v>
      </c>
      <c r="K1112" s="16">
        <f>IF(CurrentMtgRatesDataTable8[[#This Row],[WA CC]]&lt;&gt;0,C1111-CurrentMtgRatesDataTable8[[#This Row],[WA CC]],0)</f>
        <v>0</v>
      </c>
      <c r="L1112" s="16">
        <f>IF(CurrentMtgRatesDataTable8[[#This Row],[Servicing Spread]]&lt;=0,L1111,CurrentMtgRatesDataTable8[[#This Row],[Servicing Spread]])</f>
        <v>0.96508275197817595</v>
      </c>
      <c r="M1112" s="16">
        <f>CurrentMtgRatesDataTable8[[#This Row],[Servicing Spread Non-Zero]]-L1111</f>
        <v>0</v>
      </c>
      <c r="N1112" s="16">
        <f>IF(J1111&lt;&gt;0,CurrentMtgRatesDataTable8[[#This Row],[Rate]]-C1111,N1111)</f>
        <v>4.9999999999998934E-3</v>
      </c>
    </row>
    <row r="1113" spans="1:14">
      <c r="A1113" s="39" t="s">
        <v>1164</v>
      </c>
      <c r="B1113" s="40">
        <v>2.3452158200023101</v>
      </c>
      <c r="C1113" s="11">
        <v>3.34</v>
      </c>
      <c r="D1113" s="16">
        <f t="shared" si="119"/>
        <v>7</v>
      </c>
      <c r="E1113" s="16">
        <f t="shared" si="120"/>
        <v>0.2</v>
      </c>
      <c r="F1113" s="16">
        <f t="shared" si="121"/>
        <v>4</v>
      </c>
      <c r="G1113" s="16">
        <f t="shared" si="122"/>
        <v>1.89432850857851</v>
      </c>
      <c r="H1113" s="16">
        <f t="shared" si="123"/>
        <v>0.8</v>
      </c>
      <c r="I1113" s="16">
        <f t="shared" si="124"/>
        <v>1</v>
      </c>
      <c r="J1113" s="16">
        <f t="shared" si="125"/>
        <v>2.3679106357231374</v>
      </c>
      <c r="K1113" s="16">
        <f>IF(CurrentMtgRatesDataTable8[[#This Row],[WA CC]]&lt;&gt;0,C1112-CurrentMtgRatesDataTable8[[#This Row],[WA CC]],0)</f>
        <v>0.97208936427686243</v>
      </c>
      <c r="L1113" s="16">
        <f>IF(CurrentMtgRatesDataTable8[[#This Row],[Servicing Spread]]&lt;=0,L1112,CurrentMtgRatesDataTable8[[#This Row],[Servicing Spread]])</f>
        <v>0.97208936427686243</v>
      </c>
      <c r="M1113" s="16">
        <f>CurrentMtgRatesDataTable8[[#This Row],[Servicing Spread Non-Zero]]-L1112</f>
        <v>7.0066122986864876E-3</v>
      </c>
      <c r="N1113" s="16">
        <f>IF(J1112&lt;&gt;0,CurrentMtgRatesDataTable8[[#This Row],[Rate]]-C1112,N1112)</f>
        <v>4.9999999999998934E-3</v>
      </c>
    </row>
    <row r="1114" spans="1:14">
      <c r="A1114" s="39" t="s">
        <v>1165</v>
      </c>
      <c r="B1114" s="40">
        <v>2.3842872829241002</v>
      </c>
      <c r="C1114" s="11">
        <v>3.375</v>
      </c>
      <c r="D1114" s="16">
        <f t="shared" si="119"/>
        <v>1</v>
      </c>
      <c r="E1114" s="16">
        <f t="shared" si="120"/>
        <v>0.2</v>
      </c>
      <c r="F1114" s="16">
        <f t="shared" si="121"/>
        <v>1</v>
      </c>
      <c r="G1114" s="16">
        <f t="shared" si="122"/>
        <v>0.47685745658482004</v>
      </c>
      <c r="H1114" s="16">
        <f t="shared" si="123"/>
        <v>0.2</v>
      </c>
      <c r="I1114" s="16">
        <f t="shared" si="124"/>
        <v>0</v>
      </c>
      <c r="J1114" s="16">
        <f t="shared" si="125"/>
        <v>0</v>
      </c>
      <c r="K1114" s="16">
        <f>IF(CurrentMtgRatesDataTable8[[#This Row],[WA CC]]&lt;&gt;0,C1113-CurrentMtgRatesDataTable8[[#This Row],[WA CC]],0)</f>
        <v>0</v>
      </c>
      <c r="L1114" s="16">
        <f>IF(CurrentMtgRatesDataTable8[[#This Row],[Servicing Spread]]&lt;=0,L1113,CurrentMtgRatesDataTable8[[#This Row],[Servicing Spread]])</f>
        <v>0.97208936427686243</v>
      </c>
      <c r="M1114" s="16">
        <f>CurrentMtgRatesDataTable8[[#This Row],[Servicing Spread Non-Zero]]-L1113</f>
        <v>0</v>
      </c>
      <c r="N1114" s="16">
        <f>IF(J1113&lt;&gt;0,CurrentMtgRatesDataTable8[[#This Row],[Rate]]-C1113,N1113)</f>
        <v>3.5000000000000142E-2</v>
      </c>
    </row>
    <row r="1115" spans="1:14">
      <c r="A1115" s="39" t="s">
        <v>1166</v>
      </c>
      <c r="B1115" s="40">
        <v>2.4473125668689599</v>
      </c>
      <c r="C1115" s="11">
        <v>3.375</v>
      </c>
      <c r="D1115" s="16">
        <f t="shared" si="119"/>
        <v>2</v>
      </c>
      <c r="E1115" s="16">
        <f t="shared" si="120"/>
        <v>0.2</v>
      </c>
      <c r="F1115" s="16">
        <f t="shared" si="121"/>
        <v>2</v>
      </c>
      <c r="G1115" s="16">
        <f t="shared" si="122"/>
        <v>0.96631996995861202</v>
      </c>
      <c r="H1115" s="16">
        <f t="shared" si="123"/>
        <v>0.4</v>
      </c>
      <c r="I1115" s="16">
        <f t="shared" si="124"/>
        <v>0</v>
      </c>
      <c r="J1115" s="16">
        <f t="shared" si="125"/>
        <v>0</v>
      </c>
      <c r="K1115" s="16">
        <f>IF(CurrentMtgRatesDataTable8[[#This Row],[WA CC]]&lt;&gt;0,C1114-CurrentMtgRatesDataTable8[[#This Row],[WA CC]],0)</f>
        <v>0</v>
      </c>
      <c r="L1115" s="16">
        <f>IF(CurrentMtgRatesDataTable8[[#This Row],[Servicing Spread]]&lt;=0,L1114,CurrentMtgRatesDataTable8[[#This Row],[Servicing Spread]])</f>
        <v>0.97208936427686243</v>
      </c>
      <c r="M1115" s="16">
        <f>CurrentMtgRatesDataTable8[[#This Row],[Servicing Spread Non-Zero]]-L1114</f>
        <v>0</v>
      </c>
      <c r="N1115" s="16">
        <f>IF(J1114&lt;&gt;0,CurrentMtgRatesDataTable8[[#This Row],[Rate]]-C1114,N1114)</f>
        <v>3.5000000000000142E-2</v>
      </c>
    </row>
    <row r="1116" spans="1:14">
      <c r="A1116" s="39" t="s">
        <v>1167</v>
      </c>
      <c r="B1116" s="40">
        <v>2.44286053650336</v>
      </c>
      <c r="C1116" s="11">
        <v>3.375</v>
      </c>
      <c r="D1116" s="16">
        <f t="shared" si="119"/>
        <v>5</v>
      </c>
      <c r="E1116" s="16">
        <f t="shared" si="120"/>
        <v>0.2</v>
      </c>
      <c r="F1116" s="16">
        <f t="shared" si="121"/>
        <v>3</v>
      </c>
      <c r="G1116" s="16">
        <f t="shared" si="122"/>
        <v>1.4548920772592839</v>
      </c>
      <c r="H1116" s="16">
        <f t="shared" si="123"/>
        <v>0.60000000000000009</v>
      </c>
      <c r="I1116" s="16">
        <f t="shared" si="124"/>
        <v>0</v>
      </c>
      <c r="J1116" s="16">
        <f t="shared" si="125"/>
        <v>0</v>
      </c>
      <c r="K1116" s="16">
        <f>IF(CurrentMtgRatesDataTable8[[#This Row],[WA CC]]&lt;&gt;0,C1115-CurrentMtgRatesDataTable8[[#This Row],[WA CC]],0)</f>
        <v>0</v>
      </c>
      <c r="L1116" s="16">
        <f>IF(CurrentMtgRatesDataTable8[[#This Row],[Servicing Spread]]&lt;=0,L1115,CurrentMtgRatesDataTable8[[#This Row],[Servicing Spread]])</f>
        <v>0.97208936427686243</v>
      </c>
      <c r="M1116" s="16">
        <f>CurrentMtgRatesDataTable8[[#This Row],[Servicing Spread Non-Zero]]-L1115</f>
        <v>0</v>
      </c>
      <c r="N1116" s="16">
        <f>IF(J1115&lt;&gt;0,CurrentMtgRatesDataTable8[[#This Row],[Rate]]-C1115,N1115)</f>
        <v>3.5000000000000142E-2</v>
      </c>
    </row>
    <row r="1117" spans="1:14">
      <c r="A1117" s="39" t="s">
        <v>1168</v>
      </c>
      <c r="B1117" s="40">
        <v>2.4759496030778601</v>
      </c>
      <c r="C1117" s="11">
        <v>3.375</v>
      </c>
      <c r="D1117" s="16">
        <f t="shared" si="119"/>
        <v>6</v>
      </c>
      <c r="E1117" s="16">
        <f t="shared" si="120"/>
        <v>0.2</v>
      </c>
      <c r="F1117" s="16">
        <f t="shared" si="121"/>
        <v>4</v>
      </c>
      <c r="G1117" s="16">
        <f t="shared" si="122"/>
        <v>1.950081997874856</v>
      </c>
      <c r="H1117" s="16">
        <f t="shared" si="123"/>
        <v>0.8</v>
      </c>
      <c r="I1117" s="16">
        <f t="shared" si="124"/>
        <v>0</v>
      </c>
      <c r="J1117" s="16">
        <f t="shared" si="125"/>
        <v>0</v>
      </c>
      <c r="K1117" s="16">
        <f>IF(CurrentMtgRatesDataTable8[[#This Row],[WA CC]]&lt;&gt;0,C1116-CurrentMtgRatesDataTable8[[#This Row],[WA CC]],0)</f>
        <v>0</v>
      </c>
      <c r="L1117" s="16">
        <f>IF(CurrentMtgRatesDataTable8[[#This Row],[Servicing Spread]]&lt;=0,L1116,CurrentMtgRatesDataTable8[[#This Row],[Servicing Spread]])</f>
        <v>0.97208936427686243</v>
      </c>
      <c r="M1117" s="16">
        <f>CurrentMtgRatesDataTable8[[#This Row],[Servicing Spread Non-Zero]]-L1116</f>
        <v>0</v>
      </c>
      <c r="N1117" s="16">
        <f>IF(J1116&lt;&gt;0,CurrentMtgRatesDataTable8[[#This Row],[Rate]]-C1116,N1116)</f>
        <v>3.5000000000000142E-2</v>
      </c>
    </row>
    <row r="1118" spans="1:14">
      <c r="A1118" s="39" t="s">
        <v>1169</v>
      </c>
      <c r="B1118" s="40">
        <v>2.44524956278855</v>
      </c>
      <c r="C1118" s="11">
        <v>3.375</v>
      </c>
      <c r="D1118" s="16">
        <f t="shared" si="119"/>
        <v>7</v>
      </c>
      <c r="E1118" s="16">
        <f t="shared" si="120"/>
        <v>0.2</v>
      </c>
      <c r="F1118" s="16">
        <f t="shared" si="121"/>
        <v>5</v>
      </c>
      <c r="G1118" s="16">
        <f t="shared" si="122"/>
        <v>2.4391319104325659</v>
      </c>
      <c r="H1118" s="16">
        <f t="shared" si="123"/>
        <v>1</v>
      </c>
      <c r="I1118" s="16">
        <f t="shared" si="124"/>
        <v>1</v>
      </c>
      <c r="J1118" s="16">
        <f t="shared" si="125"/>
        <v>2.4391319104325659</v>
      </c>
      <c r="K1118" s="16">
        <f>IF(CurrentMtgRatesDataTable8[[#This Row],[WA CC]]&lt;&gt;0,C1117-CurrentMtgRatesDataTable8[[#This Row],[WA CC]],0)</f>
        <v>0.93586808956743406</v>
      </c>
      <c r="L1118" s="16">
        <f>IF(CurrentMtgRatesDataTable8[[#This Row],[Servicing Spread]]&lt;=0,L1117,CurrentMtgRatesDataTable8[[#This Row],[Servicing Spread]])</f>
        <v>0.93586808956743406</v>
      </c>
      <c r="M1118" s="16">
        <f>CurrentMtgRatesDataTable8[[#This Row],[Servicing Spread Non-Zero]]-L1117</f>
        <v>-3.6221274709428375E-2</v>
      </c>
      <c r="N1118" s="16">
        <f>IF(J1117&lt;&gt;0,CurrentMtgRatesDataTable8[[#This Row],[Rate]]-C1117,N1117)</f>
        <v>3.5000000000000142E-2</v>
      </c>
    </row>
    <row r="1119" spans="1:14">
      <c r="A1119" s="39" t="s">
        <v>1170</v>
      </c>
      <c r="B1119" s="40">
        <v>2.45404364191142</v>
      </c>
      <c r="C1119" s="11">
        <v>3.38</v>
      </c>
      <c r="D1119" s="16">
        <f t="shared" si="119"/>
        <v>1</v>
      </c>
      <c r="E1119" s="16">
        <f t="shared" si="120"/>
        <v>0.2</v>
      </c>
      <c r="F1119" s="16">
        <f t="shared" si="121"/>
        <v>1</v>
      </c>
      <c r="G1119" s="16">
        <f t="shared" si="122"/>
        <v>0.49080872838228401</v>
      </c>
      <c r="H1119" s="16">
        <f t="shared" si="123"/>
        <v>0.2</v>
      </c>
      <c r="I1119" s="16">
        <f t="shared" si="124"/>
        <v>0</v>
      </c>
      <c r="J1119" s="16">
        <f t="shared" si="125"/>
        <v>0</v>
      </c>
      <c r="K1119" s="16">
        <f>IF(CurrentMtgRatesDataTable8[[#This Row],[WA CC]]&lt;&gt;0,C1118-CurrentMtgRatesDataTable8[[#This Row],[WA CC]],0)</f>
        <v>0</v>
      </c>
      <c r="L1119" s="16">
        <f>IF(CurrentMtgRatesDataTable8[[#This Row],[Servicing Spread]]&lt;=0,L1118,CurrentMtgRatesDataTable8[[#This Row],[Servicing Spread]])</f>
        <v>0.93586808956743406</v>
      </c>
      <c r="M1119" s="16">
        <f>CurrentMtgRatesDataTable8[[#This Row],[Servicing Spread Non-Zero]]-L1118</f>
        <v>0</v>
      </c>
      <c r="N1119" s="16">
        <f>IF(J1118&lt;&gt;0,CurrentMtgRatesDataTable8[[#This Row],[Rate]]-C1118,N1118)</f>
        <v>4.9999999999998934E-3</v>
      </c>
    </row>
    <row r="1120" spans="1:14">
      <c r="A1120" s="39" t="s">
        <v>1171</v>
      </c>
      <c r="B1120" s="40">
        <v>2.45470500500842</v>
      </c>
      <c r="C1120" s="11">
        <v>3.38</v>
      </c>
      <c r="D1120" s="16">
        <f t="shared" si="119"/>
        <v>2</v>
      </c>
      <c r="E1120" s="16">
        <f t="shared" si="120"/>
        <v>0.2</v>
      </c>
      <c r="F1120" s="16">
        <f t="shared" si="121"/>
        <v>2</v>
      </c>
      <c r="G1120" s="16">
        <f t="shared" si="122"/>
        <v>0.98174972938396809</v>
      </c>
      <c r="H1120" s="16">
        <f t="shared" si="123"/>
        <v>0.4</v>
      </c>
      <c r="I1120" s="16">
        <f t="shared" si="124"/>
        <v>0</v>
      </c>
      <c r="J1120" s="16">
        <f t="shared" si="125"/>
        <v>0</v>
      </c>
      <c r="K1120" s="16">
        <f>IF(CurrentMtgRatesDataTable8[[#This Row],[WA CC]]&lt;&gt;0,C1119-CurrentMtgRatesDataTable8[[#This Row],[WA CC]],0)</f>
        <v>0</v>
      </c>
      <c r="L1120" s="16">
        <f>IF(CurrentMtgRatesDataTable8[[#This Row],[Servicing Spread]]&lt;=0,L1119,CurrentMtgRatesDataTable8[[#This Row],[Servicing Spread]])</f>
        <v>0.93586808956743406</v>
      </c>
      <c r="M1120" s="16">
        <f>CurrentMtgRatesDataTable8[[#This Row],[Servicing Spread Non-Zero]]-L1119</f>
        <v>0</v>
      </c>
      <c r="N1120" s="16">
        <f>IF(J1119&lt;&gt;0,CurrentMtgRatesDataTable8[[#This Row],[Rate]]-C1119,N1119)</f>
        <v>4.9999999999998934E-3</v>
      </c>
    </row>
    <row r="1121" spans="1:14">
      <c r="A1121" s="39" t="s">
        <v>1172</v>
      </c>
      <c r="B1121" s="40">
        <v>2.4705200282403998</v>
      </c>
      <c r="C1121" s="11">
        <v>3.38</v>
      </c>
      <c r="D1121" s="16">
        <f t="shared" si="119"/>
        <v>5</v>
      </c>
      <c r="E1121" s="16">
        <f t="shared" si="120"/>
        <v>0.2</v>
      </c>
      <c r="F1121" s="16">
        <f t="shared" si="121"/>
        <v>3</v>
      </c>
      <c r="G1121" s="16">
        <f t="shared" si="122"/>
        <v>1.475853735032048</v>
      </c>
      <c r="H1121" s="16">
        <f t="shared" si="123"/>
        <v>0.60000000000000009</v>
      </c>
      <c r="I1121" s="16">
        <f t="shared" si="124"/>
        <v>0</v>
      </c>
      <c r="J1121" s="16">
        <f t="shared" si="125"/>
        <v>0</v>
      </c>
      <c r="K1121" s="16">
        <f>IF(CurrentMtgRatesDataTable8[[#This Row],[WA CC]]&lt;&gt;0,C1120-CurrentMtgRatesDataTable8[[#This Row],[WA CC]],0)</f>
        <v>0</v>
      </c>
      <c r="L1121" s="16">
        <f>IF(CurrentMtgRatesDataTable8[[#This Row],[Servicing Spread]]&lt;=0,L1120,CurrentMtgRatesDataTable8[[#This Row],[Servicing Spread]])</f>
        <v>0.93586808956743406</v>
      </c>
      <c r="M1121" s="16">
        <f>CurrentMtgRatesDataTable8[[#This Row],[Servicing Spread Non-Zero]]-L1120</f>
        <v>0</v>
      </c>
      <c r="N1121" s="16">
        <f>IF(J1120&lt;&gt;0,CurrentMtgRatesDataTable8[[#This Row],[Rate]]-C1120,N1120)</f>
        <v>4.9999999999998934E-3</v>
      </c>
    </row>
    <row r="1122" spans="1:14">
      <c r="A1122" s="39" t="s">
        <v>1173</v>
      </c>
      <c r="B1122" s="40">
        <v>2.4677434570547199</v>
      </c>
      <c r="C1122" s="11">
        <v>3.38</v>
      </c>
      <c r="D1122" s="16">
        <f t="shared" si="119"/>
        <v>6</v>
      </c>
      <c r="E1122" s="16">
        <f t="shared" si="120"/>
        <v>0.2</v>
      </c>
      <c r="F1122" s="16">
        <f t="shared" si="121"/>
        <v>4</v>
      </c>
      <c r="G1122" s="16">
        <f t="shared" si="122"/>
        <v>1.9694024264429919</v>
      </c>
      <c r="H1122" s="16">
        <f t="shared" si="123"/>
        <v>0.8</v>
      </c>
      <c r="I1122" s="16">
        <f t="shared" si="124"/>
        <v>0</v>
      </c>
      <c r="J1122" s="16">
        <f t="shared" si="125"/>
        <v>0</v>
      </c>
      <c r="K1122" s="16">
        <f>IF(CurrentMtgRatesDataTable8[[#This Row],[WA CC]]&lt;&gt;0,C1121-CurrentMtgRatesDataTable8[[#This Row],[WA CC]],0)</f>
        <v>0</v>
      </c>
      <c r="L1122" s="16">
        <f>IF(CurrentMtgRatesDataTable8[[#This Row],[Servicing Spread]]&lt;=0,L1121,CurrentMtgRatesDataTable8[[#This Row],[Servicing Spread]])</f>
        <v>0.93586808956743406</v>
      </c>
      <c r="M1122" s="16">
        <f>CurrentMtgRatesDataTable8[[#This Row],[Servicing Spread Non-Zero]]-L1121</f>
        <v>0</v>
      </c>
      <c r="N1122" s="16">
        <f>IF(J1121&lt;&gt;0,CurrentMtgRatesDataTable8[[#This Row],[Rate]]-C1121,N1121)</f>
        <v>4.9999999999998934E-3</v>
      </c>
    </row>
    <row r="1123" spans="1:14">
      <c r="A1123" s="39" t="s">
        <v>1174</v>
      </c>
      <c r="B1123" s="40">
        <v>2.4472298243210799</v>
      </c>
      <c r="C1123" s="11">
        <v>3.38</v>
      </c>
      <c r="D1123" s="16">
        <f t="shared" si="119"/>
        <v>7</v>
      </c>
      <c r="E1123" s="16">
        <f t="shared" si="120"/>
        <v>0.2</v>
      </c>
      <c r="F1123" s="16">
        <f t="shared" si="121"/>
        <v>5</v>
      </c>
      <c r="G1123" s="16">
        <f t="shared" si="122"/>
        <v>2.4588483913072077</v>
      </c>
      <c r="H1123" s="16">
        <f t="shared" si="123"/>
        <v>1</v>
      </c>
      <c r="I1123" s="16">
        <f t="shared" si="124"/>
        <v>1</v>
      </c>
      <c r="J1123" s="16">
        <f t="shared" si="125"/>
        <v>2.4588483913072077</v>
      </c>
      <c r="K1123" s="16">
        <f>IF(CurrentMtgRatesDataTable8[[#This Row],[WA CC]]&lt;&gt;0,C1122-CurrentMtgRatesDataTable8[[#This Row],[WA CC]],0)</f>
        <v>0.92115160869279222</v>
      </c>
      <c r="L1123" s="16">
        <f>IF(CurrentMtgRatesDataTable8[[#This Row],[Servicing Spread]]&lt;=0,L1122,CurrentMtgRatesDataTable8[[#This Row],[Servicing Spread]])</f>
        <v>0.92115160869279222</v>
      </c>
      <c r="M1123" s="16">
        <f>CurrentMtgRatesDataTable8[[#This Row],[Servicing Spread Non-Zero]]-L1122</f>
        <v>-1.4716480874641835E-2</v>
      </c>
      <c r="N1123" s="16">
        <f>IF(J1122&lt;&gt;0,CurrentMtgRatesDataTable8[[#This Row],[Rate]]-C1122,N1122)</f>
        <v>4.9999999999998934E-3</v>
      </c>
    </row>
    <row r="1124" spans="1:14">
      <c r="A1124" s="39" t="s">
        <v>1175</v>
      </c>
      <c r="B1124" s="40">
        <v>2.4229898766104698</v>
      </c>
      <c r="C1124" s="11">
        <v>3.2949999999999999</v>
      </c>
      <c r="D1124" s="16">
        <f t="shared" si="119"/>
        <v>1</v>
      </c>
      <c r="E1124" s="16">
        <f t="shared" si="120"/>
        <v>0.2</v>
      </c>
      <c r="F1124" s="16">
        <f t="shared" si="121"/>
        <v>1</v>
      </c>
      <c r="G1124" s="16">
        <f t="shared" si="122"/>
        <v>0.48459797532209398</v>
      </c>
      <c r="H1124" s="16">
        <f t="shared" si="123"/>
        <v>0.2</v>
      </c>
      <c r="I1124" s="16">
        <f t="shared" si="124"/>
        <v>0</v>
      </c>
      <c r="J1124" s="16">
        <f t="shared" si="125"/>
        <v>0</v>
      </c>
      <c r="K1124" s="16">
        <f>IF(CurrentMtgRatesDataTable8[[#This Row],[WA CC]]&lt;&gt;0,C1123-CurrentMtgRatesDataTable8[[#This Row],[WA CC]],0)</f>
        <v>0</v>
      </c>
      <c r="L1124" s="16">
        <f>IF(CurrentMtgRatesDataTable8[[#This Row],[Servicing Spread]]&lt;=0,L1123,CurrentMtgRatesDataTable8[[#This Row],[Servicing Spread]])</f>
        <v>0.92115160869279222</v>
      </c>
      <c r="M1124" s="16">
        <f>CurrentMtgRatesDataTable8[[#This Row],[Servicing Spread Non-Zero]]-L1123</f>
        <v>0</v>
      </c>
      <c r="N1124" s="16">
        <f>IF(J1123&lt;&gt;0,CurrentMtgRatesDataTable8[[#This Row],[Rate]]-C1123,N1123)</f>
        <v>-8.4999999999999964E-2</v>
      </c>
    </row>
    <row r="1125" spans="1:14">
      <c r="A1125" s="39" t="s">
        <v>1176</v>
      </c>
      <c r="B1125" s="40">
        <v>2.35417709036851</v>
      </c>
      <c r="C1125" s="11">
        <v>3.2949999999999999</v>
      </c>
      <c r="D1125" s="16">
        <f t="shared" si="119"/>
        <v>2</v>
      </c>
      <c r="E1125" s="16">
        <f t="shared" si="120"/>
        <v>0.2</v>
      </c>
      <c r="F1125" s="16">
        <f t="shared" si="121"/>
        <v>2</v>
      </c>
      <c r="G1125" s="16">
        <f t="shared" si="122"/>
        <v>0.95543339339579592</v>
      </c>
      <c r="H1125" s="16">
        <f t="shared" si="123"/>
        <v>0.4</v>
      </c>
      <c r="I1125" s="16">
        <f t="shared" si="124"/>
        <v>0</v>
      </c>
      <c r="J1125" s="16">
        <f t="shared" si="125"/>
        <v>0</v>
      </c>
      <c r="K1125" s="16">
        <f>IF(CurrentMtgRatesDataTable8[[#This Row],[WA CC]]&lt;&gt;0,C1124-CurrentMtgRatesDataTable8[[#This Row],[WA CC]],0)</f>
        <v>0</v>
      </c>
      <c r="L1125" s="16">
        <f>IF(CurrentMtgRatesDataTable8[[#This Row],[Servicing Spread]]&lt;=0,L1124,CurrentMtgRatesDataTable8[[#This Row],[Servicing Spread]])</f>
        <v>0.92115160869279222</v>
      </c>
      <c r="M1125" s="16">
        <f>CurrentMtgRatesDataTable8[[#This Row],[Servicing Spread Non-Zero]]-L1124</f>
        <v>0</v>
      </c>
      <c r="N1125" s="16">
        <f>IF(J1124&lt;&gt;0,CurrentMtgRatesDataTable8[[#This Row],[Rate]]-C1124,N1124)</f>
        <v>-8.4999999999999964E-2</v>
      </c>
    </row>
    <row r="1126" spans="1:14">
      <c r="A1126" s="39" t="s">
        <v>1177</v>
      </c>
      <c r="B1126" s="40">
        <v>2.3204598577200901</v>
      </c>
      <c r="C1126" s="11">
        <v>3.2949999999999999</v>
      </c>
      <c r="D1126" s="16">
        <f t="shared" si="119"/>
        <v>5</v>
      </c>
      <c r="E1126" s="16">
        <f t="shared" si="120"/>
        <v>0.2</v>
      </c>
      <c r="F1126" s="16">
        <f t="shared" si="121"/>
        <v>3</v>
      </c>
      <c r="G1126" s="16">
        <f t="shared" si="122"/>
        <v>1.4195253649398141</v>
      </c>
      <c r="H1126" s="16">
        <f t="shared" si="123"/>
        <v>0.60000000000000009</v>
      </c>
      <c r="I1126" s="16">
        <f t="shared" si="124"/>
        <v>0</v>
      </c>
      <c r="J1126" s="16">
        <f t="shared" si="125"/>
        <v>0</v>
      </c>
      <c r="K1126" s="16">
        <f>IF(CurrentMtgRatesDataTable8[[#This Row],[WA CC]]&lt;&gt;0,C1125-CurrentMtgRatesDataTable8[[#This Row],[WA CC]],0)</f>
        <v>0</v>
      </c>
      <c r="L1126" s="16">
        <f>IF(CurrentMtgRatesDataTable8[[#This Row],[Servicing Spread]]&lt;=0,L1125,CurrentMtgRatesDataTable8[[#This Row],[Servicing Spread]])</f>
        <v>0.92115160869279222</v>
      </c>
      <c r="M1126" s="16">
        <f>CurrentMtgRatesDataTable8[[#This Row],[Servicing Spread Non-Zero]]-L1125</f>
        <v>0</v>
      </c>
      <c r="N1126" s="16">
        <f>IF(J1125&lt;&gt;0,CurrentMtgRatesDataTable8[[#This Row],[Rate]]-C1125,N1125)</f>
        <v>-8.4999999999999964E-2</v>
      </c>
    </row>
    <row r="1127" spans="1:14">
      <c r="A1127" s="39" t="s">
        <v>1178</v>
      </c>
      <c r="B1127" s="40">
        <v>2.3036095465699198</v>
      </c>
      <c r="C1127" s="11">
        <v>3.2949999999999999</v>
      </c>
      <c r="D1127" s="16">
        <f t="shared" si="119"/>
        <v>6</v>
      </c>
      <c r="E1127" s="16">
        <f t="shared" si="120"/>
        <v>0.2</v>
      </c>
      <c r="F1127" s="16">
        <f t="shared" si="121"/>
        <v>4</v>
      </c>
      <c r="G1127" s="16">
        <f t="shared" si="122"/>
        <v>1.8802472742537981</v>
      </c>
      <c r="H1127" s="16">
        <f t="shared" si="123"/>
        <v>0.8</v>
      </c>
      <c r="I1127" s="16">
        <f t="shared" si="124"/>
        <v>0</v>
      </c>
      <c r="J1127" s="16">
        <f t="shared" si="125"/>
        <v>0</v>
      </c>
      <c r="K1127" s="16">
        <f>IF(CurrentMtgRatesDataTable8[[#This Row],[WA CC]]&lt;&gt;0,C1126-CurrentMtgRatesDataTable8[[#This Row],[WA CC]],0)</f>
        <v>0</v>
      </c>
      <c r="L1127" s="16">
        <f>IF(CurrentMtgRatesDataTable8[[#This Row],[Servicing Spread]]&lt;=0,L1126,CurrentMtgRatesDataTable8[[#This Row],[Servicing Spread]])</f>
        <v>0.92115160869279222</v>
      </c>
      <c r="M1127" s="16">
        <f>CurrentMtgRatesDataTable8[[#This Row],[Servicing Spread Non-Zero]]-L1126</f>
        <v>0</v>
      </c>
      <c r="N1127" s="16">
        <f>IF(J1126&lt;&gt;0,CurrentMtgRatesDataTable8[[#This Row],[Rate]]-C1126,N1126)</f>
        <v>-8.4999999999999964E-2</v>
      </c>
    </row>
    <row r="1128" spans="1:14">
      <c r="A1128" s="39" t="s">
        <v>1179</v>
      </c>
      <c r="B1128" s="40">
        <v>2.3175565245512799</v>
      </c>
      <c r="C1128" s="11">
        <v>3.2949999999999999</v>
      </c>
      <c r="D1128" s="16">
        <f t="shared" si="119"/>
        <v>7</v>
      </c>
      <c r="E1128" s="16">
        <f t="shared" si="120"/>
        <v>0.2</v>
      </c>
      <c r="F1128" s="16">
        <f t="shared" si="121"/>
        <v>5</v>
      </c>
      <c r="G1128" s="16">
        <f t="shared" si="122"/>
        <v>2.3437585791640543</v>
      </c>
      <c r="H1128" s="16">
        <f t="shared" si="123"/>
        <v>1</v>
      </c>
      <c r="I1128" s="16">
        <f t="shared" si="124"/>
        <v>1</v>
      </c>
      <c r="J1128" s="16">
        <f t="shared" si="125"/>
        <v>2.3437585791640543</v>
      </c>
      <c r="K1128" s="16">
        <f>IF(CurrentMtgRatesDataTable8[[#This Row],[WA CC]]&lt;&gt;0,C1127-CurrentMtgRatesDataTable8[[#This Row],[WA CC]],0)</f>
        <v>0.95124142083594565</v>
      </c>
      <c r="L1128" s="16">
        <f>IF(CurrentMtgRatesDataTable8[[#This Row],[Servicing Spread]]&lt;=0,L1127,CurrentMtgRatesDataTable8[[#This Row],[Servicing Spread]])</f>
        <v>0.95124142083594565</v>
      </c>
      <c r="M1128" s="16">
        <f>CurrentMtgRatesDataTable8[[#This Row],[Servicing Spread Non-Zero]]-L1127</f>
        <v>3.0089812143153427E-2</v>
      </c>
      <c r="N1128" s="16">
        <f>IF(J1127&lt;&gt;0,CurrentMtgRatesDataTable8[[#This Row],[Rate]]-C1127,N1127)</f>
        <v>-8.4999999999999964E-2</v>
      </c>
    </row>
    <row r="1129" spans="1:14">
      <c r="A1129" s="39" t="s">
        <v>1180</v>
      </c>
      <c r="B1129" s="40">
        <v>2.3157936267169901</v>
      </c>
      <c r="C1129" s="11">
        <v>3.2949999999999999</v>
      </c>
      <c r="D1129" s="16">
        <f t="shared" si="119"/>
        <v>1</v>
      </c>
      <c r="E1129" s="16">
        <f t="shared" si="120"/>
        <v>0.2</v>
      </c>
      <c r="F1129" s="16">
        <f t="shared" si="121"/>
        <v>1</v>
      </c>
      <c r="G1129" s="16">
        <f t="shared" si="122"/>
        <v>0.46315872534339803</v>
      </c>
      <c r="H1129" s="16">
        <f t="shared" si="123"/>
        <v>0.2</v>
      </c>
      <c r="I1129" s="16">
        <f t="shared" si="124"/>
        <v>0</v>
      </c>
      <c r="J1129" s="16">
        <f t="shared" si="125"/>
        <v>0</v>
      </c>
      <c r="K1129" s="16">
        <f>IF(CurrentMtgRatesDataTable8[[#This Row],[WA CC]]&lt;&gt;0,C1128-CurrentMtgRatesDataTable8[[#This Row],[WA CC]],0)</f>
        <v>0</v>
      </c>
      <c r="L1129" s="16">
        <f>IF(CurrentMtgRatesDataTable8[[#This Row],[Servicing Spread]]&lt;=0,L1128,CurrentMtgRatesDataTable8[[#This Row],[Servicing Spread]])</f>
        <v>0.95124142083594565</v>
      </c>
      <c r="M1129" s="16">
        <f>CurrentMtgRatesDataTable8[[#This Row],[Servicing Spread Non-Zero]]-L1128</f>
        <v>0</v>
      </c>
      <c r="N1129" s="16">
        <f>IF(J1128&lt;&gt;0,CurrentMtgRatesDataTable8[[#This Row],[Rate]]-C1128,N1128)</f>
        <v>0</v>
      </c>
    </row>
    <row r="1130" spans="1:14">
      <c r="A1130" s="39" t="s">
        <v>1181</v>
      </c>
      <c r="B1130" s="40">
        <v>2.3450247275103502</v>
      </c>
      <c r="C1130" s="11">
        <v>3.2949999999999999</v>
      </c>
      <c r="D1130" s="16">
        <f t="shared" si="119"/>
        <v>2</v>
      </c>
      <c r="E1130" s="16">
        <f t="shared" si="120"/>
        <v>0.2</v>
      </c>
      <c r="F1130" s="16">
        <f t="shared" si="121"/>
        <v>2</v>
      </c>
      <c r="G1130" s="16">
        <f t="shared" si="122"/>
        <v>0.93216367084546814</v>
      </c>
      <c r="H1130" s="16">
        <f t="shared" si="123"/>
        <v>0.4</v>
      </c>
      <c r="I1130" s="16">
        <f t="shared" si="124"/>
        <v>0</v>
      </c>
      <c r="J1130" s="16">
        <f t="shared" si="125"/>
        <v>0</v>
      </c>
      <c r="K1130" s="16">
        <f>IF(CurrentMtgRatesDataTable8[[#This Row],[WA CC]]&lt;&gt;0,C1129-CurrentMtgRatesDataTable8[[#This Row],[WA CC]],0)</f>
        <v>0</v>
      </c>
      <c r="L1130" s="16">
        <f>IF(CurrentMtgRatesDataTable8[[#This Row],[Servicing Spread]]&lt;=0,L1129,CurrentMtgRatesDataTable8[[#This Row],[Servicing Spread]])</f>
        <v>0.95124142083594565</v>
      </c>
      <c r="M1130" s="16">
        <f>CurrentMtgRatesDataTable8[[#This Row],[Servicing Spread Non-Zero]]-L1129</f>
        <v>0</v>
      </c>
      <c r="N1130" s="16">
        <f>IF(J1129&lt;&gt;0,CurrentMtgRatesDataTable8[[#This Row],[Rate]]-C1129,N1129)</f>
        <v>0</v>
      </c>
    </row>
    <row r="1131" spans="1:14">
      <c r="A1131" s="39" t="s">
        <v>1182</v>
      </c>
      <c r="B1131" s="40">
        <v>2.3593230360377899</v>
      </c>
      <c r="C1131" s="11">
        <v>3.2949999999999999</v>
      </c>
      <c r="D1131" s="16">
        <f t="shared" si="119"/>
        <v>5</v>
      </c>
      <c r="E1131" s="16">
        <f t="shared" si="120"/>
        <v>0.2</v>
      </c>
      <c r="F1131" s="16">
        <f t="shared" si="121"/>
        <v>3</v>
      </c>
      <c r="G1131" s="16">
        <f t="shared" si="122"/>
        <v>1.4040282780530262</v>
      </c>
      <c r="H1131" s="16">
        <f t="shared" si="123"/>
        <v>0.60000000000000009</v>
      </c>
      <c r="I1131" s="16">
        <f t="shared" si="124"/>
        <v>0</v>
      </c>
      <c r="J1131" s="16">
        <f t="shared" si="125"/>
        <v>0</v>
      </c>
      <c r="K1131" s="16">
        <f>IF(CurrentMtgRatesDataTable8[[#This Row],[WA CC]]&lt;&gt;0,C1130-CurrentMtgRatesDataTable8[[#This Row],[WA CC]],0)</f>
        <v>0</v>
      </c>
      <c r="L1131" s="16">
        <f>IF(CurrentMtgRatesDataTable8[[#This Row],[Servicing Spread]]&lt;=0,L1130,CurrentMtgRatesDataTable8[[#This Row],[Servicing Spread]])</f>
        <v>0.95124142083594565</v>
      </c>
      <c r="M1131" s="16">
        <f>CurrentMtgRatesDataTable8[[#This Row],[Servicing Spread Non-Zero]]-L1130</f>
        <v>0</v>
      </c>
      <c r="N1131" s="16">
        <f>IF(J1130&lt;&gt;0,CurrentMtgRatesDataTable8[[#This Row],[Rate]]-C1130,N1130)</f>
        <v>0</v>
      </c>
    </row>
    <row r="1132" spans="1:14">
      <c r="A1132" s="39" t="s">
        <v>1183</v>
      </c>
      <c r="B1132" s="40">
        <v>2.4007367882510802</v>
      </c>
      <c r="C1132" s="11">
        <v>3.2949999999999999</v>
      </c>
      <c r="D1132" s="16">
        <f t="shared" si="119"/>
        <v>6</v>
      </c>
      <c r="E1132" s="16">
        <f t="shared" si="120"/>
        <v>0.2</v>
      </c>
      <c r="F1132" s="16">
        <f t="shared" si="121"/>
        <v>4</v>
      </c>
      <c r="G1132" s="16">
        <f t="shared" si="122"/>
        <v>1.8841756357032422</v>
      </c>
      <c r="H1132" s="16">
        <f t="shared" si="123"/>
        <v>0.8</v>
      </c>
      <c r="I1132" s="16">
        <f t="shared" si="124"/>
        <v>0</v>
      </c>
      <c r="J1132" s="16">
        <f t="shared" si="125"/>
        <v>0</v>
      </c>
      <c r="K1132" s="16">
        <f>IF(CurrentMtgRatesDataTable8[[#This Row],[WA CC]]&lt;&gt;0,C1131-CurrentMtgRatesDataTable8[[#This Row],[WA CC]],0)</f>
        <v>0</v>
      </c>
      <c r="L1132" s="16">
        <f>IF(CurrentMtgRatesDataTable8[[#This Row],[Servicing Spread]]&lt;=0,L1131,CurrentMtgRatesDataTable8[[#This Row],[Servicing Spread]])</f>
        <v>0.95124142083594565</v>
      </c>
      <c r="M1132" s="16">
        <f>CurrentMtgRatesDataTable8[[#This Row],[Servicing Spread Non-Zero]]-L1131</f>
        <v>0</v>
      </c>
      <c r="N1132" s="16">
        <f>IF(J1131&lt;&gt;0,CurrentMtgRatesDataTable8[[#This Row],[Rate]]-C1131,N1131)</f>
        <v>0</v>
      </c>
    </row>
    <row r="1133" spans="1:14">
      <c r="A1133" s="39" t="s">
        <v>1184</v>
      </c>
      <c r="B1133" s="40">
        <v>2.4230964984502701</v>
      </c>
      <c r="C1133" s="11">
        <v>3.2949999999999999</v>
      </c>
      <c r="D1133" s="16">
        <f t="shared" si="119"/>
        <v>7</v>
      </c>
      <c r="E1133" s="16">
        <f t="shared" si="120"/>
        <v>0.2</v>
      </c>
      <c r="F1133" s="16">
        <f t="shared" si="121"/>
        <v>5</v>
      </c>
      <c r="G1133" s="16">
        <f t="shared" si="122"/>
        <v>2.3687949353932964</v>
      </c>
      <c r="H1133" s="16">
        <f t="shared" si="123"/>
        <v>1</v>
      </c>
      <c r="I1133" s="16">
        <f t="shared" si="124"/>
        <v>1</v>
      </c>
      <c r="J1133" s="16">
        <f t="shared" si="125"/>
        <v>2.3687949353932964</v>
      </c>
      <c r="K1133" s="16">
        <f>IF(CurrentMtgRatesDataTable8[[#This Row],[WA CC]]&lt;&gt;0,C1132-CurrentMtgRatesDataTable8[[#This Row],[WA CC]],0)</f>
        <v>0.92620506460670349</v>
      </c>
      <c r="L1133" s="16">
        <f>IF(CurrentMtgRatesDataTable8[[#This Row],[Servicing Spread]]&lt;=0,L1132,CurrentMtgRatesDataTable8[[#This Row],[Servicing Spread]])</f>
        <v>0.92620506460670349</v>
      </c>
      <c r="M1133" s="16">
        <f>CurrentMtgRatesDataTable8[[#This Row],[Servicing Spread Non-Zero]]-L1132</f>
        <v>-2.5036356229242163E-2</v>
      </c>
      <c r="N1133" s="16">
        <f>IF(J1132&lt;&gt;0,CurrentMtgRatesDataTable8[[#This Row],[Rate]]-C1132,N1132)</f>
        <v>0</v>
      </c>
    </row>
    <row r="1134" spans="1:14">
      <c r="A1134" s="39" t="s">
        <v>1185</v>
      </c>
      <c r="B1134" s="40">
        <v>2.4425561319038702</v>
      </c>
      <c r="C1134" s="11">
        <v>3.37</v>
      </c>
      <c r="D1134" s="16">
        <f t="shared" si="119"/>
        <v>1</v>
      </c>
      <c r="E1134" s="16">
        <f t="shared" si="120"/>
        <v>0.2</v>
      </c>
      <c r="F1134" s="16">
        <f t="shared" si="121"/>
        <v>1</v>
      </c>
      <c r="G1134" s="16">
        <f t="shared" si="122"/>
        <v>0.48851122638077404</v>
      </c>
      <c r="H1134" s="16">
        <f t="shared" si="123"/>
        <v>0.2</v>
      </c>
      <c r="I1134" s="16">
        <f t="shared" si="124"/>
        <v>0</v>
      </c>
      <c r="J1134" s="16">
        <f t="shared" si="125"/>
        <v>0</v>
      </c>
      <c r="K1134" s="16">
        <f>IF(CurrentMtgRatesDataTable8[[#This Row],[WA CC]]&lt;&gt;0,C1133-CurrentMtgRatesDataTable8[[#This Row],[WA CC]],0)</f>
        <v>0</v>
      </c>
      <c r="L1134" s="16">
        <f>IF(CurrentMtgRatesDataTable8[[#This Row],[Servicing Spread]]&lt;=0,L1133,CurrentMtgRatesDataTable8[[#This Row],[Servicing Spread]])</f>
        <v>0.92620506460670349</v>
      </c>
      <c r="M1134" s="16">
        <f>CurrentMtgRatesDataTable8[[#This Row],[Servicing Spread Non-Zero]]-L1133</f>
        <v>0</v>
      </c>
      <c r="N1134" s="16">
        <f>IF(J1133&lt;&gt;0,CurrentMtgRatesDataTable8[[#This Row],[Rate]]-C1133,N1133)</f>
        <v>7.5000000000000178E-2</v>
      </c>
    </row>
    <row r="1135" spans="1:14">
      <c r="A1135" s="39" t="s">
        <v>1186</v>
      </c>
      <c r="B1135" s="40">
        <v>2.4494735846374298</v>
      </c>
      <c r="C1135" s="11">
        <v>3.37</v>
      </c>
      <c r="D1135" s="16">
        <f t="shared" si="119"/>
        <v>2</v>
      </c>
      <c r="E1135" s="16">
        <f t="shared" si="120"/>
        <v>0.2</v>
      </c>
      <c r="F1135" s="16">
        <f t="shared" si="121"/>
        <v>2</v>
      </c>
      <c r="G1135" s="16">
        <f t="shared" si="122"/>
        <v>0.97840594330826003</v>
      </c>
      <c r="H1135" s="16">
        <f t="shared" si="123"/>
        <v>0.4</v>
      </c>
      <c r="I1135" s="16">
        <f t="shared" si="124"/>
        <v>0</v>
      </c>
      <c r="J1135" s="16">
        <f t="shared" si="125"/>
        <v>0</v>
      </c>
      <c r="K1135" s="16">
        <f>IF(CurrentMtgRatesDataTable8[[#This Row],[WA CC]]&lt;&gt;0,C1134-CurrentMtgRatesDataTable8[[#This Row],[WA CC]],0)</f>
        <v>0</v>
      </c>
      <c r="L1135" s="16">
        <f>IF(CurrentMtgRatesDataTable8[[#This Row],[Servicing Spread]]&lt;=0,L1134,CurrentMtgRatesDataTable8[[#This Row],[Servicing Spread]])</f>
        <v>0.92620506460670349</v>
      </c>
      <c r="M1135" s="16">
        <f>CurrentMtgRatesDataTable8[[#This Row],[Servicing Spread Non-Zero]]-L1134</f>
        <v>0</v>
      </c>
      <c r="N1135" s="16">
        <f>IF(J1134&lt;&gt;0,CurrentMtgRatesDataTable8[[#This Row],[Rate]]-C1134,N1134)</f>
        <v>7.5000000000000178E-2</v>
      </c>
    </row>
    <row r="1136" spans="1:14">
      <c r="A1136" s="39" t="s">
        <v>1187</v>
      </c>
      <c r="B1136" s="40">
        <v>2.4735241202306701</v>
      </c>
      <c r="C1136" s="11">
        <v>3.37</v>
      </c>
      <c r="D1136" s="16">
        <f t="shared" si="119"/>
        <v>6</v>
      </c>
      <c r="E1136" s="16">
        <f t="shared" si="120"/>
        <v>0.2</v>
      </c>
      <c r="F1136" s="16">
        <f t="shared" si="121"/>
        <v>3</v>
      </c>
      <c r="G1136" s="16">
        <f t="shared" si="122"/>
        <v>1.4731107673543939</v>
      </c>
      <c r="H1136" s="16">
        <f t="shared" si="123"/>
        <v>0.60000000000000009</v>
      </c>
      <c r="I1136" s="16">
        <f t="shared" si="124"/>
        <v>0</v>
      </c>
      <c r="J1136" s="16">
        <f t="shared" si="125"/>
        <v>0</v>
      </c>
      <c r="K1136" s="16">
        <f>IF(CurrentMtgRatesDataTable8[[#This Row],[WA CC]]&lt;&gt;0,C1135-CurrentMtgRatesDataTable8[[#This Row],[WA CC]],0)</f>
        <v>0</v>
      </c>
      <c r="L1136" s="16">
        <f>IF(CurrentMtgRatesDataTable8[[#This Row],[Servicing Spread]]&lt;=0,L1135,CurrentMtgRatesDataTable8[[#This Row],[Servicing Spread]])</f>
        <v>0.92620506460670349</v>
      </c>
      <c r="M1136" s="16">
        <f>CurrentMtgRatesDataTable8[[#This Row],[Servicing Spread Non-Zero]]-L1135</f>
        <v>0</v>
      </c>
      <c r="N1136" s="16">
        <f>IF(J1135&lt;&gt;0,CurrentMtgRatesDataTable8[[#This Row],[Rate]]-C1135,N1135)</f>
        <v>7.5000000000000178E-2</v>
      </c>
    </row>
    <row r="1137" spans="1:14">
      <c r="A1137" s="39" t="s">
        <v>1188</v>
      </c>
      <c r="B1137" s="40">
        <v>2.49089475229058</v>
      </c>
      <c r="C1137" s="11">
        <v>3.37</v>
      </c>
      <c r="D1137" s="16">
        <f t="shared" si="119"/>
        <v>7</v>
      </c>
      <c r="E1137" s="16">
        <f t="shared" si="120"/>
        <v>0.2</v>
      </c>
      <c r="F1137" s="16">
        <f t="shared" si="121"/>
        <v>4</v>
      </c>
      <c r="G1137" s="16">
        <f t="shared" si="122"/>
        <v>1.9712897178125099</v>
      </c>
      <c r="H1137" s="16">
        <f t="shared" si="123"/>
        <v>0.8</v>
      </c>
      <c r="I1137" s="16">
        <f t="shared" si="124"/>
        <v>1</v>
      </c>
      <c r="J1137" s="16">
        <f t="shared" si="125"/>
        <v>2.4641121472656371</v>
      </c>
      <c r="K1137" s="16">
        <f>IF(CurrentMtgRatesDataTable8[[#This Row],[WA CC]]&lt;&gt;0,C1136-CurrentMtgRatesDataTable8[[#This Row],[WA CC]],0)</f>
        <v>0.90588785273436301</v>
      </c>
      <c r="L1137" s="16">
        <f>IF(CurrentMtgRatesDataTable8[[#This Row],[Servicing Spread]]&lt;=0,L1136,CurrentMtgRatesDataTable8[[#This Row],[Servicing Spread]])</f>
        <v>0.90588785273436301</v>
      </c>
      <c r="M1137" s="16">
        <f>CurrentMtgRatesDataTable8[[#This Row],[Servicing Spread Non-Zero]]-L1136</f>
        <v>-2.0317211872340479E-2</v>
      </c>
      <c r="N1137" s="16">
        <f>IF(J1136&lt;&gt;0,CurrentMtgRatesDataTable8[[#This Row],[Rate]]-C1136,N1136)</f>
        <v>7.5000000000000178E-2</v>
      </c>
    </row>
    <row r="1138" spans="1:14">
      <c r="A1138" s="39" t="s">
        <v>1189</v>
      </c>
      <c r="B1138" s="40">
        <v>2.4566708605099099</v>
      </c>
      <c r="C1138" s="11">
        <v>3.395</v>
      </c>
      <c r="D1138" s="16">
        <f t="shared" si="119"/>
        <v>1</v>
      </c>
      <c r="E1138" s="16">
        <f t="shared" si="120"/>
        <v>0.2</v>
      </c>
      <c r="F1138" s="16">
        <f t="shared" si="121"/>
        <v>1</v>
      </c>
      <c r="G1138" s="16">
        <f t="shared" si="122"/>
        <v>0.49133417210198199</v>
      </c>
      <c r="H1138" s="16">
        <f t="shared" si="123"/>
        <v>0.2</v>
      </c>
      <c r="I1138" s="16">
        <f t="shared" si="124"/>
        <v>0</v>
      </c>
      <c r="J1138" s="16">
        <f t="shared" si="125"/>
        <v>0</v>
      </c>
      <c r="K1138" s="16">
        <f>IF(CurrentMtgRatesDataTable8[[#This Row],[WA CC]]&lt;&gt;0,C1137-CurrentMtgRatesDataTable8[[#This Row],[WA CC]],0)</f>
        <v>0</v>
      </c>
      <c r="L1138" s="16">
        <f>IF(CurrentMtgRatesDataTable8[[#This Row],[Servicing Spread]]&lt;=0,L1137,CurrentMtgRatesDataTable8[[#This Row],[Servicing Spread]])</f>
        <v>0.90588785273436301</v>
      </c>
      <c r="M1138" s="16">
        <f>CurrentMtgRatesDataTable8[[#This Row],[Servicing Spread Non-Zero]]-L1137</f>
        <v>0</v>
      </c>
      <c r="N1138" s="16">
        <f>IF(J1137&lt;&gt;0,CurrentMtgRatesDataTable8[[#This Row],[Rate]]-C1137,N1137)</f>
        <v>2.4999999999999911E-2</v>
      </c>
    </row>
    <row r="1139" spans="1:14">
      <c r="A1139" s="39" t="s">
        <v>1190</v>
      </c>
      <c r="B1139" s="40">
        <v>2.5031538447013899</v>
      </c>
      <c r="C1139" s="11">
        <v>3.395</v>
      </c>
      <c r="D1139" s="16">
        <f t="shared" si="119"/>
        <v>2</v>
      </c>
      <c r="E1139" s="16">
        <f t="shared" si="120"/>
        <v>0.2</v>
      </c>
      <c r="F1139" s="16">
        <f t="shared" si="121"/>
        <v>2</v>
      </c>
      <c r="G1139" s="16">
        <f t="shared" si="122"/>
        <v>0.99196494104225996</v>
      </c>
      <c r="H1139" s="16">
        <f t="shared" si="123"/>
        <v>0.4</v>
      </c>
      <c r="I1139" s="16">
        <f t="shared" si="124"/>
        <v>0</v>
      </c>
      <c r="J1139" s="16">
        <f t="shared" si="125"/>
        <v>0</v>
      </c>
      <c r="K1139" s="16">
        <f>IF(CurrentMtgRatesDataTable8[[#This Row],[WA CC]]&lt;&gt;0,C1138-CurrentMtgRatesDataTable8[[#This Row],[WA CC]],0)</f>
        <v>0</v>
      </c>
      <c r="L1139" s="16">
        <f>IF(CurrentMtgRatesDataTable8[[#This Row],[Servicing Spread]]&lt;=0,L1138,CurrentMtgRatesDataTable8[[#This Row],[Servicing Spread]])</f>
        <v>0.90588785273436301</v>
      </c>
      <c r="M1139" s="16">
        <f>CurrentMtgRatesDataTable8[[#This Row],[Servicing Spread Non-Zero]]-L1138</f>
        <v>0</v>
      </c>
      <c r="N1139" s="16">
        <f>IF(J1138&lt;&gt;0,CurrentMtgRatesDataTable8[[#This Row],[Rate]]-C1138,N1138)</f>
        <v>2.4999999999999911E-2</v>
      </c>
    </row>
    <row r="1140" spans="1:14">
      <c r="A1140" s="39" t="s">
        <v>1191</v>
      </c>
      <c r="B1140" s="40">
        <v>2.48665049817154</v>
      </c>
      <c r="C1140" s="11">
        <v>3.395</v>
      </c>
      <c r="D1140" s="16">
        <f t="shared" si="119"/>
        <v>5</v>
      </c>
      <c r="E1140" s="16">
        <f t="shared" si="120"/>
        <v>0.2</v>
      </c>
      <c r="F1140" s="16">
        <f t="shared" si="121"/>
        <v>3</v>
      </c>
      <c r="G1140" s="16">
        <f t="shared" si="122"/>
        <v>1.4892950406765679</v>
      </c>
      <c r="H1140" s="16">
        <f t="shared" si="123"/>
        <v>0.60000000000000009</v>
      </c>
      <c r="I1140" s="16">
        <f t="shared" si="124"/>
        <v>0</v>
      </c>
      <c r="J1140" s="16">
        <f t="shared" si="125"/>
        <v>0</v>
      </c>
      <c r="K1140" s="16">
        <f>IF(CurrentMtgRatesDataTable8[[#This Row],[WA CC]]&lt;&gt;0,C1139-CurrentMtgRatesDataTable8[[#This Row],[WA CC]],0)</f>
        <v>0</v>
      </c>
      <c r="L1140" s="16">
        <f>IF(CurrentMtgRatesDataTable8[[#This Row],[Servicing Spread]]&lt;=0,L1139,CurrentMtgRatesDataTable8[[#This Row],[Servicing Spread]])</f>
        <v>0.90588785273436301</v>
      </c>
      <c r="M1140" s="16">
        <f>CurrentMtgRatesDataTable8[[#This Row],[Servicing Spread Non-Zero]]-L1139</f>
        <v>0</v>
      </c>
      <c r="N1140" s="16">
        <f>IF(J1139&lt;&gt;0,CurrentMtgRatesDataTable8[[#This Row],[Rate]]-C1139,N1139)</f>
        <v>2.4999999999999911E-2</v>
      </c>
    </row>
    <row r="1141" spans="1:14">
      <c r="A1141" s="39" t="s">
        <v>1192</v>
      </c>
      <c r="B1141" s="40">
        <v>2.46551867128733</v>
      </c>
      <c r="C1141" s="11">
        <v>3.395</v>
      </c>
      <c r="D1141" s="16">
        <f t="shared" si="119"/>
        <v>6</v>
      </c>
      <c r="E1141" s="16">
        <f t="shared" si="120"/>
        <v>0.2</v>
      </c>
      <c r="F1141" s="16">
        <f t="shared" si="121"/>
        <v>4</v>
      </c>
      <c r="G1141" s="16">
        <f t="shared" si="122"/>
        <v>1.9823987749340339</v>
      </c>
      <c r="H1141" s="16">
        <f t="shared" si="123"/>
        <v>0.8</v>
      </c>
      <c r="I1141" s="16">
        <f t="shared" si="124"/>
        <v>0</v>
      </c>
      <c r="J1141" s="16">
        <f t="shared" si="125"/>
        <v>0</v>
      </c>
      <c r="K1141" s="16">
        <f>IF(CurrentMtgRatesDataTable8[[#This Row],[WA CC]]&lt;&gt;0,C1140-CurrentMtgRatesDataTable8[[#This Row],[WA CC]],0)</f>
        <v>0</v>
      </c>
      <c r="L1141" s="16">
        <f>IF(CurrentMtgRatesDataTable8[[#This Row],[Servicing Spread]]&lt;=0,L1140,CurrentMtgRatesDataTable8[[#This Row],[Servicing Spread]])</f>
        <v>0.90588785273436301</v>
      </c>
      <c r="M1141" s="16">
        <f>CurrentMtgRatesDataTable8[[#This Row],[Servicing Spread Non-Zero]]-L1140</f>
        <v>0</v>
      </c>
      <c r="N1141" s="16">
        <f>IF(J1140&lt;&gt;0,CurrentMtgRatesDataTable8[[#This Row],[Rate]]-C1140,N1140)</f>
        <v>2.4999999999999911E-2</v>
      </c>
    </row>
    <row r="1142" spans="1:14">
      <c r="A1142" s="39" t="s">
        <v>1193</v>
      </c>
      <c r="B1142" s="40">
        <v>2.4639577006004401</v>
      </c>
      <c r="C1142" s="11">
        <v>3.395</v>
      </c>
      <c r="D1142" s="16">
        <f t="shared" si="119"/>
        <v>7</v>
      </c>
      <c r="E1142" s="16">
        <f t="shared" si="120"/>
        <v>0.2</v>
      </c>
      <c r="F1142" s="16">
        <f t="shared" si="121"/>
        <v>5</v>
      </c>
      <c r="G1142" s="16">
        <f t="shared" si="122"/>
        <v>2.4751903150541219</v>
      </c>
      <c r="H1142" s="16">
        <f t="shared" si="123"/>
        <v>1</v>
      </c>
      <c r="I1142" s="16">
        <f t="shared" si="124"/>
        <v>1</v>
      </c>
      <c r="J1142" s="16">
        <f t="shared" si="125"/>
        <v>2.4751903150541219</v>
      </c>
      <c r="K1142" s="16">
        <f>IF(CurrentMtgRatesDataTable8[[#This Row],[WA CC]]&lt;&gt;0,C1141-CurrentMtgRatesDataTable8[[#This Row],[WA CC]],0)</f>
        <v>0.91980968494587811</v>
      </c>
      <c r="L1142" s="16">
        <f>IF(CurrentMtgRatesDataTable8[[#This Row],[Servicing Spread]]&lt;=0,L1141,CurrentMtgRatesDataTable8[[#This Row],[Servicing Spread]])</f>
        <v>0.91980968494587811</v>
      </c>
      <c r="M1142" s="16">
        <f>CurrentMtgRatesDataTable8[[#This Row],[Servicing Spread Non-Zero]]-L1141</f>
        <v>1.3921832211515106E-2</v>
      </c>
      <c r="N1142" s="16">
        <f>IF(J1141&lt;&gt;0,CurrentMtgRatesDataTable8[[#This Row],[Rate]]-C1141,N1141)</f>
        <v>2.4999999999999911E-2</v>
      </c>
    </row>
    <row r="1143" spans="1:14">
      <c r="A1143" s="39" t="s">
        <v>1194</v>
      </c>
      <c r="B1143" s="40">
        <v>2.45827138639036</v>
      </c>
      <c r="C1143" s="11">
        <v>3.37</v>
      </c>
      <c r="D1143" s="16">
        <f t="shared" si="119"/>
        <v>1</v>
      </c>
      <c r="E1143" s="16">
        <f t="shared" si="120"/>
        <v>0.2</v>
      </c>
      <c r="F1143" s="16">
        <f t="shared" si="121"/>
        <v>1</v>
      </c>
      <c r="G1143" s="16">
        <f t="shared" si="122"/>
        <v>0.49165427727807204</v>
      </c>
      <c r="H1143" s="16">
        <f t="shared" si="123"/>
        <v>0.2</v>
      </c>
      <c r="I1143" s="16">
        <f t="shared" si="124"/>
        <v>0</v>
      </c>
      <c r="J1143" s="16">
        <f t="shared" si="125"/>
        <v>0</v>
      </c>
      <c r="K1143" s="16">
        <f>IF(CurrentMtgRatesDataTable8[[#This Row],[WA CC]]&lt;&gt;0,C1142-CurrentMtgRatesDataTable8[[#This Row],[WA CC]],0)</f>
        <v>0</v>
      </c>
      <c r="L1143" s="16">
        <f>IF(CurrentMtgRatesDataTable8[[#This Row],[Servicing Spread]]&lt;=0,L1142,CurrentMtgRatesDataTable8[[#This Row],[Servicing Spread]])</f>
        <v>0.91980968494587811</v>
      </c>
      <c r="M1143" s="16">
        <f>CurrentMtgRatesDataTable8[[#This Row],[Servicing Spread Non-Zero]]-L1142</f>
        <v>0</v>
      </c>
      <c r="N1143" s="16">
        <f>IF(J1142&lt;&gt;0,CurrentMtgRatesDataTable8[[#This Row],[Rate]]-C1142,N1142)</f>
        <v>-2.4999999999999911E-2</v>
      </c>
    </row>
    <row r="1144" spans="1:14">
      <c r="A1144" s="39" t="s">
        <v>1195</v>
      </c>
      <c r="B1144" s="40">
        <v>2.4486777045586599</v>
      </c>
      <c r="C1144" s="11">
        <v>3.37</v>
      </c>
      <c r="D1144" s="16">
        <f t="shared" si="119"/>
        <v>2</v>
      </c>
      <c r="E1144" s="16">
        <f t="shared" si="120"/>
        <v>0.2</v>
      </c>
      <c r="F1144" s="16">
        <f t="shared" si="121"/>
        <v>2</v>
      </c>
      <c r="G1144" s="16">
        <f t="shared" si="122"/>
        <v>0.98138981818980398</v>
      </c>
      <c r="H1144" s="16">
        <f t="shared" si="123"/>
        <v>0.4</v>
      </c>
      <c r="I1144" s="16">
        <f t="shared" si="124"/>
        <v>0</v>
      </c>
      <c r="J1144" s="16">
        <f t="shared" si="125"/>
        <v>0</v>
      </c>
      <c r="K1144" s="16">
        <f>IF(CurrentMtgRatesDataTable8[[#This Row],[WA CC]]&lt;&gt;0,C1143-CurrentMtgRatesDataTable8[[#This Row],[WA CC]],0)</f>
        <v>0</v>
      </c>
      <c r="L1144" s="16">
        <f>IF(CurrentMtgRatesDataTable8[[#This Row],[Servicing Spread]]&lt;=0,L1143,CurrentMtgRatesDataTable8[[#This Row],[Servicing Spread]])</f>
        <v>0.91980968494587811</v>
      </c>
      <c r="M1144" s="16">
        <f>CurrentMtgRatesDataTable8[[#This Row],[Servicing Spread Non-Zero]]-L1143</f>
        <v>0</v>
      </c>
      <c r="N1144" s="16">
        <f>IF(J1143&lt;&gt;0,CurrentMtgRatesDataTable8[[#This Row],[Rate]]-C1143,N1143)</f>
        <v>-2.4999999999999911E-2</v>
      </c>
    </row>
    <row r="1145" spans="1:14">
      <c r="A1145" s="39" t="s">
        <v>1196</v>
      </c>
      <c r="B1145" s="40">
        <v>2.46526496945889</v>
      </c>
      <c r="C1145" s="11">
        <v>3.37</v>
      </c>
      <c r="D1145" s="16">
        <f t="shared" si="119"/>
        <v>5</v>
      </c>
      <c r="E1145" s="16">
        <f t="shared" si="120"/>
        <v>0.2</v>
      </c>
      <c r="F1145" s="16">
        <f t="shared" si="121"/>
        <v>3</v>
      </c>
      <c r="G1145" s="16">
        <f t="shared" si="122"/>
        <v>1.474442812081582</v>
      </c>
      <c r="H1145" s="16">
        <f t="shared" si="123"/>
        <v>0.60000000000000009</v>
      </c>
      <c r="I1145" s="16">
        <f t="shared" si="124"/>
        <v>0</v>
      </c>
      <c r="J1145" s="16">
        <f t="shared" si="125"/>
        <v>0</v>
      </c>
      <c r="K1145" s="16">
        <f>IF(CurrentMtgRatesDataTable8[[#This Row],[WA CC]]&lt;&gt;0,C1144-CurrentMtgRatesDataTable8[[#This Row],[WA CC]],0)</f>
        <v>0</v>
      </c>
      <c r="L1145" s="16">
        <f>IF(CurrentMtgRatesDataTable8[[#This Row],[Servicing Spread]]&lt;=0,L1144,CurrentMtgRatesDataTable8[[#This Row],[Servicing Spread]])</f>
        <v>0.91980968494587811</v>
      </c>
      <c r="M1145" s="16">
        <f>CurrentMtgRatesDataTable8[[#This Row],[Servicing Spread Non-Zero]]-L1144</f>
        <v>0</v>
      </c>
      <c r="N1145" s="16">
        <f>IF(J1144&lt;&gt;0,CurrentMtgRatesDataTable8[[#This Row],[Rate]]-C1144,N1144)</f>
        <v>-2.4999999999999911E-2</v>
      </c>
    </row>
    <row r="1146" spans="1:14">
      <c r="A1146" s="39" t="s">
        <v>1197</v>
      </c>
      <c r="B1146" s="40">
        <v>2.4661306434007502</v>
      </c>
      <c r="C1146" s="11">
        <v>3.37</v>
      </c>
      <c r="D1146" s="16">
        <f t="shared" si="119"/>
        <v>6</v>
      </c>
      <c r="E1146" s="16">
        <f t="shared" si="120"/>
        <v>0.2</v>
      </c>
      <c r="F1146" s="16">
        <f t="shared" si="121"/>
        <v>4</v>
      </c>
      <c r="G1146" s="16">
        <f t="shared" si="122"/>
        <v>1.967668940761732</v>
      </c>
      <c r="H1146" s="16">
        <f t="shared" si="123"/>
        <v>0.8</v>
      </c>
      <c r="I1146" s="16">
        <f t="shared" si="124"/>
        <v>0</v>
      </c>
      <c r="J1146" s="16">
        <f t="shared" si="125"/>
        <v>0</v>
      </c>
      <c r="K1146" s="16">
        <f>IF(CurrentMtgRatesDataTable8[[#This Row],[WA CC]]&lt;&gt;0,C1145-CurrentMtgRatesDataTable8[[#This Row],[WA CC]],0)</f>
        <v>0</v>
      </c>
      <c r="L1146" s="16">
        <f>IF(CurrentMtgRatesDataTable8[[#This Row],[Servicing Spread]]&lt;=0,L1145,CurrentMtgRatesDataTable8[[#This Row],[Servicing Spread]])</f>
        <v>0.91980968494587811</v>
      </c>
      <c r="M1146" s="16">
        <f>CurrentMtgRatesDataTable8[[#This Row],[Servicing Spread Non-Zero]]-L1145</f>
        <v>0</v>
      </c>
      <c r="N1146" s="16">
        <f>IF(J1145&lt;&gt;0,CurrentMtgRatesDataTable8[[#This Row],[Rate]]-C1145,N1145)</f>
        <v>-2.4999999999999911E-2</v>
      </c>
    </row>
    <row r="1147" spans="1:14">
      <c r="A1147" s="39" t="s">
        <v>1198</v>
      </c>
      <c r="B1147" s="40">
        <v>2.4860574973773799</v>
      </c>
      <c r="C1147" s="11">
        <v>3.37</v>
      </c>
      <c r="D1147" s="16">
        <f t="shared" si="119"/>
        <v>7</v>
      </c>
      <c r="E1147" s="16">
        <f t="shared" si="120"/>
        <v>0.2</v>
      </c>
      <c r="F1147" s="16">
        <f t="shared" si="121"/>
        <v>5</v>
      </c>
      <c r="G1147" s="16">
        <f t="shared" si="122"/>
        <v>2.464880440237208</v>
      </c>
      <c r="H1147" s="16">
        <f t="shared" si="123"/>
        <v>1</v>
      </c>
      <c r="I1147" s="16">
        <f t="shared" si="124"/>
        <v>1</v>
      </c>
      <c r="J1147" s="16">
        <f t="shared" si="125"/>
        <v>2.464880440237208</v>
      </c>
      <c r="K1147" s="16">
        <f>IF(CurrentMtgRatesDataTable8[[#This Row],[WA CC]]&lt;&gt;0,C1146-CurrentMtgRatesDataTable8[[#This Row],[WA CC]],0)</f>
        <v>0.90511955976279213</v>
      </c>
      <c r="L1147" s="16">
        <f>IF(CurrentMtgRatesDataTable8[[#This Row],[Servicing Spread]]&lt;=0,L1146,CurrentMtgRatesDataTable8[[#This Row],[Servicing Spread]])</f>
        <v>0.90511955976279213</v>
      </c>
      <c r="M1147" s="16">
        <f>CurrentMtgRatesDataTable8[[#This Row],[Servicing Spread Non-Zero]]-L1146</f>
        <v>-1.4690125183085989E-2</v>
      </c>
      <c r="N1147" s="16">
        <f>IF(J1146&lt;&gt;0,CurrentMtgRatesDataTable8[[#This Row],[Rate]]-C1146,N1146)</f>
        <v>-2.4999999999999911E-2</v>
      </c>
    </row>
    <row r="1148" spans="1:14">
      <c r="A1148" s="39" t="s">
        <v>1200</v>
      </c>
      <c r="B1148" s="40">
        <v>2.5299104688545802</v>
      </c>
      <c r="C1148" s="11">
        <v>3.415</v>
      </c>
      <c r="D1148" s="16">
        <f t="shared" si="119"/>
        <v>1</v>
      </c>
      <c r="E1148" s="16">
        <f t="shared" si="120"/>
        <v>0.2</v>
      </c>
      <c r="F1148" s="16">
        <f t="shared" si="121"/>
        <v>1</v>
      </c>
      <c r="G1148" s="16">
        <f t="shared" si="122"/>
        <v>0.50598209377091607</v>
      </c>
      <c r="H1148" s="16">
        <f t="shared" si="123"/>
        <v>0.2</v>
      </c>
      <c r="I1148" s="16">
        <f t="shared" si="124"/>
        <v>0</v>
      </c>
      <c r="J1148" s="16">
        <f t="shared" si="125"/>
        <v>0</v>
      </c>
      <c r="K1148" s="16">
        <f>IF(CurrentMtgRatesDataTable8[[#This Row],[WA CC]]&lt;&gt;0,C1147-CurrentMtgRatesDataTable8[[#This Row],[WA CC]],0)</f>
        <v>0</v>
      </c>
      <c r="L1148" s="16">
        <f>IF(CurrentMtgRatesDataTable8[[#This Row],[Servicing Spread]]&lt;=0,L1147,CurrentMtgRatesDataTable8[[#This Row],[Servicing Spread]])</f>
        <v>0.90511955976279213</v>
      </c>
      <c r="M1148" s="16">
        <f>CurrentMtgRatesDataTable8[[#This Row],[Servicing Spread Non-Zero]]-L1147</f>
        <v>0</v>
      </c>
      <c r="N1148" s="16">
        <f>IF(J1147&lt;&gt;0,CurrentMtgRatesDataTable8[[#This Row],[Rate]]-C1147,N1147)</f>
        <v>4.4999999999999929E-2</v>
      </c>
    </row>
    <row r="1149" spans="1:14">
      <c r="A1149" s="39" t="s">
        <v>1201</v>
      </c>
      <c r="B1149" s="40">
        <v>2.53316437266355</v>
      </c>
      <c r="C1149" s="11">
        <v>3.415</v>
      </c>
      <c r="D1149" s="16">
        <f t="shared" si="119"/>
        <v>2</v>
      </c>
      <c r="E1149" s="16">
        <f t="shared" si="120"/>
        <v>0.2</v>
      </c>
      <c r="F1149" s="16">
        <f t="shared" si="121"/>
        <v>2</v>
      </c>
      <c r="G1149" s="16">
        <f t="shared" si="122"/>
        <v>1.0126149683036261</v>
      </c>
      <c r="H1149" s="16">
        <f t="shared" si="123"/>
        <v>0.4</v>
      </c>
      <c r="I1149" s="16">
        <f t="shared" si="124"/>
        <v>0</v>
      </c>
      <c r="J1149" s="16">
        <f t="shared" si="125"/>
        <v>0</v>
      </c>
      <c r="K1149" s="16">
        <f>IF(CurrentMtgRatesDataTable8[[#This Row],[WA CC]]&lt;&gt;0,C1148-CurrentMtgRatesDataTable8[[#This Row],[WA CC]],0)</f>
        <v>0</v>
      </c>
      <c r="L1149" s="16">
        <f>IF(CurrentMtgRatesDataTable8[[#This Row],[Servicing Spread]]&lt;=0,L1148,CurrentMtgRatesDataTable8[[#This Row],[Servicing Spread]])</f>
        <v>0.90511955976279213</v>
      </c>
      <c r="M1149" s="16">
        <f>CurrentMtgRatesDataTable8[[#This Row],[Servicing Spread Non-Zero]]-L1148</f>
        <v>0</v>
      </c>
      <c r="N1149" s="16">
        <f>IF(J1148&lt;&gt;0,CurrentMtgRatesDataTable8[[#This Row],[Rate]]-C1148,N1148)</f>
        <v>4.4999999999999929E-2</v>
      </c>
    </row>
    <row r="1150" spans="1:14">
      <c r="A1150" s="39" t="s">
        <v>1202</v>
      </c>
      <c r="B1150" s="40">
        <v>2.5336094696522</v>
      </c>
      <c r="C1150" s="11">
        <v>3.415</v>
      </c>
      <c r="D1150" s="16">
        <f t="shared" si="119"/>
        <v>5</v>
      </c>
      <c r="E1150" s="16">
        <f t="shared" si="120"/>
        <v>0.2</v>
      </c>
      <c r="F1150" s="16">
        <f t="shared" si="121"/>
        <v>3</v>
      </c>
      <c r="G1150" s="16">
        <f t="shared" si="122"/>
        <v>1.5193368622340659</v>
      </c>
      <c r="H1150" s="16">
        <f t="shared" si="123"/>
        <v>0.60000000000000009</v>
      </c>
      <c r="I1150" s="16">
        <f t="shared" si="124"/>
        <v>0</v>
      </c>
      <c r="J1150" s="16">
        <f t="shared" si="125"/>
        <v>0</v>
      </c>
      <c r="K1150" s="16">
        <f>IF(CurrentMtgRatesDataTable8[[#This Row],[WA CC]]&lt;&gt;0,C1149-CurrentMtgRatesDataTable8[[#This Row],[WA CC]],0)</f>
        <v>0</v>
      </c>
      <c r="L1150" s="16">
        <f>IF(CurrentMtgRatesDataTable8[[#This Row],[Servicing Spread]]&lt;=0,L1149,CurrentMtgRatesDataTable8[[#This Row],[Servicing Spread]])</f>
        <v>0.90511955976279213</v>
      </c>
      <c r="M1150" s="16">
        <f>CurrentMtgRatesDataTable8[[#This Row],[Servicing Spread Non-Zero]]-L1149</f>
        <v>0</v>
      </c>
      <c r="N1150" s="16">
        <f>IF(J1149&lt;&gt;0,CurrentMtgRatesDataTable8[[#This Row],[Rate]]-C1149,N1149)</f>
        <v>4.4999999999999929E-2</v>
      </c>
    </row>
    <row r="1151" spans="1:14">
      <c r="A1151" s="39" t="s">
        <v>1203</v>
      </c>
      <c r="B1151" s="40">
        <v>2.5296440225789101</v>
      </c>
      <c r="C1151" s="11">
        <v>3.415</v>
      </c>
      <c r="D1151" s="16">
        <f t="shared" si="119"/>
        <v>6</v>
      </c>
      <c r="E1151" s="16">
        <f t="shared" si="120"/>
        <v>0.2</v>
      </c>
      <c r="F1151" s="16">
        <f t="shared" si="121"/>
        <v>4</v>
      </c>
      <c r="G1151" s="16">
        <f t="shared" si="122"/>
        <v>2.0252656667498479</v>
      </c>
      <c r="H1151" s="16">
        <f t="shared" si="123"/>
        <v>0.8</v>
      </c>
      <c r="I1151" s="16">
        <f t="shared" si="124"/>
        <v>0</v>
      </c>
      <c r="J1151" s="16">
        <f t="shared" si="125"/>
        <v>0</v>
      </c>
      <c r="K1151" s="16">
        <f>IF(CurrentMtgRatesDataTable8[[#This Row],[WA CC]]&lt;&gt;0,C1150-CurrentMtgRatesDataTable8[[#This Row],[WA CC]],0)</f>
        <v>0</v>
      </c>
      <c r="L1151" s="16">
        <f>IF(CurrentMtgRatesDataTable8[[#This Row],[Servicing Spread]]&lt;=0,L1150,CurrentMtgRatesDataTable8[[#This Row],[Servicing Spread]])</f>
        <v>0.90511955976279213</v>
      </c>
      <c r="M1151" s="16">
        <f>CurrentMtgRatesDataTable8[[#This Row],[Servicing Spread Non-Zero]]-L1150</f>
        <v>0</v>
      </c>
      <c r="N1151" s="16">
        <f>IF(J1150&lt;&gt;0,CurrentMtgRatesDataTable8[[#This Row],[Rate]]-C1150,N1150)</f>
        <v>4.4999999999999929E-2</v>
      </c>
    </row>
    <row r="1152" spans="1:14">
      <c r="A1152" s="39" t="s">
        <v>1204</v>
      </c>
      <c r="B1152" s="40">
        <v>2.52426864553397</v>
      </c>
      <c r="C1152" s="11">
        <v>3.415</v>
      </c>
      <c r="D1152" s="16">
        <f t="shared" si="119"/>
        <v>7</v>
      </c>
      <c r="E1152" s="16">
        <f t="shared" si="120"/>
        <v>0.2</v>
      </c>
      <c r="F1152" s="16">
        <f t="shared" si="121"/>
        <v>5</v>
      </c>
      <c r="G1152" s="16">
        <f t="shared" si="122"/>
        <v>2.5301193958566417</v>
      </c>
      <c r="H1152" s="16">
        <f t="shared" si="123"/>
        <v>1</v>
      </c>
      <c r="I1152" s="16">
        <f t="shared" si="124"/>
        <v>1</v>
      </c>
      <c r="J1152" s="16">
        <f t="shared" si="125"/>
        <v>2.5301193958566417</v>
      </c>
      <c r="K1152" s="16">
        <f>IF(CurrentMtgRatesDataTable8[[#This Row],[WA CC]]&lt;&gt;0,C1151-CurrentMtgRatesDataTable8[[#This Row],[WA CC]],0)</f>
        <v>0.88488060414335834</v>
      </c>
      <c r="L1152" s="16">
        <f>IF(CurrentMtgRatesDataTable8[[#This Row],[Servicing Spread]]&lt;=0,L1151,CurrentMtgRatesDataTable8[[#This Row],[Servicing Spread]])</f>
        <v>0.88488060414335834</v>
      </c>
      <c r="M1152" s="16">
        <f>CurrentMtgRatesDataTable8[[#This Row],[Servicing Spread Non-Zero]]-L1151</f>
        <v>-2.0238955619433785E-2</v>
      </c>
      <c r="N1152" s="16">
        <f>IF(J1151&lt;&gt;0,CurrentMtgRatesDataTable8[[#This Row],[Rate]]-C1151,N1151)</f>
        <v>4.4999999999999929E-2</v>
      </c>
    </row>
    <row r="1153" spans="1:14">
      <c r="A1153" s="39" t="s">
        <v>1205</v>
      </c>
      <c r="B1153" s="40">
        <v>2.53251832650023</v>
      </c>
      <c r="C1153" s="11">
        <v>3.4449999999999998</v>
      </c>
      <c r="D1153" s="16">
        <f t="shared" si="119"/>
        <v>1</v>
      </c>
      <c r="E1153" s="16">
        <f t="shared" si="120"/>
        <v>0.2</v>
      </c>
      <c r="F1153" s="16">
        <f t="shared" si="121"/>
        <v>1</v>
      </c>
      <c r="G1153" s="16">
        <f t="shared" si="122"/>
        <v>0.50650366530004598</v>
      </c>
      <c r="H1153" s="16">
        <f t="shared" si="123"/>
        <v>0.2</v>
      </c>
      <c r="I1153" s="16">
        <f t="shared" si="124"/>
        <v>0</v>
      </c>
      <c r="J1153" s="16">
        <f t="shared" si="125"/>
        <v>0</v>
      </c>
      <c r="K1153" s="16">
        <f>IF(CurrentMtgRatesDataTable8[[#This Row],[WA CC]]&lt;&gt;0,C1152-CurrentMtgRatesDataTable8[[#This Row],[WA CC]],0)</f>
        <v>0</v>
      </c>
      <c r="L1153" s="16">
        <f>IF(CurrentMtgRatesDataTable8[[#This Row],[Servicing Spread]]&lt;=0,L1152,CurrentMtgRatesDataTable8[[#This Row],[Servicing Spread]])</f>
        <v>0.88488060414335834</v>
      </c>
      <c r="M1153" s="16">
        <f>CurrentMtgRatesDataTable8[[#This Row],[Servicing Spread Non-Zero]]-L1152</f>
        <v>0</v>
      </c>
      <c r="N1153" s="16">
        <f>IF(J1152&lt;&gt;0,CurrentMtgRatesDataTable8[[#This Row],[Rate]]-C1152,N1152)</f>
        <v>2.9999999999999805E-2</v>
      </c>
    </row>
    <row r="1154" spans="1:14">
      <c r="A1154" s="39" t="s">
        <v>1206</v>
      </c>
      <c r="B1154" s="40">
        <v>2.5169810735830902</v>
      </c>
      <c r="C1154" s="11">
        <v>3.4449999999999998</v>
      </c>
      <c r="D1154" s="16">
        <f t="shared" si="119"/>
        <v>2</v>
      </c>
      <c r="E1154" s="16">
        <f t="shared" si="120"/>
        <v>0.2</v>
      </c>
      <c r="F1154" s="16">
        <f t="shared" si="121"/>
        <v>2</v>
      </c>
      <c r="G1154" s="16">
        <f t="shared" si="122"/>
        <v>1.0098998800166641</v>
      </c>
      <c r="H1154" s="16">
        <f t="shared" si="123"/>
        <v>0.4</v>
      </c>
      <c r="I1154" s="16">
        <f t="shared" si="124"/>
        <v>0</v>
      </c>
      <c r="J1154" s="16">
        <f t="shared" si="125"/>
        <v>0</v>
      </c>
      <c r="K1154" s="16">
        <f>IF(CurrentMtgRatesDataTable8[[#This Row],[WA CC]]&lt;&gt;0,C1153-CurrentMtgRatesDataTable8[[#This Row],[WA CC]],0)</f>
        <v>0</v>
      </c>
      <c r="L1154" s="16">
        <f>IF(CurrentMtgRatesDataTable8[[#This Row],[Servicing Spread]]&lt;=0,L1153,CurrentMtgRatesDataTable8[[#This Row],[Servicing Spread]])</f>
        <v>0.88488060414335834</v>
      </c>
      <c r="M1154" s="16">
        <f>CurrentMtgRatesDataTable8[[#This Row],[Servicing Spread Non-Zero]]-L1153</f>
        <v>0</v>
      </c>
      <c r="N1154" s="16">
        <f>IF(J1153&lt;&gt;0,CurrentMtgRatesDataTable8[[#This Row],[Rate]]-C1153,N1153)</f>
        <v>2.9999999999999805E-2</v>
      </c>
    </row>
    <row r="1155" spans="1:14">
      <c r="A1155" s="39" t="s">
        <v>1207</v>
      </c>
      <c r="B1155" s="40">
        <v>2.5437510721177499</v>
      </c>
      <c r="C1155" s="11">
        <v>3.4449999999999998</v>
      </c>
      <c r="D1155" s="16">
        <f t="shared" si="119"/>
        <v>5</v>
      </c>
      <c r="E1155" s="16">
        <f t="shared" si="120"/>
        <v>0.2</v>
      </c>
      <c r="F1155" s="16">
        <f t="shared" si="121"/>
        <v>3</v>
      </c>
      <c r="G1155" s="16">
        <f t="shared" si="122"/>
        <v>1.5186500944402139</v>
      </c>
      <c r="H1155" s="16">
        <f t="shared" si="123"/>
        <v>0.60000000000000009</v>
      </c>
      <c r="I1155" s="16">
        <f t="shared" si="124"/>
        <v>0</v>
      </c>
      <c r="J1155" s="16">
        <f t="shared" si="125"/>
        <v>0</v>
      </c>
      <c r="K1155" s="16">
        <f>IF(CurrentMtgRatesDataTable8[[#This Row],[WA CC]]&lt;&gt;0,C1154-CurrentMtgRatesDataTable8[[#This Row],[WA CC]],0)</f>
        <v>0</v>
      </c>
      <c r="L1155" s="16">
        <f>IF(CurrentMtgRatesDataTable8[[#This Row],[Servicing Spread]]&lt;=0,L1154,CurrentMtgRatesDataTable8[[#This Row],[Servicing Spread]])</f>
        <v>0.88488060414335834</v>
      </c>
      <c r="M1155" s="16">
        <f>CurrentMtgRatesDataTable8[[#This Row],[Servicing Spread Non-Zero]]-L1154</f>
        <v>0</v>
      </c>
      <c r="N1155" s="16">
        <f>IF(J1154&lt;&gt;0,CurrentMtgRatesDataTable8[[#This Row],[Rate]]-C1154,N1154)</f>
        <v>2.9999999999999805E-2</v>
      </c>
    </row>
    <row r="1156" spans="1:14">
      <c r="A1156" s="39" t="s">
        <v>1208</v>
      </c>
      <c r="B1156" s="40">
        <v>2.5815492501069399</v>
      </c>
      <c r="C1156" s="11">
        <v>3.4449999999999998</v>
      </c>
      <c r="D1156" s="16">
        <f t="shared" si="119"/>
        <v>6</v>
      </c>
      <c r="E1156" s="16">
        <f t="shared" si="120"/>
        <v>0.2</v>
      </c>
      <c r="F1156" s="16">
        <f t="shared" si="121"/>
        <v>4</v>
      </c>
      <c r="G1156" s="16">
        <f t="shared" si="122"/>
        <v>2.034959944461602</v>
      </c>
      <c r="H1156" s="16">
        <f t="shared" si="123"/>
        <v>0.8</v>
      </c>
      <c r="I1156" s="16">
        <f t="shared" si="124"/>
        <v>0</v>
      </c>
      <c r="J1156" s="16">
        <f t="shared" si="125"/>
        <v>0</v>
      </c>
      <c r="K1156" s="16">
        <f>IF(CurrentMtgRatesDataTable8[[#This Row],[WA CC]]&lt;&gt;0,C1155-CurrentMtgRatesDataTable8[[#This Row],[WA CC]],0)</f>
        <v>0</v>
      </c>
      <c r="L1156" s="16">
        <f>IF(CurrentMtgRatesDataTable8[[#This Row],[Servicing Spread]]&lt;=0,L1155,CurrentMtgRatesDataTable8[[#This Row],[Servicing Spread]])</f>
        <v>0.88488060414335834</v>
      </c>
      <c r="M1156" s="16">
        <f>CurrentMtgRatesDataTable8[[#This Row],[Servicing Spread Non-Zero]]-L1155</f>
        <v>0</v>
      </c>
      <c r="N1156" s="16">
        <f>IF(J1155&lt;&gt;0,CurrentMtgRatesDataTable8[[#This Row],[Rate]]-C1155,N1155)</f>
        <v>2.9999999999999805E-2</v>
      </c>
    </row>
    <row r="1157" spans="1:14">
      <c r="A1157" s="39" t="s">
        <v>1209</v>
      </c>
      <c r="B1157" s="40">
        <v>2.7578334689679198</v>
      </c>
      <c r="C1157" s="11">
        <v>3.4449999999999998</v>
      </c>
      <c r="D1157" s="16">
        <f t="shared" ref="D1157:D1220" si="126">WEEKDAY(A1157,14)</f>
        <v>7</v>
      </c>
      <c r="E1157" s="16">
        <f t="shared" ref="E1157:E1220" si="127">VLOOKUP(D1157,Q$5:R$11,2,FALSE)</f>
        <v>0.2</v>
      </c>
      <c r="F1157" s="16">
        <f t="shared" ref="F1157:F1220" si="128">IF(AND(D1157&gt;D1156,F1156&lt;6),F1156+1,1)</f>
        <v>5</v>
      </c>
      <c r="G1157" s="16">
        <f t="shared" ref="G1157:G1220" si="129">IF(F1157&gt;F1156,G1156+B1157*E1157,B1157*E1157)</f>
        <v>2.5865266382551861</v>
      </c>
      <c r="H1157" s="16">
        <f t="shared" ref="H1157:H1220" si="130">IF(AND(F1157&lt;6,F1157&gt;F1156),E1157+H1156,E1157)</f>
        <v>1</v>
      </c>
      <c r="I1157" s="16">
        <f t="shared" ref="I1157:I1220" si="131">IF(F1157&gt;F1158,1,0)</f>
        <v>1</v>
      </c>
      <c r="J1157" s="16">
        <f t="shared" ref="J1157:J1220" si="132">IF(F1157&gt;F1158,G1157/H1157,0)</f>
        <v>2.5865266382551861</v>
      </c>
      <c r="K1157" s="16">
        <f>IF(CurrentMtgRatesDataTable8[[#This Row],[WA CC]]&lt;&gt;0,C1156-CurrentMtgRatesDataTable8[[#This Row],[WA CC]],0)</f>
        <v>0.8584733617448137</v>
      </c>
      <c r="L1157" s="16">
        <f>IF(CurrentMtgRatesDataTable8[[#This Row],[Servicing Spread]]&lt;=0,L1156,CurrentMtgRatesDataTable8[[#This Row],[Servicing Spread]])</f>
        <v>0.8584733617448137</v>
      </c>
      <c r="M1157" s="16">
        <f>CurrentMtgRatesDataTable8[[#This Row],[Servicing Spread Non-Zero]]-L1156</f>
        <v>-2.6407242398544639E-2</v>
      </c>
      <c r="N1157" s="16">
        <f>IF(J1156&lt;&gt;0,CurrentMtgRatesDataTable8[[#This Row],[Rate]]-C1156,N1156)</f>
        <v>2.9999999999999805E-2</v>
      </c>
    </row>
    <row r="1158" spans="1:14">
      <c r="A1158" s="39" t="s">
        <v>1210</v>
      </c>
      <c r="B1158" s="40">
        <v>2.8203429128505602</v>
      </c>
      <c r="C1158" s="11">
        <v>3.8149999999999999</v>
      </c>
      <c r="D1158" s="16">
        <f t="shared" si="126"/>
        <v>1</v>
      </c>
      <c r="E1158" s="16">
        <f t="shared" si="127"/>
        <v>0.2</v>
      </c>
      <c r="F1158" s="16">
        <f t="shared" si="128"/>
        <v>1</v>
      </c>
      <c r="G1158" s="16">
        <f t="shared" si="129"/>
        <v>0.56406858257011205</v>
      </c>
      <c r="H1158" s="16">
        <f t="shared" si="130"/>
        <v>0.2</v>
      </c>
      <c r="I1158" s="16">
        <f t="shared" si="131"/>
        <v>0</v>
      </c>
      <c r="J1158" s="16">
        <f t="shared" si="132"/>
        <v>0</v>
      </c>
      <c r="K1158" s="16">
        <f>IF(CurrentMtgRatesDataTable8[[#This Row],[WA CC]]&lt;&gt;0,C1157-CurrentMtgRatesDataTable8[[#This Row],[WA CC]],0)</f>
        <v>0</v>
      </c>
      <c r="L1158" s="16">
        <f>IF(CurrentMtgRatesDataTable8[[#This Row],[Servicing Spread]]&lt;=0,L1157,CurrentMtgRatesDataTable8[[#This Row],[Servicing Spread]])</f>
        <v>0.8584733617448137</v>
      </c>
      <c r="M1158" s="16">
        <f>CurrentMtgRatesDataTable8[[#This Row],[Servicing Spread Non-Zero]]-L1157</f>
        <v>0</v>
      </c>
      <c r="N1158" s="16">
        <f>IF(J1157&lt;&gt;0,CurrentMtgRatesDataTable8[[#This Row],[Rate]]-C1157,N1157)</f>
        <v>0.37000000000000011</v>
      </c>
    </row>
    <row r="1159" spans="1:14">
      <c r="A1159" s="39" t="s">
        <v>1211</v>
      </c>
      <c r="B1159" s="40">
        <v>2.9518507510638798</v>
      </c>
      <c r="C1159" s="11">
        <v>3.8149999999999999</v>
      </c>
      <c r="D1159" s="16">
        <f t="shared" si="126"/>
        <v>5</v>
      </c>
      <c r="E1159" s="16">
        <f t="shared" si="127"/>
        <v>0.2</v>
      </c>
      <c r="F1159" s="16">
        <f t="shared" si="128"/>
        <v>2</v>
      </c>
      <c r="G1159" s="16">
        <f t="shared" si="129"/>
        <v>1.154438732782888</v>
      </c>
      <c r="H1159" s="16">
        <f t="shared" si="130"/>
        <v>0.4</v>
      </c>
      <c r="I1159" s="16">
        <f t="shared" si="131"/>
        <v>0</v>
      </c>
      <c r="J1159" s="16">
        <f t="shared" si="132"/>
        <v>0</v>
      </c>
      <c r="K1159" s="16">
        <f>IF(CurrentMtgRatesDataTable8[[#This Row],[WA CC]]&lt;&gt;0,C1158-CurrentMtgRatesDataTable8[[#This Row],[WA CC]],0)</f>
        <v>0</v>
      </c>
      <c r="L1159" s="16">
        <f>IF(CurrentMtgRatesDataTable8[[#This Row],[Servicing Spread]]&lt;=0,L1158,CurrentMtgRatesDataTable8[[#This Row],[Servicing Spread]])</f>
        <v>0.8584733617448137</v>
      </c>
      <c r="M1159" s="16">
        <f>CurrentMtgRatesDataTable8[[#This Row],[Servicing Spread Non-Zero]]-L1158</f>
        <v>0</v>
      </c>
      <c r="N1159" s="16">
        <f>IF(J1158&lt;&gt;0,CurrentMtgRatesDataTable8[[#This Row],[Rate]]-C1158,N1158)</f>
        <v>0.37000000000000011</v>
      </c>
    </row>
    <row r="1160" spans="1:14">
      <c r="A1160" s="39" t="s">
        <v>1212</v>
      </c>
      <c r="B1160" s="40">
        <v>2.938815281358</v>
      </c>
      <c r="C1160" s="11">
        <v>3.8149999999999999</v>
      </c>
      <c r="D1160" s="16">
        <f t="shared" si="126"/>
        <v>6</v>
      </c>
      <c r="E1160" s="16">
        <f t="shared" si="127"/>
        <v>0.2</v>
      </c>
      <c r="F1160" s="16">
        <f t="shared" si="128"/>
        <v>3</v>
      </c>
      <c r="G1160" s="16">
        <f t="shared" si="129"/>
        <v>1.7422017890544881</v>
      </c>
      <c r="H1160" s="16">
        <f t="shared" si="130"/>
        <v>0.60000000000000009</v>
      </c>
      <c r="I1160" s="16">
        <f t="shared" si="131"/>
        <v>0</v>
      </c>
      <c r="J1160" s="16">
        <f t="shared" si="132"/>
        <v>0</v>
      </c>
      <c r="K1160" s="16">
        <f>IF(CurrentMtgRatesDataTable8[[#This Row],[WA CC]]&lt;&gt;0,C1159-CurrentMtgRatesDataTable8[[#This Row],[WA CC]],0)</f>
        <v>0</v>
      </c>
      <c r="L1160" s="16">
        <f>IF(CurrentMtgRatesDataTable8[[#This Row],[Servicing Spread]]&lt;=0,L1159,CurrentMtgRatesDataTable8[[#This Row],[Servicing Spread]])</f>
        <v>0.8584733617448137</v>
      </c>
      <c r="M1160" s="16">
        <f>CurrentMtgRatesDataTable8[[#This Row],[Servicing Spread Non-Zero]]-L1159</f>
        <v>0</v>
      </c>
      <c r="N1160" s="16">
        <f>IF(J1159&lt;&gt;0,CurrentMtgRatesDataTable8[[#This Row],[Rate]]-C1159,N1159)</f>
        <v>0.37000000000000011</v>
      </c>
    </row>
    <row r="1161" spans="1:14">
      <c r="A1161" s="39" t="s">
        <v>1213</v>
      </c>
      <c r="B1161" s="40">
        <v>2.9180541697648699</v>
      </c>
      <c r="C1161" s="11">
        <v>3.8149999999999999</v>
      </c>
      <c r="D1161" s="16">
        <f t="shared" si="126"/>
        <v>7</v>
      </c>
      <c r="E1161" s="16">
        <f t="shared" si="127"/>
        <v>0.2</v>
      </c>
      <c r="F1161" s="16">
        <f t="shared" si="128"/>
        <v>4</v>
      </c>
      <c r="G1161" s="16">
        <f t="shared" si="129"/>
        <v>2.3258126230074621</v>
      </c>
      <c r="H1161" s="16">
        <f t="shared" si="130"/>
        <v>0.8</v>
      </c>
      <c r="I1161" s="16">
        <f t="shared" si="131"/>
        <v>1</v>
      </c>
      <c r="J1161" s="16">
        <f t="shared" si="132"/>
        <v>2.9072657787593275</v>
      </c>
      <c r="K1161" s="16">
        <f>IF(CurrentMtgRatesDataTable8[[#This Row],[WA CC]]&lt;&gt;0,C1160-CurrentMtgRatesDataTable8[[#This Row],[WA CC]],0)</f>
        <v>0.90773422124067249</v>
      </c>
      <c r="L1161" s="16">
        <f>IF(CurrentMtgRatesDataTable8[[#This Row],[Servicing Spread]]&lt;=0,L1160,CurrentMtgRatesDataTable8[[#This Row],[Servicing Spread]])</f>
        <v>0.90773422124067249</v>
      </c>
      <c r="M1161" s="16">
        <f>CurrentMtgRatesDataTable8[[#This Row],[Servicing Spread Non-Zero]]-L1160</f>
        <v>4.9260859495858789E-2</v>
      </c>
      <c r="N1161" s="16">
        <f>IF(J1160&lt;&gt;0,CurrentMtgRatesDataTable8[[#This Row],[Rate]]-C1160,N1160)</f>
        <v>0.37000000000000011</v>
      </c>
    </row>
    <row r="1162" spans="1:14">
      <c r="A1162" s="39" t="s">
        <v>1214</v>
      </c>
      <c r="B1162" s="40">
        <v>2.9579353811966902</v>
      </c>
      <c r="C1162" s="11">
        <v>3.9050000000000002</v>
      </c>
      <c r="D1162" s="16">
        <f t="shared" si="126"/>
        <v>1</v>
      </c>
      <c r="E1162" s="16">
        <f t="shared" si="127"/>
        <v>0.2</v>
      </c>
      <c r="F1162" s="16">
        <f t="shared" si="128"/>
        <v>1</v>
      </c>
      <c r="G1162" s="16">
        <f t="shared" si="129"/>
        <v>0.59158707623933804</v>
      </c>
      <c r="H1162" s="16">
        <f t="shared" si="130"/>
        <v>0.2</v>
      </c>
      <c r="I1162" s="16">
        <f t="shared" si="131"/>
        <v>0</v>
      </c>
      <c r="J1162" s="16">
        <f t="shared" si="132"/>
        <v>0</v>
      </c>
      <c r="K1162" s="16">
        <f>IF(CurrentMtgRatesDataTable8[[#This Row],[WA CC]]&lt;&gt;0,C1161-CurrentMtgRatesDataTable8[[#This Row],[WA CC]],0)</f>
        <v>0</v>
      </c>
      <c r="L1162" s="16">
        <f>IF(CurrentMtgRatesDataTable8[[#This Row],[Servicing Spread]]&lt;=0,L1161,CurrentMtgRatesDataTable8[[#This Row],[Servicing Spread]])</f>
        <v>0.90773422124067249</v>
      </c>
      <c r="M1162" s="16">
        <f>CurrentMtgRatesDataTable8[[#This Row],[Servicing Spread Non-Zero]]-L1161</f>
        <v>0</v>
      </c>
      <c r="N1162" s="16">
        <f>IF(J1161&lt;&gt;0,CurrentMtgRatesDataTable8[[#This Row],[Rate]]-C1161,N1161)</f>
        <v>9.0000000000000302E-2</v>
      </c>
    </row>
    <row r="1163" spans="1:14">
      <c r="A1163" s="39" t="s">
        <v>1215</v>
      </c>
      <c r="B1163" s="40">
        <v>3.03169131774919</v>
      </c>
      <c r="C1163" s="11">
        <v>3.9050000000000002</v>
      </c>
      <c r="D1163" s="16">
        <f t="shared" si="126"/>
        <v>2</v>
      </c>
      <c r="E1163" s="16">
        <f t="shared" si="127"/>
        <v>0.2</v>
      </c>
      <c r="F1163" s="16">
        <f t="shared" si="128"/>
        <v>2</v>
      </c>
      <c r="G1163" s="16">
        <f t="shared" si="129"/>
        <v>1.197925339789176</v>
      </c>
      <c r="H1163" s="16">
        <f t="shared" si="130"/>
        <v>0.4</v>
      </c>
      <c r="I1163" s="16">
        <f t="shared" si="131"/>
        <v>0</v>
      </c>
      <c r="J1163" s="16">
        <f t="shared" si="132"/>
        <v>0</v>
      </c>
      <c r="K1163" s="16">
        <f>IF(CurrentMtgRatesDataTable8[[#This Row],[WA CC]]&lt;&gt;0,C1162-CurrentMtgRatesDataTable8[[#This Row],[WA CC]],0)</f>
        <v>0</v>
      </c>
      <c r="L1163" s="16">
        <f>IF(CurrentMtgRatesDataTable8[[#This Row],[Servicing Spread]]&lt;=0,L1162,CurrentMtgRatesDataTable8[[#This Row],[Servicing Spread]])</f>
        <v>0.90773422124067249</v>
      </c>
      <c r="M1163" s="16">
        <f>CurrentMtgRatesDataTable8[[#This Row],[Servicing Spread Non-Zero]]-L1162</f>
        <v>0</v>
      </c>
      <c r="N1163" s="16">
        <f>IF(J1162&lt;&gt;0,CurrentMtgRatesDataTable8[[#This Row],[Rate]]-C1162,N1162)</f>
        <v>9.0000000000000302E-2</v>
      </c>
    </row>
    <row r="1164" spans="1:14">
      <c r="A1164" s="39" t="s">
        <v>1216</v>
      </c>
      <c r="B1164" s="40">
        <v>3.0422928996340901</v>
      </c>
      <c r="C1164" s="11">
        <v>3.9050000000000002</v>
      </c>
      <c r="D1164" s="16">
        <f t="shared" si="126"/>
        <v>5</v>
      </c>
      <c r="E1164" s="16">
        <f t="shared" si="127"/>
        <v>0.2</v>
      </c>
      <c r="F1164" s="16">
        <f t="shared" si="128"/>
        <v>3</v>
      </c>
      <c r="G1164" s="16">
        <f t="shared" si="129"/>
        <v>1.8063839197159941</v>
      </c>
      <c r="H1164" s="16">
        <f t="shared" si="130"/>
        <v>0.60000000000000009</v>
      </c>
      <c r="I1164" s="16">
        <f t="shared" si="131"/>
        <v>0</v>
      </c>
      <c r="J1164" s="16">
        <f t="shared" si="132"/>
        <v>0</v>
      </c>
      <c r="K1164" s="16">
        <f>IF(CurrentMtgRatesDataTable8[[#This Row],[WA CC]]&lt;&gt;0,C1163-CurrentMtgRatesDataTable8[[#This Row],[WA CC]],0)</f>
        <v>0</v>
      </c>
      <c r="L1164" s="16">
        <f>IF(CurrentMtgRatesDataTable8[[#This Row],[Servicing Spread]]&lt;=0,L1163,CurrentMtgRatesDataTable8[[#This Row],[Servicing Spread]])</f>
        <v>0.90773422124067249</v>
      </c>
      <c r="M1164" s="16">
        <f>CurrentMtgRatesDataTable8[[#This Row],[Servicing Spread Non-Zero]]-L1163</f>
        <v>0</v>
      </c>
      <c r="N1164" s="16">
        <f>IF(J1163&lt;&gt;0,CurrentMtgRatesDataTable8[[#This Row],[Rate]]-C1163,N1163)</f>
        <v>9.0000000000000302E-2</v>
      </c>
    </row>
    <row r="1165" spans="1:14">
      <c r="A1165" s="39" t="s">
        <v>1217</v>
      </c>
      <c r="B1165" s="40">
        <v>3.0253759468796799</v>
      </c>
      <c r="C1165" s="11">
        <v>3.9050000000000002</v>
      </c>
      <c r="D1165" s="16">
        <f t="shared" si="126"/>
        <v>6</v>
      </c>
      <c r="E1165" s="16">
        <f t="shared" si="127"/>
        <v>0.2</v>
      </c>
      <c r="F1165" s="16">
        <f t="shared" si="128"/>
        <v>4</v>
      </c>
      <c r="G1165" s="16">
        <f t="shared" si="129"/>
        <v>2.41145910909193</v>
      </c>
      <c r="H1165" s="16">
        <f t="shared" si="130"/>
        <v>0.8</v>
      </c>
      <c r="I1165" s="16">
        <f t="shared" si="131"/>
        <v>0</v>
      </c>
      <c r="J1165" s="16">
        <f t="shared" si="132"/>
        <v>0</v>
      </c>
      <c r="K1165" s="16">
        <f>IF(CurrentMtgRatesDataTable8[[#This Row],[WA CC]]&lt;&gt;0,C1164-CurrentMtgRatesDataTable8[[#This Row],[WA CC]],0)</f>
        <v>0</v>
      </c>
      <c r="L1165" s="16">
        <f>IF(CurrentMtgRatesDataTable8[[#This Row],[Servicing Spread]]&lt;=0,L1164,CurrentMtgRatesDataTable8[[#This Row],[Servicing Spread]])</f>
        <v>0.90773422124067249</v>
      </c>
      <c r="M1165" s="16">
        <f>CurrentMtgRatesDataTable8[[#This Row],[Servicing Spread Non-Zero]]-L1164</f>
        <v>0</v>
      </c>
      <c r="N1165" s="16">
        <f>IF(J1164&lt;&gt;0,CurrentMtgRatesDataTable8[[#This Row],[Rate]]-C1164,N1164)</f>
        <v>9.0000000000000302E-2</v>
      </c>
    </row>
    <row r="1166" spans="1:14">
      <c r="A1166" s="63" t="s">
        <v>1218</v>
      </c>
      <c r="B1166" s="64">
        <v>3.0811413392722198</v>
      </c>
      <c r="C1166" s="65">
        <v>3.9050000000000002</v>
      </c>
      <c r="D1166" s="66">
        <f t="shared" si="126"/>
        <v>7</v>
      </c>
      <c r="E1166" s="66">
        <f t="shared" si="127"/>
        <v>0.2</v>
      </c>
      <c r="F1166" s="66">
        <f t="shared" si="128"/>
        <v>5</v>
      </c>
      <c r="G1166" s="66">
        <f t="shared" si="129"/>
        <v>3.0276873769463739</v>
      </c>
      <c r="H1166" s="66">
        <f t="shared" si="130"/>
        <v>1</v>
      </c>
      <c r="I1166" s="66">
        <f t="shared" si="131"/>
        <v>1</v>
      </c>
      <c r="J1166" s="66">
        <f t="shared" si="132"/>
        <v>3.0276873769463739</v>
      </c>
      <c r="K1166" s="66">
        <f>IF(CurrentMtgRatesDataTable8[[#This Row],[WA CC]]&lt;&gt;0,C1165-CurrentMtgRatesDataTable8[[#This Row],[WA CC]],0)</f>
        <v>0.87731262305362634</v>
      </c>
      <c r="L1166" s="66">
        <f>IF(CurrentMtgRatesDataTable8[[#This Row],[Servicing Spread]]&lt;=0,L1165,CurrentMtgRatesDataTable8[[#This Row],[Servicing Spread]])</f>
        <v>0.87731262305362634</v>
      </c>
      <c r="M1166" s="66">
        <f>CurrentMtgRatesDataTable8[[#This Row],[Servicing Spread Non-Zero]]-L1165</f>
        <v>-3.042159818704615E-2</v>
      </c>
      <c r="N1166" s="66">
        <f>IF(J1165&lt;&gt;0,CurrentMtgRatesDataTable8[[#This Row],[Rate]]-C1165,N1165)</f>
        <v>9.0000000000000302E-2</v>
      </c>
    </row>
    <row r="1167" spans="1:14">
      <c r="A1167" s="63" t="s">
        <v>1219</v>
      </c>
      <c r="B1167" s="64">
        <v>3.1125235634348298</v>
      </c>
      <c r="C1167" s="65">
        <v>3.9550000000000001</v>
      </c>
      <c r="D1167" s="66">
        <f t="shared" si="126"/>
        <v>2</v>
      </c>
      <c r="E1167" s="66">
        <f t="shared" si="127"/>
        <v>0.2</v>
      </c>
      <c r="F1167" s="66">
        <f t="shared" si="128"/>
        <v>1</v>
      </c>
      <c r="G1167" s="66">
        <f t="shared" si="129"/>
        <v>0.62250471268696606</v>
      </c>
      <c r="H1167" s="66">
        <f t="shared" si="130"/>
        <v>0.2</v>
      </c>
      <c r="I1167" s="66">
        <f t="shared" si="131"/>
        <v>0</v>
      </c>
      <c r="J1167" s="66">
        <f t="shared" si="132"/>
        <v>0</v>
      </c>
      <c r="K1167" s="66">
        <f>IF(CurrentMtgRatesDataTable8[[#This Row],[WA CC]]&lt;&gt;0,C1166-CurrentMtgRatesDataTable8[[#This Row],[WA CC]],0)</f>
        <v>0</v>
      </c>
      <c r="L1167" s="66">
        <f>IF(CurrentMtgRatesDataTable8[[#This Row],[Servicing Spread]]&lt;=0,L1166,CurrentMtgRatesDataTable8[[#This Row],[Servicing Spread]])</f>
        <v>0.87731262305362634</v>
      </c>
      <c r="M1167" s="66">
        <f>CurrentMtgRatesDataTable8[[#This Row],[Servicing Spread Non-Zero]]-L1166</f>
        <v>0</v>
      </c>
      <c r="N1167" s="66">
        <f>IF(J1166&lt;&gt;0,CurrentMtgRatesDataTable8[[#This Row],[Rate]]-C1166,N1166)</f>
        <v>4.9999999999999822E-2</v>
      </c>
    </row>
    <row r="1168" spans="1:14">
      <c r="A1168" s="63" t="s">
        <v>1220</v>
      </c>
      <c r="B1168" s="64">
        <v>3.0232721749517699</v>
      </c>
      <c r="C1168" s="65">
        <v>3.9550000000000001</v>
      </c>
      <c r="D1168" s="66">
        <f t="shared" si="126"/>
        <v>5</v>
      </c>
      <c r="E1168" s="66">
        <f t="shared" si="127"/>
        <v>0.2</v>
      </c>
      <c r="F1168" s="66">
        <f t="shared" si="128"/>
        <v>2</v>
      </c>
      <c r="G1168" s="66">
        <f t="shared" si="129"/>
        <v>1.22715914767732</v>
      </c>
      <c r="H1168" s="66">
        <f t="shared" si="130"/>
        <v>0.4</v>
      </c>
      <c r="I1168" s="66">
        <f t="shared" si="131"/>
        <v>0</v>
      </c>
      <c r="J1168" s="66">
        <f t="shared" si="132"/>
        <v>0</v>
      </c>
      <c r="K1168" s="66">
        <f>IF(CurrentMtgRatesDataTable8[[#This Row],[WA CC]]&lt;&gt;0,C1167-CurrentMtgRatesDataTable8[[#This Row],[WA CC]],0)</f>
        <v>0</v>
      </c>
      <c r="L1168" s="66">
        <f>IF(CurrentMtgRatesDataTable8[[#This Row],[Servicing Spread]]&lt;=0,L1167,CurrentMtgRatesDataTable8[[#This Row],[Servicing Spread]])</f>
        <v>0.87731262305362634</v>
      </c>
      <c r="M1168" s="66">
        <f>CurrentMtgRatesDataTable8[[#This Row],[Servicing Spread Non-Zero]]-L1167</f>
        <v>0</v>
      </c>
      <c r="N1168" s="66">
        <f>IF(J1167&lt;&gt;0,CurrentMtgRatesDataTable8[[#This Row],[Rate]]-C1167,N1167)</f>
        <v>4.9999999999999822E-2</v>
      </c>
    </row>
    <row r="1169" spans="1:14">
      <c r="A1169" s="63" t="s">
        <v>1221</v>
      </c>
      <c r="B1169" s="64">
        <v>3.0032104294376101</v>
      </c>
      <c r="C1169" s="65">
        <v>3.9550000000000001</v>
      </c>
      <c r="D1169" s="66">
        <f t="shared" si="126"/>
        <v>6</v>
      </c>
      <c r="E1169" s="66">
        <f t="shared" si="127"/>
        <v>0.2</v>
      </c>
      <c r="F1169" s="66">
        <f t="shared" si="128"/>
        <v>3</v>
      </c>
      <c r="G1169" s="66">
        <f t="shared" si="129"/>
        <v>1.8278012335648421</v>
      </c>
      <c r="H1169" s="66">
        <f t="shared" si="130"/>
        <v>0.60000000000000009</v>
      </c>
      <c r="I1169" s="66">
        <f t="shared" si="131"/>
        <v>0</v>
      </c>
      <c r="J1169" s="66">
        <f t="shared" si="132"/>
        <v>0</v>
      </c>
      <c r="K1169" s="66">
        <f>IF(CurrentMtgRatesDataTable8[[#This Row],[WA CC]]&lt;&gt;0,C1168-CurrentMtgRatesDataTable8[[#This Row],[WA CC]],0)</f>
        <v>0</v>
      </c>
      <c r="L1169" s="66">
        <f>IF(CurrentMtgRatesDataTable8[[#This Row],[Servicing Spread]]&lt;=0,L1168,CurrentMtgRatesDataTable8[[#This Row],[Servicing Spread]])</f>
        <v>0.87731262305362634</v>
      </c>
      <c r="M1169" s="66">
        <f>CurrentMtgRatesDataTable8[[#This Row],[Servicing Spread Non-Zero]]-L1168</f>
        <v>0</v>
      </c>
      <c r="N1169" s="66">
        <f>IF(J1168&lt;&gt;0,CurrentMtgRatesDataTable8[[#This Row],[Rate]]-C1168,N1168)</f>
        <v>4.9999999999999822E-2</v>
      </c>
    </row>
    <row r="1170" spans="1:14">
      <c r="A1170" s="63" t="s">
        <v>1222</v>
      </c>
      <c r="B1170" s="64">
        <v>3.0600031389564002</v>
      </c>
      <c r="C1170" s="65">
        <v>3.9550000000000001</v>
      </c>
      <c r="D1170" s="66">
        <f t="shared" si="126"/>
        <v>7</v>
      </c>
      <c r="E1170" s="66">
        <f t="shared" si="127"/>
        <v>0.2</v>
      </c>
      <c r="F1170" s="66">
        <f t="shared" si="128"/>
        <v>4</v>
      </c>
      <c r="G1170" s="66">
        <f t="shared" si="129"/>
        <v>2.4398018613561221</v>
      </c>
      <c r="H1170" s="66">
        <f t="shared" si="130"/>
        <v>0.8</v>
      </c>
      <c r="I1170" s="66">
        <f t="shared" si="131"/>
        <v>1</v>
      </c>
      <c r="J1170" s="66">
        <f t="shared" si="132"/>
        <v>3.0497523266951525</v>
      </c>
      <c r="K1170" s="66">
        <f>IF(CurrentMtgRatesDataTable8[[#This Row],[WA CC]]&lt;&gt;0,C1169-CurrentMtgRatesDataTable8[[#This Row],[WA CC]],0)</f>
        <v>0.90524767330484757</v>
      </c>
      <c r="L1170" s="66">
        <f>IF(CurrentMtgRatesDataTable8[[#This Row],[Servicing Spread]]&lt;=0,L1169,CurrentMtgRatesDataTable8[[#This Row],[Servicing Spread]])</f>
        <v>0.90524767330484757</v>
      </c>
      <c r="M1170" s="66">
        <f>CurrentMtgRatesDataTable8[[#This Row],[Servicing Spread Non-Zero]]-L1169</f>
        <v>2.7935050251221227E-2</v>
      </c>
      <c r="N1170" s="66">
        <f>IF(J1169&lt;&gt;0,CurrentMtgRatesDataTable8[[#This Row],[Rate]]-C1169,N1169)</f>
        <v>4.9999999999999822E-2</v>
      </c>
    </row>
    <row r="1171" spans="1:14">
      <c r="A1171" s="63" t="s">
        <v>1223</v>
      </c>
      <c r="B1171" s="64">
        <v>3.13599610528588</v>
      </c>
      <c r="C1171" s="65">
        <v>4.0049999999999999</v>
      </c>
      <c r="D1171" s="66">
        <f t="shared" si="126"/>
        <v>1</v>
      </c>
      <c r="E1171" s="66">
        <f t="shared" si="127"/>
        <v>0.2</v>
      </c>
      <c r="F1171" s="66">
        <f t="shared" si="128"/>
        <v>1</v>
      </c>
      <c r="G1171" s="66">
        <f t="shared" si="129"/>
        <v>0.62719922105717607</v>
      </c>
      <c r="H1171" s="66">
        <f t="shared" si="130"/>
        <v>0.2</v>
      </c>
      <c r="I1171" s="66">
        <f t="shared" si="131"/>
        <v>0</v>
      </c>
      <c r="J1171" s="66">
        <f t="shared" si="132"/>
        <v>0</v>
      </c>
      <c r="K1171" s="66">
        <f>IF(CurrentMtgRatesDataTable8[[#This Row],[WA CC]]&lt;&gt;0,C1170-CurrentMtgRatesDataTable8[[#This Row],[WA CC]],0)</f>
        <v>0</v>
      </c>
      <c r="L1171" s="66">
        <f>IF(CurrentMtgRatesDataTable8[[#This Row],[Servicing Spread]]&lt;=0,L1170,CurrentMtgRatesDataTable8[[#This Row],[Servicing Spread]])</f>
        <v>0.90524767330484757</v>
      </c>
      <c r="M1171" s="66">
        <f>CurrentMtgRatesDataTable8[[#This Row],[Servicing Spread Non-Zero]]-L1170</f>
        <v>0</v>
      </c>
      <c r="N1171" s="66">
        <f>IF(J1170&lt;&gt;0,CurrentMtgRatesDataTable8[[#This Row],[Rate]]-C1170,N1170)</f>
        <v>4.9999999999999822E-2</v>
      </c>
    </row>
    <row r="1172" spans="1:14">
      <c r="A1172" s="63" t="s">
        <v>1224</v>
      </c>
      <c r="B1172" s="64">
        <v>3.0833533421517099</v>
      </c>
      <c r="C1172" s="65">
        <v>4.0049999999999999</v>
      </c>
      <c r="D1172" s="66">
        <f t="shared" si="126"/>
        <v>2</v>
      </c>
      <c r="E1172" s="66">
        <f t="shared" si="127"/>
        <v>0.2</v>
      </c>
      <c r="F1172" s="66">
        <f t="shared" si="128"/>
        <v>2</v>
      </c>
      <c r="G1172" s="66">
        <f t="shared" si="129"/>
        <v>1.243869889487518</v>
      </c>
      <c r="H1172" s="66">
        <f t="shared" si="130"/>
        <v>0.4</v>
      </c>
      <c r="I1172" s="66">
        <f t="shared" si="131"/>
        <v>0</v>
      </c>
      <c r="J1172" s="66">
        <f t="shared" si="132"/>
        <v>0</v>
      </c>
      <c r="K1172" s="66">
        <f>IF(CurrentMtgRatesDataTable8[[#This Row],[WA CC]]&lt;&gt;0,C1171-CurrentMtgRatesDataTable8[[#This Row],[WA CC]],0)</f>
        <v>0</v>
      </c>
      <c r="L1172" s="66">
        <f>IF(CurrentMtgRatesDataTable8[[#This Row],[Servicing Spread]]&lt;=0,L1171,CurrentMtgRatesDataTable8[[#This Row],[Servicing Spread]])</f>
        <v>0.90524767330484757</v>
      </c>
      <c r="M1172" s="66">
        <f>CurrentMtgRatesDataTable8[[#This Row],[Servicing Spread Non-Zero]]-L1171</f>
        <v>0</v>
      </c>
      <c r="N1172" s="66">
        <f>IF(J1171&lt;&gt;0,CurrentMtgRatesDataTable8[[#This Row],[Rate]]-C1171,N1171)</f>
        <v>4.9999999999999822E-2</v>
      </c>
    </row>
    <row r="1173" spans="1:14">
      <c r="A1173" s="63" t="s">
        <v>1225</v>
      </c>
      <c r="B1173" s="64">
        <v>3.0836284241838401</v>
      </c>
      <c r="C1173" s="65">
        <v>4.0049999999999999</v>
      </c>
      <c r="D1173" s="66">
        <f t="shared" si="126"/>
        <v>5</v>
      </c>
      <c r="E1173" s="66">
        <f t="shared" si="127"/>
        <v>0.2</v>
      </c>
      <c r="F1173" s="66">
        <f t="shared" si="128"/>
        <v>3</v>
      </c>
      <c r="G1173" s="66">
        <f t="shared" si="129"/>
        <v>1.8605955743242859</v>
      </c>
      <c r="H1173" s="66">
        <f t="shared" si="130"/>
        <v>0.60000000000000009</v>
      </c>
      <c r="I1173" s="66">
        <f t="shared" si="131"/>
        <v>0</v>
      </c>
      <c r="J1173" s="66">
        <f t="shared" si="132"/>
        <v>0</v>
      </c>
      <c r="K1173" s="66">
        <f>IF(CurrentMtgRatesDataTable8[[#This Row],[WA CC]]&lt;&gt;0,C1172-CurrentMtgRatesDataTable8[[#This Row],[WA CC]],0)</f>
        <v>0</v>
      </c>
      <c r="L1173" s="66">
        <f>IF(CurrentMtgRatesDataTable8[[#This Row],[Servicing Spread]]&lt;=0,L1172,CurrentMtgRatesDataTable8[[#This Row],[Servicing Spread]])</f>
        <v>0.90524767330484757</v>
      </c>
      <c r="M1173" s="66">
        <f>CurrentMtgRatesDataTable8[[#This Row],[Servicing Spread Non-Zero]]-L1172</f>
        <v>0</v>
      </c>
      <c r="N1173" s="66">
        <f>IF(J1172&lt;&gt;0,CurrentMtgRatesDataTable8[[#This Row],[Rate]]-C1172,N1172)</f>
        <v>4.9999999999999822E-2</v>
      </c>
    </row>
    <row r="1174" spans="1:14">
      <c r="A1174" s="63" t="s">
        <v>1226</v>
      </c>
      <c r="B1174" s="64">
        <v>3.0839441300707402</v>
      </c>
      <c r="C1174" s="65">
        <v>4.0049999999999999</v>
      </c>
      <c r="D1174" s="66">
        <f t="shared" si="126"/>
        <v>6</v>
      </c>
      <c r="E1174" s="66">
        <f t="shared" si="127"/>
        <v>0.2</v>
      </c>
      <c r="F1174" s="66">
        <f t="shared" si="128"/>
        <v>4</v>
      </c>
      <c r="G1174" s="66">
        <f t="shared" si="129"/>
        <v>2.4773844003384342</v>
      </c>
      <c r="H1174" s="66">
        <f t="shared" si="130"/>
        <v>0.8</v>
      </c>
      <c r="I1174" s="66">
        <f t="shared" si="131"/>
        <v>0</v>
      </c>
      <c r="J1174" s="66">
        <f t="shared" si="132"/>
        <v>0</v>
      </c>
      <c r="K1174" s="66">
        <f>IF(CurrentMtgRatesDataTable8[[#This Row],[WA CC]]&lt;&gt;0,C1173-CurrentMtgRatesDataTable8[[#This Row],[WA CC]],0)</f>
        <v>0</v>
      </c>
      <c r="L1174" s="66">
        <f>IF(CurrentMtgRatesDataTable8[[#This Row],[Servicing Spread]]&lt;=0,L1173,CurrentMtgRatesDataTable8[[#This Row],[Servicing Spread]])</f>
        <v>0.90524767330484757</v>
      </c>
      <c r="M1174" s="66">
        <f>CurrentMtgRatesDataTable8[[#This Row],[Servicing Spread Non-Zero]]-L1173</f>
        <v>0</v>
      </c>
      <c r="N1174" s="66">
        <f>IF(J1173&lt;&gt;0,CurrentMtgRatesDataTable8[[#This Row],[Rate]]-C1173,N1173)</f>
        <v>4.9999999999999822E-2</v>
      </c>
    </row>
    <row r="1175" spans="1:14">
      <c r="A1175" s="63" t="s">
        <v>1227</v>
      </c>
      <c r="B1175" s="64">
        <v>3.0288108885972802</v>
      </c>
      <c r="C1175" s="65">
        <v>4.0049999999999999</v>
      </c>
      <c r="D1175" s="66">
        <f t="shared" si="126"/>
        <v>7</v>
      </c>
      <c r="E1175" s="66">
        <f t="shared" si="127"/>
        <v>0.2</v>
      </c>
      <c r="F1175" s="66">
        <f t="shared" si="128"/>
        <v>5</v>
      </c>
      <c r="G1175" s="66">
        <f t="shared" si="129"/>
        <v>3.0831465780578902</v>
      </c>
      <c r="H1175" s="66">
        <f t="shared" si="130"/>
        <v>1</v>
      </c>
      <c r="I1175" s="66">
        <f t="shared" si="131"/>
        <v>1</v>
      </c>
      <c r="J1175" s="66">
        <f t="shared" si="132"/>
        <v>3.0831465780578902</v>
      </c>
      <c r="K1175" s="66">
        <f>IF(CurrentMtgRatesDataTable8[[#This Row],[WA CC]]&lt;&gt;0,C1174-CurrentMtgRatesDataTable8[[#This Row],[WA CC]],0)</f>
        <v>0.92185342194210973</v>
      </c>
      <c r="L1175" s="66">
        <f>IF(CurrentMtgRatesDataTable8[[#This Row],[Servicing Spread]]&lt;=0,L1174,CurrentMtgRatesDataTable8[[#This Row],[Servicing Spread]])</f>
        <v>0.92185342194210973</v>
      </c>
      <c r="M1175" s="66">
        <f>CurrentMtgRatesDataTable8[[#This Row],[Servicing Spread Non-Zero]]-L1174</f>
        <v>1.6605748637262163E-2</v>
      </c>
      <c r="N1175" s="66">
        <f>IF(J1174&lt;&gt;0,CurrentMtgRatesDataTable8[[#This Row],[Rate]]-C1174,N1174)</f>
        <v>4.9999999999999822E-2</v>
      </c>
    </row>
    <row r="1176" spans="1:14">
      <c r="A1176" s="63" t="s">
        <v>1228</v>
      </c>
      <c r="B1176" s="64">
        <v>3.05722705621156</v>
      </c>
      <c r="C1176" s="65">
        <v>4.0350000000000001</v>
      </c>
      <c r="D1176" s="66">
        <f t="shared" si="126"/>
        <v>1</v>
      </c>
      <c r="E1176" s="66">
        <f t="shared" si="127"/>
        <v>0.2</v>
      </c>
      <c r="F1176" s="66">
        <f t="shared" si="128"/>
        <v>1</v>
      </c>
      <c r="G1176" s="66">
        <f t="shared" si="129"/>
        <v>0.611445411242312</v>
      </c>
      <c r="H1176" s="66">
        <f t="shared" si="130"/>
        <v>0.2</v>
      </c>
      <c r="I1176" s="66">
        <f t="shared" si="131"/>
        <v>0</v>
      </c>
      <c r="J1176" s="66">
        <f t="shared" si="132"/>
        <v>0</v>
      </c>
      <c r="K1176" s="66">
        <f>IF(CurrentMtgRatesDataTable8[[#This Row],[WA CC]]&lt;&gt;0,C1175-CurrentMtgRatesDataTable8[[#This Row],[WA CC]],0)</f>
        <v>0</v>
      </c>
      <c r="L1176" s="66">
        <f>IF(CurrentMtgRatesDataTable8[[#This Row],[Servicing Spread]]&lt;=0,L1175,CurrentMtgRatesDataTable8[[#This Row],[Servicing Spread]])</f>
        <v>0.92185342194210973</v>
      </c>
      <c r="M1176" s="66">
        <f>CurrentMtgRatesDataTable8[[#This Row],[Servicing Spread Non-Zero]]-L1175</f>
        <v>0</v>
      </c>
      <c r="N1176" s="66">
        <f>IF(J1175&lt;&gt;0,CurrentMtgRatesDataTable8[[#This Row],[Rate]]-C1175,N1175)</f>
        <v>3.0000000000000249E-2</v>
      </c>
    </row>
    <row r="1177" spans="1:14">
      <c r="A1177" s="63" t="s">
        <v>1229</v>
      </c>
      <c r="B1177" s="64">
        <v>3.1428652362036398</v>
      </c>
      <c r="C1177" s="65">
        <v>4.0350000000000001</v>
      </c>
      <c r="D1177" s="66">
        <f t="shared" si="126"/>
        <v>2</v>
      </c>
      <c r="E1177" s="66">
        <f t="shared" si="127"/>
        <v>0.2</v>
      </c>
      <c r="F1177" s="66">
        <f t="shared" si="128"/>
        <v>2</v>
      </c>
      <c r="G1177" s="66">
        <f t="shared" si="129"/>
        <v>1.24001845848304</v>
      </c>
      <c r="H1177" s="66">
        <f t="shared" si="130"/>
        <v>0.4</v>
      </c>
      <c r="I1177" s="66">
        <f t="shared" si="131"/>
        <v>0</v>
      </c>
      <c r="J1177" s="66">
        <f t="shared" si="132"/>
        <v>0</v>
      </c>
      <c r="K1177" s="66">
        <f>IF(CurrentMtgRatesDataTable8[[#This Row],[WA CC]]&lt;&gt;0,C1176-CurrentMtgRatesDataTable8[[#This Row],[WA CC]],0)</f>
        <v>0</v>
      </c>
      <c r="L1177" s="66">
        <f>IF(CurrentMtgRatesDataTable8[[#This Row],[Servicing Spread]]&lt;=0,L1176,CurrentMtgRatesDataTable8[[#This Row],[Servicing Spread]])</f>
        <v>0.92185342194210973</v>
      </c>
      <c r="M1177" s="66">
        <f>CurrentMtgRatesDataTable8[[#This Row],[Servicing Spread Non-Zero]]-L1176</f>
        <v>0</v>
      </c>
      <c r="N1177" s="66">
        <f>IF(J1176&lt;&gt;0,CurrentMtgRatesDataTable8[[#This Row],[Rate]]-C1176,N1176)</f>
        <v>3.0000000000000249E-2</v>
      </c>
    </row>
    <row r="1178" spans="1:14">
      <c r="A1178" s="63" t="s">
        <v>1230</v>
      </c>
      <c r="B1178" s="64">
        <v>3.1502344995912401</v>
      </c>
      <c r="C1178" s="65">
        <v>4.0350000000000001</v>
      </c>
      <c r="D1178" s="66">
        <f t="shared" si="126"/>
        <v>5</v>
      </c>
      <c r="E1178" s="66">
        <f t="shared" si="127"/>
        <v>0.2</v>
      </c>
      <c r="F1178" s="66">
        <f t="shared" si="128"/>
        <v>3</v>
      </c>
      <c r="G1178" s="66">
        <f t="shared" si="129"/>
        <v>1.8700653584012881</v>
      </c>
      <c r="H1178" s="66">
        <f t="shared" si="130"/>
        <v>0.60000000000000009</v>
      </c>
      <c r="I1178" s="66">
        <f t="shared" si="131"/>
        <v>0</v>
      </c>
      <c r="J1178" s="66">
        <f t="shared" si="132"/>
        <v>0</v>
      </c>
      <c r="K1178" s="66">
        <f>IF(CurrentMtgRatesDataTable8[[#This Row],[WA CC]]&lt;&gt;0,C1177-CurrentMtgRatesDataTable8[[#This Row],[WA CC]],0)</f>
        <v>0</v>
      </c>
      <c r="L1178" s="66">
        <f>IF(CurrentMtgRatesDataTable8[[#This Row],[Servicing Spread]]&lt;=0,L1177,CurrentMtgRatesDataTable8[[#This Row],[Servicing Spread]])</f>
        <v>0.92185342194210973</v>
      </c>
      <c r="M1178" s="66">
        <f>CurrentMtgRatesDataTable8[[#This Row],[Servicing Spread Non-Zero]]-L1177</f>
        <v>0</v>
      </c>
      <c r="N1178" s="66">
        <f>IF(J1177&lt;&gt;0,CurrentMtgRatesDataTable8[[#This Row],[Rate]]-C1177,N1177)</f>
        <v>3.0000000000000249E-2</v>
      </c>
    </row>
    <row r="1179" spans="1:14">
      <c r="A1179" s="63" t="s">
        <v>1231</v>
      </c>
      <c r="B1179" s="64">
        <v>3.1621575354435998</v>
      </c>
      <c r="C1179" s="65">
        <v>4.0350000000000001</v>
      </c>
      <c r="D1179" s="66">
        <f t="shared" si="126"/>
        <v>6</v>
      </c>
      <c r="E1179" s="66">
        <f t="shared" si="127"/>
        <v>0.2</v>
      </c>
      <c r="F1179" s="66">
        <f t="shared" si="128"/>
        <v>4</v>
      </c>
      <c r="G1179" s="66">
        <f t="shared" si="129"/>
        <v>2.5024968654900079</v>
      </c>
      <c r="H1179" s="66">
        <f t="shared" si="130"/>
        <v>0.8</v>
      </c>
      <c r="I1179" s="66">
        <f t="shared" si="131"/>
        <v>0</v>
      </c>
      <c r="J1179" s="66">
        <f t="shared" si="132"/>
        <v>0</v>
      </c>
      <c r="K1179" s="66">
        <f>IF(CurrentMtgRatesDataTable8[[#This Row],[WA CC]]&lt;&gt;0,C1178-CurrentMtgRatesDataTable8[[#This Row],[WA CC]],0)</f>
        <v>0</v>
      </c>
      <c r="L1179" s="66">
        <f>IF(CurrentMtgRatesDataTable8[[#This Row],[Servicing Spread]]&lt;=0,L1178,CurrentMtgRatesDataTable8[[#This Row],[Servicing Spread]])</f>
        <v>0.92185342194210973</v>
      </c>
      <c r="M1179" s="66">
        <f>CurrentMtgRatesDataTable8[[#This Row],[Servicing Spread Non-Zero]]-L1178</f>
        <v>0</v>
      </c>
      <c r="N1179" s="66">
        <f>IF(J1178&lt;&gt;0,CurrentMtgRatesDataTable8[[#This Row],[Rate]]-C1178,N1178)</f>
        <v>3.0000000000000249E-2</v>
      </c>
    </row>
    <row r="1180" spans="1:14">
      <c r="A1180" s="63" t="s">
        <v>1232</v>
      </c>
      <c r="B1180" s="64">
        <v>3.2178280594971298</v>
      </c>
      <c r="C1180" s="65">
        <v>4.0350000000000001</v>
      </c>
      <c r="D1180" s="66">
        <f t="shared" si="126"/>
        <v>7</v>
      </c>
      <c r="E1180" s="66">
        <f t="shared" si="127"/>
        <v>0.2</v>
      </c>
      <c r="F1180" s="66">
        <f t="shared" si="128"/>
        <v>5</v>
      </c>
      <c r="G1180" s="66">
        <f t="shared" si="129"/>
        <v>3.1460624773894339</v>
      </c>
      <c r="H1180" s="66">
        <f t="shared" si="130"/>
        <v>1</v>
      </c>
      <c r="I1180" s="66">
        <f t="shared" si="131"/>
        <v>1</v>
      </c>
      <c r="J1180" s="66">
        <f t="shared" si="132"/>
        <v>3.1460624773894339</v>
      </c>
      <c r="K1180" s="66">
        <f>IF(CurrentMtgRatesDataTable8[[#This Row],[WA CC]]&lt;&gt;0,C1179-CurrentMtgRatesDataTable8[[#This Row],[WA CC]],0)</f>
        <v>0.88893752261056624</v>
      </c>
      <c r="L1180" s="66">
        <f>IF(CurrentMtgRatesDataTable8[[#This Row],[Servicing Spread]]&lt;=0,L1179,CurrentMtgRatesDataTable8[[#This Row],[Servicing Spread]])</f>
        <v>0.88893752261056624</v>
      </c>
      <c r="M1180" s="66">
        <f>CurrentMtgRatesDataTable8[[#This Row],[Servicing Spread Non-Zero]]-L1179</f>
        <v>-3.2915899331543486E-2</v>
      </c>
      <c r="N1180" s="66">
        <f>IF(J1179&lt;&gt;0,CurrentMtgRatesDataTable8[[#This Row],[Rate]]-C1179,N1179)</f>
        <v>3.0000000000000249E-2</v>
      </c>
    </row>
    <row r="1181" spans="1:14">
      <c r="A1181" s="63" t="s">
        <v>1233</v>
      </c>
      <c r="B1181" s="64">
        <v>3.3050524395001402</v>
      </c>
      <c r="C1181" s="65">
        <v>4.1749999999999998</v>
      </c>
      <c r="D1181" s="66">
        <f t="shared" si="126"/>
        <v>1</v>
      </c>
      <c r="E1181" s="66">
        <f t="shared" si="127"/>
        <v>0.2</v>
      </c>
      <c r="F1181" s="66">
        <f t="shared" si="128"/>
        <v>1</v>
      </c>
      <c r="G1181" s="66">
        <f t="shared" si="129"/>
        <v>0.66101048790002803</v>
      </c>
      <c r="H1181" s="66">
        <f t="shared" si="130"/>
        <v>0.2</v>
      </c>
      <c r="I1181" s="66">
        <f t="shared" si="131"/>
        <v>0</v>
      </c>
      <c r="J1181" s="66">
        <f t="shared" si="132"/>
        <v>0</v>
      </c>
      <c r="K1181" s="66">
        <f>IF(CurrentMtgRatesDataTable8[[#This Row],[WA CC]]&lt;&gt;0,C1180-CurrentMtgRatesDataTable8[[#This Row],[WA CC]],0)</f>
        <v>0</v>
      </c>
      <c r="L1181" s="66">
        <f>IF(CurrentMtgRatesDataTable8[[#This Row],[Servicing Spread]]&lt;=0,L1180,CurrentMtgRatesDataTable8[[#This Row],[Servicing Spread]])</f>
        <v>0.88893752261056624</v>
      </c>
      <c r="M1181" s="66">
        <f>CurrentMtgRatesDataTable8[[#This Row],[Servicing Spread Non-Zero]]-L1180</f>
        <v>0</v>
      </c>
      <c r="N1181" s="66">
        <f>IF(J1180&lt;&gt;0,CurrentMtgRatesDataTable8[[#This Row],[Rate]]-C1180,N1180)</f>
        <v>0.13999999999999968</v>
      </c>
    </row>
    <row r="1182" spans="1:14">
      <c r="A1182" s="63" t="s">
        <v>1234</v>
      </c>
      <c r="B1182" s="64">
        <v>3.3305211408689099</v>
      </c>
      <c r="C1182" s="65">
        <v>4.1749999999999998</v>
      </c>
      <c r="D1182" s="66">
        <f t="shared" si="126"/>
        <v>2</v>
      </c>
      <c r="E1182" s="66">
        <f t="shared" si="127"/>
        <v>0.2</v>
      </c>
      <c r="F1182" s="66">
        <f t="shared" si="128"/>
        <v>2</v>
      </c>
      <c r="G1182" s="66">
        <f t="shared" si="129"/>
        <v>1.3271147160738099</v>
      </c>
      <c r="H1182" s="66">
        <f t="shared" si="130"/>
        <v>0.4</v>
      </c>
      <c r="I1182" s="66">
        <f t="shared" si="131"/>
        <v>0</v>
      </c>
      <c r="J1182" s="66">
        <f t="shared" si="132"/>
        <v>0</v>
      </c>
      <c r="K1182" s="66">
        <f>IF(CurrentMtgRatesDataTable8[[#This Row],[WA CC]]&lt;&gt;0,C1181-CurrentMtgRatesDataTable8[[#This Row],[WA CC]],0)</f>
        <v>0</v>
      </c>
      <c r="L1182" s="66">
        <f>IF(CurrentMtgRatesDataTable8[[#This Row],[Servicing Spread]]&lt;=0,L1181,CurrentMtgRatesDataTable8[[#This Row],[Servicing Spread]])</f>
        <v>0.88893752261056624</v>
      </c>
      <c r="M1182" s="66">
        <f>CurrentMtgRatesDataTable8[[#This Row],[Servicing Spread Non-Zero]]-L1181</f>
        <v>0</v>
      </c>
      <c r="N1182" s="66">
        <f>IF(J1181&lt;&gt;0,CurrentMtgRatesDataTable8[[#This Row],[Rate]]-C1181,N1181)</f>
        <v>0.13999999999999968</v>
      </c>
    </row>
    <row r="1183" spans="1:14">
      <c r="A1183" s="63" t="s">
        <v>1235</v>
      </c>
      <c r="B1183" s="64">
        <v>3.2735630913423499</v>
      </c>
      <c r="C1183" s="65">
        <v>4.1749999999999998</v>
      </c>
      <c r="D1183" s="66">
        <f t="shared" si="126"/>
        <v>5</v>
      </c>
      <c r="E1183" s="66">
        <f t="shared" si="127"/>
        <v>0.2</v>
      </c>
      <c r="F1183" s="66">
        <f t="shared" si="128"/>
        <v>3</v>
      </c>
      <c r="G1183" s="66">
        <f t="shared" si="129"/>
        <v>1.9818273343422801</v>
      </c>
      <c r="H1183" s="66">
        <f t="shared" si="130"/>
        <v>0.60000000000000009</v>
      </c>
      <c r="I1183" s="66">
        <f t="shared" si="131"/>
        <v>0</v>
      </c>
      <c r="J1183" s="66">
        <f t="shared" si="132"/>
        <v>0</v>
      </c>
      <c r="K1183" s="66">
        <f>IF(CurrentMtgRatesDataTable8[[#This Row],[WA CC]]&lt;&gt;0,C1182-CurrentMtgRatesDataTable8[[#This Row],[WA CC]],0)</f>
        <v>0</v>
      </c>
      <c r="L1183" s="66">
        <f>IF(CurrentMtgRatesDataTable8[[#This Row],[Servicing Spread]]&lt;=0,L1182,CurrentMtgRatesDataTable8[[#This Row],[Servicing Spread]])</f>
        <v>0.88893752261056624</v>
      </c>
      <c r="M1183" s="66">
        <f>CurrentMtgRatesDataTable8[[#This Row],[Servicing Spread Non-Zero]]-L1182</f>
        <v>0</v>
      </c>
      <c r="N1183" s="66">
        <f>IF(J1182&lt;&gt;0,CurrentMtgRatesDataTable8[[#This Row],[Rate]]-C1182,N1182)</f>
        <v>0.13999999999999968</v>
      </c>
    </row>
    <row r="1184" spans="1:14">
      <c r="A1184" s="63" t="s">
        <v>1236</v>
      </c>
      <c r="B1184" s="64">
        <v>3.2884025896165299</v>
      </c>
      <c r="C1184" s="65">
        <v>4.1749999999999998</v>
      </c>
      <c r="D1184" s="66">
        <f t="shared" si="126"/>
        <v>6</v>
      </c>
      <c r="E1184" s="66">
        <f t="shared" si="127"/>
        <v>0.2</v>
      </c>
      <c r="F1184" s="66">
        <f t="shared" si="128"/>
        <v>4</v>
      </c>
      <c r="G1184" s="66">
        <f t="shared" si="129"/>
        <v>2.6395078522655862</v>
      </c>
      <c r="H1184" s="66">
        <f t="shared" si="130"/>
        <v>0.8</v>
      </c>
      <c r="I1184" s="66">
        <f t="shared" si="131"/>
        <v>0</v>
      </c>
      <c r="J1184" s="66">
        <f t="shared" si="132"/>
        <v>0</v>
      </c>
      <c r="K1184" s="66">
        <f>IF(CurrentMtgRatesDataTable8[[#This Row],[WA CC]]&lt;&gt;0,C1183-CurrentMtgRatesDataTable8[[#This Row],[WA CC]],0)</f>
        <v>0</v>
      </c>
      <c r="L1184" s="66">
        <f>IF(CurrentMtgRatesDataTable8[[#This Row],[Servicing Spread]]&lt;=0,L1183,CurrentMtgRatesDataTable8[[#This Row],[Servicing Spread]])</f>
        <v>0.88893752261056624</v>
      </c>
      <c r="M1184" s="66">
        <f>CurrentMtgRatesDataTable8[[#This Row],[Servicing Spread Non-Zero]]-L1183</f>
        <v>0</v>
      </c>
      <c r="N1184" s="66">
        <f>IF(J1183&lt;&gt;0,CurrentMtgRatesDataTable8[[#This Row],[Rate]]-C1183,N1183)</f>
        <v>0.13999999999999968</v>
      </c>
    </row>
    <row r="1185" spans="1:14">
      <c r="A1185" s="63" t="s">
        <v>1237</v>
      </c>
      <c r="B1185" s="64">
        <v>3.25892031354691</v>
      </c>
      <c r="C1185" s="65">
        <v>4.1749999999999998</v>
      </c>
      <c r="D1185" s="66">
        <f t="shared" si="126"/>
        <v>7</v>
      </c>
      <c r="E1185" s="66">
        <f t="shared" si="127"/>
        <v>0.2</v>
      </c>
      <c r="F1185" s="66">
        <f t="shared" si="128"/>
        <v>5</v>
      </c>
      <c r="G1185" s="66">
        <f t="shared" si="129"/>
        <v>3.291291914974968</v>
      </c>
      <c r="H1185" s="66">
        <f t="shared" si="130"/>
        <v>1</v>
      </c>
      <c r="I1185" s="66">
        <f t="shared" si="131"/>
        <v>1</v>
      </c>
      <c r="J1185" s="66">
        <f t="shared" si="132"/>
        <v>3.291291914974968</v>
      </c>
      <c r="K1185" s="66">
        <f>IF(CurrentMtgRatesDataTable8[[#This Row],[WA CC]]&lt;&gt;0,C1184-CurrentMtgRatesDataTable8[[#This Row],[WA CC]],0)</f>
        <v>0.88370808502503184</v>
      </c>
      <c r="L1185" s="66">
        <f>IF(CurrentMtgRatesDataTable8[[#This Row],[Servicing Spread]]&lt;=0,L1184,CurrentMtgRatesDataTable8[[#This Row],[Servicing Spread]])</f>
        <v>0.88370808502503184</v>
      </c>
      <c r="M1185" s="66">
        <f>CurrentMtgRatesDataTable8[[#This Row],[Servicing Spread Non-Zero]]-L1184</f>
        <v>-5.2294375855344022E-3</v>
      </c>
      <c r="N1185" s="66">
        <f>IF(J1184&lt;&gt;0,CurrentMtgRatesDataTable8[[#This Row],[Rate]]-C1184,N1184)</f>
        <v>0.13999999999999968</v>
      </c>
    </row>
    <row r="1186" spans="1:14">
      <c r="A1186" s="63" t="s">
        <v>1238</v>
      </c>
      <c r="B1186" s="64">
        <v>3.2544954518988001</v>
      </c>
      <c r="C1186" s="65">
        <v>4.1950000000000003</v>
      </c>
      <c r="D1186" s="66">
        <f t="shared" si="126"/>
        <v>1</v>
      </c>
      <c r="E1186" s="66">
        <f t="shared" si="127"/>
        <v>0.2</v>
      </c>
      <c r="F1186" s="66">
        <f t="shared" si="128"/>
        <v>1</v>
      </c>
      <c r="G1186" s="66">
        <f t="shared" si="129"/>
        <v>0.65089909037976001</v>
      </c>
      <c r="H1186" s="66">
        <f t="shared" si="130"/>
        <v>0.2</v>
      </c>
      <c r="I1186" s="66">
        <f t="shared" si="131"/>
        <v>0</v>
      </c>
      <c r="J1186" s="66">
        <f t="shared" si="132"/>
        <v>0</v>
      </c>
      <c r="K1186" s="66">
        <f>IF(CurrentMtgRatesDataTable8[[#This Row],[WA CC]]&lt;&gt;0,C1185-CurrentMtgRatesDataTable8[[#This Row],[WA CC]],0)</f>
        <v>0</v>
      </c>
      <c r="L1186" s="66">
        <f>IF(CurrentMtgRatesDataTable8[[#This Row],[Servicing Spread]]&lt;=0,L1185,CurrentMtgRatesDataTable8[[#This Row],[Servicing Spread]])</f>
        <v>0.88370808502503184</v>
      </c>
      <c r="M1186" s="66">
        <f>CurrentMtgRatesDataTable8[[#This Row],[Servicing Spread Non-Zero]]-L1185</f>
        <v>0</v>
      </c>
      <c r="N1186" s="66">
        <f>IF(J1185&lt;&gt;0,CurrentMtgRatesDataTable8[[#This Row],[Rate]]-C1185,N1185)</f>
        <v>2.0000000000000462E-2</v>
      </c>
    </row>
    <row r="1187" spans="1:14">
      <c r="A1187" s="63" t="s">
        <v>1239</v>
      </c>
      <c r="B1187" s="64">
        <v>3.25541429686829</v>
      </c>
      <c r="C1187" s="65">
        <v>4.1950000000000003</v>
      </c>
      <c r="D1187" s="66">
        <f t="shared" si="126"/>
        <v>2</v>
      </c>
      <c r="E1187" s="66">
        <f t="shared" si="127"/>
        <v>0.2</v>
      </c>
      <c r="F1187" s="66">
        <f t="shared" si="128"/>
        <v>2</v>
      </c>
      <c r="G1187" s="66">
        <f t="shared" si="129"/>
        <v>1.3019819497534182</v>
      </c>
      <c r="H1187" s="66">
        <f t="shared" si="130"/>
        <v>0.4</v>
      </c>
      <c r="I1187" s="66">
        <f t="shared" si="131"/>
        <v>0</v>
      </c>
      <c r="J1187" s="66">
        <f t="shared" si="132"/>
        <v>0</v>
      </c>
      <c r="K1187" s="66">
        <f>IF(CurrentMtgRatesDataTable8[[#This Row],[WA CC]]&lt;&gt;0,C1186-CurrentMtgRatesDataTable8[[#This Row],[WA CC]],0)</f>
        <v>0</v>
      </c>
      <c r="L1187" s="66">
        <f>IF(CurrentMtgRatesDataTable8[[#This Row],[Servicing Spread]]&lt;=0,L1186,CurrentMtgRatesDataTable8[[#This Row],[Servicing Spread]])</f>
        <v>0.88370808502503184</v>
      </c>
      <c r="M1187" s="66">
        <f>CurrentMtgRatesDataTable8[[#This Row],[Servicing Spread Non-Zero]]-L1186</f>
        <v>0</v>
      </c>
      <c r="N1187" s="66">
        <f>IF(J1186&lt;&gt;0,CurrentMtgRatesDataTable8[[#This Row],[Rate]]-C1186,N1186)</f>
        <v>2.0000000000000462E-2</v>
      </c>
    </row>
    <row r="1188" spans="1:14">
      <c r="A1188" s="63" t="s">
        <v>1240</v>
      </c>
      <c r="B1188" s="64">
        <v>3.2725828232051102</v>
      </c>
      <c r="C1188" s="65">
        <v>4.1950000000000003</v>
      </c>
      <c r="D1188" s="66">
        <f t="shared" si="126"/>
        <v>6</v>
      </c>
      <c r="E1188" s="66">
        <f t="shared" si="127"/>
        <v>0.2</v>
      </c>
      <c r="F1188" s="66">
        <f t="shared" si="128"/>
        <v>3</v>
      </c>
      <c r="G1188" s="66">
        <f t="shared" si="129"/>
        <v>1.9564985143944402</v>
      </c>
      <c r="H1188" s="66">
        <f t="shared" si="130"/>
        <v>0.60000000000000009</v>
      </c>
      <c r="I1188" s="66">
        <f t="shared" si="131"/>
        <v>0</v>
      </c>
      <c r="J1188" s="66">
        <f t="shared" si="132"/>
        <v>0</v>
      </c>
      <c r="K1188" s="66">
        <f>IF(CurrentMtgRatesDataTable8[[#This Row],[WA CC]]&lt;&gt;0,C1187-CurrentMtgRatesDataTable8[[#This Row],[WA CC]],0)</f>
        <v>0</v>
      </c>
      <c r="L1188" s="66">
        <f>IF(CurrentMtgRatesDataTable8[[#This Row],[Servicing Spread]]&lt;=0,L1187,CurrentMtgRatesDataTable8[[#This Row],[Servicing Spread]])</f>
        <v>0.88370808502503184</v>
      </c>
      <c r="M1188" s="66">
        <f>CurrentMtgRatesDataTable8[[#This Row],[Servicing Spread Non-Zero]]-L1187</f>
        <v>0</v>
      </c>
      <c r="N1188" s="66">
        <f>IF(J1187&lt;&gt;0,CurrentMtgRatesDataTable8[[#This Row],[Rate]]-C1187,N1187)</f>
        <v>2.0000000000000462E-2</v>
      </c>
    </row>
    <row r="1189" spans="1:14">
      <c r="A1189" s="63" t="s">
        <v>1241</v>
      </c>
      <c r="B1189" s="64">
        <v>3.2082776514321698</v>
      </c>
      <c r="C1189" s="65">
        <v>4.1950000000000003</v>
      </c>
      <c r="D1189" s="66">
        <f t="shared" si="126"/>
        <v>7</v>
      </c>
      <c r="E1189" s="66">
        <f t="shared" si="127"/>
        <v>0.2</v>
      </c>
      <c r="F1189" s="66">
        <f t="shared" si="128"/>
        <v>4</v>
      </c>
      <c r="G1189" s="66">
        <f t="shared" si="129"/>
        <v>2.5981540446808742</v>
      </c>
      <c r="H1189" s="66">
        <f t="shared" si="130"/>
        <v>0.8</v>
      </c>
      <c r="I1189" s="66">
        <f t="shared" si="131"/>
        <v>1</v>
      </c>
      <c r="J1189" s="66">
        <f t="shared" si="132"/>
        <v>3.2476925558510925</v>
      </c>
      <c r="K1189" s="66">
        <f>IF(CurrentMtgRatesDataTable8[[#This Row],[WA CC]]&lt;&gt;0,C1188-CurrentMtgRatesDataTable8[[#This Row],[WA CC]],0)</f>
        <v>0.94730744414890777</v>
      </c>
      <c r="L1189" s="66">
        <f>IF(CurrentMtgRatesDataTable8[[#This Row],[Servicing Spread]]&lt;=0,L1188,CurrentMtgRatesDataTable8[[#This Row],[Servicing Spread]])</f>
        <v>0.94730744414890777</v>
      </c>
      <c r="M1189" s="66">
        <f>CurrentMtgRatesDataTable8[[#This Row],[Servicing Spread Non-Zero]]-L1188</f>
        <v>6.3599359123875931E-2</v>
      </c>
      <c r="N1189" s="66">
        <f>IF(J1188&lt;&gt;0,CurrentMtgRatesDataTable8[[#This Row],[Rate]]-C1188,N1188)</f>
        <v>2.0000000000000462E-2</v>
      </c>
    </row>
    <row r="1190" spans="1:14">
      <c r="A1190" s="63" t="s">
        <v>1242</v>
      </c>
      <c r="B1190" s="64">
        <v>3.1554338932112498</v>
      </c>
      <c r="C1190" s="65">
        <v>4.0750000000000002</v>
      </c>
      <c r="D1190" s="66">
        <f t="shared" si="126"/>
        <v>1</v>
      </c>
      <c r="E1190" s="66">
        <f t="shared" si="127"/>
        <v>0.2</v>
      </c>
      <c r="F1190" s="66">
        <f t="shared" si="128"/>
        <v>1</v>
      </c>
      <c r="G1190" s="66">
        <f t="shared" si="129"/>
        <v>0.63108677864225005</v>
      </c>
      <c r="H1190" s="66">
        <f t="shared" si="130"/>
        <v>0.2</v>
      </c>
      <c r="I1190" s="66">
        <f t="shared" si="131"/>
        <v>0</v>
      </c>
      <c r="J1190" s="66">
        <f t="shared" si="132"/>
        <v>0</v>
      </c>
      <c r="K1190" s="66">
        <f>IF(CurrentMtgRatesDataTable8[[#This Row],[WA CC]]&lt;&gt;0,C1189-CurrentMtgRatesDataTable8[[#This Row],[WA CC]],0)</f>
        <v>0</v>
      </c>
      <c r="L1190" s="66">
        <f>IF(CurrentMtgRatesDataTable8[[#This Row],[Servicing Spread]]&lt;=0,L1189,CurrentMtgRatesDataTable8[[#This Row],[Servicing Spread]])</f>
        <v>0.94730744414890777</v>
      </c>
      <c r="M1190" s="66">
        <f>CurrentMtgRatesDataTable8[[#This Row],[Servicing Spread Non-Zero]]-L1189</f>
        <v>0</v>
      </c>
      <c r="N1190" s="66">
        <f>IF(J1189&lt;&gt;0,CurrentMtgRatesDataTable8[[#This Row],[Rate]]-C1189,N1189)</f>
        <v>-0.12000000000000011</v>
      </c>
    </row>
    <row r="1191" spans="1:14">
      <c r="A1191" s="63" t="s">
        <v>1243</v>
      </c>
      <c r="B1191" s="64">
        <v>3.0949306211781802</v>
      </c>
      <c r="C1191" s="65">
        <v>4.0750000000000002</v>
      </c>
      <c r="D1191" s="66">
        <f t="shared" si="126"/>
        <v>2</v>
      </c>
      <c r="E1191" s="66">
        <f t="shared" si="127"/>
        <v>0.2</v>
      </c>
      <c r="F1191" s="66">
        <f t="shared" si="128"/>
        <v>2</v>
      </c>
      <c r="G1191" s="66">
        <f t="shared" si="129"/>
        <v>1.2500729028778861</v>
      </c>
      <c r="H1191" s="66">
        <f t="shared" si="130"/>
        <v>0.4</v>
      </c>
      <c r="I1191" s="66">
        <f t="shared" si="131"/>
        <v>0</v>
      </c>
      <c r="J1191" s="66">
        <f t="shared" si="132"/>
        <v>0</v>
      </c>
      <c r="K1191" s="66">
        <f>IF(CurrentMtgRatesDataTable8[[#This Row],[WA CC]]&lt;&gt;0,C1190-CurrentMtgRatesDataTable8[[#This Row],[WA CC]],0)</f>
        <v>0</v>
      </c>
      <c r="L1191" s="66">
        <f>IF(CurrentMtgRatesDataTable8[[#This Row],[Servicing Spread]]&lt;=0,L1190,CurrentMtgRatesDataTable8[[#This Row],[Servicing Spread]])</f>
        <v>0.94730744414890777</v>
      </c>
      <c r="M1191" s="66">
        <f>CurrentMtgRatesDataTable8[[#This Row],[Servicing Spread Non-Zero]]-L1190</f>
        <v>0</v>
      </c>
      <c r="N1191" s="66">
        <f>IF(J1190&lt;&gt;0,CurrentMtgRatesDataTable8[[#This Row],[Rate]]-C1190,N1190)</f>
        <v>-0.12000000000000011</v>
      </c>
    </row>
    <row r="1192" spans="1:14">
      <c r="A1192" s="63" t="s">
        <v>1244</v>
      </c>
      <c r="B1192" s="64">
        <v>3.1214715085485301</v>
      </c>
      <c r="C1192" s="65">
        <v>4.0750000000000002</v>
      </c>
      <c r="D1192" s="66">
        <f t="shared" si="126"/>
        <v>6</v>
      </c>
      <c r="E1192" s="66">
        <f t="shared" si="127"/>
        <v>0.2</v>
      </c>
      <c r="F1192" s="66">
        <f t="shared" si="128"/>
        <v>3</v>
      </c>
      <c r="G1192" s="66">
        <f t="shared" si="129"/>
        <v>1.8743672045875921</v>
      </c>
      <c r="H1192" s="66">
        <f t="shared" si="130"/>
        <v>0.60000000000000009</v>
      </c>
      <c r="I1192" s="66">
        <f t="shared" si="131"/>
        <v>0</v>
      </c>
      <c r="J1192" s="66">
        <f t="shared" si="132"/>
        <v>0</v>
      </c>
      <c r="K1192" s="66">
        <f>IF(CurrentMtgRatesDataTable8[[#This Row],[WA CC]]&lt;&gt;0,C1191-CurrentMtgRatesDataTable8[[#This Row],[WA CC]],0)</f>
        <v>0</v>
      </c>
      <c r="L1192" s="66">
        <f>IF(CurrentMtgRatesDataTable8[[#This Row],[Servicing Spread]]&lt;=0,L1191,CurrentMtgRatesDataTable8[[#This Row],[Servicing Spread]])</f>
        <v>0.94730744414890777</v>
      </c>
      <c r="M1192" s="66">
        <f>CurrentMtgRatesDataTable8[[#This Row],[Servicing Spread Non-Zero]]-L1191</f>
        <v>0</v>
      </c>
      <c r="N1192" s="66">
        <f>IF(J1191&lt;&gt;0,CurrentMtgRatesDataTable8[[#This Row],[Rate]]-C1191,N1191)</f>
        <v>-0.12000000000000011</v>
      </c>
    </row>
    <row r="1193" spans="1:14">
      <c r="A1193" s="63" t="s">
        <v>1245</v>
      </c>
      <c r="B1193" s="64">
        <v>3.1384996351244299</v>
      </c>
      <c r="C1193" s="65">
        <v>4.0750000000000002</v>
      </c>
      <c r="D1193" s="66">
        <f t="shared" si="126"/>
        <v>7</v>
      </c>
      <c r="E1193" s="66">
        <f t="shared" si="127"/>
        <v>0.2</v>
      </c>
      <c r="F1193" s="66">
        <f t="shared" si="128"/>
        <v>4</v>
      </c>
      <c r="G1193" s="66">
        <f t="shared" si="129"/>
        <v>2.5020671316124781</v>
      </c>
      <c r="H1193" s="66">
        <f t="shared" si="130"/>
        <v>0.8</v>
      </c>
      <c r="I1193" s="66">
        <f t="shared" si="131"/>
        <v>1</v>
      </c>
      <c r="J1193" s="66">
        <f t="shared" si="132"/>
        <v>3.1275839145155975</v>
      </c>
      <c r="K1193" s="66">
        <f>IF(CurrentMtgRatesDataTable8[[#This Row],[WA CC]]&lt;&gt;0,C1192-CurrentMtgRatesDataTable8[[#This Row],[WA CC]],0)</f>
        <v>0.9474160854844027</v>
      </c>
      <c r="L1193" s="66">
        <f>IF(CurrentMtgRatesDataTable8[[#This Row],[Servicing Spread]]&lt;=0,L1192,CurrentMtgRatesDataTable8[[#This Row],[Servicing Spread]])</f>
        <v>0.9474160854844027</v>
      </c>
      <c r="M1193" s="66">
        <f>CurrentMtgRatesDataTable8[[#This Row],[Servicing Spread Non-Zero]]-L1192</f>
        <v>1.0864133549493005E-4</v>
      </c>
      <c r="N1193" s="66">
        <f>IF(J1192&lt;&gt;0,CurrentMtgRatesDataTable8[[#This Row],[Rate]]-C1192,N1192)</f>
        <v>-0.12000000000000011</v>
      </c>
    </row>
    <row r="1194" spans="1:14">
      <c r="A1194" s="63" t="s">
        <v>1246</v>
      </c>
      <c r="B1194" s="64">
        <v>3.0451114987111199</v>
      </c>
      <c r="C1194" s="65">
        <v>3.9950000000000001</v>
      </c>
      <c r="D1194" s="66">
        <f t="shared" si="126"/>
        <v>1</v>
      </c>
      <c r="E1194" s="66">
        <f t="shared" si="127"/>
        <v>0.2</v>
      </c>
      <c r="F1194" s="66">
        <f t="shared" si="128"/>
        <v>1</v>
      </c>
      <c r="G1194" s="66">
        <f t="shared" si="129"/>
        <v>0.60902229974222399</v>
      </c>
      <c r="H1194" s="66">
        <f t="shared" si="130"/>
        <v>0.2</v>
      </c>
      <c r="I1194" s="66">
        <f t="shared" si="131"/>
        <v>0</v>
      </c>
      <c r="J1194" s="66">
        <f t="shared" si="132"/>
        <v>0</v>
      </c>
      <c r="K1194" s="66">
        <f>IF(CurrentMtgRatesDataTable8[[#This Row],[WA CC]]&lt;&gt;0,C1193-CurrentMtgRatesDataTable8[[#This Row],[WA CC]],0)</f>
        <v>0</v>
      </c>
      <c r="L1194" s="66">
        <f>IF(CurrentMtgRatesDataTable8[[#This Row],[Servicing Spread]]&lt;=0,L1193,CurrentMtgRatesDataTable8[[#This Row],[Servicing Spread]])</f>
        <v>0.9474160854844027</v>
      </c>
      <c r="M1194" s="66">
        <f>CurrentMtgRatesDataTable8[[#This Row],[Servicing Spread Non-Zero]]-L1193</f>
        <v>0</v>
      </c>
      <c r="N1194" s="66">
        <f>IF(J1193&lt;&gt;0,CurrentMtgRatesDataTable8[[#This Row],[Rate]]-C1193,N1193)</f>
        <v>-8.0000000000000071E-2</v>
      </c>
    </row>
    <row r="1195" spans="1:14">
      <c r="A1195" s="63" t="s">
        <v>1247</v>
      </c>
      <c r="B1195" s="64">
        <v>3.1031472109984501</v>
      </c>
      <c r="C1195" s="65">
        <v>3.9950000000000001</v>
      </c>
      <c r="D1195" s="66">
        <f t="shared" si="126"/>
        <v>2</v>
      </c>
      <c r="E1195" s="66">
        <f t="shared" si="127"/>
        <v>0.2</v>
      </c>
      <c r="F1195" s="66">
        <f t="shared" si="128"/>
        <v>2</v>
      </c>
      <c r="G1195" s="66">
        <f t="shared" si="129"/>
        <v>1.2296517419419142</v>
      </c>
      <c r="H1195" s="66">
        <f t="shared" si="130"/>
        <v>0.4</v>
      </c>
      <c r="I1195" s="66">
        <f t="shared" si="131"/>
        <v>0</v>
      </c>
      <c r="J1195" s="66">
        <f t="shared" si="132"/>
        <v>0</v>
      </c>
      <c r="K1195" s="66">
        <f>IF(CurrentMtgRatesDataTable8[[#This Row],[WA CC]]&lt;&gt;0,C1194-CurrentMtgRatesDataTable8[[#This Row],[WA CC]],0)</f>
        <v>0</v>
      </c>
      <c r="L1195" s="66">
        <f>IF(CurrentMtgRatesDataTable8[[#This Row],[Servicing Spread]]&lt;=0,L1194,CurrentMtgRatesDataTable8[[#This Row],[Servicing Spread]])</f>
        <v>0.9474160854844027</v>
      </c>
      <c r="M1195" s="66">
        <f>CurrentMtgRatesDataTable8[[#This Row],[Servicing Spread Non-Zero]]-L1194</f>
        <v>0</v>
      </c>
      <c r="N1195" s="66">
        <f>IF(J1194&lt;&gt;0,CurrentMtgRatesDataTable8[[#This Row],[Rate]]-C1194,N1194)</f>
        <v>-8.0000000000000071E-2</v>
      </c>
    </row>
    <row r="1196" spans="1:14">
      <c r="A1196" s="63" t="s">
        <v>1248</v>
      </c>
      <c r="B1196" s="64">
        <v>3.0761940067362201</v>
      </c>
      <c r="C1196" s="65">
        <v>3.9950000000000001</v>
      </c>
      <c r="D1196" s="66">
        <f t="shared" si="126"/>
        <v>5</v>
      </c>
      <c r="E1196" s="66">
        <f t="shared" si="127"/>
        <v>0.2</v>
      </c>
      <c r="F1196" s="66">
        <f t="shared" si="128"/>
        <v>3</v>
      </c>
      <c r="G1196" s="66">
        <f t="shared" si="129"/>
        <v>1.8448905432891582</v>
      </c>
      <c r="H1196" s="66">
        <f t="shared" si="130"/>
        <v>0.60000000000000009</v>
      </c>
      <c r="I1196" s="66">
        <f t="shared" si="131"/>
        <v>0</v>
      </c>
      <c r="J1196" s="66">
        <f t="shared" si="132"/>
        <v>0</v>
      </c>
      <c r="K1196" s="66">
        <f>IF(CurrentMtgRatesDataTable8[[#This Row],[WA CC]]&lt;&gt;0,C1195-CurrentMtgRatesDataTable8[[#This Row],[WA CC]],0)</f>
        <v>0</v>
      </c>
      <c r="L1196" s="66">
        <f>IF(CurrentMtgRatesDataTable8[[#This Row],[Servicing Spread]]&lt;=0,L1195,CurrentMtgRatesDataTable8[[#This Row],[Servicing Spread]])</f>
        <v>0.9474160854844027</v>
      </c>
      <c r="M1196" s="66">
        <f>CurrentMtgRatesDataTable8[[#This Row],[Servicing Spread Non-Zero]]-L1195</f>
        <v>0</v>
      </c>
      <c r="N1196" s="66">
        <f>IF(J1195&lt;&gt;0,CurrentMtgRatesDataTable8[[#This Row],[Rate]]-C1195,N1195)</f>
        <v>-8.0000000000000071E-2</v>
      </c>
    </row>
    <row r="1197" spans="1:14">
      <c r="A1197" s="63" t="s">
        <v>1249</v>
      </c>
      <c r="B1197" s="64">
        <v>3.0731891921219798</v>
      </c>
      <c r="C1197" s="65">
        <v>3.9950000000000001</v>
      </c>
      <c r="D1197" s="66">
        <f t="shared" si="126"/>
        <v>6</v>
      </c>
      <c r="E1197" s="66">
        <f t="shared" si="127"/>
        <v>0.2</v>
      </c>
      <c r="F1197" s="66">
        <f t="shared" si="128"/>
        <v>4</v>
      </c>
      <c r="G1197" s="66">
        <f t="shared" si="129"/>
        <v>2.4595283817135543</v>
      </c>
      <c r="H1197" s="66">
        <f t="shared" si="130"/>
        <v>0.8</v>
      </c>
      <c r="I1197" s="66">
        <f t="shared" si="131"/>
        <v>0</v>
      </c>
      <c r="J1197" s="66">
        <f t="shared" si="132"/>
        <v>0</v>
      </c>
      <c r="K1197" s="66">
        <f>IF(CurrentMtgRatesDataTable8[[#This Row],[WA CC]]&lt;&gt;0,C1196-CurrentMtgRatesDataTable8[[#This Row],[WA CC]],0)</f>
        <v>0</v>
      </c>
      <c r="L1197" s="66">
        <f>IF(CurrentMtgRatesDataTable8[[#This Row],[Servicing Spread]]&lt;=0,L1196,CurrentMtgRatesDataTable8[[#This Row],[Servicing Spread]])</f>
        <v>0.9474160854844027</v>
      </c>
      <c r="M1197" s="66">
        <f>CurrentMtgRatesDataTable8[[#This Row],[Servicing Spread Non-Zero]]-L1196</f>
        <v>0</v>
      </c>
      <c r="N1197" s="66">
        <f>IF(J1196&lt;&gt;0,CurrentMtgRatesDataTable8[[#This Row],[Rate]]-C1196,N1196)</f>
        <v>-8.0000000000000071E-2</v>
      </c>
    </row>
    <row r="1198" spans="1:14">
      <c r="A1198" s="63" t="s">
        <v>1250</v>
      </c>
      <c r="B1198" s="64">
        <v>3.05308577181211</v>
      </c>
      <c r="C1198" s="65">
        <v>3.9950000000000001</v>
      </c>
      <c r="D1198" s="66">
        <f t="shared" si="126"/>
        <v>7</v>
      </c>
      <c r="E1198" s="66">
        <f t="shared" si="127"/>
        <v>0.2</v>
      </c>
      <c r="F1198" s="66">
        <f t="shared" si="128"/>
        <v>5</v>
      </c>
      <c r="G1198" s="66">
        <f t="shared" si="129"/>
        <v>3.0701455360759762</v>
      </c>
      <c r="H1198" s="66">
        <f t="shared" si="130"/>
        <v>1</v>
      </c>
      <c r="I1198" s="66">
        <f t="shared" si="131"/>
        <v>1</v>
      </c>
      <c r="J1198" s="66">
        <f t="shared" si="132"/>
        <v>3.0701455360759762</v>
      </c>
      <c r="K1198" s="66">
        <f>IF(CurrentMtgRatesDataTable8[[#This Row],[WA CC]]&lt;&gt;0,C1197-CurrentMtgRatesDataTable8[[#This Row],[WA CC]],0)</f>
        <v>0.92485446392402393</v>
      </c>
      <c r="L1198" s="66">
        <f>IF(CurrentMtgRatesDataTable8[[#This Row],[Servicing Spread]]&lt;=0,L1197,CurrentMtgRatesDataTable8[[#This Row],[Servicing Spread]])</f>
        <v>0.92485446392402393</v>
      </c>
      <c r="M1198" s="66">
        <f>CurrentMtgRatesDataTable8[[#This Row],[Servicing Spread Non-Zero]]-L1197</f>
        <v>-2.2561621560378775E-2</v>
      </c>
      <c r="N1198" s="66">
        <f>IF(J1197&lt;&gt;0,CurrentMtgRatesDataTable8[[#This Row],[Rate]]-C1197,N1197)</f>
        <v>-8.0000000000000071E-2</v>
      </c>
    </row>
    <row r="1199" spans="1:14">
      <c r="A1199" s="63" t="s">
        <v>1251</v>
      </c>
      <c r="B1199" s="64">
        <v>3.0490468852483001</v>
      </c>
      <c r="C1199" s="65">
        <v>3.9649999999999999</v>
      </c>
      <c r="D1199" s="66">
        <f t="shared" si="126"/>
        <v>1</v>
      </c>
      <c r="E1199" s="66">
        <f t="shared" si="127"/>
        <v>0.2</v>
      </c>
      <c r="F1199" s="66">
        <f t="shared" si="128"/>
        <v>1</v>
      </c>
      <c r="G1199" s="66">
        <f t="shared" si="129"/>
        <v>0.6098093770496601</v>
      </c>
      <c r="H1199" s="66">
        <f t="shared" si="130"/>
        <v>0.2</v>
      </c>
      <c r="I1199" s="66">
        <f t="shared" si="131"/>
        <v>0</v>
      </c>
      <c r="J1199" s="66">
        <f t="shared" si="132"/>
        <v>0</v>
      </c>
      <c r="K1199" s="66">
        <f>IF(CurrentMtgRatesDataTable8[[#This Row],[WA CC]]&lt;&gt;0,C1198-CurrentMtgRatesDataTable8[[#This Row],[WA CC]],0)</f>
        <v>0</v>
      </c>
      <c r="L1199" s="66">
        <f>IF(CurrentMtgRatesDataTable8[[#This Row],[Servicing Spread]]&lt;=0,L1198,CurrentMtgRatesDataTable8[[#This Row],[Servicing Spread]])</f>
        <v>0.92485446392402393</v>
      </c>
      <c r="M1199" s="66">
        <f>CurrentMtgRatesDataTable8[[#This Row],[Servicing Spread Non-Zero]]-L1198</f>
        <v>0</v>
      </c>
      <c r="N1199" s="66">
        <f>IF(J1198&lt;&gt;0,CurrentMtgRatesDataTable8[[#This Row],[Rate]]-C1198,N1198)</f>
        <v>-3.0000000000000249E-2</v>
      </c>
    </row>
    <row r="1200" spans="1:14">
      <c r="A1200" s="63" t="s">
        <v>1252</v>
      </c>
      <c r="B1200" s="64">
        <v>3.0821770129948698</v>
      </c>
      <c r="C1200" s="65">
        <v>3.9649999999999999</v>
      </c>
      <c r="D1200" s="66">
        <f t="shared" si="126"/>
        <v>2</v>
      </c>
      <c r="E1200" s="66">
        <f t="shared" si="127"/>
        <v>0.2</v>
      </c>
      <c r="F1200" s="66">
        <f t="shared" si="128"/>
        <v>2</v>
      </c>
      <c r="G1200" s="66">
        <f t="shared" si="129"/>
        <v>1.226244779648634</v>
      </c>
      <c r="H1200" s="66">
        <f t="shared" si="130"/>
        <v>0.4</v>
      </c>
      <c r="I1200" s="66">
        <f t="shared" si="131"/>
        <v>0</v>
      </c>
      <c r="J1200" s="66">
        <f t="shared" si="132"/>
        <v>0</v>
      </c>
      <c r="K1200" s="66">
        <f>IF(CurrentMtgRatesDataTable8[[#This Row],[WA CC]]&lt;&gt;0,C1199-CurrentMtgRatesDataTable8[[#This Row],[WA CC]],0)</f>
        <v>0</v>
      </c>
      <c r="L1200" s="66">
        <f>IF(CurrentMtgRatesDataTable8[[#This Row],[Servicing Spread]]&lt;=0,L1199,CurrentMtgRatesDataTable8[[#This Row],[Servicing Spread]])</f>
        <v>0.92485446392402393</v>
      </c>
      <c r="M1200" s="66">
        <f>CurrentMtgRatesDataTable8[[#This Row],[Servicing Spread Non-Zero]]-L1199</f>
        <v>0</v>
      </c>
      <c r="N1200" s="66">
        <f>IF(J1199&lt;&gt;0,CurrentMtgRatesDataTable8[[#This Row],[Rate]]-C1199,N1199)</f>
        <v>-3.0000000000000249E-2</v>
      </c>
    </row>
    <row r="1201" spans="1:14">
      <c r="A1201" s="63" t="s">
        <v>1253</v>
      </c>
      <c r="B1201" s="64">
        <v>3.03783768226076</v>
      </c>
      <c r="C1201" s="65">
        <v>3.9649999999999999</v>
      </c>
      <c r="D1201" s="66">
        <f t="shared" si="126"/>
        <v>6</v>
      </c>
      <c r="E1201" s="66">
        <f t="shared" si="127"/>
        <v>0.2</v>
      </c>
      <c r="F1201" s="66">
        <f t="shared" si="128"/>
        <v>3</v>
      </c>
      <c r="G1201" s="66">
        <f t="shared" si="129"/>
        <v>1.833812316100786</v>
      </c>
      <c r="H1201" s="66">
        <f t="shared" si="130"/>
        <v>0.60000000000000009</v>
      </c>
      <c r="I1201" s="66">
        <f t="shared" si="131"/>
        <v>0</v>
      </c>
      <c r="J1201" s="66">
        <f t="shared" si="132"/>
        <v>0</v>
      </c>
      <c r="K1201" s="66">
        <f>IF(CurrentMtgRatesDataTable8[[#This Row],[WA CC]]&lt;&gt;0,C1200-CurrentMtgRatesDataTable8[[#This Row],[WA CC]],0)</f>
        <v>0</v>
      </c>
      <c r="L1201" s="66">
        <f>IF(CurrentMtgRatesDataTable8[[#This Row],[Servicing Spread]]&lt;=0,L1200,CurrentMtgRatesDataTable8[[#This Row],[Servicing Spread]])</f>
        <v>0.92485446392402393</v>
      </c>
      <c r="M1201" s="66">
        <f>CurrentMtgRatesDataTable8[[#This Row],[Servicing Spread Non-Zero]]-L1200</f>
        <v>0</v>
      </c>
      <c r="N1201" s="66">
        <f>IF(J1200&lt;&gt;0,CurrentMtgRatesDataTable8[[#This Row],[Rate]]-C1200,N1200)</f>
        <v>-3.0000000000000249E-2</v>
      </c>
    </row>
    <row r="1202" spans="1:14">
      <c r="A1202" s="63" t="s">
        <v>1254</v>
      </c>
      <c r="B1202" s="64">
        <v>3.1230464878989399</v>
      </c>
      <c r="C1202" s="65">
        <v>3.9649999999999999</v>
      </c>
      <c r="D1202" s="66">
        <f t="shared" si="126"/>
        <v>7</v>
      </c>
      <c r="E1202" s="66">
        <f t="shared" si="127"/>
        <v>0.2</v>
      </c>
      <c r="F1202" s="66">
        <f t="shared" si="128"/>
        <v>4</v>
      </c>
      <c r="G1202" s="66">
        <f t="shared" si="129"/>
        <v>2.4584216136805739</v>
      </c>
      <c r="H1202" s="66">
        <f t="shared" si="130"/>
        <v>0.8</v>
      </c>
      <c r="I1202" s="66">
        <f t="shared" si="131"/>
        <v>1</v>
      </c>
      <c r="J1202" s="66">
        <f t="shared" si="132"/>
        <v>3.073027017100717</v>
      </c>
      <c r="K1202" s="66">
        <f>IF(CurrentMtgRatesDataTable8[[#This Row],[WA CC]]&lt;&gt;0,C1201-CurrentMtgRatesDataTable8[[#This Row],[WA CC]],0)</f>
        <v>0.89197298289928284</v>
      </c>
      <c r="L1202" s="66">
        <f>IF(CurrentMtgRatesDataTable8[[#This Row],[Servicing Spread]]&lt;=0,L1201,CurrentMtgRatesDataTable8[[#This Row],[Servicing Spread]])</f>
        <v>0.89197298289928284</v>
      </c>
      <c r="M1202" s="66">
        <f>CurrentMtgRatesDataTable8[[#This Row],[Servicing Spread Non-Zero]]-L1201</f>
        <v>-3.2881481024741088E-2</v>
      </c>
      <c r="N1202" s="66">
        <f>IF(J1201&lt;&gt;0,CurrentMtgRatesDataTable8[[#This Row],[Rate]]-C1201,N1201)</f>
        <v>-3.0000000000000249E-2</v>
      </c>
    </row>
    <row r="1203" spans="1:14">
      <c r="A1203" s="63" t="s">
        <v>1255</v>
      </c>
      <c r="B1203" s="64">
        <v>3.1861069346241799</v>
      </c>
      <c r="C1203" s="65">
        <v>4.04</v>
      </c>
      <c r="D1203" s="66">
        <f t="shared" si="126"/>
        <v>1</v>
      </c>
      <c r="E1203" s="66">
        <f t="shared" si="127"/>
        <v>0.2</v>
      </c>
      <c r="F1203" s="66">
        <f t="shared" si="128"/>
        <v>1</v>
      </c>
      <c r="G1203" s="66">
        <f t="shared" si="129"/>
        <v>0.63722138692483599</v>
      </c>
      <c r="H1203" s="66">
        <f t="shared" si="130"/>
        <v>0.2</v>
      </c>
      <c r="I1203" s="66">
        <f t="shared" si="131"/>
        <v>0</v>
      </c>
      <c r="J1203" s="66">
        <f t="shared" si="132"/>
        <v>0</v>
      </c>
      <c r="K1203" s="66">
        <f>IF(CurrentMtgRatesDataTable8[[#This Row],[WA CC]]&lt;&gt;0,C1202-CurrentMtgRatesDataTable8[[#This Row],[WA CC]],0)</f>
        <v>0</v>
      </c>
      <c r="L1203" s="66">
        <f>IF(CurrentMtgRatesDataTable8[[#This Row],[Servicing Spread]]&lt;=0,L1202,CurrentMtgRatesDataTable8[[#This Row],[Servicing Spread]])</f>
        <v>0.89197298289928284</v>
      </c>
      <c r="M1203" s="66">
        <f>CurrentMtgRatesDataTable8[[#This Row],[Servicing Spread Non-Zero]]-L1202</f>
        <v>0</v>
      </c>
      <c r="N1203" s="66">
        <f>IF(J1202&lt;&gt;0,CurrentMtgRatesDataTable8[[#This Row],[Rate]]-C1202,N1202)</f>
        <v>7.5000000000000178E-2</v>
      </c>
    </row>
    <row r="1204" spans="1:14">
      <c r="A1204" s="63" t="s">
        <v>1256</v>
      </c>
      <c r="B1204" s="64">
        <v>3.1835668268230601</v>
      </c>
      <c r="C1204" s="65">
        <v>4.04</v>
      </c>
      <c r="D1204" s="66">
        <f t="shared" si="126"/>
        <v>2</v>
      </c>
      <c r="E1204" s="66">
        <f t="shared" si="127"/>
        <v>0.2</v>
      </c>
      <c r="F1204" s="66">
        <f t="shared" si="128"/>
        <v>2</v>
      </c>
      <c r="G1204" s="66">
        <f t="shared" si="129"/>
        <v>1.2739347522894482</v>
      </c>
      <c r="H1204" s="66">
        <f t="shared" si="130"/>
        <v>0.4</v>
      </c>
      <c r="I1204" s="66">
        <f t="shared" si="131"/>
        <v>0</v>
      </c>
      <c r="J1204" s="66">
        <f t="shared" si="132"/>
        <v>0</v>
      </c>
      <c r="K1204" s="66">
        <f>IF(CurrentMtgRatesDataTable8[[#This Row],[WA CC]]&lt;&gt;0,C1203-CurrentMtgRatesDataTable8[[#This Row],[WA CC]],0)</f>
        <v>0</v>
      </c>
      <c r="L1204" s="66">
        <f>IF(CurrentMtgRatesDataTable8[[#This Row],[Servicing Spread]]&lt;=0,L1203,CurrentMtgRatesDataTable8[[#This Row],[Servicing Spread]])</f>
        <v>0.89197298289928284</v>
      </c>
      <c r="M1204" s="66">
        <f>CurrentMtgRatesDataTable8[[#This Row],[Servicing Spread Non-Zero]]-L1203</f>
        <v>0</v>
      </c>
      <c r="N1204" s="66">
        <f>IF(J1203&lt;&gt;0,CurrentMtgRatesDataTable8[[#This Row],[Rate]]-C1203,N1203)</f>
        <v>7.5000000000000178E-2</v>
      </c>
    </row>
    <row r="1205" spans="1:14">
      <c r="A1205" s="63" t="s">
        <v>1257</v>
      </c>
      <c r="B1205" s="64">
        <v>3.11336724887106</v>
      </c>
      <c r="C1205" s="65">
        <v>4.04</v>
      </c>
      <c r="D1205" s="66">
        <f t="shared" si="126"/>
        <v>5</v>
      </c>
      <c r="E1205" s="66">
        <f t="shared" si="127"/>
        <v>0.2</v>
      </c>
      <c r="F1205" s="66">
        <f t="shared" si="128"/>
        <v>3</v>
      </c>
      <c r="G1205" s="66">
        <f t="shared" si="129"/>
        <v>1.8966082020636601</v>
      </c>
      <c r="H1205" s="66">
        <f t="shared" si="130"/>
        <v>0.60000000000000009</v>
      </c>
      <c r="I1205" s="66">
        <f t="shared" si="131"/>
        <v>0</v>
      </c>
      <c r="J1205" s="66">
        <f t="shared" si="132"/>
        <v>0</v>
      </c>
      <c r="K1205" s="66">
        <f>IF(CurrentMtgRatesDataTable8[[#This Row],[WA CC]]&lt;&gt;0,C1204-CurrentMtgRatesDataTable8[[#This Row],[WA CC]],0)</f>
        <v>0</v>
      </c>
      <c r="L1205" s="66">
        <f>IF(CurrentMtgRatesDataTable8[[#This Row],[Servicing Spread]]&lt;=0,L1204,CurrentMtgRatesDataTable8[[#This Row],[Servicing Spread]])</f>
        <v>0.89197298289928284</v>
      </c>
      <c r="M1205" s="66">
        <f>CurrentMtgRatesDataTable8[[#This Row],[Servicing Spread Non-Zero]]-L1204</f>
        <v>0</v>
      </c>
      <c r="N1205" s="66">
        <f>IF(J1204&lt;&gt;0,CurrentMtgRatesDataTable8[[#This Row],[Rate]]-C1204,N1204)</f>
        <v>7.5000000000000178E-2</v>
      </c>
    </row>
    <row r="1206" spans="1:14">
      <c r="A1206" s="63" t="s">
        <v>1258</v>
      </c>
      <c r="B1206" s="64">
        <v>3.1829132943818701</v>
      </c>
      <c r="C1206" s="65">
        <v>4.04</v>
      </c>
      <c r="D1206" s="66">
        <f t="shared" si="126"/>
        <v>6</v>
      </c>
      <c r="E1206" s="66">
        <f t="shared" si="127"/>
        <v>0.2</v>
      </c>
      <c r="F1206" s="66">
        <f t="shared" si="128"/>
        <v>4</v>
      </c>
      <c r="G1206" s="66">
        <f t="shared" si="129"/>
        <v>2.5331908609400342</v>
      </c>
      <c r="H1206" s="66">
        <f t="shared" si="130"/>
        <v>0.8</v>
      </c>
      <c r="I1206" s="66">
        <f t="shared" si="131"/>
        <v>0</v>
      </c>
      <c r="J1206" s="66">
        <f t="shared" si="132"/>
        <v>0</v>
      </c>
      <c r="K1206" s="66">
        <f>IF(CurrentMtgRatesDataTable8[[#This Row],[WA CC]]&lt;&gt;0,C1205-CurrentMtgRatesDataTable8[[#This Row],[WA CC]],0)</f>
        <v>0</v>
      </c>
      <c r="L1206" s="66">
        <f>IF(CurrentMtgRatesDataTable8[[#This Row],[Servicing Spread]]&lt;=0,L1205,CurrentMtgRatesDataTable8[[#This Row],[Servicing Spread]])</f>
        <v>0.89197298289928284</v>
      </c>
      <c r="M1206" s="66">
        <f>CurrentMtgRatesDataTable8[[#This Row],[Servicing Spread Non-Zero]]-L1205</f>
        <v>0</v>
      </c>
      <c r="N1206" s="66">
        <f>IF(J1205&lt;&gt;0,CurrentMtgRatesDataTable8[[#This Row],[Rate]]-C1205,N1205)</f>
        <v>7.5000000000000178E-2</v>
      </c>
    </row>
    <row r="1207" spans="1:14">
      <c r="A1207" s="63" t="s">
        <v>1259</v>
      </c>
      <c r="B1207" s="64">
        <v>3.2322949335607598</v>
      </c>
      <c r="C1207" s="65">
        <v>4.04</v>
      </c>
      <c r="D1207" s="66">
        <f t="shared" si="126"/>
        <v>7</v>
      </c>
      <c r="E1207" s="66">
        <f t="shared" si="127"/>
        <v>0.2</v>
      </c>
      <c r="F1207" s="66">
        <f t="shared" si="128"/>
        <v>5</v>
      </c>
      <c r="G1207" s="66">
        <f t="shared" si="129"/>
        <v>3.1796498476521862</v>
      </c>
      <c r="H1207" s="66">
        <f t="shared" si="130"/>
        <v>1</v>
      </c>
      <c r="I1207" s="66">
        <f t="shared" si="131"/>
        <v>1</v>
      </c>
      <c r="J1207" s="66">
        <f t="shared" si="132"/>
        <v>3.1796498476521862</v>
      </c>
      <c r="K1207" s="66">
        <f>IF(CurrentMtgRatesDataTable8[[#This Row],[WA CC]]&lt;&gt;0,C1206-CurrentMtgRatesDataTable8[[#This Row],[WA CC]],0)</f>
        <v>0.86035015234781387</v>
      </c>
      <c r="L1207" s="66">
        <f>IF(CurrentMtgRatesDataTable8[[#This Row],[Servicing Spread]]&lt;=0,L1206,CurrentMtgRatesDataTable8[[#This Row],[Servicing Spread]])</f>
        <v>0.86035015234781387</v>
      </c>
      <c r="M1207" s="66">
        <f>CurrentMtgRatesDataTable8[[#This Row],[Servicing Spread Non-Zero]]-L1206</f>
        <v>-3.1622830551468972E-2</v>
      </c>
      <c r="N1207" s="66">
        <f>IF(J1206&lt;&gt;0,CurrentMtgRatesDataTable8[[#This Row],[Rate]]-C1206,N1206)</f>
        <v>7.5000000000000178E-2</v>
      </c>
    </row>
    <row r="1208" spans="1:14">
      <c r="A1208" s="63" t="s">
        <v>1260</v>
      </c>
      <c r="B1208" s="64">
        <v>3.2180488774769902</v>
      </c>
      <c r="C1208" s="65">
        <v>4.0650000000000004</v>
      </c>
      <c r="D1208" s="66">
        <f t="shared" si="126"/>
        <v>1</v>
      </c>
      <c r="E1208" s="66">
        <f t="shared" si="127"/>
        <v>0.2</v>
      </c>
      <c r="F1208" s="66">
        <f t="shared" si="128"/>
        <v>1</v>
      </c>
      <c r="G1208" s="66">
        <f t="shared" si="129"/>
        <v>0.64360977549539811</v>
      </c>
      <c r="H1208" s="66">
        <f t="shared" si="130"/>
        <v>0.2</v>
      </c>
      <c r="I1208" s="66">
        <f t="shared" si="131"/>
        <v>0</v>
      </c>
      <c r="J1208" s="66">
        <f t="shared" si="132"/>
        <v>0</v>
      </c>
      <c r="K1208" s="66">
        <f>IF(CurrentMtgRatesDataTable8[[#This Row],[WA CC]]&lt;&gt;0,C1207-CurrentMtgRatesDataTable8[[#This Row],[WA CC]],0)</f>
        <v>0</v>
      </c>
      <c r="L1208" s="66">
        <f>IF(CurrentMtgRatesDataTable8[[#This Row],[Servicing Spread]]&lt;=0,L1207,CurrentMtgRatesDataTable8[[#This Row],[Servicing Spread]])</f>
        <v>0.86035015234781387</v>
      </c>
      <c r="M1208" s="66">
        <f>CurrentMtgRatesDataTable8[[#This Row],[Servicing Spread Non-Zero]]-L1207</f>
        <v>0</v>
      </c>
      <c r="N1208" s="66">
        <f>IF(J1207&lt;&gt;0,CurrentMtgRatesDataTable8[[#This Row],[Rate]]-C1207,N1207)</f>
        <v>2.5000000000000355E-2</v>
      </c>
    </row>
    <row r="1209" spans="1:14">
      <c r="A1209" s="63" t="s">
        <v>1261</v>
      </c>
      <c r="B1209" s="64">
        <v>3.19076268089509</v>
      </c>
      <c r="C1209" s="65">
        <v>4.0650000000000004</v>
      </c>
      <c r="D1209" s="66">
        <f t="shared" si="126"/>
        <v>2</v>
      </c>
      <c r="E1209" s="66">
        <f t="shared" si="127"/>
        <v>0.2</v>
      </c>
      <c r="F1209" s="66">
        <f t="shared" si="128"/>
        <v>2</v>
      </c>
      <c r="G1209" s="66">
        <f t="shared" si="129"/>
        <v>1.2817623116744161</v>
      </c>
      <c r="H1209" s="66">
        <f t="shared" si="130"/>
        <v>0.4</v>
      </c>
      <c r="I1209" s="66">
        <f t="shared" si="131"/>
        <v>0</v>
      </c>
      <c r="J1209" s="66">
        <f t="shared" si="132"/>
        <v>0</v>
      </c>
      <c r="K1209" s="66">
        <f>IF(CurrentMtgRatesDataTable8[[#This Row],[WA CC]]&lt;&gt;0,C1208-CurrentMtgRatesDataTable8[[#This Row],[WA CC]],0)</f>
        <v>0</v>
      </c>
      <c r="L1209" s="66">
        <f>IF(CurrentMtgRatesDataTable8[[#This Row],[Servicing Spread]]&lt;=0,L1208,CurrentMtgRatesDataTable8[[#This Row],[Servicing Spread]])</f>
        <v>0.86035015234781387</v>
      </c>
      <c r="M1209" s="66">
        <f>CurrentMtgRatesDataTable8[[#This Row],[Servicing Spread Non-Zero]]-L1208</f>
        <v>0</v>
      </c>
      <c r="N1209" s="66">
        <f>IF(J1208&lt;&gt;0,CurrentMtgRatesDataTable8[[#This Row],[Rate]]-C1208,N1208)</f>
        <v>2.5000000000000355E-2</v>
      </c>
    </row>
    <row r="1210" spans="1:14">
      <c r="A1210" s="63" t="s">
        <v>1262</v>
      </c>
      <c r="B1210" s="64">
        <v>3.1841018118348199</v>
      </c>
      <c r="C1210" s="65">
        <v>4.0650000000000004</v>
      </c>
      <c r="D1210" s="66">
        <f t="shared" si="126"/>
        <v>5</v>
      </c>
      <c r="E1210" s="66">
        <f t="shared" si="127"/>
        <v>0.2</v>
      </c>
      <c r="F1210" s="66">
        <f t="shared" si="128"/>
        <v>3</v>
      </c>
      <c r="G1210" s="66">
        <f t="shared" si="129"/>
        <v>1.9185826740413803</v>
      </c>
      <c r="H1210" s="66">
        <f t="shared" si="130"/>
        <v>0.60000000000000009</v>
      </c>
      <c r="I1210" s="66">
        <f t="shared" si="131"/>
        <v>0</v>
      </c>
      <c r="J1210" s="66">
        <f t="shared" si="132"/>
        <v>0</v>
      </c>
      <c r="K1210" s="66">
        <f>IF(CurrentMtgRatesDataTable8[[#This Row],[WA CC]]&lt;&gt;0,C1209-CurrentMtgRatesDataTable8[[#This Row],[WA CC]],0)</f>
        <v>0</v>
      </c>
      <c r="L1210" s="66">
        <f>IF(CurrentMtgRatesDataTable8[[#This Row],[Servicing Spread]]&lt;=0,L1209,CurrentMtgRatesDataTable8[[#This Row],[Servicing Spread]])</f>
        <v>0.86035015234781387</v>
      </c>
      <c r="M1210" s="66">
        <f>CurrentMtgRatesDataTable8[[#This Row],[Servicing Spread Non-Zero]]-L1209</f>
        <v>0</v>
      </c>
      <c r="N1210" s="66">
        <f>IF(J1209&lt;&gt;0,CurrentMtgRatesDataTable8[[#This Row],[Rate]]-C1209,N1209)</f>
        <v>2.5000000000000355E-2</v>
      </c>
    </row>
    <row r="1211" spans="1:14">
      <c r="A1211" s="63" t="s">
        <v>1263</v>
      </c>
      <c r="B1211" s="64">
        <v>3.1648459578607699</v>
      </c>
      <c r="C1211" s="65">
        <v>4.0650000000000004</v>
      </c>
      <c r="D1211" s="66">
        <f t="shared" si="126"/>
        <v>6</v>
      </c>
      <c r="E1211" s="66">
        <f t="shared" si="127"/>
        <v>0.2</v>
      </c>
      <c r="F1211" s="66">
        <f t="shared" si="128"/>
        <v>4</v>
      </c>
      <c r="G1211" s="66">
        <f t="shared" si="129"/>
        <v>2.5515518656135345</v>
      </c>
      <c r="H1211" s="66">
        <f t="shared" si="130"/>
        <v>0.8</v>
      </c>
      <c r="I1211" s="66">
        <f t="shared" si="131"/>
        <v>0</v>
      </c>
      <c r="J1211" s="66">
        <f t="shared" si="132"/>
        <v>0</v>
      </c>
      <c r="K1211" s="66">
        <f>IF(CurrentMtgRatesDataTable8[[#This Row],[WA CC]]&lt;&gt;0,C1210-CurrentMtgRatesDataTable8[[#This Row],[WA CC]],0)</f>
        <v>0</v>
      </c>
      <c r="L1211" s="66">
        <f>IF(CurrentMtgRatesDataTable8[[#This Row],[Servicing Spread]]&lt;=0,L1210,CurrentMtgRatesDataTable8[[#This Row],[Servicing Spread]])</f>
        <v>0.86035015234781387</v>
      </c>
      <c r="M1211" s="66">
        <f>CurrentMtgRatesDataTable8[[#This Row],[Servicing Spread Non-Zero]]-L1210</f>
        <v>0</v>
      </c>
      <c r="N1211" s="66">
        <f>IF(J1210&lt;&gt;0,CurrentMtgRatesDataTable8[[#This Row],[Rate]]-C1210,N1210)</f>
        <v>2.5000000000000355E-2</v>
      </c>
    </row>
    <row r="1212" spans="1:14">
      <c r="A1212" s="63" t="s">
        <v>1264</v>
      </c>
      <c r="B1212" s="64">
        <v>3.18917499104727</v>
      </c>
      <c r="C1212" s="65">
        <v>4.0650000000000004</v>
      </c>
      <c r="D1212" s="66">
        <f t="shared" si="126"/>
        <v>7</v>
      </c>
      <c r="E1212" s="66">
        <f t="shared" si="127"/>
        <v>0.2</v>
      </c>
      <c r="F1212" s="66">
        <f t="shared" si="128"/>
        <v>5</v>
      </c>
      <c r="G1212" s="66">
        <f t="shared" si="129"/>
        <v>3.1893868638229885</v>
      </c>
      <c r="H1212" s="66">
        <f t="shared" si="130"/>
        <v>1</v>
      </c>
      <c r="I1212" s="66">
        <f t="shared" si="131"/>
        <v>1</v>
      </c>
      <c r="J1212" s="66">
        <f t="shared" si="132"/>
        <v>3.1893868638229885</v>
      </c>
      <c r="K1212" s="66">
        <f>IF(CurrentMtgRatesDataTable8[[#This Row],[WA CC]]&lt;&gt;0,C1211-CurrentMtgRatesDataTable8[[#This Row],[WA CC]],0)</f>
        <v>0.87561313617701186</v>
      </c>
      <c r="L1212" s="66">
        <f>IF(CurrentMtgRatesDataTable8[[#This Row],[Servicing Spread]]&lt;=0,L1211,CurrentMtgRatesDataTable8[[#This Row],[Servicing Spread]])</f>
        <v>0.87561313617701186</v>
      </c>
      <c r="M1212" s="66">
        <f>CurrentMtgRatesDataTable8[[#This Row],[Servicing Spread Non-Zero]]-L1211</f>
        <v>1.5262983829197996E-2</v>
      </c>
      <c r="N1212" s="66">
        <f>IF(J1211&lt;&gt;0,CurrentMtgRatesDataTable8[[#This Row],[Rate]]-C1211,N1211)</f>
        <v>2.5000000000000355E-2</v>
      </c>
    </row>
    <row r="1213" spans="1:14">
      <c r="A1213" s="63" t="s">
        <v>1265</v>
      </c>
      <c r="B1213" s="64">
        <v>3.1752248472544302</v>
      </c>
      <c r="C1213" s="65">
        <v>4.0199999999999996</v>
      </c>
      <c r="D1213" s="66">
        <f t="shared" si="126"/>
        <v>1</v>
      </c>
      <c r="E1213" s="66">
        <f t="shared" si="127"/>
        <v>0.2</v>
      </c>
      <c r="F1213" s="66">
        <f t="shared" si="128"/>
        <v>1</v>
      </c>
      <c r="G1213" s="66">
        <f t="shared" si="129"/>
        <v>0.63504496945088607</v>
      </c>
      <c r="H1213" s="66">
        <f t="shared" si="130"/>
        <v>0.2</v>
      </c>
      <c r="I1213" s="66">
        <f t="shared" si="131"/>
        <v>0</v>
      </c>
      <c r="J1213" s="66">
        <f t="shared" si="132"/>
        <v>0</v>
      </c>
      <c r="K1213" s="66">
        <f>IF(CurrentMtgRatesDataTable8[[#This Row],[WA CC]]&lt;&gt;0,C1212-CurrentMtgRatesDataTable8[[#This Row],[WA CC]],0)</f>
        <v>0</v>
      </c>
      <c r="L1213" s="66">
        <f>IF(CurrentMtgRatesDataTable8[[#This Row],[Servicing Spread]]&lt;=0,L1212,CurrentMtgRatesDataTable8[[#This Row],[Servicing Spread]])</f>
        <v>0.87561313617701186</v>
      </c>
      <c r="M1213" s="66">
        <f>CurrentMtgRatesDataTable8[[#This Row],[Servicing Spread Non-Zero]]-L1212</f>
        <v>0</v>
      </c>
      <c r="N1213" s="66">
        <f>IF(J1212&lt;&gt;0,CurrentMtgRatesDataTable8[[#This Row],[Rate]]-C1212,N1212)</f>
        <v>-4.5000000000000817E-2</v>
      </c>
    </row>
    <row r="1214" spans="1:14">
      <c r="A1214" s="63" t="s">
        <v>1266</v>
      </c>
      <c r="B1214" s="64">
        <v>3.1937009048335998</v>
      </c>
      <c r="C1214" s="65">
        <v>4.0199999999999996</v>
      </c>
      <c r="D1214" s="66">
        <f t="shared" si="126"/>
        <v>2</v>
      </c>
      <c r="E1214" s="66">
        <f t="shared" si="127"/>
        <v>0.2</v>
      </c>
      <c r="F1214" s="66">
        <f t="shared" si="128"/>
        <v>2</v>
      </c>
      <c r="G1214" s="66">
        <f t="shared" si="129"/>
        <v>1.2737851504176061</v>
      </c>
      <c r="H1214" s="66">
        <f t="shared" si="130"/>
        <v>0.4</v>
      </c>
      <c r="I1214" s="66">
        <f t="shared" si="131"/>
        <v>0</v>
      </c>
      <c r="J1214" s="66">
        <f t="shared" si="132"/>
        <v>0</v>
      </c>
      <c r="K1214" s="66">
        <f>IF(CurrentMtgRatesDataTable8[[#This Row],[WA CC]]&lt;&gt;0,C1213-CurrentMtgRatesDataTable8[[#This Row],[WA CC]],0)</f>
        <v>0</v>
      </c>
      <c r="L1214" s="66">
        <f>IF(CurrentMtgRatesDataTable8[[#This Row],[Servicing Spread]]&lt;=0,L1213,CurrentMtgRatesDataTable8[[#This Row],[Servicing Spread]])</f>
        <v>0.87561313617701186</v>
      </c>
      <c r="M1214" s="66">
        <f>CurrentMtgRatesDataTable8[[#This Row],[Servicing Spread Non-Zero]]-L1213</f>
        <v>0</v>
      </c>
      <c r="N1214" s="66">
        <f>IF(J1213&lt;&gt;0,CurrentMtgRatesDataTable8[[#This Row],[Rate]]-C1213,N1213)</f>
        <v>-4.5000000000000817E-2</v>
      </c>
    </row>
    <row r="1215" spans="1:14">
      <c r="A1215" s="63" t="s">
        <v>1267</v>
      </c>
      <c r="B1215" s="64">
        <v>3.12563821963785</v>
      </c>
      <c r="C1215" s="65">
        <v>4.0199999999999996</v>
      </c>
      <c r="D1215" s="66">
        <f t="shared" si="126"/>
        <v>5</v>
      </c>
      <c r="E1215" s="66">
        <f t="shared" si="127"/>
        <v>0.2</v>
      </c>
      <c r="F1215" s="66">
        <f t="shared" si="128"/>
        <v>3</v>
      </c>
      <c r="G1215" s="66">
        <f t="shared" si="129"/>
        <v>1.898912794345176</v>
      </c>
      <c r="H1215" s="66">
        <f t="shared" si="130"/>
        <v>0.60000000000000009</v>
      </c>
      <c r="I1215" s="66">
        <f t="shared" si="131"/>
        <v>0</v>
      </c>
      <c r="J1215" s="66">
        <f t="shared" si="132"/>
        <v>0</v>
      </c>
      <c r="K1215" s="66">
        <f>IF(CurrentMtgRatesDataTable8[[#This Row],[WA CC]]&lt;&gt;0,C1214-CurrentMtgRatesDataTable8[[#This Row],[WA CC]],0)</f>
        <v>0</v>
      </c>
      <c r="L1215" s="66">
        <f>IF(CurrentMtgRatesDataTable8[[#This Row],[Servicing Spread]]&lt;=0,L1214,CurrentMtgRatesDataTable8[[#This Row],[Servicing Spread]])</f>
        <v>0.87561313617701186</v>
      </c>
      <c r="M1215" s="66">
        <f>CurrentMtgRatesDataTable8[[#This Row],[Servicing Spread Non-Zero]]-L1214</f>
        <v>0</v>
      </c>
      <c r="N1215" s="66">
        <f>IF(J1214&lt;&gt;0,CurrentMtgRatesDataTable8[[#This Row],[Rate]]-C1214,N1214)</f>
        <v>-4.5000000000000817E-2</v>
      </c>
    </row>
    <row r="1216" spans="1:14">
      <c r="A1216" s="63" t="s">
        <v>1268</v>
      </c>
      <c r="B1216" s="64">
        <v>3.11144834473152</v>
      </c>
      <c r="C1216" s="65">
        <v>4.0199999999999996</v>
      </c>
      <c r="D1216" s="66">
        <f t="shared" si="126"/>
        <v>6</v>
      </c>
      <c r="E1216" s="66">
        <f t="shared" si="127"/>
        <v>0.2</v>
      </c>
      <c r="F1216" s="66">
        <f t="shared" si="128"/>
        <v>4</v>
      </c>
      <c r="G1216" s="66">
        <f t="shared" si="129"/>
        <v>2.52120246329148</v>
      </c>
      <c r="H1216" s="66">
        <f t="shared" si="130"/>
        <v>0.8</v>
      </c>
      <c r="I1216" s="66">
        <f t="shared" si="131"/>
        <v>0</v>
      </c>
      <c r="J1216" s="66">
        <f t="shared" si="132"/>
        <v>0</v>
      </c>
      <c r="K1216" s="66">
        <f>IF(CurrentMtgRatesDataTable8[[#This Row],[WA CC]]&lt;&gt;0,C1215-CurrentMtgRatesDataTable8[[#This Row],[WA CC]],0)</f>
        <v>0</v>
      </c>
      <c r="L1216" s="66">
        <f>IF(CurrentMtgRatesDataTable8[[#This Row],[Servicing Spread]]&lt;=0,L1215,CurrentMtgRatesDataTable8[[#This Row],[Servicing Spread]])</f>
        <v>0.87561313617701186</v>
      </c>
      <c r="M1216" s="66">
        <f>CurrentMtgRatesDataTable8[[#This Row],[Servicing Spread Non-Zero]]-L1215</f>
        <v>0</v>
      </c>
      <c r="N1216" s="66">
        <f>IF(J1215&lt;&gt;0,CurrentMtgRatesDataTable8[[#This Row],[Rate]]-C1215,N1215)</f>
        <v>-4.5000000000000817E-2</v>
      </c>
    </row>
    <row r="1217" spans="1:14">
      <c r="A1217" s="63" t="s">
        <v>1269</v>
      </c>
      <c r="B1217" s="64">
        <v>3.06145355695508</v>
      </c>
      <c r="C1217" s="65">
        <v>4.0199999999999996</v>
      </c>
      <c r="D1217" s="66">
        <f t="shared" si="126"/>
        <v>7</v>
      </c>
      <c r="E1217" s="66">
        <f t="shared" si="127"/>
        <v>0.2</v>
      </c>
      <c r="F1217" s="66">
        <f t="shared" si="128"/>
        <v>5</v>
      </c>
      <c r="G1217" s="66">
        <f t="shared" si="129"/>
        <v>3.1334931746824961</v>
      </c>
      <c r="H1217" s="66">
        <f t="shared" si="130"/>
        <v>1</v>
      </c>
      <c r="I1217" s="66">
        <f t="shared" si="131"/>
        <v>1</v>
      </c>
      <c r="J1217" s="66">
        <f t="shared" si="132"/>
        <v>3.1334931746824961</v>
      </c>
      <c r="K1217" s="66">
        <f>IF(CurrentMtgRatesDataTable8[[#This Row],[WA CC]]&lt;&gt;0,C1216-CurrentMtgRatesDataTable8[[#This Row],[WA CC]],0)</f>
        <v>0.88650682531750347</v>
      </c>
      <c r="L1217" s="66">
        <f>IF(CurrentMtgRatesDataTable8[[#This Row],[Servicing Spread]]&lt;=0,L1216,CurrentMtgRatesDataTable8[[#This Row],[Servicing Spread]])</f>
        <v>0.88650682531750347</v>
      </c>
      <c r="M1217" s="66">
        <f>CurrentMtgRatesDataTable8[[#This Row],[Servicing Spread Non-Zero]]-L1216</f>
        <v>1.0893689140491603E-2</v>
      </c>
      <c r="N1217" s="66">
        <f>IF(J1216&lt;&gt;0,CurrentMtgRatesDataTable8[[#This Row],[Rate]]-C1216,N1216)</f>
        <v>-4.5000000000000817E-2</v>
      </c>
    </row>
    <row r="1218" spans="1:14">
      <c r="A1218" s="63" t="s">
        <v>1270</v>
      </c>
      <c r="B1218" s="64">
        <v>3.1159737913786199</v>
      </c>
      <c r="C1218" s="65">
        <v>4.0250000000000004</v>
      </c>
      <c r="D1218" s="66">
        <f t="shared" si="126"/>
        <v>1</v>
      </c>
      <c r="E1218" s="66">
        <f t="shared" si="127"/>
        <v>0.2</v>
      </c>
      <c r="F1218" s="66">
        <f t="shared" si="128"/>
        <v>1</v>
      </c>
      <c r="G1218" s="66">
        <f t="shared" si="129"/>
        <v>0.62319475827572401</v>
      </c>
      <c r="H1218" s="66">
        <f t="shared" si="130"/>
        <v>0.2</v>
      </c>
      <c r="I1218" s="66">
        <f t="shared" si="131"/>
        <v>0</v>
      </c>
      <c r="J1218" s="66">
        <f t="shared" si="132"/>
        <v>0</v>
      </c>
      <c r="K1218" s="66">
        <f>IF(CurrentMtgRatesDataTable8[[#This Row],[WA CC]]&lt;&gt;0,C1217-CurrentMtgRatesDataTable8[[#This Row],[WA CC]],0)</f>
        <v>0</v>
      </c>
      <c r="L1218" s="66">
        <f>IF(CurrentMtgRatesDataTable8[[#This Row],[Servicing Spread]]&lt;=0,L1217,CurrentMtgRatesDataTable8[[#This Row],[Servicing Spread]])</f>
        <v>0.88650682531750347</v>
      </c>
      <c r="M1218" s="66">
        <f>CurrentMtgRatesDataTable8[[#This Row],[Servicing Spread Non-Zero]]-L1217</f>
        <v>0</v>
      </c>
      <c r="N1218" s="66">
        <f>IF(J1217&lt;&gt;0,CurrentMtgRatesDataTable8[[#This Row],[Rate]]-C1217,N1217)</f>
        <v>5.0000000000007816E-3</v>
      </c>
    </row>
    <row r="1219" spans="1:14">
      <c r="A1219" s="63" t="s">
        <v>1271</v>
      </c>
      <c r="B1219" s="64">
        <v>3.1266954027246601</v>
      </c>
      <c r="C1219" s="65">
        <v>4.0250000000000004</v>
      </c>
      <c r="D1219" s="66">
        <f t="shared" si="126"/>
        <v>2</v>
      </c>
      <c r="E1219" s="66">
        <f t="shared" si="127"/>
        <v>0.2</v>
      </c>
      <c r="F1219" s="66">
        <f t="shared" si="128"/>
        <v>2</v>
      </c>
      <c r="G1219" s="66">
        <f t="shared" si="129"/>
        <v>1.2485338388206562</v>
      </c>
      <c r="H1219" s="66">
        <f t="shared" si="130"/>
        <v>0.4</v>
      </c>
      <c r="I1219" s="66">
        <f t="shared" si="131"/>
        <v>0</v>
      </c>
      <c r="J1219" s="66">
        <f t="shared" si="132"/>
        <v>0</v>
      </c>
      <c r="K1219" s="66">
        <f>IF(CurrentMtgRatesDataTable8[[#This Row],[WA CC]]&lt;&gt;0,C1218-CurrentMtgRatesDataTable8[[#This Row],[WA CC]],0)</f>
        <v>0</v>
      </c>
      <c r="L1219" s="66">
        <f>IF(CurrentMtgRatesDataTable8[[#This Row],[Servicing Spread]]&lt;=0,L1218,CurrentMtgRatesDataTable8[[#This Row],[Servicing Spread]])</f>
        <v>0.88650682531750347</v>
      </c>
      <c r="M1219" s="66">
        <f>CurrentMtgRatesDataTable8[[#This Row],[Servicing Spread Non-Zero]]-L1218</f>
        <v>0</v>
      </c>
      <c r="N1219" s="66">
        <f>IF(J1218&lt;&gt;0,CurrentMtgRatesDataTable8[[#This Row],[Rate]]-C1218,N1218)</f>
        <v>5.0000000000007816E-3</v>
      </c>
    </row>
    <row r="1220" spans="1:14">
      <c r="A1220" s="63" t="s">
        <v>1272</v>
      </c>
      <c r="B1220" s="64">
        <v>3.14587454818964</v>
      </c>
      <c r="C1220" s="65">
        <v>4.0250000000000004</v>
      </c>
      <c r="D1220" s="66">
        <f t="shared" si="126"/>
        <v>5</v>
      </c>
      <c r="E1220" s="66">
        <f t="shared" si="127"/>
        <v>0.2</v>
      </c>
      <c r="F1220" s="66">
        <f t="shared" si="128"/>
        <v>3</v>
      </c>
      <c r="G1220" s="66">
        <f t="shared" si="129"/>
        <v>1.8777087484585842</v>
      </c>
      <c r="H1220" s="66">
        <f t="shared" si="130"/>
        <v>0.60000000000000009</v>
      </c>
      <c r="I1220" s="66">
        <f t="shared" si="131"/>
        <v>0</v>
      </c>
      <c r="J1220" s="66">
        <f t="shared" si="132"/>
        <v>0</v>
      </c>
      <c r="K1220" s="66">
        <f>IF(CurrentMtgRatesDataTable8[[#This Row],[WA CC]]&lt;&gt;0,C1219-CurrentMtgRatesDataTable8[[#This Row],[WA CC]],0)</f>
        <v>0</v>
      </c>
      <c r="L1220" s="66">
        <f>IF(CurrentMtgRatesDataTable8[[#This Row],[Servicing Spread]]&lt;=0,L1219,CurrentMtgRatesDataTable8[[#This Row],[Servicing Spread]])</f>
        <v>0.88650682531750347</v>
      </c>
      <c r="M1220" s="66">
        <f>CurrentMtgRatesDataTable8[[#This Row],[Servicing Spread Non-Zero]]-L1219</f>
        <v>0</v>
      </c>
      <c r="N1220" s="66">
        <f>IF(J1219&lt;&gt;0,CurrentMtgRatesDataTable8[[#This Row],[Rate]]-C1219,N1219)</f>
        <v>5.0000000000007816E-3</v>
      </c>
    </row>
    <row r="1221" spans="1:14">
      <c r="A1221" s="63" t="s">
        <v>1273</v>
      </c>
      <c r="B1221" s="64">
        <v>3.1762657063573001</v>
      </c>
      <c r="C1221" s="65">
        <v>4.0250000000000004</v>
      </c>
      <c r="D1221" s="66">
        <f t="shared" ref="D1221:D1284" si="133">WEEKDAY(A1221,14)</f>
        <v>6</v>
      </c>
      <c r="E1221" s="66">
        <f t="shared" ref="E1221:E1284" si="134">VLOOKUP(D1221,Q$5:R$11,2,FALSE)</f>
        <v>0.2</v>
      </c>
      <c r="F1221" s="66">
        <f t="shared" ref="F1221:F1284" si="135">IF(AND(D1221&gt;D1220,F1220&lt;6),F1220+1,1)</f>
        <v>4</v>
      </c>
      <c r="G1221" s="66">
        <f t="shared" ref="G1221:G1284" si="136">IF(F1221&gt;F1220,G1220+B1221*E1221,B1221*E1221)</f>
        <v>2.5129618897300441</v>
      </c>
      <c r="H1221" s="66">
        <f t="shared" ref="H1221:H1284" si="137">IF(AND(F1221&lt;6,F1221&gt;F1220),E1221+H1220,E1221)</f>
        <v>0.8</v>
      </c>
      <c r="I1221" s="66">
        <f t="shared" ref="I1221:I1284" si="138">IF(F1221&gt;F1222,1,0)</f>
        <v>0</v>
      </c>
      <c r="J1221" s="66">
        <f t="shared" ref="J1221:J1284" si="139">IF(F1221&gt;F1222,G1221/H1221,0)</f>
        <v>0</v>
      </c>
      <c r="K1221" s="66">
        <f>IF(CurrentMtgRatesDataTable8[[#This Row],[WA CC]]&lt;&gt;0,C1220-CurrentMtgRatesDataTable8[[#This Row],[WA CC]],0)</f>
        <v>0</v>
      </c>
      <c r="L1221" s="66">
        <f>IF(CurrentMtgRatesDataTable8[[#This Row],[Servicing Spread]]&lt;=0,L1220,CurrentMtgRatesDataTable8[[#This Row],[Servicing Spread]])</f>
        <v>0.88650682531750347</v>
      </c>
      <c r="M1221" s="66">
        <f>CurrentMtgRatesDataTable8[[#This Row],[Servicing Spread Non-Zero]]-L1220</f>
        <v>0</v>
      </c>
      <c r="N1221" s="66">
        <f>IF(J1220&lt;&gt;0,CurrentMtgRatesDataTable8[[#This Row],[Rate]]-C1220,N1220)</f>
        <v>5.0000000000007816E-3</v>
      </c>
    </row>
    <row r="1222" spans="1:14">
      <c r="A1222" s="63" t="s">
        <v>1274</v>
      </c>
      <c r="B1222" s="64">
        <v>3.2164698384240098</v>
      </c>
      <c r="C1222" s="65">
        <v>4.0250000000000004</v>
      </c>
      <c r="D1222" s="66">
        <f t="shared" si="133"/>
        <v>7</v>
      </c>
      <c r="E1222" s="66">
        <f t="shared" si="134"/>
        <v>0.2</v>
      </c>
      <c r="F1222" s="66">
        <f t="shared" si="135"/>
        <v>5</v>
      </c>
      <c r="G1222" s="66">
        <f t="shared" si="136"/>
        <v>3.156255857414846</v>
      </c>
      <c r="H1222" s="66">
        <f t="shared" si="137"/>
        <v>1</v>
      </c>
      <c r="I1222" s="66">
        <f t="shared" si="138"/>
        <v>1</v>
      </c>
      <c r="J1222" s="66">
        <f t="shared" si="139"/>
        <v>3.156255857414846</v>
      </c>
      <c r="K1222" s="66">
        <f>IF(CurrentMtgRatesDataTable8[[#This Row],[WA CC]]&lt;&gt;0,C1221-CurrentMtgRatesDataTable8[[#This Row],[WA CC]],0)</f>
        <v>0.86874414258515431</v>
      </c>
      <c r="L1222" s="66">
        <f>IF(CurrentMtgRatesDataTable8[[#This Row],[Servicing Spread]]&lt;=0,L1221,CurrentMtgRatesDataTable8[[#This Row],[Servicing Spread]])</f>
        <v>0.86874414258515431</v>
      </c>
      <c r="M1222" s="66">
        <f>CurrentMtgRatesDataTable8[[#This Row],[Servicing Spread Non-Zero]]-L1221</f>
        <v>-1.7762682732349155E-2</v>
      </c>
      <c r="N1222" s="66">
        <f>IF(J1221&lt;&gt;0,CurrentMtgRatesDataTable8[[#This Row],[Rate]]-C1221,N1221)</f>
        <v>5.0000000000007816E-3</v>
      </c>
    </row>
    <row r="1223" spans="1:14">
      <c r="A1223" s="63" t="s">
        <v>1275</v>
      </c>
      <c r="B1223" s="64">
        <v>3.1651345268873601</v>
      </c>
      <c r="C1223" s="65">
        <v>4.0350000000000001</v>
      </c>
      <c r="D1223" s="66">
        <f t="shared" si="133"/>
        <v>1</v>
      </c>
      <c r="E1223" s="66">
        <f t="shared" si="134"/>
        <v>0.2</v>
      </c>
      <c r="F1223" s="66">
        <f t="shared" si="135"/>
        <v>1</v>
      </c>
      <c r="G1223" s="66">
        <f t="shared" si="136"/>
        <v>0.63302690537747208</v>
      </c>
      <c r="H1223" s="66">
        <f t="shared" si="137"/>
        <v>0.2</v>
      </c>
      <c r="I1223" s="66">
        <f t="shared" si="138"/>
        <v>0</v>
      </c>
      <c r="J1223" s="66">
        <f t="shared" si="139"/>
        <v>0</v>
      </c>
      <c r="K1223" s="66">
        <f>IF(CurrentMtgRatesDataTable8[[#This Row],[WA CC]]&lt;&gt;0,C1222-CurrentMtgRatesDataTable8[[#This Row],[WA CC]],0)</f>
        <v>0</v>
      </c>
      <c r="L1223" s="66">
        <f>IF(CurrentMtgRatesDataTable8[[#This Row],[Servicing Spread]]&lt;=0,L1222,CurrentMtgRatesDataTable8[[#This Row],[Servicing Spread]])</f>
        <v>0.86874414258515431</v>
      </c>
      <c r="M1223" s="66">
        <f>CurrentMtgRatesDataTable8[[#This Row],[Servicing Spread Non-Zero]]-L1222</f>
        <v>0</v>
      </c>
      <c r="N1223" s="66">
        <f>IF(J1222&lt;&gt;0,CurrentMtgRatesDataTable8[[#This Row],[Rate]]-C1222,N1222)</f>
        <v>9.9999999999997868E-3</v>
      </c>
    </row>
    <row r="1224" spans="1:14">
      <c r="A1224" s="63" t="s">
        <v>1276</v>
      </c>
      <c r="B1224" s="64">
        <v>3.1413763100515402</v>
      </c>
      <c r="C1224" s="65">
        <v>4.0350000000000001</v>
      </c>
      <c r="D1224" s="66">
        <f t="shared" si="133"/>
        <v>2</v>
      </c>
      <c r="E1224" s="66">
        <f t="shared" si="134"/>
        <v>0.2</v>
      </c>
      <c r="F1224" s="66">
        <f t="shared" si="135"/>
        <v>2</v>
      </c>
      <c r="G1224" s="66">
        <f t="shared" si="136"/>
        <v>1.2613021673877802</v>
      </c>
      <c r="H1224" s="66">
        <f t="shared" si="137"/>
        <v>0.4</v>
      </c>
      <c r="I1224" s="66">
        <f t="shared" si="138"/>
        <v>0</v>
      </c>
      <c r="J1224" s="66">
        <f t="shared" si="139"/>
        <v>0</v>
      </c>
      <c r="K1224" s="66">
        <f>IF(CurrentMtgRatesDataTable8[[#This Row],[WA CC]]&lt;&gt;0,C1223-CurrentMtgRatesDataTable8[[#This Row],[WA CC]],0)</f>
        <v>0</v>
      </c>
      <c r="L1224" s="66">
        <f>IF(CurrentMtgRatesDataTable8[[#This Row],[Servicing Spread]]&lt;=0,L1223,CurrentMtgRatesDataTable8[[#This Row],[Servicing Spread]])</f>
        <v>0.86874414258515431</v>
      </c>
      <c r="M1224" s="66">
        <f>CurrentMtgRatesDataTable8[[#This Row],[Servicing Spread Non-Zero]]-L1223</f>
        <v>0</v>
      </c>
      <c r="N1224" s="66">
        <f>IF(J1223&lt;&gt;0,CurrentMtgRatesDataTable8[[#This Row],[Rate]]-C1223,N1223)</f>
        <v>9.9999999999997868E-3</v>
      </c>
    </row>
    <row r="1225" spans="1:14">
      <c r="A1225" s="63" t="s">
        <v>1277</v>
      </c>
      <c r="B1225" s="64">
        <v>3.15611019744426</v>
      </c>
      <c r="C1225" s="65">
        <v>4.0350000000000001</v>
      </c>
      <c r="D1225" s="66">
        <f t="shared" si="133"/>
        <v>6</v>
      </c>
      <c r="E1225" s="66">
        <f t="shared" si="134"/>
        <v>0.2</v>
      </c>
      <c r="F1225" s="66">
        <f t="shared" si="135"/>
        <v>3</v>
      </c>
      <c r="G1225" s="66">
        <f t="shared" si="136"/>
        <v>1.8925242068766321</v>
      </c>
      <c r="H1225" s="66">
        <f t="shared" si="137"/>
        <v>0.60000000000000009</v>
      </c>
      <c r="I1225" s="66">
        <f t="shared" si="138"/>
        <v>0</v>
      </c>
      <c r="J1225" s="66">
        <f t="shared" si="139"/>
        <v>0</v>
      </c>
      <c r="K1225" s="66">
        <f>IF(CurrentMtgRatesDataTable8[[#This Row],[WA CC]]&lt;&gt;0,C1224-CurrentMtgRatesDataTable8[[#This Row],[WA CC]],0)</f>
        <v>0</v>
      </c>
      <c r="L1225" s="66">
        <f>IF(CurrentMtgRatesDataTable8[[#This Row],[Servicing Spread]]&lt;=0,L1224,CurrentMtgRatesDataTable8[[#This Row],[Servicing Spread]])</f>
        <v>0.86874414258515431</v>
      </c>
      <c r="M1225" s="66">
        <f>CurrentMtgRatesDataTable8[[#This Row],[Servicing Spread Non-Zero]]-L1224</f>
        <v>0</v>
      </c>
      <c r="N1225" s="66">
        <f>IF(J1224&lt;&gt;0,CurrentMtgRatesDataTable8[[#This Row],[Rate]]-C1224,N1224)</f>
        <v>9.9999999999997868E-3</v>
      </c>
    </row>
    <row r="1226" spans="1:14">
      <c r="A1226" s="63" t="s">
        <v>1278</v>
      </c>
      <c r="B1226" s="64">
        <v>3.1530775330962602</v>
      </c>
      <c r="C1226" s="65">
        <v>4.0350000000000001</v>
      </c>
      <c r="D1226" s="66">
        <f t="shared" si="133"/>
        <v>7</v>
      </c>
      <c r="E1226" s="66">
        <f t="shared" si="134"/>
        <v>0.2</v>
      </c>
      <c r="F1226" s="66">
        <f t="shared" si="135"/>
        <v>4</v>
      </c>
      <c r="G1226" s="66">
        <f t="shared" si="136"/>
        <v>2.5231397134958842</v>
      </c>
      <c r="H1226" s="66">
        <f t="shared" si="137"/>
        <v>0.8</v>
      </c>
      <c r="I1226" s="66">
        <f t="shared" si="138"/>
        <v>1</v>
      </c>
      <c r="J1226" s="66">
        <f t="shared" si="139"/>
        <v>3.153924641869855</v>
      </c>
      <c r="K1226" s="66">
        <f>IF(CurrentMtgRatesDataTable8[[#This Row],[WA CC]]&lt;&gt;0,C1225-CurrentMtgRatesDataTable8[[#This Row],[WA CC]],0)</f>
        <v>0.88107535813014515</v>
      </c>
      <c r="L1226" s="66">
        <f>IF(CurrentMtgRatesDataTable8[[#This Row],[Servicing Spread]]&lt;=0,L1225,CurrentMtgRatesDataTable8[[#This Row],[Servicing Spread]])</f>
        <v>0.88107535813014515</v>
      </c>
      <c r="M1226" s="66">
        <f>CurrentMtgRatesDataTable8[[#This Row],[Servicing Spread Non-Zero]]-L1225</f>
        <v>1.2331215544990837E-2</v>
      </c>
      <c r="N1226" s="66">
        <f>IF(J1225&lt;&gt;0,CurrentMtgRatesDataTable8[[#This Row],[Rate]]-C1225,N1225)</f>
        <v>9.9999999999997868E-3</v>
      </c>
    </row>
    <row r="1227" spans="1:14">
      <c r="A1227" s="63" t="s">
        <v>1279</v>
      </c>
      <c r="B1227" s="64">
        <v>3.1200244614852002</v>
      </c>
      <c r="C1227" s="65">
        <v>3.9749999999999996</v>
      </c>
      <c r="D1227" s="66">
        <f t="shared" si="133"/>
        <v>1</v>
      </c>
      <c r="E1227" s="66">
        <f t="shared" si="134"/>
        <v>0.2</v>
      </c>
      <c r="F1227" s="66">
        <f t="shared" si="135"/>
        <v>1</v>
      </c>
      <c r="G1227" s="66">
        <f t="shared" si="136"/>
        <v>0.62400489229704004</v>
      </c>
      <c r="H1227" s="66">
        <f t="shared" si="137"/>
        <v>0.2</v>
      </c>
      <c r="I1227" s="66">
        <f t="shared" si="138"/>
        <v>0</v>
      </c>
      <c r="J1227" s="66">
        <f t="shared" si="139"/>
        <v>0</v>
      </c>
      <c r="K1227" s="66">
        <f>IF(CurrentMtgRatesDataTable8[[#This Row],[WA CC]]&lt;&gt;0,C1226-CurrentMtgRatesDataTable8[[#This Row],[WA CC]],0)</f>
        <v>0</v>
      </c>
      <c r="L1227" s="66">
        <f>IF(CurrentMtgRatesDataTable8[[#This Row],[Servicing Spread]]&lt;=0,L1226,CurrentMtgRatesDataTable8[[#This Row],[Servicing Spread]])</f>
        <v>0.88107535813014515</v>
      </c>
      <c r="M1227" s="66">
        <f>CurrentMtgRatesDataTable8[[#This Row],[Servicing Spread Non-Zero]]-L1226</f>
        <v>0</v>
      </c>
      <c r="N1227" s="66">
        <f>IF(J1226&lt;&gt;0,CurrentMtgRatesDataTable8[[#This Row],[Rate]]-C1226,N1226)</f>
        <v>-6.0000000000000497E-2</v>
      </c>
    </row>
    <row r="1228" spans="1:14">
      <c r="A1228" s="63" t="s">
        <v>1280</v>
      </c>
      <c r="B1228" s="64">
        <v>3.0479406911303002</v>
      </c>
      <c r="C1228" s="65">
        <v>3.9749999999999996</v>
      </c>
      <c r="D1228" s="66">
        <f t="shared" si="133"/>
        <v>2</v>
      </c>
      <c r="E1228" s="66">
        <f t="shared" si="134"/>
        <v>0.2</v>
      </c>
      <c r="F1228" s="66">
        <f t="shared" si="135"/>
        <v>2</v>
      </c>
      <c r="G1228" s="66">
        <f t="shared" si="136"/>
        <v>1.2335930305231</v>
      </c>
      <c r="H1228" s="66">
        <f t="shared" si="137"/>
        <v>0.4</v>
      </c>
      <c r="I1228" s="66">
        <f t="shared" si="138"/>
        <v>0</v>
      </c>
      <c r="J1228" s="66">
        <f t="shared" si="139"/>
        <v>0</v>
      </c>
      <c r="K1228" s="66">
        <f>IF(CurrentMtgRatesDataTable8[[#This Row],[WA CC]]&lt;&gt;0,C1227-CurrentMtgRatesDataTable8[[#This Row],[WA CC]],0)</f>
        <v>0</v>
      </c>
      <c r="L1228" s="66">
        <f>IF(CurrentMtgRatesDataTable8[[#This Row],[Servicing Spread]]&lt;=0,L1227,CurrentMtgRatesDataTable8[[#This Row],[Servicing Spread]])</f>
        <v>0.88107535813014515</v>
      </c>
      <c r="M1228" s="66">
        <f>CurrentMtgRatesDataTable8[[#This Row],[Servicing Spread Non-Zero]]-L1227</f>
        <v>0</v>
      </c>
      <c r="N1228" s="66">
        <f>IF(J1227&lt;&gt;0,CurrentMtgRatesDataTable8[[#This Row],[Rate]]-C1227,N1227)</f>
        <v>-6.0000000000000497E-2</v>
      </c>
    </row>
    <row r="1229" spans="1:14">
      <c r="A1229" s="63" t="s">
        <v>1281</v>
      </c>
      <c r="B1229" s="64">
        <v>3.1104332506902499</v>
      </c>
      <c r="C1229" s="65">
        <v>3.9749999999999996</v>
      </c>
      <c r="D1229" s="66">
        <f t="shared" si="133"/>
        <v>5</v>
      </c>
      <c r="E1229" s="66">
        <f t="shared" si="134"/>
        <v>0.2</v>
      </c>
      <c r="F1229" s="66">
        <f t="shared" si="135"/>
        <v>3</v>
      </c>
      <c r="G1229" s="66">
        <f t="shared" si="136"/>
        <v>1.85567968066115</v>
      </c>
      <c r="H1229" s="66">
        <f t="shared" si="137"/>
        <v>0.60000000000000009</v>
      </c>
      <c r="I1229" s="66">
        <f t="shared" si="138"/>
        <v>0</v>
      </c>
      <c r="J1229" s="66">
        <f t="shared" si="139"/>
        <v>0</v>
      </c>
      <c r="K1229" s="66">
        <f>IF(CurrentMtgRatesDataTable8[[#This Row],[WA CC]]&lt;&gt;0,C1228-CurrentMtgRatesDataTable8[[#This Row],[WA CC]],0)</f>
        <v>0</v>
      </c>
      <c r="L1229" s="66">
        <f>IF(CurrentMtgRatesDataTable8[[#This Row],[Servicing Spread]]&lt;=0,L1228,CurrentMtgRatesDataTable8[[#This Row],[Servicing Spread]])</f>
        <v>0.88107535813014515</v>
      </c>
      <c r="M1229" s="66">
        <f>CurrentMtgRatesDataTable8[[#This Row],[Servicing Spread Non-Zero]]-L1228</f>
        <v>0</v>
      </c>
      <c r="N1229" s="66">
        <f>IF(J1228&lt;&gt;0,CurrentMtgRatesDataTable8[[#This Row],[Rate]]-C1228,N1228)</f>
        <v>-6.0000000000000497E-2</v>
      </c>
    </row>
    <row r="1230" spans="1:14">
      <c r="A1230" s="63" t="s">
        <v>1282</v>
      </c>
      <c r="B1230" s="64">
        <v>3.10342915438406</v>
      </c>
      <c r="C1230" s="65">
        <v>3.9749999999999996</v>
      </c>
      <c r="D1230" s="66">
        <f t="shared" si="133"/>
        <v>6</v>
      </c>
      <c r="E1230" s="66">
        <f t="shared" si="134"/>
        <v>0.2</v>
      </c>
      <c r="F1230" s="66">
        <f t="shared" si="135"/>
        <v>4</v>
      </c>
      <c r="G1230" s="66">
        <f t="shared" si="136"/>
        <v>2.4763655115379621</v>
      </c>
      <c r="H1230" s="66">
        <f t="shared" si="137"/>
        <v>0.8</v>
      </c>
      <c r="I1230" s="66">
        <f t="shared" si="138"/>
        <v>0</v>
      </c>
      <c r="J1230" s="66">
        <f t="shared" si="139"/>
        <v>0</v>
      </c>
      <c r="K1230" s="66">
        <f>IF(CurrentMtgRatesDataTable8[[#This Row],[WA CC]]&lt;&gt;0,C1229-CurrentMtgRatesDataTable8[[#This Row],[WA CC]],0)</f>
        <v>0</v>
      </c>
      <c r="L1230" s="66">
        <f>IF(CurrentMtgRatesDataTable8[[#This Row],[Servicing Spread]]&lt;=0,L1229,CurrentMtgRatesDataTable8[[#This Row],[Servicing Spread]])</f>
        <v>0.88107535813014515</v>
      </c>
      <c r="M1230" s="66">
        <f>CurrentMtgRatesDataTable8[[#This Row],[Servicing Spread Non-Zero]]-L1229</f>
        <v>0</v>
      </c>
      <c r="N1230" s="66">
        <f>IF(J1229&lt;&gt;0,CurrentMtgRatesDataTable8[[#This Row],[Rate]]-C1229,N1229)</f>
        <v>-6.0000000000000497E-2</v>
      </c>
    </row>
    <row r="1231" spans="1:14">
      <c r="A1231" s="63" t="s">
        <v>1283</v>
      </c>
      <c r="B1231" s="64">
        <v>3.20642025134075</v>
      </c>
      <c r="C1231" s="65">
        <v>3.9749999999999996</v>
      </c>
      <c r="D1231" s="66">
        <f t="shared" si="133"/>
        <v>7</v>
      </c>
      <c r="E1231" s="66">
        <f t="shared" si="134"/>
        <v>0.2</v>
      </c>
      <c r="F1231" s="66">
        <f t="shared" si="135"/>
        <v>5</v>
      </c>
      <c r="G1231" s="66">
        <f t="shared" si="136"/>
        <v>3.117649561806112</v>
      </c>
      <c r="H1231" s="66">
        <f t="shared" si="137"/>
        <v>1</v>
      </c>
      <c r="I1231" s="66">
        <f t="shared" si="138"/>
        <v>1</v>
      </c>
      <c r="J1231" s="66">
        <f t="shared" si="139"/>
        <v>3.117649561806112</v>
      </c>
      <c r="K1231" s="66">
        <f>IF(CurrentMtgRatesDataTable8[[#This Row],[WA CC]]&lt;&gt;0,C1230-CurrentMtgRatesDataTable8[[#This Row],[WA CC]],0)</f>
        <v>0.85735043819388768</v>
      </c>
      <c r="L1231" s="66">
        <f>IF(CurrentMtgRatesDataTable8[[#This Row],[Servicing Spread]]&lt;=0,L1230,CurrentMtgRatesDataTable8[[#This Row],[Servicing Spread]])</f>
        <v>0.85735043819388768</v>
      </c>
      <c r="M1231" s="66">
        <f>CurrentMtgRatesDataTable8[[#This Row],[Servicing Spread Non-Zero]]-L1230</f>
        <v>-2.3724919936257471E-2</v>
      </c>
      <c r="N1231" s="66">
        <f>IF(J1230&lt;&gt;0,CurrentMtgRatesDataTable8[[#This Row],[Rate]]-C1230,N1230)</f>
        <v>-6.0000000000000497E-2</v>
      </c>
    </row>
    <row r="1232" spans="1:14">
      <c r="A1232" s="63" t="s">
        <v>1284</v>
      </c>
      <c r="B1232" s="64">
        <v>3.2342757341067498</v>
      </c>
      <c r="C1232" s="65">
        <v>4.085</v>
      </c>
      <c r="D1232" s="66">
        <f t="shared" si="133"/>
        <v>1</v>
      </c>
      <c r="E1232" s="66">
        <f t="shared" si="134"/>
        <v>0.2</v>
      </c>
      <c r="F1232" s="66">
        <f t="shared" si="135"/>
        <v>1</v>
      </c>
      <c r="G1232" s="66">
        <f t="shared" si="136"/>
        <v>0.64685514682135004</v>
      </c>
      <c r="H1232" s="66">
        <f t="shared" si="137"/>
        <v>0.2</v>
      </c>
      <c r="I1232" s="66">
        <f t="shared" si="138"/>
        <v>0</v>
      </c>
      <c r="J1232" s="66">
        <f t="shared" si="139"/>
        <v>0</v>
      </c>
      <c r="K1232" s="66">
        <f>IF(CurrentMtgRatesDataTable8[[#This Row],[WA CC]]&lt;&gt;0,C1231-CurrentMtgRatesDataTable8[[#This Row],[WA CC]],0)</f>
        <v>0</v>
      </c>
      <c r="L1232" s="66">
        <f>IF(CurrentMtgRatesDataTable8[[#This Row],[Servicing Spread]]&lt;=0,L1231,CurrentMtgRatesDataTable8[[#This Row],[Servicing Spread]])</f>
        <v>0.85735043819388768</v>
      </c>
      <c r="M1232" s="66">
        <f>CurrentMtgRatesDataTable8[[#This Row],[Servicing Spread Non-Zero]]-L1231</f>
        <v>0</v>
      </c>
      <c r="N1232" s="66">
        <f>IF(J1231&lt;&gt;0,CurrentMtgRatesDataTable8[[#This Row],[Rate]]-C1231,N1231)</f>
        <v>0.11000000000000032</v>
      </c>
    </row>
    <row r="1233" spans="1:14">
      <c r="A1233" s="63" t="s">
        <v>1285</v>
      </c>
      <c r="B1233" s="64">
        <v>3.2320225363083699</v>
      </c>
      <c r="C1233" s="65">
        <v>4.085</v>
      </c>
      <c r="D1233" s="66">
        <f t="shared" si="133"/>
        <v>2</v>
      </c>
      <c r="E1233" s="66">
        <f t="shared" si="134"/>
        <v>0.2</v>
      </c>
      <c r="F1233" s="66">
        <f t="shared" si="135"/>
        <v>2</v>
      </c>
      <c r="G1233" s="66">
        <f t="shared" si="136"/>
        <v>1.2932596540830241</v>
      </c>
      <c r="H1233" s="66">
        <f t="shared" si="137"/>
        <v>0.4</v>
      </c>
      <c r="I1233" s="66">
        <f t="shared" si="138"/>
        <v>0</v>
      </c>
      <c r="J1233" s="66">
        <f t="shared" si="139"/>
        <v>0</v>
      </c>
      <c r="K1233" s="66">
        <f>IF(CurrentMtgRatesDataTable8[[#This Row],[WA CC]]&lt;&gt;0,C1232-CurrentMtgRatesDataTable8[[#This Row],[WA CC]],0)</f>
        <v>0</v>
      </c>
      <c r="L1233" s="66">
        <f>IF(CurrentMtgRatesDataTable8[[#This Row],[Servicing Spread]]&lt;=0,L1232,CurrentMtgRatesDataTable8[[#This Row],[Servicing Spread]])</f>
        <v>0.85735043819388768</v>
      </c>
      <c r="M1233" s="66">
        <f>CurrentMtgRatesDataTable8[[#This Row],[Servicing Spread Non-Zero]]-L1232</f>
        <v>0</v>
      </c>
      <c r="N1233" s="66">
        <f>IF(J1232&lt;&gt;0,CurrentMtgRatesDataTable8[[#This Row],[Rate]]-C1232,N1232)</f>
        <v>0.11000000000000032</v>
      </c>
    </row>
    <row r="1234" spans="1:14">
      <c r="A1234" s="63" t="s">
        <v>1286</v>
      </c>
      <c r="B1234" s="64">
        <v>3.22523463201723</v>
      </c>
      <c r="C1234" s="65">
        <v>4.085</v>
      </c>
      <c r="D1234" s="66">
        <f t="shared" si="133"/>
        <v>5</v>
      </c>
      <c r="E1234" s="66">
        <f t="shared" si="134"/>
        <v>0.2</v>
      </c>
      <c r="F1234" s="66">
        <f t="shared" si="135"/>
        <v>3</v>
      </c>
      <c r="G1234" s="66">
        <f t="shared" si="136"/>
        <v>1.9383065804864703</v>
      </c>
      <c r="H1234" s="66">
        <f t="shared" si="137"/>
        <v>0.60000000000000009</v>
      </c>
      <c r="I1234" s="66">
        <f t="shared" si="138"/>
        <v>0</v>
      </c>
      <c r="J1234" s="66">
        <f t="shared" si="139"/>
        <v>0</v>
      </c>
      <c r="K1234" s="66">
        <f>IF(CurrentMtgRatesDataTable8[[#This Row],[WA CC]]&lt;&gt;0,C1233-CurrentMtgRatesDataTable8[[#This Row],[WA CC]],0)</f>
        <v>0</v>
      </c>
      <c r="L1234" s="66">
        <f>IF(CurrentMtgRatesDataTable8[[#This Row],[Servicing Spread]]&lt;=0,L1233,CurrentMtgRatesDataTable8[[#This Row],[Servicing Spread]])</f>
        <v>0.85735043819388768</v>
      </c>
      <c r="M1234" s="66">
        <f>CurrentMtgRatesDataTable8[[#This Row],[Servicing Spread Non-Zero]]-L1233</f>
        <v>0</v>
      </c>
      <c r="N1234" s="66">
        <f>IF(J1233&lt;&gt;0,CurrentMtgRatesDataTable8[[#This Row],[Rate]]-C1233,N1233)</f>
        <v>0.11000000000000032</v>
      </c>
    </row>
    <row r="1235" spans="1:14">
      <c r="A1235" s="63" t="s">
        <v>1287</v>
      </c>
      <c r="B1235" s="64">
        <v>3.2431556019799901</v>
      </c>
      <c r="C1235" s="65">
        <v>4.085</v>
      </c>
      <c r="D1235" s="66">
        <f t="shared" si="133"/>
        <v>6</v>
      </c>
      <c r="E1235" s="66">
        <f t="shared" si="134"/>
        <v>0.2</v>
      </c>
      <c r="F1235" s="66">
        <f t="shared" si="135"/>
        <v>4</v>
      </c>
      <c r="G1235" s="66">
        <f t="shared" si="136"/>
        <v>2.5869377008824683</v>
      </c>
      <c r="H1235" s="66">
        <f t="shared" si="137"/>
        <v>0.8</v>
      </c>
      <c r="I1235" s="66">
        <f t="shared" si="138"/>
        <v>0</v>
      </c>
      <c r="J1235" s="66">
        <f t="shared" si="139"/>
        <v>0</v>
      </c>
      <c r="K1235" s="66">
        <f>IF(CurrentMtgRatesDataTable8[[#This Row],[WA CC]]&lt;&gt;0,C1234-CurrentMtgRatesDataTable8[[#This Row],[WA CC]],0)</f>
        <v>0</v>
      </c>
      <c r="L1235" s="66">
        <f>IF(CurrentMtgRatesDataTable8[[#This Row],[Servicing Spread]]&lt;=0,L1234,CurrentMtgRatesDataTable8[[#This Row],[Servicing Spread]])</f>
        <v>0.85735043819388768</v>
      </c>
      <c r="M1235" s="66">
        <f>CurrentMtgRatesDataTable8[[#This Row],[Servicing Spread Non-Zero]]-L1234</f>
        <v>0</v>
      </c>
      <c r="N1235" s="66">
        <f>IF(J1234&lt;&gt;0,CurrentMtgRatesDataTable8[[#This Row],[Rate]]-C1234,N1234)</f>
        <v>0.11000000000000032</v>
      </c>
    </row>
    <row r="1236" spans="1:14">
      <c r="A1236" s="63" t="s">
        <v>1288</v>
      </c>
      <c r="B1236" s="64">
        <v>3.2819752362601502</v>
      </c>
      <c r="C1236" s="65">
        <v>4.085</v>
      </c>
      <c r="D1236" s="66">
        <f t="shared" si="133"/>
        <v>7</v>
      </c>
      <c r="E1236" s="66">
        <f t="shared" si="134"/>
        <v>0.2</v>
      </c>
      <c r="F1236" s="66">
        <f t="shared" si="135"/>
        <v>5</v>
      </c>
      <c r="G1236" s="66">
        <f t="shared" si="136"/>
        <v>3.2433327481344985</v>
      </c>
      <c r="H1236" s="66">
        <f t="shared" si="137"/>
        <v>1</v>
      </c>
      <c r="I1236" s="66">
        <f t="shared" si="138"/>
        <v>1</v>
      </c>
      <c r="J1236" s="66">
        <f t="shared" si="139"/>
        <v>3.2433327481344985</v>
      </c>
      <c r="K1236" s="66">
        <f>IF(CurrentMtgRatesDataTable8[[#This Row],[WA CC]]&lt;&gt;0,C1235-CurrentMtgRatesDataTable8[[#This Row],[WA CC]],0)</f>
        <v>0.84166725186550151</v>
      </c>
      <c r="L1236" s="66">
        <f>IF(CurrentMtgRatesDataTable8[[#This Row],[Servicing Spread]]&lt;=0,L1235,CurrentMtgRatesDataTable8[[#This Row],[Servicing Spread]])</f>
        <v>0.84166725186550151</v>
      </c>
      <c r="M1236" s="66">
        <f>CurrentMtgRatesDataTable8[[#This Row],[Servicing Spread Non-Zero]]-L1235</f>
        <v>-1.5683186328386167E-2</v>
      </c>
      <c r="N1236" s="66">
        <f>IF(J1235&lt;&gt;0,CurrentMtgRatesDataTable8[[#This Row],[Rate]]-C1235,N1235)</f>
        <v>0.11000000000000032</v>
      </c>
    </row>
    <row r="1237" spans="1:14">
      <c r="A1237" s="63" t="s">
        <v>1289</v>
      </c>
      <c r="B1237" s="64">
        <v>3.3406216672638802</v>
      </c>
      <c r="C1237" s="65">
        <v>4.1749999999999998</v>
      </c>
      <c r="D1237" s="66">
        <f t="shared" si="133"/>
        <v>1</v>
      </c>
      <c r="E1237" s="66">
        <f t="shared" si="134"/>
        <v>0.2</v>
      </c>
      <c r="F1237" s="66">
        <f t="shared" si="135"/>
        <v>1</v>
      </c>
      <c r="G1237" s="66">
        <f t="shared" si="136"/>
        <v>0.66812433345277611</v>
      </c>
      <c r="H1237" s="66">
        <f t="shared" si="137"/>
        <v>0.2</v>
      </c>
      <c r="I1237" s="66">
        <f t="shared" si="138"/>
        <v>0</v>
      </c>
      <c r="J1237" s="66">
        <f t="shared" si="139"/>
        <v>0</v>
      </c>
      <c r="K1237" s="66">
        <f>IF(CurrentMtgRatesDataTable8[[#This Row],[WA CC]]&lt;&gt;0,C1236-CurrentMtgRatesDataTable8[[#This Row],[WA CC]],0)</f>
        <v>0</v>
      </c>
      <c r="L1237" s="66">
        <f>IF(CurrentMtgRatesDataTable8[[#This Row],[Servicing Spread]]&lt;=0,L1236,CurrentMtgRatesDataTable8[[#This Row],[Servicing Spread]])</f>
        <v>0.84166725186550151</v>
      </c>
      <c r="M1237" s="66">
        <f>CurrentMtgRatesDataTable8[[#This Row],[Servicing Spread Non-Zero]]-L1236</f>
        <v>0</v>
      </c>
      <c r="N1237" s="66">
        <f>IF(J1236&lt;&gt;0,CurrentMtgRatesDataTable8[[#This Row],[Rate]]-C1236,N1236)</f>
        <v>8.9999999999999858E-2</v>
      </c>
    </row>
    <row r="1238" spans="1:14">
      <c r="A1238" s="63" t="s">
        <v>1290</v>
      </c>
      <c r="B1238" s="64">
        <v>3.3206925533128699</v>
      </c>
      <c r="C1238" s="65">
        <v>4.1749999999999998</v>
      </c>
      <c r="D1238" s="66">
        <f t="shared" si="133"/>
        <v>2</v>
      </c>
      <c r="E1238" s="66">
        <f t="shared" si="134"/>
        <v>0.2</v>
      </c>
      <c r="F1238" s="66">
        <f t="shared" si="135"/>
        <v>2</v>
      </c>
      <c r="G1238" s="66">
        <f t="shared" si="136"/>
        <v>1.3322628441153501</v>
      </c>
      <c r="H1238" s="66">
        <f t="shared" si="137"/>
        <v>0.4</v>
      </c>
      <c r="I1238" s="66">
        <f t="shared" si="138"/>
        <v>0</v>
      </c>
      <c r="J1238" s="66">
        <f t="shared" si="139"/>
        <v>0</v>
      </c>
      <c r="K1238" s="66">
        <f>IF(CurrentMtgRatesDataTable8[[#This Row],[WA CC]]&lt;&gt;0,C1237-CurrentMtgRatesDataTable8[[#This Row],[WA CC]],0)</f>
        <v>0</v>
      </c>
      <c r="L1238" s="66">
        <f>IF(CurrentMtgRatesDataTable8[[#This Row],[Servicing Spread]]&lt;=0,L1237,CurrentMtgRatesDataTable8[[#This Row],[Servicing Spread]])</f>
        <v>0.84166725186550151</v>
      </c>
      <c r="M1238" s="66">
        <f>CurrentMtgRatesDataTable8[[#This Row],[Servicing Spread Non-Zero]]-L1237</f>
        <v>0</v>
      </c>
      <c r="N1238" s="66">
        <f>IF(J1237&lt;&gt;0,CurrentMtgRatesDataTable8[[#This Row],[Rate]]-C1237,N1237)</f>
        <v>8.9999999999999858E-2</v>
      </c>
    </row>
    <row r="1239" spans="1:14">
      <c r="A1239" s="63" t="s">
        <v>1291</v>
      </c>
      <c r="B1239" s="64">
        <v>3.35448233982074</v>
      </c>
      <c r="C1239" s="65">
        <v>4.1749999999999998</v>
      </c>
      <c r="D1239" s="66">
        <f t="shared" si="133"/>
        <v>5</v>
      </c>
      <c r="E1239" s="66">
        <f t="shared" si="134"/>
        <v>0.2</v>
      </c>
      <c r="F1239" s="66">
        <f t="shared" si="135"/>
        <v>3</v>
      </c>
      <c r="G1239" s="66">
        <f t="shared" si="136"/>
        <v>2.0031593120794984</v>
      </c>
      <c r="H1239" s="66">
        <f t="shared" si="137"/>
        <v>0.60000000000000009</v>
      </c>
      <c r="I1239" s="66">
        <f t="shared" si="138"/>
        <v>0</v>
      </c>
      <c r="J1239" s="66">
        <f t="shared" si="139"/>
        <v>0</v>
      </c>
      <c r="K1239" s="66">
        <f>IF(CurrentMtgRatesDataTable8[[#This Row],[WA CC]]&lt;&gt;0,C1238-CurrentMtgRatesDataTable8[[#This Row],[WA CC]],0)</f>
        <v>0</v>
      </c>
      <c r="L1239" s="66">
        <f>IF(CurrentMtgRatesDataTable8[[#This Row],[Servicing Spread]]&lt;=0,L1238,CurrentMtgRatesDataTable8[[#This Row],[Servicing Spread]])</f>
        <v>0.84166725186550151</v>
      </c>
      <c r="M1239" s="66">
        <f>CurrentMtgRatesDataTable8[[#This Row],[Servicing Spread Non-Zero]]-L1238</f>
        <v>0</v>
      </c>
      <c r="N1239" s="66">
        <f>IF(J1238&lt;&gt;0,CurrentMtgRatesDataTable8[[#This Row],[Rate]]-C1238,N1238)</f>
        <v>8.9999999999999858E-2</v>
      </c>
    </row>
    <row r="1240" spans="1:14">
      <c r="A1240" s="63" t="s">
        <v>1292</v>
      </c>
      <c r="B1240" s="64">
        <v>3.3507469979464899</v>
      </c>
      <c r="C1240" s="65">
        <v>4.1749999999999998</v>
      </c>
      <c r="D1240" s="66">
        <f t="shared" si="133"/>
        <v>6</v>
      </c>
      <c r="E1240" s="66">
        <f t="shared" si="134"/>
        <v>0.2</v>
      </c>
      <c r="F1240" s="66">
        <f t="shared" si="135"/>
        <v>4</v>
      </c>
      <c r="G1240" s="66">
        <f t="shared" si="136"/>
        <v>2.6733087116687964</v>
      </c>
      <c r="H1240" s="66">
        <f t="shared" si="137"/>
        <v>0.8</v>
      </c>
      <c r="I1240" s="66">
        <f t="shared" si="138"/>
        <v>0</v>
      </c>
      <c r="J1240" s="66">
        <f t="shared" si="139"/>
        <v>0</v>
      </c>
      <c r="K1240" s="66">
        <f>IF(CurrentMtgRatesDataTable8[[#This Row],[WA CC]]&lt;&gt;0,C1239-CurrentMtgRatesDataTable8[[#This Row],[WA CC]],0)</f>
        <v>0</v>
      </c>
      <c r="L1240" s="66">
        <f>IF(CurrentMtgRatesDataTable8[[#This Row],[Servicing Spread]]&lt;=0,L1239,CurrentMtgRatesDataTable8[[#This Row],[Servicing Spread]])</f>
        <v>0.84166725186550151</v>
      </c>
      <c r="M1240" s="66">
        <f>CurrentMtgRatesDataTable8[[#This Row],[Servicing Spread Non-Zero]]-L1239</f>
        <v>0</v>
      </c>
      <c r="N1240" s="66">
        <f>IF(J1239&lt;&gt;0,CurrentMtgRatesDataTable8[[#This Row],[Rate]]-C1239,N1239)</f>
        <v>8.9999999999999858E-2</v>
      </c>
    </row>
    <row r="1241" spans="1:14">
      <c r="A1241" s="63" t="s">
        <v>1293</v>
      </c>
      <c r="B1241" s="64">
        <v>3.2454530703247602</v>
      </c>
      <c r="C1241" s="65">
        <v>4.1749999999999998</v>
      </c>
      <c r="D1241" s="66">
        <f t="shared" si="133"/>
        <v>7</v>
      </c>
      <c r="E1241" s="66">
        <f t="shared" si="134"/>
        <v>0.2</v>
      </c>
      <c r="F1241" s="66">
        <f t="shared" si="135"/>
        <v>5</v>
      </c>
      <c r="G1241" s="66">
        <f t="shared" si="136"/>
        <v>3.3223993257337483</v>
      </c>
      <c r="H1241" s="66">
        <f t="shared" si="137"/>
        <v>1</v>
      </c>
      <c r="I1241" s="66">
        <f t="shared" si="138"/>
        <v>1</v>
      </c>
      <c r="J1241" s="66">
        <f t="shared" si="139"/>
        <v>3.3223993257337483</v>
      </c>
      <c r="K1241" s="66">
        <f>IF(CurrentMtgRatesDataTable8[[#This Row],[WA CC]]&lt;&gt;0,C1240-CurrentMtgRatesDataTable8[[#This Row],[WA CC]],0)</f>
        <v>0.85260067426625152</v>
      </c>
      <c r="L1241" s="66">
        <f>IF(CurrentMtgRatesDataTable8[[#This Row],[Servicing Spread]]&lt;=0,L1240,CurrentMtgRatesDataTable8[[#This Row],[Servicing Spread]])</f>
        <v>0.85260067426625152</v>
      </c>
      <c r="M1241" s="66">
        <f>CurrentMtgRatesDataTable8[[#This Row],[Servicing Spread Non-Zero]]-L1240</f>
        <v>1.0933422400750015E-2</v>
      </c>
      <c r="N1241" s="66">
        <f>IF(J1240&lt;&gt;0,CurrentMtgRatesDataTable8[[#This Row],[Rate]]-C1240,N1240)</f>
        <v>8.9999999999999858E-2</v>
      </c>
    </row>
    <row r="1242" spans="1:14">
      <c r="A1242" s="63" t="s">
        <v>1294</v>
      </c>
      <c r="B1242" s="64">
        <v>3.2604043069453401</v>
      </c>
      <c r="C1242" s="65">
        <v>4.1050000000000004</v>
      </c>
      <c r="D1242" s="66">
        <f t="shared" si="133"/>
        <v>1</v>
      </c>
      <c r="E1242" s="66">
        <f t="shared" si="134"/>
        <v>0.2</v>
      </c>
      <c r="F1242" s="66">
        <f t="shared" si="135"/>
        <v>1</v>
      </c>
      <c r="G1242" s="66">
        <f t="shared" si="136"/>
        <v>0.65208086138906807</v>
      </c>
      <c r="H1242" s="66">
        <f t="shared" si="137"/>
        <v>0.2</v>
      </c>
      <c r="I1242" s="66">
        <f t="shared" si="138"/>
        <v>0</v>
      </c>
      <c r="J1242" s="66">
        <f t="shared" si="139"/>
        <v>0</v>
      </c>
      <c r="K1242" s="66">
        <f>IF(CurrentMtgRatesDataTable8[[#This Row],[WA CC]]&lt;&gt;0,C1241-CurrentMtgRatesDataTable8[[#This Row],[WA CC]],0)</f>
        <v>0</v>
      </c>
      <c r="L1242" s="66">
        <f>IF(CurrentMtgRatesDataTable8[[#This Row],[Servicing Spread]]&lt;=0,L1241,CurrentMtgRatesDataTable8[[#This Row],[Servicing Spread]])</f>
        <v>0.85260067426625152</v>
      </c>
      <c r="M1242" s="66">
        <f>CurrentMtgRatesDataTable8[[#This Row],[Servicing Spread Non-Zero]]-L1241</f>
        <v>0</v>
      </c>
      <c r="N1242" s="66">
        <f>IF(J1241&lt;&gt;0,CurrentMtgRatesDataTable8[[#This Row],[Rate]]-C1241,N1241)</f>
        <v>-6.9999999999999396E-2</v>
      </c>
    </row>
    <row r="1243" spans="1:14">
      <c r="A1243" s="63" t="s">
        <v>1295</v>
      </c>
      <c r="B1243" s="64">
        <v>3.2371023816739601</v>
      </c>
      <c r="C1243" s="65">
        <v>4.1050000000000004</v>
      </c>
      <c r="D1243" s="66">
        <f t="shared" si="133"/>
        <v>2</v>
      </c>
      <c r="E1243" s="66">
        <f t="shared" si="134"/>
        <v>0.2</v>
      </c>
      <c r="F1243" s="66">
        <f t="shared" si="135"/>
        <v>2</v>
      </c>
      <c r="G1243" s="66">
        <f t="shared" si="136"/>
        <v>1.2995013377238602</v>
      </c>
      <c r="H1243" s="66">
        <f t="shared" si="137"/>
        <v>0.4</v>
      </c>
      <c r="I1243" s="66">
        <f t="shared" si="138"/>
        <v>0</v>
      </c>
      <c r="J1243" s="66">
        <f t="shared" si="139"/>
        <v>0</v>
      </c>
      <c r="K1243" s="66">
        <f>IF(CurrentMtgRatesDataTable8[[#This Row],[WA CC]]&lt;&gt;0,C1242-CurrentMtgRatesDataTable8[[#This Row],[WA CC]],0)</f>
        <v>0</v>
      </c>
      <c r="L1243" s="66">
        <f>IF(CurrentMtgRatesDataTable8[[#This Row],[Servicing Spread]]&lt;=0,L1242,CurrentMtgRatesDataTable8[[#This Row],[Servicing Spread]])</f>
        <v>0.85260067426625152</v>
      </c>
      <c r="M1243" s="66">
        <f>CurrentMtgRatesDataTable8[[#This Row],[Servicing Spread Non-Zero]]-L1242</f>
        <v>0</v>
      </c>
      <c r="N1243" s="66">
        <f>IF(J1242&lt;&gt;0,CurrentMtgRatesDataTable8[[#This Row],[Rate]]-C1242,N1242)</f>
        <v>-6.9999999999999396E-2</v>
      </c>
    </row>
    <row r="1244" spans="1:14">
      <c r="A1244" s="63" t="s">
        <v>1296</v>
      </c>
      <c r="B1244" s="64">
        <v>3.2160937594911698</v>
      </c>
      <c r="C1244" s="65">
        <v>4.1050000000000004</v>
      </c>
      <c r="D1244" s="66">
        <f t="shared" si="133"/>
        <v>5</v>
      </c>
      <c r="E1244" s="66">
        <f t="shared" si="134"/>
        <v>0.2</v>
      </c>
      <c r="F1244" s="66">
        <f t="shared" si="135"/>
        <v>3</v>
      </c>
      <c r="G1244" s="66">
        <f t="shared" si="136"/>
        <v>1.9427200896220942</v>
      </c>
      <c r="H1244" s="66">
        <f t="shared" si="137"/>
        <v>0.60000000000000009</v>
      </c>
      <c r="I1244" s="66">
        <f t="shared" si="138"/>
        <v>0</v>
      </c>
      <c r="J1244" s="66">
        <f t="shared" si="139"/>
        <v>0</v>
      </c>
      <c r="K1244" s="66">
        <f>IF(CurrentMtgRatesDataTable8[[#This Row],[WA CC]]&lt;&gt;0,C1243-CurrentMtgRatesDataTable8[[#This Row],[WA CC]],0)</f>
        <v>0</v>
      </c>
      <c r="L1244" s="66">
        <f>IF(CurrentMtgRatesDataTable8[[#This Row],[Servicing Spread]]&lt;=0,L1243,CurrentMtgRatesDataTable8[[#This Row],[Servicing Spread]])</f>
        <v>0.85260067426625152</v>
      </c>
      <c r="M1244" s="66">
        <f>CurrentMtgRatesDataTable8[[#This Row],[Servicing Spread Non-Zero]]-L1243</f>
        <v>0</v>
      </c>
      <c r="N1244" s="66">
        <f>IF(J1243&lt;&gt;0,CurrentMtgRatesDataTable8[[#This Row],[Rate]]-C1243,N1243)</f>
        <v>-6.9999999999999396E-2</v>
      </c>
    </row>
    <row r="1245" spans="1:14">
      <c r="A1245" s="63" t="s">
        <v>1297</v>
      </c>
      <c r="B1245" s="64">
        <v>3.1691629122543801</v>
      </c>
      <c r="C1245" s="65">
        <v>4.1050000000000004</v>
      </c>
      <c r="D1245" s="66">
        <f t="shared" si="133"/>
        <v>6</v>
      </c>
      <c r="E1245" s="66">
        <f t="shared" si="134"/>
        <v>0.2</v>
      </c>
      <c r="F1245" s="66">
        <f t="shared" si="135"/>
        <v>4</v>
      </c>
      <c r="G1245" s="66">
        <f t="shared" si="136"/>
        <v>2.5765526720729701</v>
      </c>
      <c r="H1245" s="66">
        <f t="shared" si="137"/>
        <v>0.8</v>
      </c>
      <c r="I1245" s="66">
        <f t="shared" si="138"/>
        <v>0</v>
      </c>
      <c r="J1245" s="66">
        <f t="shared" si="139"/>
        <v>0</v>
      </c>
      <c r="K1245" s="66">
        <f>IF(CurrentMtgRatesDataTable8[[#This Row],[WA CC]]&lt;&gt;0,C1244-CurrentMtgRatesDataTable8[[#This Row],[WA CC]],0)</f>
        <v>0</v>
      </c>
      <c r="L1245" s="66">
        <f>IF(CurrentMtgRatesDataTable8[[#This Row],[Servicing Spread]]&lt;=0,L1244,CurrentMtgRatesDataTable8[[#This Row],[Servicing Spread]])</f>
        <v>0.85260067426625152</v>
      </c>
      <c r="M1245" s="66">
        <f>CurrentMtgRatesDataTable8[[#This Row],[Servicing Spread Non-Zero]]-L1244</f>
        <v>0</v>
      </c>
      <c r="N1245" s="66">
        <f>IF(J1244&lt;&gt;0,CurrentMtgRatesDataTable8[[#This Row],[Rate]]-C1244,N1244)</f>
        <v>-6.9999999999999396E-2</v>
      </c>
    </row>
    <row r="1246" spans="1:14">
      <c r="A1246" s="63" t="s">
        <v>1298</v>
      </c>
      <c r="B1246" s="64">
        <v>3.13601308669194</v>
      </c>
      <c r="C1246" s="65">
        <v>4.1050000000000004</v>
      </c>
      <c r="D1246" s="66">
        <f t="shared" si="133"/>
        <v>7</v>
      </c>
      <c r="E1246" s="66">
        <f t="shared" si="134"/>
        <v>0.2</v>
      </c>
      <c r="F1246" s="66">
        <f t="shared" si="135"/>
        <v>5</v>
      </c>
      <c r="G1246" s="66">
        <f t="shared" si="136"/>
        <v>3.2037552894113581</v>
      </c>
      <c r="H1246" s="66">
        <f t="shared" si="137"/>
        <v>1</v>
      </c>
      <c r="I1246" s="66">
        <f t="shared" si="138"/>
        <v>1</v>
      </c>
      <c r="J1246" s="66">
        <f t="shared" si="139"/>
        <v>3.2037552894113581</v>
      </c>
      <c r="K1246" s="66">
        <f>IF(CurrentMtgRatesDataTable8[[#This Row],[WA CC]]&lt;&gt;0,C1245-CurrentMtgRatesDataTable8[[#This Row],[WA CC]],0)</f>
        <v>0.90124471058864231</v>
      </c>
      <c r="L1246" s="66">
        <f>IF(CurrentMtgRatesDataTable8[[#This Row],[Servicing Spread]]&lt;=0,L1245,CurrentMtgRatesDataTable8[[#This Row],[Servicing Spread]])</f>
        <v>0.90124471058864231</v>
      </c>
      <c r="M1246" s="66">
        <f>CurrentMtgRatesDataTable8[[#This Row],[Servicing Spread Non-Zero]]-L1245</f>
        <v>4.8644036322390782E-2</v>
      </c>
      <c r="N1246" s="66">
        <f>IF(J1245&lt;&gt;0,CurrentMtgRatesDataTable8[[#This Row],[Rate]]-C1245,N1245)</f>
        <v>-6.9999999999999396E-2</v>
      </c>
    </row>
    <row r="1247" spans="1:14">
      <c r="A1247" s="63" t="s">
        <v>1299</v>
      </c>
      <c r="B1247" s="64">
        <v>3.16228142903738</v>
      </c>
      <c r="C1247" s="65">
        <v>4.0149999999999997</v>
      </c>
      <c r="D1247" s="66">
        <f t="shared" si="133"/>
        <v>1</v>
      </c>
      <c r="E1247" s="66">
        <f t="shared" si="134"/>
        <v>0.2</v>
      </c>
      <c r="F1247" s="66">
        <f t="shared" si="135"/>
        <v>1</v>
      </c>
      <c r="G1247" s="66">
        <f t="shared" si="136"/>
        <v>0.63245628580747604</v>
      </c>
      <c r="H1247" s="66">
        <f t="shared" si="137"/>
        <v>0.2</v>
      </c>
      <c r="I1247" s="66">
        <f t="shared" si="138"/>
        <v>0</v>
      </c>
      <c r="J1247" s="66">
        <f t="shared" si="139"/>
        <v>0</v>
      </c>
      <c r="K1247" s="66">
        <f>IF(CurrentMtgRatesDataTable8[[#This Row],[WA CC]]&lt;&gt;0,C1246-CurrentMtgRatesDataTable8[[#This Row],[WA CC]],0)</f>
        <v>0</v>
      </c>
      <c r="L1247" s="66">
        <f>IF(CurrentMtgRatesDataTable8[[#This Row],[Servicing Spread]]&lt;=0,L1246,CurrentMtgRatesDataTable8[[#This Row],[Servicing Spread]])</f>
        <v>0.90124471058864231</v>
      </c>
      <c r="M1247" s="66">
        <f>CurrentMtgRatesDataTable8[[#This Row],[Servicing Spread Non-Zero]]-L1246</f>
        <v>0</v>
      </c>
      <c r="N1247" s="66">
        <f>IF(J1246&lt;&gt;0,CurrentMtgRatesDataTable8[[#This Row],[Rate]]-C1246,N1246)</f>
        <v>-9.0000000000000746E-2</v>
      </c>
    </row>
    <row r="1248" spans="1:14">
      <c r="A1248" s="63" t="s">
        <v>1300</v>
      </c>
      <c r="B1248" s="64">
        <v>3.1557690807885401</v>
      </c>
      <c r="C1248" s="65">
        <v>4.0149999999999997</v>
      </c>
      <c r="D1248" s="66">
        <f t="shared" si="133"/>
        <v>2</v>
      </c>
      <c r="E1248" s="66">
        <f t="shared" si="134"/>
        <v>0.2</v>
      </c>
      <c r="F1248" s="66">
        <f t="shared" si="135"/>
        <v>2</v>
      </c>
      <c r="G1248" s="66">
        <f t="shared" si="136"/>
        <v>1.2636101019651842</v>
      </c>
      <c r="H1248" s="66">
        <f t="shared" si="137"/>
        <v>0.4</v>
      </c>
      <c r="I1248" s="66">
        <f t="shared" si="138"/>
        <v>0</v>
      </c>
      <c r="J1248" s="66">
        <f t="shared" si="139"/>
        <v>0</v>
      </c>
      <c r="K1248" s="66">
        <f>IF(CurrentMtgRatesDataTable8[[#This Row],[WA CC]]&lt;&gt;0,C1247-CurrentMtgRatesDataTable8[[#This Row],[WA CC]],0)</f>
        <v>0</v>
      </c>
      <c r="L1248" s="66">
        <f>IF(CurrentMtgRatesDataTable8[[#This Row],[Servicing Spread]]&lt;=0,L1247,CurrentMtgRatesDataTable8[[#This Row],[Servicing Spread]])</f>
        <v>0.90124471058864231</v>
      </c>
      <c r="M1248" s="66">
        <f>CurrentMtgRatesDataTable8[[#This Row],[Servicing Spread Non-Zero]]-L1247</f>
        <v>0</v>
      </c>
      <c r="N1248" s="66">
        <f>IF(J1247&lt;&gt;0,CurrentMtgRatesDataTable8[[#This Row],[Rate]]-C1247,N1247)</f>
        <v>-9.0000000000000746E-2</v>
      </c>
    </row>
    <row r="1249" spans="1:14">
      <c r="A1249" s="63" t="s">
        <v>1301</v>
      </c>
      <c r="B1249" s="64">
        <v>3.12573819371962</v>
      </c>
      <c r="C1249" s="65">
        <v>4.0149999999999997</v>
      </c>
      <c r="D1249" s="66">
        <f t="shared" si="133"/>
        <v>5</v>
      </c>
      <c r="E1249" s="66">
        <f t="shared" si="134"/>
        <v>0.2</v>
      </c>
      <c r="F1249" s="66">
        <f t="shared" si="135"/>
        <v>3</v>
      </c>
      <c r="G1249" s="66">
        <f t="shared" si="136"/>
        <v>1.8887577407091083</v>
      </c>
      <c r="H1249" s="66">
        <f t="shared" si="137"/>
        <v>0.60000000000000009</v>
      </c>
      <c r="I1249" s="66">
        <f t="shared" si="138"/>
        <v>0</v>
      </c>
      <c r="J1249" s="66">
        <f t="shared" si="139"/>
        <v>0</v>
      </c>
      <c r="K1249" s="66">
        <f>IF(CurrentMtgRatesDataTable8[[#This Row],[WA CC]]&lt;&gt;0,C1248-CurrentMtgRatesDataTable8[[#This Row],[WA CC]],0)</f>
        <v>0</v>
      </c>
      <c r="L1249" s="66">
        <f>IF(CurrentMtgRatesDataTable8[[#This Row],[Servicing Spread]]&lt;=0,L1248,CurrentMtgRatesDataTable8[[#This Row],[Servicing Spread]])</f>
        <v>0.90124471058864231</v>
      </c>
      <c r="M1249" s="66">
        <f>CurrentMtgRatesDataTable8[[#This Row],[Servicing Spread Non-Zero]]-L1248</f>
        <v>0</v>
      </c>
      <c r="N1249" s="66">
        <f>IF(J1248&lt;&gt;0,CurrentMtgRatesDataTable8[[#This Row],[Rate]]-C1248,N1248)</f>
        <v>-9.0000000000000746E-2</v>
      </c>
    </row>
    <row r="1250" spans="1:14">
      <c r="A1250" s="63" t="s">
        <v>1302</v>
      </c>
      <c r="B1250" s="64">
        <v>3.17921056091257</v>
      </c>
      <c r="C1250" s="65">
        <v>4.0149999999999997</v>
      </c>
      <c r="D1250" s="66">
        <f t="shared" si="133"/>
        <v>6</v>
      </c>
      <c r="E1250" s="66">
        <f t="shared" si="134"/>
        <v>0.2</v>
      </c>
      <c r="F1250" s="66">
        <f t="shared" si="135"/>
        <v>4</v>
      </c>
      <c r="G1250" s="66">
        <f t="shared" si="136"/>
        <v>2.5245998528916225</v>
      </c>
      <c r="H1250" s="66">
        <f t="shared" si="137"/>
        <v>0.8</v>
      </c>
      <c r="I1250" s="66">
        <f t="shared" si="138"/>
        <v>0</v>
      </c>
      <c r="J1250" s="66">
        <f t="shared" si="139"/>
        <v>0</v>
      </c>
      <c r="K1250" s="66">
        <f>IF(CurrentMtgRatesDataTable8[[#This Row],[WA CC]]&lt;&gt;0,C1249-CurrentMtgRatesDataTable8[[#This Row],[WA CC]],0)</f>
        <v>0</v>
      </c>
      <c r="L1250" s="66">
        <f>IF(CurrentMtgRatesDataTable8[[#This Row],[Servicing Spread]]&lt;=0,L1249,CurrentMtgRatesDataTable8[[#This Row],[Servicing Spread]])</f>
        <v>0.90124471058864231</v>
      </c>
      <c r="M1250" s="66">
        <f>CurrentMtgRatesDataTable8[[#This Row],[Servicing Spread Non-Zero]]-L1249</f>
        <v>0</v>
      </c>
      <c r="N1250" s="66">
        <f>IF(J1249&lt;&gt;0,CurrentMtgRatesDataTable8[[#This Row],[Rate]]-C1249,N1249)</f>
        <v>-9.0000000000000746E-2</v>
      </c>
    </row>
    <row r="1251" spans="1:14">
      <c r="A1251" s="63" t="s">
        <v>1303</v>
      </c>
      <c r="B1251" s="64">
        <v>3.14154244535563</v>
      </c>
      <c r="C1251" s="65">
        <v>4.0149999999999997</v>
      </c>
      <c r="D1251" s="66">
        <f t="shared" si="133"/>
        <v>7</v>
      </c>
      <c r="E1251" s="66">
        <f t="shared" si="134"/>
        <v>0.2</v>
      </c>
      <c r="F1251" s="66">
        <f t="shared" si="135"/>
        <v>5</v>
      </c>
      <c r="G1251" s="66">
        <f t="shared" si="136"/>
        <v>3.1529083419627484</v>
      </c>
      <c r="H1251" s="66">
        <f t="shared" si="137"/>
        <v>1</v>
      </c>
      <c r="I1251" s="66">
        <f t="shared" si="138"/>
        <v>1</v>
      </c>
      <c r="J1251" s="66">
        <f t="shared" si="139"/>
        <v>3.1529083419627484</v>
      </c>
      <c r="K1251" s="66">
        <f>IF(CurrentMtgRatesDataTable8[[#This Row],[WA CC]]&lt;&gt;0,C1250-CurrentMtgRatesDataTable8[[#This Row],[WA CC]],0)</f>
        <v>0.8620916580372513</v>
      </c>
      <c r="L1251" s="66">
        <f>IF(CurrentMtgRatesDataTable8[[#This Row],[Servicing Spread]]&lt;=0,L1250,CurrentMtgRatesDataTable8[[#This Row],[Servicing Spread]])</f>
        <v>0.8620916580372513</v>
      </c>
      <c r="M1251" s="66">
        <f>CurrentMtgRatesDataTable8[[#This Row],[Servicing Spread Non-Zero]]-L1250</f>
        <v>-3.915305255139101E-2</v>
      </c>
      <c r="N1251" s="66">
        <f>IF(J1250&lt;&gt;0,CurrentMtgRatesDataTable8[[#This Row],[Rate]]-C1250,N1250)</f>
        <v>-9.0000000000000746E-2</v>
      </c>
    </row>
    <row r="1252" spans="1:14">
      <c r="A1252" s="63" t="s">
        <v>1304</v>
      </c>
      <c r="B1252" s="64">
        <v>3.1654132061037701</v>
      </c>
      <c r="C1252" s="65">
        <v>3.9749999999999996</v>
      </c>
      <c r="D1252" s="66">
        <f t="shared" si="133"/>
        <v>1</v>
      </c>
      <c r="E1252" s="66">
        <f t="shared" si="134"/>
        <v>0.2</v>
      </c>
      <c r="F1252" s="66">
        <f t="shared" si="135"/>
        <v>1</v>
      </c>
      <c r="G1252" s="66">
        <f t="shared" si="136"/>
        <v>0.63308264122075408</v>
      </c>
      <c r="H1252" s="66">
        <f t="shared" si="137"/>
        <v>0.2</v>
      </c>
      <c r="I1252" s="66">
        <f t="shared" si="138"/>
        <v>0</v>
      </c>
      <c r="J1252" s="66">
        <f t="shared" si="139"/>
        <v>0</v>
      </c>
      <c r="K1252" s="66">
        <f>IF(CurrentMtgRatesDataTable8[[#This Row],[WA CC]]&lt;&gt;0,C1251-CurrentMtgRatesDataTable8[[#This Row],[WA CC]],0)</f>
        <v>0</v>
      </c>
      <c r="L1252" s="66">
        <f>IF(CurrentMtgRatesDataTable8[[#This Row],[Servicing Spread]]&lt;=0,L1251,CurrentMtgRatesDataTable8[[#This Row],[Servicing Spread]])</f>
        <v>0.8620916580372513</v>
      </c>
      <c r="M1252" s="66">
        <f>CurrentMtgRatesDataTable8[[#This Row],[Servicing Spread Non-Zero]]-L1251</f>
        <v>0</v>
      </c>
      <c r="N1252" s="66">
        <f>IF(J1251&lt;&gt;0,CurrentMtgRatesDataTable8[[#This Row],[Rate]]-C1251,N1251)</f>
        <v>-4.0000000000000036E-2</v>
      </c>
    </row>
    <row r="1253" spans="1:14">
      <c r="A1253" s="63" t="s">
        <v>1305</v>
      </c>
      <c r="B1253" s="64">
        <v>3.1464660335213801</v>
      </c>
      <c r="C1253" s="65">
        <v>3.9749999999999996</v>
      </c>
      <c r="D1253" s="66">
        <f t="shared" si="133"/>
        <v>2</v>
      </c>
      <c r="E1253" s="66">
        <f t="shared" si="134"/>
        <v>0.2</v>
      </c>
      <c r="F1253" s="66">
        <f t="shared" si="135"/>
        <v>2</v>
      </c>
      <c r="G1253" s="66">
        <f t="shared" si="136"/>
        <v>1.2623758479250302</v>
      </c>
      <c r="H1253" s="66">
        <f t="shared" si="137"/>
        <v>0.4</v>
      </c>
      <c r="I1253" s="66">
        <f t="shared" si="138"/>
        <v>0</v>
      </c>
      <c r="J1253" s="66">
        <f t="shared" si="139"/>
        <v>0</v>
      </c>
      <c r="K1253" s="66">
        <f>IF(CurrentMtgRatesDataTable8[[#This Row],[WA CC]]&lt;&gt;0,C1252-CurrentMtgRatesDataTable8[[#This Row],[WA CC]],0)</f>
        <v>0</v>
      </c>
      <c r="L1253" s="66">
        <f>IF(CurrentMtgRatesDataTable8[[#This Row],[Servicing Spread]]&lt;=0,L1252,CurrentMtgRatesDataTable8[[#This Row],[Servicing Spread]])</f>
        <v>0.8620916580372513</v>
      </c>
      <c r="M1253" s="66">
        <f>CurrentMtgRatesDataTable8[[#This Row],[Servicing Spread Non-Zero]]-L1252</f>
        <v>0</v>
      </c>
      <c r="N1253" s="66">
        <f>IF(J1252&lt;&gt;0,CurrentMtgRatesDataTable8[[#This Row],[Rate]]-C1252,N1252)</f>
        <v>-4.0000000000000036E-2</v>
      </c>
    </row>
    <row r="1254" spans="1:14">
      <c r="A1254" s="63" t="s">
        <v>1306</v>
      </c>
      <c r="B1254" s="64">
        <v>3.0927700686783002</v>
      </c>
      <c r="C1254" s="65">
        <v>3.9749999999999996</v>
      </c>
      <c r="D1254" s="66">
        <f t="shared" si="133"/>
        <v>5</v>
      </c>
      <c r="E1254" s="66">
        <f t="shared" si="134"/>
        <v>0.2</v>
      </c>
      <c r="F1254" s="66">
        <f t="shared" si="135"/>
        <v>3</v>
      </c>
      <c r="G1254" s="66">
        <f t="shared" si="136"/>
        <v>1.8809298616606904</v>
      </c>
      <c r="H1254" s="66">
        <f t="shared" si="137"/>
        <v>0.60000000000000009</v>
      </c>
      <c r="I1254" s="66">
        <f t="shared" si="138"/>
        <v>0</v>
      </c>
      <c r="J1254" s="66">
        <f t="shared" si="139"/>
        <v>0</v>
      </c>
      <c r="K1254" s="66">
        <f>IF(CurrentMtgRatesDataTable8[[#This Row],[WA CC]]&lt;&gt;0,C1253-CurrentMtgRatesDataTable8[[#This Row],[WA CC]],0)</f>
        <v>0</v>
      </c>
      <c r="L1254" s="66">
        <f>IF(CurrentMtgRatesDataTable8[[#This Row],[Servicing Spread]]&lt;=0,L1253,CurrentMtgRatesDataTable8[[#This Row],[Servicing Spread]])</f>
        <v>0.8620916580372513</v>
      </c>
      <c r="M1254" s="66">
        <f>CurrentMtgRatesDataTable8[[#This Row],[Servicing Spread Non-Zero]]-L1253</f>
        <v>0</v>
      </c>
      <c r="N1254" s="66">
        <f>IF(J1253&lt;&gt;0,CurrentMtgRatesDataTable8[[#This Row],[Rate]]-C1253,N1253)</f>
        <v>-4.0000000000000036E-2</v>
      </c>
    </row>
    <row r="1255" spans="1:14">
      <c r="A1255" s="63" t="s">
        <v>1307</v>
      </c>
      <c r="B1255" s="64">
        <v>3.0853787320257</v>
      </c>
      <c r="C1255" s="65">
        <v>3.9749999999999996</v>
      </c>
      <c r="D1255" s="66">
        <f t="shared" si="133"/>
        <v>6</v>
      </c>
      <c r="E1255" s="66">
        <f t="shared" si="134"/>
        <v>0.2</v>
      </c>
      <c r="F1255" s="66">
        <f t="shared" si="135"/>
        <v>4</v>
      </c>
      <c r="G1255" s="66">
        <f t="shared" si="136"/>
        <v>2.4980056080658306</v>
      </c>
      <c r="H1255" s="66">
        <f t="shared" si="137"/>
        <v>0.8</v>
      </c>
      <c r="I1255" s="66">
        <f t="shared" si="138"/>
        <v>0</v>
      </c>
      <c r="J1255" s="66">
        <f t="shared" si="139"/>
        <v>0</v>
      </c>
      <c r="K1255" s="66">
        <f>IF(CurrentMtgRatesDataTable8[[#This Row],[WA CC]]&lt;&gt;0,C1254-CurrentMtgRatesDataTable8[[#This Row],[WA CC]],0)</f>
        <v>0</v>
      </c>
      <c r="L1255" s="66">
        <f>IF(CurrentMtgRatesDataTable8[[#This Row],[Servicing Spread]]&lt;=0,L1254,CurrentMtgRatesDataTable8[[#This Row],[Servicing Spread]])</f>
        <v>0.8620916580372513</v>
      </c>
      <c r="M1255" s="66">
        <f>CurrentMtgRatesDataTable8[[#This Row],[Servicing Spread Non-Zero]]-L1254</f>
        <v>0</v>
      </c>
      <c r="N1255" s="66">
        <f>IF(J1254&lt;&gt;0,CurrentMtgRatesDataTable8[[#This Row],[Rate]]-C1254,N1254)</f>
        <v>-4.0000000000000036E-2</v>
      </c>
    </row>
    <row r="1256" spans="1:14">
      <c r="A1256" s="63" t="s">
        <v>1308</v>
      </c>
      <c r="B1256" s="64">
        <v>3.0998224631634499</v>
      </c>
      <c r="C1256" s="65">
        <v>3.9749999999999996</v>
      </c>
      <c r="D1256" s="66">
        <f t="shared" si="133"/>
        <v>7</v>
      </c>
      <c r="E1256" s="66">
        <f t="shared" si="134"/>
        <v>0.2</v>
      </c>
      <c r="F1256" s="66">
        <f t="shared" si="135"/>
        <v>5</v>
      </c>
      <c r="G1256" s="66">
        <f t="shared" si="136"/>
        <v>3.1179701006985208</v>
      </c>
      <c r="H1256" s="66">
        <f t="shared" si="137"/>
        <v>1</v>
      </c>
      <c r="I1256" s="66">
        <f t="shared" si="138"/>
        <v>1</v>
      </c>
      <c r="J1256" s="66">
        <f t="shared" si="139"/>
        <v>3.1179701006985208</v>
      </c>
      <c r="K1256" s="66">
        <f>IF(CurrentMtgRatesDataTable8[[#This Row],[WA CC]]&lt;&gt;0,C1255-CurrentMtgRatesDataTable8[[#This Row],[WA CC]],0)</f>
        <v>0.85702989930147888</v>
      </c>
      <c r="L1256" s="66">
        <f>IF(CurrentMtgRatesDataTable8[[#This Row],[Servicing Spread]]&lt;=0,L1255,CurrentMtgRatesDataTable8[[#This Row],[Servicing Spread]])</f>
        <v>0.85702989930147888</v>
      </c>
      <c r="M1256" s="66">
        <f>CurrentMtgRatesDataTable8[[#This Row],[Servicing Spread Non-Zero]]-L1255</f>
        <v>-5.0617587357724148E-3</v>
      </c>
      <c r="N1256" s="66">
        <f>IF(J1255&lt;&gt;0,CurrentMtgRatesDataTable8[[#This Row],[Rate]]-C1255,N1255)</f>
        <v>-4.0000000000000036E-2</v>
      </c>
    </row>
    <row r="1257" spans="1:14">
      <c r="A1257" s="63" t="s">
        <v>1309</v>
      </c>
      <c r="B1257" s="64">
        <v>3.0807227057386499</v>
      </c>
      <c r="C1257" s="65">
        <v>3.9550000000000001</v>
      </c>
      <c r="D1257" s="66">
        <f t="shared" si="133"/>
        <v>1</v>
      </c>
      <c r="E1257" s="66">
        <f t="shared" si="134"/>
        <v>0.2</v>
      </c>
      <c r="F1257" s="66">
        <f t="shared" si="135"/>
        <v>1</v>
      </c>
      <c r="G1257" s="66">
        <f t="shared" si="136"/>
        <v>0.61614454114772998</v>
      </c>
      <c r="H1257" s="66">
        <f t="shared" si="137"/>
        <v>0.2</v>
      </c>
      <c r="I1257" s="66">
        <f t="shared" si="138"/>
        <v>0</v>
      </c>
      <c r="J1257" s="66">
        <f t="shared" si="139"/>
        <v>0</v>
      </c>
      <c r="K1257" s="66">
        <f>IF(CurrentMtgRatesDataTable8[[#This Row],[WA CC]]&lt;&gt;0,C1256-CurrentMtgRatesDataTable8[[#This Row],[WA CC]],0)</f>
        <v>0</v>
      </c>
      <c r="L1257" s="66">
        <f>IF(CurrentMtgRatesDataTable8[[#This Row],[Servicing Spread]]&lt;=0,L1256,CurrentMtgRatesDataTable8[[#This Row],[Servicing Spread]])</f>
        <v>0.85702989930147888</v>
      </c>
      <c r="M1257" s="66">
        <f>CurrentMtgRatesDataTable8[[#This Row],[Servicing Spread Non-Zero]]-L1256</f>
        <v>0</v>
      </c>
      <c r="N1257" s="66">
        <f>IF(J1256&lt;&gt;0,CurrentMtgRatesDataTable8[[#This Row],[Rate]]-C1256,N1256)</f>
        <v>-1.9999999999999574E-2</v>
      </c>
    </row>
    <row r="1258" spans="1:14">
      <c r="A1258" s="63" t="s">
        <v>1310</v>
      </c>
      <c r="B1258" s="64">
        <v>3.1209189236978601</v>
      </c>
      <c r="C1258" s="65">
        <v>3.9550000000000001</v>
      </c>
      <c r="D1258" s="66">
        <f t="shared" si="133"/>
        <v>2</v>
      </c>
      <c r="E1258" s="66">
        <f t="shared" si="134"/>
        <v>0.2</v>
      </c>
      <c r="F1258" s="66">
        <f t="shared" si="135"/>
        <v>2</v>
      </c>
      <c r="G1258" s="66">
        <f t="shared" si="136"/>
        <v>1.2403283258873019</v>
      </c>
      <c r="H1258" s="66">
        <f t="shared" si="137"/>
        <v>0.4</v>
      </c>
      <c r="I1258" s="66">
        <f t="shared" si="138"/>
        <v>0</v>
      </c>
      <c r="J1258" s="66">
        <f t="shared" si="139"/>
        <v>0</v>
      </c>
      <c r="K1258" s="66">
        <f>IF(CurrentMtgRatesDataTable8[[#This Row],[WA CC]]&lt;&gt;0,C1257-CurrentMtgRatesDataTable8[[#This Row],[WA CC]],0)</f>
        <v>0</v>
      </c>
      <c r="L1258" s="66">
        <f>IF(CurrentMtgRatesDataTable8[[#This Row],[Servicing Spread]]&lt;=0,L1257,CurrentMtgRatesDataTable8[[#This Row],[Servicing Spread]])</f>
        <v>0.85702989930147888</v>
      </c>
      <c r="M1258" s="66">
        <f>CurrentMtgRatesDataTable8[[#This Row],[Servicing Spread Non-Zero]]-L1257</f>
        <v>0</v>
      </c>
      <c r="N1258" s="66">
        <f>IF(J1257&lt;&gt;0,CurrentMtgRatesDataTable8[[#This Row],[Rate]]-C1257,N1257)</f>
        <v>-1.9999999999999574E-2</v>
      </c>
    </row>
    <row r="1259" spans="1:14">
      <c r="A1259" s="63" t="s">
        <v>1311</v>
      </c>
      <c r="B1259" s="64">
        <v>3.1141964081853302</v>
      </c>
      <c r="C1259" s="65">
        <v>3.9550000000000001</v>
      </c>
      <c r="D1259" s="66">
        <f t="shared" si="133"/>
        <v>5</v>
      </c>
      <c r="E1259" s="66">
        <f t="shared" si="134"/>
        <v>0.2</v>
      </c>
      <c r="F1259" s="66">
        <f t="shared" si="135"/>
        <v>3</v>
      </c>
      <c r="G1259" s="66">
        <f t="shared" si="136"/>
        <v>1.8631676075243679</v>
      </c>
      <c r="H1259" s="66">
        <f t="shared" si="137"/>
        <v>0.60000000000000009</v>
      </c>
      <c r="I1259" s="66">
        <f t="shared" si="138"/>
        <v>0</v>
      </c>
      <c r="J1259" s="66">
        <f t="shared" si="139"/>
        <v>0</v>
      </c>
      <c r="K1259" s="66">
        <f>IF(CurrentMtgRatesDataTable8[[#This Row],[WA CC]]&lt;&gt;0,C1258-CurrentMtgRatesDataTable8[[#This Row],[WA CC]],0)</f>
        <v>0</v>
      </c>
      <c r="L1259" s="66">
        <f>IF(CurrentMtgRatesDataTable8[[#This Row],[Servicing Spread]]&lt;=0,L1258,CurrentMtgRatesDataTable8[[#This Row],[Servicing Spread]])</f>
        <v>0.85702989930147888</v>
      </c>
      <c r="M1259" s="66">
        <f>CurrentMtgRatesDataTable8[[#This Row],[Servicing Spread Non-Zero]]-L1258</f>
        <v>0</v>
      </c>
      <c r="N1259" s="66">
        <f>IF(J1258&lt;&gt;0,CurrentMtgRatesDataTable8[[#This Row],[Rate]]-C1258,N1258)</f>
        <v>-1.9999999999999574E-2</v>
      </c>
    </row>
    <row r="1260" spans="1:14">
      <c r="A1260" s="63" t="s">
        <v>1312</v>
      </c>
      <c r="B1260" s="64">
        <v>3.0374940248305098</v>
      </c>
      <c r="C1260" s="65">
        <v>3.9550000000000001</v>
      </c>
      <c r="D1260" s="66">
        <f t="shared" si="133"/>
        <v>6</v>
      </c>
      <c r="E1260" s="66">
        <f t="shared" si="134"/>
        <v>0.2</v>
      </c>
      <c r="F1260" s="66">
        <f t="shared" si="135"/>
        <v>4</v>
      </c>
      <c r="G1260" s="66">
        <f t="shared" si="136"/>
        <v>2.4706664124904698</v>
      </c>
      <c r="H1260" s="66">
        <f t="shared" si="137"/>
        <v>0.8</v>
      </c>
      <c r="I1260" s="66">
        <f t="shared" si="138"/>
        <v>0</v>
      </c>
      <c r="J1260" s="66">
        <f t="shared" si="139"/>
        <v>0</v>
      </c>
      <c r="K1260" s="66">
        <f>IF(CurrentMtgRatesDataTable8[[#This Row],[WA CC]]&lt;&gt;0,C1259-CurrentMtgRatesDataTable8[[#This Row],[WA CC]],0)</f>
        <v>0</v>
      </c>
      <c r="L1260" s="66">
        <f>IF(CurrentMtgRatesDataTable8[[#This Row],[Servicing Spread]]&lt;=0,L1259,CurrentMtgRatesDataTable8[[#This Row],[Servicing Spread]])</f>
        <v>0.85702989930147888</v>
      </c>
      <c r="M1260" s="66">
        <f>CurrentMtgRatesDataTable8[[#This Row],[Servicing Spread Non-Zero]]-L1259</f>
        <v>0</v>
      </c>
      <c r="N1260" s="66">
        <f>IF(J1259&lt;&gt;0,CurrentMtgRatesDataTable8[[#This Row],[Rate]]-C1259,N1259)</f>
        <v>-1.9999999999999574E-2</v>
      </c>
    </row>
    <row r="1261" spans="1:14">
      <c r="A1261" s="63" t="s">
        <v>1313</v>
      </c>
      <c r="B1261" s="64">
        <v>3.0385942417440401</v>
      </c>
      <c r="C1261" s="65">
        <v>3.9550000000000001</v>
      </c>
      <c r="D1261" s="66">
        <f t="shared" si="133"/>
        <v>7</v>
      </c>
      <c r="E1261" s="66">
        <f t="shared" si="134"/>
        <v>0.2</v>
      </c>
      <c r="F1261" s="66">
        <f t="shared" si="135"/>
        <v>5</v>
      </c>
      <c r="G1261" s="66">
        <f t="shared" si="136"/>
        <v>3.0783852608392781</v>
      </c>
      <c r="H1261" s="66">
        <f t="shared" si="137"/>
        <v>1</v>
      </c>
      <c r="I1261" s="66">
        <f t="shared" si="138"/>
        <v>1</v>
      </c>
      <c r="J1261" s="66">
        <f t="shared" si="139"/>
        <v>3.0783852608392781</v>
      </c>
      <c r="K1261" s="66">
        <f>IF(CurrentMtgRatesDataTable8[[#This Row],[WA CC]]&lt;&gt;0,C1260-CurrentMtgRatesDataTable8[[#This Row],[WA CC]],0)</f>
        <v>0.87661473916072197</v>
      </c>
      <c r="L1261" s="66">
        <f>IF(CurrentMtgRatesDataTable8[[#This Row],[Servicing Spread]]&lt;=0,L1260,CurrentMtgRatesDataTable8[[#This Row],[Servicing Spread]])</f>
        <v>0.87661473916072197</v>
      </c>
      <c r="M1261" s="66">
        <f>CurrentMtgRatesDataTable8[[#This Row],[Servicing Spread Non-Zero]]-L1260</f>
        <v>1.9584839859243086E-2</v>
      </c>
      <c r="N1261" s="66">
        <f>IF(J1260&lt;&gt;0,CurrentMtgRatesDataTable8[[#This Row],[Rate]]-C1260,N1260)</f>
        <v>-1.9999999999999574E-2</v>
      </c>
    </row>
    <row r="1262" spans="1:14">
      <c r="A1262" s="63" t="s">
        <v>1314</v>
      </c>
      <c r="B1262" s="64">
        <v>2.9754212603526402</v>
      </c>
      <c r="C1262" s="65">
        <v>3.8450000000000002</v>
      </c>
      <c r="D1262" s="66">
        <f t="shared" si="133"/>
        <v>1</v>
      </c>
      <c r="E1262" s="66">
        <f t="shared" si="134"/>
        <v>0.2</v>
      </c>
      <c r="F1262" s="66">
        <f t="shared" si="135"/>
        <v>1</v>
      </c>
      <c r="G1262" s="66">
        <f t="shared" si="136"/>
        <v>0.59508425207052806</v>
      </c>
      <c r="H1262" s="66">
        <f t="shared" si="137"/>
        <v>0.2</v>
      </c>
      <c r="I1262" s="66">
        <f t="shared" si="138"/>
        <v>0</v>
      </c>
      <c r="J1262" s="66">
        <f t="shared" si="139"/>
        <v>0</v>
      </c>
      <c r="K1262" s="66">
        <f>IF(CurrentMtgRatesDataTable8[[#This Row],[WA CC]]&lt;&gt;0,C1261-CurrentMtgRatesDataTable8[[#This Row],[WA CC]],0)</f>
        <v>0</v>
      </c>
      <c r="L1262" s="66">
        <f>IF(CurrentMtgRatesDataTable8[[#This Row],[Servicing Spread]]&lt;=0,L1261,CurrentMtgRatesDataTable8[[#This Row],[Servicing Spread]])</f>
        <v>0.87661473916072197</v>
      </c>
      <c r="M1262" s="66">
        <f>CurrentMtgRatesDataTable8[[#This Row],[Servicing Spread Non-Zero]]-L1261</f>
        <v>0</v>
      </c>
      <c r="N1262" s="66">
        <f>IF(J1261&lt;&gt;0,CurrentMtgRatesDataTable8[[#This Row],[Rate]]-C1261,N1261)</f>
        <v>-0.10999999999999988</v>
      </c>
    </row>
    <row r="1263" spans="1:14">
      <c r="A1263" s="63" t="s">
        <v>1315</v>
      </c>
      <c r="B1263" s="64">
        <v>2.98409934955184</v>
      </c>
      <c r="C1263" s="65">
        <v>3.8450000000000002</v>
      </c>
      <c r="D1263" s="66">
        <f t="shared" si="133"/>
        <v>5</v>
      </c>
      <c r="E1263" s="66">
        <f t="shared" si="134"/>
        <v>0.2</v>
      </c>
      <c r="F1263" s="66">
        <f t="shared" si="135"/>
        <v>2</v>
      </c>
      <c r="G1263" s="66">
        <f t="shared" si="136"/>
        <v>1.1919041219808961</v>
      </c>
      <c r="H1263" s="66">
        <f t="shared" si="137"/>
        <v>0.4</v>
      </c>
      <c r="I1263" s="66">
        <f t="shared" si="138"/>
        <v>0</v>
      </c>
      <c r="J1263" s="66">
        <f t="shared" si="139"/>
        <v>0</v>
      </c>
      <c r="K1263" s="66">
        <f>IF(CurrentMtgRatesDataTable8[[#This Row],[WA CC]]&lt;&gt;0,C1262-CurrentMtgRatesDataTable8[[#This Row],[WA CC]],0)</f>
        <v>0</v>
      </c>
      <c r="L1263" s="66">
        <f>IF(CurrentMtgRatesDataTable8[[#This Row],[Servicing Spread]]&lt;=0,L1262,CurrentMtgRatesDataTable8[[#This Row],[Servicing Spread]])</f>
        <v>0.87661473916072197</v>
      </c>
      <c r="M1263" s="66">
        <f>CurrentMtgRatesDataTable8[[#This Row],[Servicing Spread Non-Zero]]-L1262</f>
        <v>0</v>
      </c>
      <c r="N1263" s="66">
        <f>IF(J1262&lt;&gt;0,CurrentMtgRatesDataTable8[[#This Row],[Rate]]-C1262,N1262)</f>
        <v>-0.10999999999999988</v>
      </c>
    </row>
    <row r="1264" spans="1:14">
      <c r="A1264" s="63" t="s">
        <v>1316</v>
      </c>
      <c r="B1264" s="64">
        <v>2.9250473100689098</v>
      </c>
      <c r="C1264" s="65">
        <v>3.8450000000000002</v>
      </c>
      <c r="D1264" s="66">
        <f t="shared" si="133"/>
        <v>6</v>
      </c>
      <c r="E1264" s="66">
        <f t="shared" si="134"/>
        <v>0.2</v>
      </c>
      <c r="F1264" s="66">
        <f t="shared" si="135"/>
        <v>3</v>
      </c>
      <c r="G1264" s="66">
        <f t="shared" si="136"/>
        <v>1.7769135839946781</v>
      </c>
      <c r="H1264" s="66">
        <f t="shared" si="137"/>
        <v>0.60000000000000009</v>
      </c>
      <c r="I1264" s="66">
        <f t="shared" si="138"/>
        <v>0</v>
      </c>
      <c r="J1264" s="66">
        <f t="shared" si="139"/>
        <v>0</v>
      </c>
      <c r="K1264" s="66">
        <f>IF(CurrentMtgRatesDataTable8[[#This Row],[WA CC]]&lt;&gt;0,C1263-CurrentMtgRatesDataTable8[[#This Row],[WA CC]],0)</f>
        <v>0</v>
      </c>
      <c r="L1264" s="66">
        <f>IF(CurrentMtgRatesDataTable8[[#This Row],[Servicing Spread]]&lt;=0,L1263,CurrentMtgRatesDataTable8[[#This Row],[Servicing Spread]])</f>
        <v>0.87661473916072197</v>
      </c>
      <c r="M1264" s="66">
        <f>CurrentMtgRatesDataTable8[[#This Row],[Servicing Spread Non-Zero]]-L1263</f>
        <v>0</v>
      </c>
      <c r="N1264" s="66">
        <f>IF(J1263&lt;&gt;0,CurrentMtgRatesDataTable8[[#This Row],[Rate]]-C1263,N1263)</f>
        <v>-0.10999999999999988</v>
      </c>
    </row>
    <row r="1265" spans="1:14">
      <c r="A1265" s="63" t="s">
        <v>1317</v>
      </c>
      <c r="B1265" s="64">
        <v>2.9490872231359599</v>
      </c>
      <c r="C1265" s="65">
        <v>3.8450000000000002</v>
      </c>
      <c r="D1265" s="66">
        <f t="shared" si="133"/>
        <v>7</v>
      </c>
      <c r="E1265" s="66">
        <f t="shared" si="134"/>
        <v>0.2</v>
      </c>
      <c r="F1265" s="66">
        <f t="shared" si="135"/>
        <v>4</v>
      </c>
      <c r="G1265" s="66">
        <f t="shared" si="136"/>
        <v>2.3667310286218699</v>
      </c>
      <c r="H1265" s="66">
        <f t="shared" si="137"/>
        <v>0.8</v>
      </c>
      <c r="I1265" s="66">
        <f t="shared" si="138"/>
        <v>1</v>
      </c>
      <c r="J1265" s="66">
        <f t="shared" si="139"/>
        <v>2.9584137857773372</v>
      </c>
      <c r="K1265" s="66">
        <f>IF(CurrentMtgRatesDataTable8[[#This Row],[WA CC]]&lt;&gt;0,C1264-CurrentMtgRatesDataTable8[[#This Row],[WA CC]],0)</f>
        <v>0.88658621422266304</v>
      </c>
      <c r="L1265" s="66">
        <f>IF(CurrentMtgRatesDataTable8[[#This Row],[Servicing Spread]]&lt;=0,L1264,CurrentMtgRatesDataTable8[[#This Row],[Servicing Spread]])</f>
        <v>0.88658621422266304</v>
      </c>
      <c r="M1265" s="66">
        <f>CurrentMtgRatesDataTable8[[#This Row],[Servicing Spread Non-Zero]]-L1264</f>
        <v>9.9714750619410708E-3</v>
      </c>
      <c r="N1265" s="66">
        <f>IF(J1264&lt;&gt;0,CurrentMtgRatesDataTable8[[#This Row],[Rate]]-C1264,N1264)</f>
        <v>-0.10999999999999988</v>
      </c>
    </row>
    <row r="1266" spans="1:14">
      <c r="A1266" s="63" t="s">
        <v>1318</v>
      </c>
      <c r="B1266" s="64">
        <v>2.98817605273842</v>
      </c>
      <c r="C1266" s="65">
        <v>3.9050000000000002</v>
      </c>
      <c r="D1266" s="66">
        <f t="shared" si="133"/>
        <v>1</v>
      </c>
      <c r="E1266" s="66">
        <f t="shared" si="134"/>
        <v>0.2</v>
      </c>
      <c r="F1266" s="66">
        <f t="shared" si="135"/>
        <v>1</v>
      </c>
      <c r="G1266" s="66">
        <f t="shared" si="136"/>
        <v>0.59763521054768398</v>
      </c>
      <c r="H1266" s="66">
        <f t="shared" si="137"/>
        <v>0.2</v>
      </c>
      <c r="I1266" s="66">
        <f t="shared" si="138"/>
        <v>0</v>
      </c>
      <c r="J1266" s="66">
        <f t="shared" si="139"/>
        <v>0</v>
      </c>
      <c r="K1266" s="66">
        <f>IF(CurrentMtgRatesDataTable8[[#This Row],[WA CC]]&lt;&gt;0,C1265-CurrentMtgRatesDataTable8[[#This Row],[WA CC]],0)</f>
        <v>0</v>
      </c>
      <c r="L1266" s="66">
        <f>IF(CurrentMtgRatesDataTable8[[#This Row],[Servicing Spread]]&lt;=0,L1265,CurrentMtgRatesDataTable8[[#This Row],[Servicing Spread]])</f>
        <v>0.88658621422266304</v>
      </c>
      <c r="M1266" s="66">
        <f>CurrentMtgRatesDataTable8[[#This Row],[Servicing Spread Non-Zero]]-L1265</f>
        <v>0</v>
      </c>
      <c r="N1266" s="66">
        <f>IF(J1265&lt;&gt;0,CurrentMtgRatesDataTable8[[#This Row],[Rate]]-C1265,N1265)</f>
        <v>6.0000000000000053E-2</v>
      </c>
    </row>
    <row r="1267" spans="1:14">
      <c r="A1267" s="63" t="s">
        <v>1319</v>
      </c>
      <c r="B1267" s="64">
        <v>2.9809859854313698</v>
      </c>
      <c r="C1267" s="65">
        <v>3.9050000000000002</v>
      </c>
      <c r="D1267" s="66">
        <f t="shared" si="133"/>
        <v>2</v>
      </c>
      <c r="E1267" s="66">
        <f t="shared" si="134"/>
        <v>0.2</v>
      </c>
      <c r="F1267" s="66">
        <f t="shared" si="135"/>
        <v>2</v>
      </c>
      <c r="G1267" s="66">
        <f t="shared" si="136"/>
        <v>1.1938324076339579</v>
      </c>
      <c r="H1267" s="66">
        <f t="shared" si="137"/>
        <v>0.4</v>
      </c>
      <c r="I1267" s="66">
        <f t="shared" si="138"/>
        <v>0</v>
      </c>
      <c r="J1267" s="66">
        <f t="shared" si="139"/>
        <v>0</v>
      </c>
      <c r="K1267" s="66">
        <f>IF(CurrentMtgRatesDataTable8[[#This Row],[WA CC]]&lt;&gt;0,C1266-CurrentMtgRatesDataTable8[[#This Row],[WA CC]],0)</f>
        <v>0</v>
      </c>
      <c r="L1267" s="66">
        <f>IF(CurrentMtgRatesDataTable8[[#This Row],[Servicing Spread]]&lt;=0,L1266,CurrentMtgRatesDataTable8[[#This Row],[Servicing Spread]])</f>
        <v>0.88658621422266304</v>
      </c>
      <c r="M1267" s="66">
        <f>CurrentMtgRatesDataTable8[[#This Row],[Servicing Spread Non-Zero]]-L1266</f>
        <v>0</v>
      </c>
      <c r="N1267" s="66">
        <f>IF(J1266&lt;&gt;0,CurrentMtgRatesDataTable8[[#This Row],[Rate]]-C1266,N1266)</f>
        <v>6.0000000000000053E-2</v>
      </c>
    </row>
    <row r="1268" spans="1:14">
      <c r="A1268" s="63" t="s">
        <v>1320</v>
      </c>
      <c r="B1268" s="64">
        <v>3.0169909715329202</v>
      </c>
      <c r="C1268" s="65">
        <v>3.9050000000000002</v>
      </c>
      <c r="D1268" s="66">
        <f t="shared" si="133"/>
        <v>5</v>
      </c>
      <c r="E1268" s="66">
        <f t="shared" si="134"/>
        <v>0.2</v>
      </c>
      <c r="F1268" s="66">
        <f t="shared" si="135"/>
        <v>3</v>
      </c>
      <c r="G1268" s="66">
        <f t="shared" si="136"/>
        <v>1.797230601940542</v>
      </c>
      <c r="H1268" s="66">
        <f t="shared" si="137"/>
        <v>0.60000000000000009</v>
      </c>
      <c r="I1268" s="66">
        <f t="shared" si="138"/>
        <v>0</v>
      </c>
      <c r="J1268" s="66">
        <f t="shared" si="139"/>
        <v>0</v>
      </c>
      <c r="K1268" s="66">
        <f>IF(CurrentMtgRatesDataTable8[[#This Row],[WA CC]]&lt;&gt;0,C1267-CurrentMtgRatesDataTable8[[#This Row],[WA CC]],0)</f>
        <v>0</v>
      </c>
      <c r="L1268" s="66">
        <f>IF(CurrentMtgRatesDataTable8[[#This Row],[Servicing Spread]]&lt;=0,L1267,CurrentMtgRatesDataTable8[[#This Row],[Servicing Spread]])</f>
        <v>0.88658621422266304</v>
      </c>
      <c r="M1268" s="66">
        <f>CurrentMtgRatesDataTable8[[#This Row],[Servicing Spread Non-Zero]]-L1267</f>
        <v>0</v>
      </c>
      <c r="N1268" s="66">
        <f>IF(J1267&lt;&gt;0,CurrentMtgRatesDataTable8[[#This Row],[Rate]]-C1267,N1267)</f>
        <v>6.0000000000000053E-2</v>
      </c>
    </row>
    <row r="1269" spans="1:14">
      <c r="A1269" s="63" t="s">
        <v>1321</v>
      </c>
      <c r="B1269" s="64">
        <v>3.0874346795919401</v>
      </c>
      <c r="C1269" s="65">
        <v>3.9050000000000002</v>
      </c>
      <c r="D1269" s="66">
        <f t="shared" si="133"/>
        <v>6</v>
      </c>
      <c r="E1269" s="66">
        <f t="shared" si="134"/>
        <v>0.2</v>
      </c>
      <c r="F1269" s="66">
        <f t="shared" si="135"/>
        <v>4</v>
      </c>
      <c r="G1269" s="66">
        <f t="shared" si="136"/>
        <v>2.4147175378589303</v>
      </c>
      <c r="H1269" s="66">
        <f t="shared" si="137"/>
        <v>0.8</v>
      </c>
      <c r="I1269" s="66">
        <f t="shared" si="138"/>
        <v>0</v>
      </c>
      <c r="J1269" s="66">
        <f t="shared" si="139"/>
        <v>0</v>
      </c>
      <c r="K1269" s="66">
        <f>IF(CurrentMtgRatesDataTable8[[#This Row],[WA CC]]&lt;&gt;0,C1268-CurrentMtgRatesDataTable8[[#This Row],[WA CC]],0)</f>
        <v>0</v>
      </c>
      <c r="L1269" s="66">
        <f>IF(CurrentMtgRatesDataTable8[[#This Row],[Servicing Spread]]&lt;=0,L1268,CurrentMtgRatesDataTable8[[#This Row],[Servicing Spread]])</f>
        <v>0.88658621422266304</v>
      </c>
      <c r="M1269" s="66">
        <f>CurrentMtgRatesDataTable8[[#This Row],[Servicing Spread Non-Zero]]-L1268</f>
        <v>0</v>
      </c>
      <c r="N1269" s="66">
        <f>IF(J1268&lt;&gt;0,CurrentMtgRatesDataTable8[[#This Row],[Rate]]-C1268,N1268)</f>
        <v>6.0000000000000053E-2</v>
      </c>
    </row>
    <row r="1270" spans="1:14">
      <c r="A1270" s="63" t="s">
        <v>1322</v>
      </c>
      <c r="B1270" s="64">
        <v>3.0602135791338601</v>
      </c>
      <c r="C1270" s="65">
        <v>3.9050000000000002</v>
      </c>
      <c r="D1270" s="66">
        <f t="shared" si="133"/>
        <v>7</v>
      </c>
      <c r="E1270" s="66">
        <f t="shared" si="134"/>
        <v>0.2</v>
      </c>
      <c r="F1270" s="66">
        <f t="shared" si="135"/>
        <v>5</v>
      </c>
      <c r="G1270" s="66">
        <f t="shared" si="136"/>
        <v>3.0267602536857021</v>
      </c>
      <c r="H1270" s="66">
        <f t="shared" si="137"/>
        <v>1</v>
      </c>
      <c r="I1270" s="66">
        <f t="shared" si="138"/>
        <v>1</v>
      </c>
      <c r="J1270" s="66">
        <f t="shared" si="139"/>
        <v>3.0267602536857021</v>
      </c>
      <c r="K1270" s="66">
        <f>IF(CurrentMtgRatesDataTable8[[#This Row],[WA CC]]&lt;&gt;0,C1269-CurrentMtgRatesDataTable8[[#This Row],[WA CC]],0)</f>
        <v>0.87823974631429813</v>
      </c>
      <c r="L1270" s="66">
        <f>IF(CurrentMtgRatesDataTable8[[#This Row],[Servicing Spread]]&lt;=0,L1269,CurrentMtgRatesDataTable8[[#This Row],[Servicing Spread]])</f>
        <v>0.87823974631429813</v>
      </c>
      <c r="M1270" s="66">
        <f>CurrentMtgRatesDataTable8[[#This Row],[Servicing Spread Non-Zero]]-L1269</f>
        <v>-8.3464679083649074E-3</v>
      </c>
      <c r="N1270" s="66">
        <f>IF(J1269&lt;&gt;0,CurrentMtgRatesDataTable8[[#This Row],[Rate]]-C1269,N1269)</f>
        <v>6.0000000000000053E-2</v>
      </c>
    </row>
    <row r="1271" spans="1:14">
      <c r="A1271" s="63" t="s">
        <v>1323</v>
      </c>
      <c r="B1271" s="64">
        <v>3.0345757133158</v>
      </c>
      <c r="C1271" s="65">
        <v>3.8949999999999996</v>
      </c>
      <c r="D1271" s="66">
        <f t="shared" si="133"/>
        <v>1</v>
      </c>
      <c r="E1271" s="66">
        <f t="shared" si="134"/>
        <v>0.2</v>
      </c>
      <c r="F1271" s="66">
        <f t="shared" si="135"/>
        <v>1</v>
      </c>
      <c r="G1271" s="66">
        <f t="shared" si="136"/>
        <v>0.60691514266316005</v>
      </c>
      <c r="H1271" s="66">
        <f t="shared" si="137"/>
        <v>0.2</v>
      </c>
      <c r="I1271" s="66">
        <f t="shared" si="138"/>
        <v>0</v>
      </c>
      <c r="J1271" s="66">
        <f t="shared" si="139"/>
        <v>0</v>
      </c>
      <c r="K1271" s="66">
        <f>IF(CurrentMtgRatesDataTable8[[#This Row],[WA CC]]&lt;&gt;0,C1270-CurrentMtgRatesDataTable8[[#This Row],[WA CC]],0)</f>
        <v>0</v>
      </c>
      <c r="L1271" s="66">
        <f>IF(CurrentMtgRatesDataTable8[[#This Row],[Servicing Spread]]&lt;=0,L1270,CurrentMtgRatesDataTable8[[#This Row],[Servicing Spread]])</f>
        <v>0.87823974631429813</v>
      </c>
      <c r="M1271" s="66">
        <f>CurrentMtgRatesDataTable8[[#This Row],[Servicing Spread Non-Zero]]-L1270</f>
        <v>0</v>
      </c>
      <c r="N1271" s="66">
        <f>IF(J1270&lt;&gt;0,CurrentMtgRatesDataTable8[[#This Row],[Rate]]-C1270,N1270)</f>
        <v>-1.0000000000000675E-2</v>
      </c>
    </row>
    <row r="1272" spans="1:14">
      <c r="A1272" s="63" t="s">
        <v>1324</v>
      </c>
      <c r="B1272" s="64">
        <v>3.0168102354422901</v>
      </c>
      <c r="C1272" s="65">
        <v>3.8949999999999996</v>
      </c>
      <c r="D1272" s="66">
        <f t="shared" si="133"/>
        <v>2</v>
      </c>
      <c r="E1272" s="66">
        <f t="shared" si="134"/>
        <v>0.2</v>
      </c>
      <c r="F1272" s="66">
        <f t="shared" si="135"/>
        <v>2</v>
      </c>
      <c r="G1272" s="66">
        <f t="shared" si="136"/>
        <v>1.210277189751618</v>
      </c>
      <c r="H1272" s="66">
        <f t="shared" si="137"/>
        <v>0.4</v>
      </c>
      <c r="I1272" s="66">
        <f t="shared" si="138"/>
        <v>0</v>
      </c>
      <c r="J1272" s="66">
        <f t="shared" si="139"/>
        <v>0</v>
      </c>
      <c r="K1272" s="66">
        <f>IF(CurrentMtgRatesDataTable8[[#This Row],[WA CC]]&lt;&gt;0,C1271-CurrentMtgRatesDataTable8[[#This Row],[WA CC]],0)</f>
        <v>0</v>
      </c>
      <c r="L1272" s="66">
        <f>IF(CurrentMtgRatesDataTable8[[#This Row],[Servicing Spread]]&lt;=0,L1271,CurrentMtgRatesDataTable8[[#This Row],[Servicing Spread]])</f>
        <v>0.87823974631429813</v>
      </c>
      <c r="M1272" s="66">
        <f>CurrentMtgRatesDataTable8[[#This Row],[Servicing Spread Non-Zero]]-L1271</f>
        <v>0</v>
      </c>
      <c r="N1272" s="66">
        <f>IF(J1271&lt;&gt;0,CurrentMtgRatesDataTable8[[#This Row],[Rate]]-C1271,N1271)</f>
        <v>-1.0000000000000675E-2</v>
      </c>
    </row>
    <row r="1273" spans="1:14">
      <c r="A1273" s="63" t="s">
        <v>1325</v>
      </c>
      <c r="B1273" s="64">
        <v>3.0580560556291201</v>
      </c>
      <c r="C1273" s="65">
        <v>3.8949999999999996</v>
      </c>
      <c r="D1273" s="66">
        <f t="shared" si="133"/>
        <v>5</v>
      </c>
      <c r="E1273" s="66">
        <f t="shared" si="134"/>
        <v>0.2</v>
      </c>
      <c r="F1273" s="66">
        <f t="shared" si="135"/>
        <v>3</v>
      </c>
      <c r="G1273" s="66">
        <f t="shared" si="136"/>
        <v>1.8218884008774421</v>
      </c>
      <c r="H1273" s="66">
        <f t="shared" si="137"/>
        <v>0.60000000000000009</v>
      </c>
      <c r="I1273" s="66">
        <f t="shared" si="138"/>
        <v>0</v>
      </c>
      <c r="J1273" s="66">
        <f t="shared" si="139"/>
        <v>0</v>
      </c>
      <c r="K1273" s="66">
        <f>IF(CurrentMtgRatesDataTable8[[#This Row],[WA CC]]&lt;&gt;0,C1272-CurrentMtgRatesDataTable8[[#This Row],[WA CC]],0)</f>
        <v>0</v>
      </c>
      <c r="L1273" s="66">
        <f>IF(CurrentMtgRatesDataTable8[[#This Row],[Servicing Spread]]&lt;=0,L1272,CurrentMtgRatesDataTable8[[#This Row],[Servicing Spread]])</f>
        <v>0.87823974631429813</v>
      </c>
      <c r="M1273" s="66">
        <f>CurrentMtgRatesDataTable8[[#This Row],[Servicing Spread Non-Zero]]-L1272</f>
        <v>0</v>
      </c>
      <c r="N1273" s="66">
        <f>IF(J1272&lt;&gt;0,CurrentMtgRatesDataTable8[[#This Row],[Rate]]-C1272,N1272)</f>
        <v>-1.0000000000000675E-2</v>
      </c>
    </row>
    <row r="1274" spans="1:14">
      <c r="A1274" s="63" t="s">
        <v>1326</v>
      </c>
      <c r="B1274" s="64">
        <v>3.02195489821497</v>
      </c>
      <c r="C1274" s="65">
        <v>3.8949999999999996</v>
      </c>
      <c r="D1274" s="66">
        <f t="shared" si="133"/>
        <v>6</v>
      </c>
      <c r="E1274" s="66">
        <f t="shared" si="134"/>
        <v>0.2</v>
      </c>
      <c r="F1274" s="66">
        <f t="shared" si="135"/>
        <v>4</v>
      </c>
      <c r="G1274" s="66">
        <f t="shared" si="136"/>
        <v>2.4262793805204361</v>
      </c>
      <c r="H1274" s="66">
        <f t="shared" si="137"/>
        <v>0.8</v>
      </c>
      <c r="I1274" s="66">
        <f t="shared" si="138"/>
        <v>0</v>
      </c>
      <c r="J1274" s="66">
        <f t="shared" si="139"/>
        <v>0</v>
      </c>
      <c r="K1274" s="66">
        <f>IF(CurrentMtgRatesDataTable8[[#This Row],[WA CC]]&lt;&gt;0,C1273-CurrentMtgRatesDataTable8[[#This Row],[WA CC]],0)</f>
        <v>0</v>
      </c>
      <c r="L1274" s="66">
        <f>IF(CurrentMtgRatesDataTable8[[#This Row],[Servicing Spread]]&lt;=0,L1273,CurrentMtgRatesDataTable8[[#This Row],[Servicing Spread]])</f>
        <v>0.87823974631429813</v>
      </c>
      <c r="M1274" s="66">
        <f>CurrentMtgRatesDataTable8[[#This Row],[Servicing Spread Non-Zero]]-L1273</f>
        <v>0</v>
      </c>
      <c r="N1274" s="66">
        <f>IF(J1273&lt;&gt;0,CurrentMtgRatesDataTable8[[#This Row],[Rate]]-C1273,N1273)</f>
        <v>-1.0000000000000675E-2</v>
      </c>
    </row>
    <row r="1275" spans="1:14">
      <c r="A1275" s="63" t="s">
        <v>1327</v>
      </c>
      <c r="B1275" s="64">
        <v>3.04669100104817</v>
      </c>
      <c r="C1275" s="65">
        <v>3.8949999999999996</v>
      </c>
      <c r="D1275" s="66">
        <f t="shared" si="133"/>
        <v>7</v>
      </c>
      <c r="E1275" s="66">
        <f t="shared" si="134"/>
        <v>0.2</v>
      </c>
      <c r="F1275" s="66">
        <f t="shared" si="135"/>
        <v>5</v>
      </c>
      <c r="G1275" s="66">
        <f t="shared" si="136"/>
        <v>3.03561758073007</v>
      </c>
      <c r="H1275" s="66">
        <f t="shared" si="137"/>
        <v>1</v>
      </c>
      <c r="I1275" s="66">
        <f t="shared" si="138"/>
        <v>1</v>
      </c>
      <c r="J1275" s="66">
        <f t="shared" si="139"/>
        <v>3.03561758073007</v>
      </c>
      <c r="K1275" s="66">
        <f>IF(CurrentMtgRatesDataTable8[[#This Row],[WA CC]]&lt;&gt;0,C1274-CurrentMtgRatesDataTable8[[#This Row],[WA CC]],0)</f>
        <v>0.85938241926992953</v>
      </c>
      <c r="L1275" s="66">
        <f>IF(CurrentMtgRatesDataTable8[[#This Row],[Servicing Spread]]&lt;=0,L1274,CurrentMtgRatesDataTable8[[#This Row],[Servicing Spread]])</f>
        <v>0.85938241926992953</v>
      </c>
      <c r="M1275" s="66">
        <f>CurrentMtgRatesDataTable8[[#This Row],[Servicing Spread Non-Zero]]-L1274</f>
        <v>-1.8857327044368599E-2</v>
      </c>
      <c r="N1275" s="66">
        <f>IF(J1274&lt;&gt;0,CurrentMtgRatesDataTable8[[#This Row],[Rate]]-C1274,N1274)</f>
        <v>-1.0000000000000675E-2</v>
      </c>
    </row>
    <row r="1276" spans="1:14">
      <c r="A1276" s="63" t="s">
        <v>1328</v>
      </c>
      <c r="B1276" s="64">
        <v>3.0837456473004301</v>
      </c>
      <c r="C1276" s="65">
        <v>3.9249999999999998</v>
      </c>
      <c r="D1276" s="66">
        <f t="shared" si="133"/>
        <v>1</v>
      </c>
      <c r="E1276" s="66">
        <f t="shared" si="134"/>
        <v>0.2</v>
      </c>
      <c r="F1276" s="66">
        <f t="shared" si="135"/>
        <v>1</v>
      </c>
      <c r="G1276" s="66">
        <f t="shared" si="136"/>
        <v>0.61674912946008609</v>
      </c>
      <c r="H1276" s="66">
        <f t="shared" si="137"/>
        <v>0.2</v>
      </c>
      <c r="I1276" s="66">
        <f t="shared" si="138"/>
        <v>0</v>
      </c>
      <c r="J1276" s="66">
        <f t="shared" si="139"/>
        <v>0</v>
      </c>
      <c r="K1276" s="66">
        <f>IF(CurrentMtgRatesDataTable8[[#This Row],[WA CC]]&lt;&gt;0,C1275-CurrentMtgRatesDataTable8[[#This Row],[WA CC]],0)</f>
        <v>0</v>
      </c>
      <c r="L1276" s="66">
        <f>IF(CurrentMtgRatesDataTable8[[#This Row],[Servicing Spread]]&lt;=0,L1275,CurrentMtgRatesDataTable8[[#This Row],[Servicing Spread]])</f>
        <v>0.85938241926992953</v>
      </c>
      <c r="M1276" s="66">
        <f>CurrentMtgRatesDataTable8[[#This Row],[Servicing Spread Non-Zero]]-L1275</f>
        <v>0</v>
      </c>
      <c r="N1276" s="66">
        <f>IF(J1275&lt;&gt;0,CurrentMtgRatesDataTable8[[#This Row],[Rate]]-C1275,N1275)</f>
        <v>3.0000000000000249E-2</v>
      </c>
    </row>
    <row r="1277" spans="1:14">
      <c r="A1277" s="63" t="s">
        <v>1329</v>
      </c>
      <c r="B1277" s="64">
        <v>3.07550277889916</v>
      </c>
      <c r="C1277" s="65">
        <v>3.9249999999999998</v>
      </c>
      <c r="D1277" s="66">
        <f t="shared" si="133"/>
        <v>2</v>
      </c>
      <c r="E1277" s="66">
        <f t="shared" si="134"/>
        <v>0.2</v>
      </c>
      <c r="F1277" s="66">
        <f t="shared" si="135"/>
        <v>2</v>
      </c>
      <c r="G1277" s="66">
        <f t="shared" si="136"/>
        <v>1.2318496852399181</v>
      </c>
      <c r="H1277" s="66">
        <f t="shared" si="137"/>
        <v>0.4</v>
      </c>
      <c r="I1277" s="66">
        <f t="shared" si="138"/>
        <v>0</v>
      </c>
      <c r="J1277" s="66">
        <f t="shared" si="139"/>
        <v>0</v>
      </c>
      <c r="K1277" s="66">
        <f>IF(CurrentMtgRatesDataTable8[[#This Row],[WA CC]]&lt;&gt;0,C1276-CurrentMtgRatesDataTable8[[#This Row],[WA CC]],0)</f>
        <v>0</v>
      </c>
      <c r="L1277" s="66">
        <f>IF(CurrentMtgRatesDataTable8[[#This Row],[Servicing Spread]]&lt;=0,L1276,CurrentMtgRatesDataTable8[[#This Row],[Servicing Spread]])</f>
        <v>0.85938241926992953</v>
      </c>
      <c r="M1277" s="66">
        <f>CurrentMtgRatesDataTable8[[#This Row],[Servicing Spread Non-Zero]]-L1276</f>
        <v>0</v>
      </c>
      <c r="N1277" s="66">
        <f>IF(J1276&lt;&gt;0,CurrentMtgRatesDataTable8[[#This Row],[Rate]]-C1276,N1276)</f>
        <v>3.0000000000000249E-2</v>
      </c>
    </row>
    <row r="1278" spans="1:14">
      <c r="A1278" s="63" t="s">
        <v>1330</v>
      </c>
      <c r="B1278" s="64">
        <v>3.0924935285971999</v>
      </c>
      <c r="C1278" s="65">
        <v>3.9249999999999998</v>
      </c>
      <c r="D1278" s="66">
        <f t="shared" si="133"/>
        <v>5</v>
      </c>
      <c r="E1278" s="66">
        <f t="shared" si="134"/>
        <v>0.2</v>
      </c>
      <c r="F1278" s="66">
        <f t="shared" si="135"/>
        <v>3</v>
      </c>
      <c r="G1278" s="66">
        <f t="shared" si="136"/>
        <v>1.8503483909593581</v>
      </c>
      <c r="H1278" s="66">
        <f t="shared" si="137"/>
        <v>0.60000000000000009</v>
      </c>
      <c r="I1278" s="66">
        <f t="shared" si="138"/>
        <v>0</v>
      </c>
      <c r="J1278" s="66">
        <f t="shared" si="139"/>
        <v>0</v>
      </c>
      <c r="K1278" s="66">
        <f>IF(CurrentMtgRatesDataTable8[[#This Row],[WA CC]]&lt;&gt;0,C1277-CurrentMtgRatesDataTable8[[#This Row],[WA CC]],0)</f>
        <v>0</v>
      </c>
      <c r="L1278" s="66">
        <f>IF(CurrentMtgRatesDataTable8[[#This Row],[Servicing Spread]]&lt;=0,L1277,CurrentMtgRatesDataTable8[[#This Row],[Servicing Spread]])</f>
        <v>0.85938241926992953</v>
      </c>
      <c r="M1278" s="66">
        <f>CurrentMtgRatesDataTable8[[#This Row],[Servicing Spread Non-Zero]]-L1277</f>
        <v>0</v>
      </c>
      <c r="N1278" s="66">
        <f>IF(J1277&lt;&gt;0,CurrentMtgRatesDataTable8[[#This Row],[Rate]]-C1277,N1277)</f>
        <v>3.0000000000000249E-2</v>
      </c>
    </row>
    <row r="1279" spans="1:14">
      <c r="A1279" s="63" t="s">
        <v>1331</v>
      </c>
      <c r="B1279" s="64">
        <v>3.1238691664051901</v>
      </c>
      <c r="C1279" s="65">
        <v>3.9249999999999998</v>
      </c>
      <c r="D1279" s="66">
        <f t="shared" si="133"/>
        <v>6</v>
      </c>
      <c r="E1279" s="66">
        <f t="shared" si="134"/>
        <v>0.2</v>
      </c>
      <c r="F1279" s="66">
        <f t="shared" si="135"/>
        <v>4</v>
      </c>
      <c r="G1279" s="66">
        <f t="shared" si="136"/>
        <v>2.4751222242403963</v>
      </c>
      <c r="H1279" s="66">
        <f t="shared" si="137"/>
        <v>0.8</v>
      </c>
      <c r="I1279" s="66">
        <f t="shared" si="138"/>
        <v>0</v>
      </c>
      <c r="J1279" s="66">
        <f t="shared" si="139"/>
        <v>0</v>
      </c>
      <c r="K1279" s="66">
        <f>IF(CurrentMtgRatesDataTable8[[#This Row],[WA CC]]&lt;&gt;0,C1278-CurrentMtgRatesDataTable8[[#This Row],[WA CC]],0)</f>
        <v>0</v>
      </c>
      <c r="L1279" s="66">
        <f>IF(CurrentMtgRatesDataTable8[[#This Row],[Servicing Spread]]&lt;=0,L1278,CurrentMtgRatesDataTable8[[#This Row],[Servicing Spread]])</f>
        <v>0.85938241926992953</v>
      </c>
      <c r="M1279" s="66">
        <f>CurrentMtgRatesDataTable8[[#This Row],[Servicing Spread Non-Zero]]-L1278</f>
        <v>0</v>
      </c>
      <c r="N1279" s="66">
        <f>IF(J1278&lt;&gt;0,CurrentMtgRatesDataTable8[[#This Row],[Rate]]-C1278,N1278)</f>
        <v>3.0000000000000249E-2</v>
      </c>
    </row>
    <row r="1280" spans="1:14">
      <c r="A1280" s="63" t="s">
        <v>1332</v>
      </c>
      <c r="B1280" s="64">
        <v>3.1370226273665902</v>
      </c>
      <c r="C1280" s="65">
        <v>3.9249999999999998</v>
      </c>
      <c r="D1280" s="66">
        <f t="shared" si="133"/>
        <v>7</v>
      </c>
      <c r="E1280" s="66">
        <f t="shared" si="134"/>
        <v>0.2</v>
      </c>
      <c r="F1280" s="66">
        <f t="shared" si="135"/>
        <v>5</v>
      </c>
      <c r="G1280" s="66">
        <f t="shared" si="136"/>
        <v>3.1025267497137143</v>
      </c>
      <c r="H1280" s="66">
        <f t="shared" si="137"/>
        <v>1</v>
      </c>
      <c r="I1280" s="66">
        <f t="shared" si="138"/>
        <v>1</v>
      </c>
      <c r="J1280" s="66">
        <f t="shared" si="139"/>
        <v>3.1025267497137143</v>
      </c>
      <c r="K1280" s="66">
        <f>IF(CurrentMtgRatesDataTable8[[#This Row],[WA CC]]&lt;&gt;0,C1279-CurrentMtgRatesDataTable8[[#This Row],[WA CC]],0)</f>
        <v>0.82247325028628548</v>
      </c>
      <c r="L1280" s="66">
        <f>IF(CurrentMtgRatesDataTable8[[#This Row],[Servicing Spread]]&lt;=0,L1279,CurrentMtgRatesDataTable8[[#This Row],[Servicing Spread]])</f>
        <v>0.82247325028628548</v>
      </c>
      <c r="M1280" s="66">
        <f>CurrentMtgRatesDataTable8[[#This Row],[Servicing Spread Non-Zero]]-L1279</f>
        <v>-3.6909168983644047E-2</v>
      </c>
      <c r="N1280" s="66">
        <f>IF(J1279&lt;&gt;0,CurrentMtgRatesDataTable8[[#This Row],[Rate]]-C1279,N1279)</f>
        <v>3.0000000000000249E-2</v>
      </c>
    </row>
    <row r="1281" spans="1:14">
      <c r="A1281" s="63" t="s">
        <v>1333</v>
      </c>
      <c r="B1281" s="64">
        <v>3.13354455783506</v>
      </c>
      <c r="C1281" s="65">
        <v>3.8949999999999996</v>
      </c>
      <c r="D1281" s="66">
        <f t="shared" si="133"/>
        <v>1</v>
      </c>
      <c r="E1281" s="66">
        <f t="shared" si="134"/>
        <v>0.2</v>
      </c>
      <c r="F1281" s="66">
        <f t="shared" si="135"/>
        <v>1</v>
      </c>
      <c r="G1281" s="66">
        <f t="shared" si="136"/>
        <v>0.62670891156701203</v>
      </c>
      <c r="H1281" s="66">
        <f t="shared" si="137"/>
        <v>0.2</v>
      </c>
      <c r="I1281" s="66">
        <f t="shared" si="138"/>
        <v>0</v>
      </c>
      <c r="J1281" s="66">
        <f t="shared" si="139"/>
        <v>0</v>
      </c>
      <c r="K1281" s="66">
        <f>IF(CurrentMtgRatesDataTable8[[#This Row],[WA CC]]&lt;&gt;0,C1280-CurrentMtgRatesDataTable8[[#This Row],[WA CC]],0)</f>
        <v>0</v>
      </c>
      <c r="L1281" s="66">
        <f>IF(CurrentMtgRatesDataTable8[[#This Row],[Servicing Spread]]&lt;=0,L1280,CurrentMtgRatesDataTable8[[#This Row],[Servicing Spread]])</f>
        <v>0.82247325028628548</v>
      </c>
      <c r="M1281" s="66">
        <f>CurrentMtgRatesDataTable8[[#This Row],[Servicing Spread Non-Zero]]-L1280</f>
        <v>0</v>
      </c>
      <c r="N1281" s="66">
        <f>IF(J1280&lt;&gt;0,CurrentMtgRatesDataTable8[[#This Row],[Rate]]-C1280,N1280)</f>
        <v>-3.0000000000000249E-2</v>
      </c>
    </row>
    <row r="1282" spans="1:14">
      <c r="A1282" s="63" t="s">
        <v>1334</v>
      </c>
      <c r="B1282" s="64">
        <v>3.0503961031254101</v>
      </c>
      <c r="C1282" s="65">
        <v>3.8949999999999996</v>
      </c>
      <c r="D1282" s="66">
        <f t="shared" si="133"/>
        <v>2</v>
      </c>
      <c r="E1282" s="66">
        <f t="shared" si="134"/>
        <v>0.2</v>
      </c>
      <c r="F1282" s="66">
        <f t="shared" si="135"/>
        <v>2</v>
      </c>
      <c r="G1282" s="66">
        <f t="shared" si="136"/>
        <v>1.2367881321920939</v>
      </c>
      <c r="H1282" s="66">
        <f t="shared" si="137"/>
        <v>0.4</v>
      </c>
      <c r="I1282" s="66">
        <f t="shared" si="138"/>
        <v>0</v>
      </c>
      <c r="J1282" s="66">
        <f t="shared" si="139"/>
        <v>0</v>
      </c>
      <c r="K1282" s="66">
        <f>IF(CurrentMtgRatesDataTable8[[#This Row],[WA CC]]&lt;&gt;0,C1281-CurrentMtgRatesDataTable8[[#This Row],[WA CC]],0)</f>
        <v>0</v>
      </c>
      <c r="L1282" s="66">
        <f>IF(CurrentMtgRatesDataTable8[[#This Row],[Servicing Spread]]&lt;=0,L1281,CurrentMtgRatesDataTable8[[#This Row],[Servicing Spread]])</f>
        <v>0.82247325028628548</v>
      </c>
      <c r="M1282" s="66">
        <f>CurrentMtgRatesDataTable8[[#This Row],[Servicing Spread Non-Zero]]-L1281</f>
        <v>0</v>
      </c>
      <c r="N1282" s="66">
        <f>IF(J1281&lt;&gt;0,CurrentMtgRatesDataTable8[[#This Row],[Rate]]-C1281,N1281)</f>
        <v>-3.0000000000000249E-2</v>
      </c>
    </row>
    <row r="1283" spans="1:14">
      <c r="A1283" s="63" t="s">
        <v>1335</v>
      </c>
      <c r="B1283" s="64">
        <v>3.0540256886172599</v>
      </c>
      <c r="C1283" s="65">
        <v>3.8949999999999996</v>
      </c>
      <c r="D1283" s="66">
        <f t="shared" si="133"/>
        <v>5</v>
      </c>
      <c r="E1283" s="66">
        <f t="shared" si="134"/>
        <v>0.2</v>
      </c>
      <c r="F1283" s="66">
        <f t="shared" si="135"/>
        <v>3</v>
      </c>
      <c r="G1283" s="66">
        <f t="shared" si="136"/>
        <v>1.847593269915546</v>
      </c>
      <c r="H1283" s="66">
        <f t="shared" si="137"/>
        <v>0.60000000000000009</v>
      </c>
      <c r="I1283" s="66">
        <f t="shared" si="138"/>
        <v>0</v>
      </c>
      <c r="J1283" s="66">
        <f t="shared" si="139"/>
        <v>0</v>
      </c>
      <c r="K1283" s="66">
        <f>IF(CurrentMtgRatesDataTable8[[#This Row],[WA CC]]&lt;&gt;0,C1282-CurrentMtgRatesDataTable8[[#This Row],[WA CC]],0)</f>
        <v>0</v>
      </c>
      <c r="L1283" s="66">
        <f>IF(CurrentMtgRatesDataTable8[[#This Row],[Servicing Spread]]&lt;=0,L1282,CurrentMtgRatesDataTable8[[#This Row],[Servicing Spread]])</f>
        <v>0.82247325028628548</v>
      </c>
      <c r="M1283" s="66">
        <f>CurrentMtgRatesDataTable8[[#This Row],[Servicing Spread Non-Zero]]-L1282</f>
        <v>0</v>
      </c>
      <c r="N1283" s="66">
        <f>IF(J1282&lt;&gt;0,CurrentMtgRatesDataTable8[[#This Row],[Rate]]-C1282,N1282)</f>
        <v>-3.0000000000000249E-2</v>
      </c>
    </row>
    <row r="1284" spans="1:14">
      <c r="A1284" s="63" t="s">
        <v>1336</v>
      </c>
      <c r="B1284" s="64">
        <v>3.0367748690923499</v>
      </c>
      <c r="C1284" s="65">
        <v>3.8949999999999996</v>
      </c>
      <c r="D1284" s="66">
        <f t="shared" si="133"/>
        <v>6</v>
      </c>
      <c r="E1284" s="66">
        <f t="shared" si="134"/>
        <v>0.2</v>
      </c>
      <c r="F1284" s="66">
        <f t="shared" si="135"/>
        <v>4</v>
      </c>
      <c r="G1284" s="66">
        <f t="shared" si="136"/>
        <v>2.454948243734016</v>
      </c>
      <c r="H1284" s="66">
        <f t="shared" si="137"/>
        <v>0.8</v>
      </c>
      <c r="I1284" s="66">
        <f t="shared" si="138"/>
        <v>0</v>
      </c>
      <c r="J1284" s="66">
        <f t="shared" si="139"/>
        <v>0</v>
      </c>
      <c r="K1284" s="66">
        <f>IF(CurrentMtgRatesDataTable8[[#This Row],[WA CC]]&lt;&gt;0,C1283-CurrentMtgRatesDataTable8[[#This Row],[WA CC]],0)</f>
        <v>0</v>
      </c>
      <c r="L1284" s="66">
        <f>IF(CurrentMtgRatesDataTable8[[#This Row],[Servicing Spread]]&lt;=0,L1283,CurrentMtgRatesDataTable8[[#This Row],[Servicing Spread]])</f>
        <v>0.82247325028628548</v>
      </c>
      <c r="M1284" s="66">
        <f>CurrentMtgRatesDataTable8[[#This Row],[Servicing Spread Non-Zero]]-L1283</f>
        <v>0</v>
      </c>
      <c r="N1284" s="66">
        <f>IF(J1283&lt;&gt;0,CurrentMtgRatesDataTable8[[#This Row],[Rate]]-C1283,N1283)</f>
        <v>-3.0000000000000249E-2</v>
      </c>
    </row>
    <row r="1285" spans="1:14">
      <c r="A1285" s="63" t="s">
        <v>1337</v>
      </c>
      <c r="B1285" s="64">
        <v>2.9255759416218798</v>
      </c>
      <c r="C1285" s="65">
        <v>3.8949999999999996</v>
      </c>
      <c r="D1285" s="66">
        <f t="shared" ref="D1285:D1348" si="140">WEEKDAY(A1285,14)</f>
        <v>7</v>
      </c>
      <c r="E1285" s="66">
        <f t="shared" ref="E1285:E1348" si="141">VLOOKUP(D1285,Q$5:R$11,2,FALSE)</f>
        <v>0.2</v>
      </c>
      <c r="F1285" s="66">
        <f t="shared" ref="F1285:F1348" si="142">IF(AND(D1285&gt;D1284,F1284&lt;6),F1284+1,1)</f>
        <v>5</v>
      </c>
      <c r="G1285" s="66">
        <f t="shared" ref="G1285:G1348" si="143">IF(F1285&gt;F1284,G1284+B1285*E1285,B1285*E1285)</f>
        <v>3.0400634320583921</v>
      </c>
      <c r="H1285" s="66">
        <f t="shared" ref="H1285:H1348" si="144">IF(AND(F1285&lt;6,F1285&gt;F1284),E1285+H1284,E1285)</f>
        <v>1</v>
      </c>
      <c r="I1285" s="66">
        <f t="shared" ref="I1285:I1348" si="145">IF(F1285&gt;F1286,1,0)</f>
        <v>1</v>
      </c>
      <c r="J1285" s="66">
        <f t="shared" ref="J1285:J1348" si="146">IF(F1285&gt;F1286,G1285/H1285,0)</f>
        <v>3.0400634320583921</v>
      </c>
      <c r="K1285" s="66">
        <f>IF(CurrentMtgRatesDataTable8[[#This Row],[WA CC]]&lt;&gt;0,C1284-CurrentMtgRatesDataTable8[[#This Row],[WA CC]],0)</f>
        <v>0.85493656794160744</v>
      </c>
      <c r="L1285" s="66">
        <f>IF(CurrentMtgRatesDataTable8[[#This Row],[Servicing Spread]]&lt;=0,L1284,CurrentMtgRatesDataTable8[[#This Row],[Servicing Spread]])</f>
        <v>0.85493656794160744</v>
      </c>
      <c r="M1285" s="66">
        <f>CurrentMtgRatesDataTable8[[#This Row],[Servicing Spread Non-Zero]]-L1284</f>
        <v>3.2463317655321955E-2</v>
      </c>
      <c r="N1285" s="66">
        <f>IF(J1284&lt;&gt;0,CurrentMtgRatesDataTable8[[#This Row],[Rate]]-C1284,N1284)</f>
        <v>-3.0000000000000249E-2</v>
      </c>
    </row>
    <row r="1286" spans="1:14">
      <c r="A1286" s="63" t="s">
        <v>1338</v>
      </c>
      <c r="B1286" s="64">
        <v>2.96077919351512</v>
      </c>
      <c r="C1286" s="65">
        <v>3.8250000000000002</v>
      </c>
      <c r="D1286" s="66">
        <f t="shared" si="140"/>
        <v>1</v>
      </c>
      <c r="E1286" s="66">
        <f t="shared" si="141"/>
        <v>0.2</v>
      </c>
      <c r="F1286" s="66">
        <f t="shared" si="142"/>
        <v>1</v>
      </c>
      <c r="G1286" s="66">
        <f t="shared" si="143"/>
        <v>0.59215583870302402</v>
      </c>
      <c r="H1286" s="66">
        <f t="shared" si="144"/>
        <v>0.2</v>
      </c>
      <c r="I1286" s="66">
        <f t="shared" si="145"/>
        <v>0</v>
      </c>
      <c r="J1286" s="66">
        <f t="shared" si="146"/>
        <v>0</v>
      </c>
      <c r="K1286" s="66">
        <f>IF(CurrentMtgRatesDataTable8[[#This Row],[WA CC]]&lt;&gt;0,C1285-CurrentMtgRatesDataTable8[[#This Row],[WA CC]],0)</f>
        <v>0</v>
      </c>
      <c r="L1286" s="66">
        <f>IF(CurrentMtgRatesDataTable8[[#This Row],[Servicing Spread]]&lt;=0,L1285,CurrentMtgRatesDataTable8[[#This Row],[Servicing Spread]])</f>
        <v>0.85493656794160744</v>
      </c>
      <c r="M1286" s="66">
        <f>CurrentMtgRatesDataTable8[[#This Row],[Servicing Spread Non-Zero]]-L1285</f>
        <v>0</v>
      </c>
      <c r="N1286" s="66">
        <f>IF(J1285&lt;&gt;0,CurrentMtgRatesDataTable8[[#This Row],[Rate]]-C1285,N1285)</f>
        <v>-6.9999999999999396E-2</v>
      </c>
    </row>
    <row r="1287" spans="1:14">
      <c r="A1287" s="63" t="s">
        <v>1339</v>
      </c>
      <c r="B1287" s="64">
        <v>2.9772059927121801</v>
      </c>
      <c r="C1287" s="65">
        <v>3.8250000000000002</v>
      </c>
      <c r="D1287" s="66">
        <f t="shared" si="140"/>
        <v>2</v>
      </c>
      <c r="E1287" s="66">
        <f t="shared" si="141"/>
        <v>0.2</v>
      </c>
      <c r="F1287" s="66">
        <f t="shared" si="142"/>
        <v>2</v>
      </c>
      <c r="G1287" s="66">
        <f t="shared" si="143"/>
        <v>1.1875970372454601</v>
      </c>
      <c r="H1287" s="66">
        <f t="shared" si="144"/>
        <v>0.4</v>
      </c>
      <c r="I1287" s="66">
        <f t="shared" si="145"/>
        <v>0</v>
      </c>
      <c r="J1287" s="66">
        <f t="shared" si="146"/>
        <v>0</v>
      </c>
      <c r="K1287" s="66">
        <f>IF(CurrentMtgRatesDataTable8[[#This Row],[WA CC]]&lt;&gt;0,C1286-CurrentMtgRatesDataTable8[[#This Row],[WA CC]],0)</f>
        <v>0</v>
      </c>
      <c r="L1287" s="66">
        <f>IF(CurrentMtgRatesDataTable8[[#This Row],[Servicing Spread]]&lt;=0,L1286,CurrentMtgRatesDataTable8[[#This Row],[Servicing Spread]])</f>
        <v>0.85493656794160744</v>
      </c>
      <c r="M1287" s="66">
        <f>CurrentMtgRatesDataTable8[[#This Row],[Servicing Spread Non-Zero]]-L1286</f>
        <v>0</v>
      </c>
      <c r="N1287" s="66">
        <f>IF(J1286&lt;&gt;0,CurrentMtgRatesDataTable8[[#This Row],[Rate]]-C1286,N1286)</f>
        <v>-6.9999999999999396E-2</v>
      </c>
    </row>
    <row r="1288" spans="1:14">
      <c r="A1288" s="63" t="s">
        <v>1340</v>
      </c>
      <c r="B1288" s="64">
        <v>2.98253297919802</v>
      </c>
      <c r="C1288" s="65">
        <v>3.8250000000000002</v>
      </c>
      <c r="D1288" s="66">
        <f t="shared" si="140"/>
        <v>5</v>
      </c>
      <c r="E1288" s="66">
        <f t="shared" si="141"/>
        <v>0.2</v>
      </c>
      <c r="F1288" s="66">
        <f t="shared" si="142"/>
        <v>3</v>
      </c>
      <c r="G1288" s="66">
        <f t="shared" si="143"/>
        <v>1.7841036330850639</v>
      </c>
      <c r="H1288" s="66">
        <f t="shared" si="144"/>
        <v>0.60000000000000009</v>
      </c>
      <c r="I1288" s="66">
        <f t="shared" si="145"/>
        <v>0</v>
      </c>
      <c r="J1288" s="66">
        <f t="shared" si="146"/>
        <v>0</v>
      </c>
      <c r="K1288" s="66">
        <f>IF(CurrentMtgRatesDataTable8[[#This Row],[WA CC]]&lt;&gt;0,C1287-CurrentMtgRatesDataTable8[[#This Row],[WA CC]],0)</f>
        <v>0</v>
      </c>
      <c r="L1288" s="66">
        <f>IF(CurrentMtgRatesDataTable8[[#This Row],[Servicing Spread]]&lt;=0,L1287,CurrentMtgRatesDataTable8[[#This Row],[Servicing Spread]])</f>
        <v>0.85493656794160744</v>
      </c>
      <c r="M1288" s="66">
        <f>CurrentMtgRatesDataTable8[[#This Row],[Servicing Spread Non-Zero]]-L1287</f>
        <v>0</v>
      </c>
      <c r="N1288" s="66">
        <f>IF(J1287&lt;&gt;0,CurrentMtgRatesDataTable8[[#This Row],[Rate]]-C1287,N1287)</f>
        <v>-6.9999999999999396E-2</v>
      </c>
    </row>
    <row r="1289" spans="1:14">
      <c r="A1289" s="63" t="s">
        <v>1341</v>
      </c>
      <c r="B1289" s="64">
        <v>3.0058699919752301</v>
      </c>
      <c r="C1289" s="65">
        <v>3.8250000000000002</v>
      </c>
      <c r="D1289" s="66">
        <f t="shared" si="140"/>
        <v>6</v>
      </c>
      <c r="E1289" s="66">
        <f t="shared" si="141"/>
        <v>0.2</v>
      </c>
      <c r="F1289" s="66">
        <f t="shared" si="142"/>
        <v>4</v>
      </c>
      <c r="G1289" s="66">
        <f t="shared" si="143"/>
        <v>2.3852776314801099</v>
      </c>
      <c r="H1289" s="66">
        <f t="shared" si="144"/>
        <v>0.8</v>
      </c>
      <c r="I1289" s="66">
        <f t="shared" si="145"/>
        <v>0</v>
      </c>
      <c r="J1289" s="66">
        <f t="shared" si="146"/>
        <v>0</v>
      </c>
      <c r="K1289" s="66">
        <f>IF(CurrentMtgRatesDataTable8[[#This Row],[WA CC]]&lt;&gt;0,C1288-CurrentMtgRatesDataTable8[[#This Row],[WA CC]],0)</f>
        <v>0</v>
      </c>
      <c r="L1289" s="66">
        <f>IF(CurrentMtgRatesDataTable8[[#This Row],[Servicing Spread]]&lt;=0,L1288,CurrentMtgRatesDataTable8[[#This Row],[Servicing Spread]])</f>
        <v>0.85493656794160744</v>
      </c>
      <c r="M1289" s="66">
        <f>CurrentMtgRatesDataTable8[[#This Row],[Servicing Spread Non-Zero]]-L1288</f>
        <v>0</v>
      </c>
      <c r="N1289" s="66">
        <f>IF(J1288&lt;&gt;0,CurrentMtgRatesDataTable8[[#This Row],[Rate]]-C1288,N1288)</f>
        <v>-6.9999999999999396E-2</v>
      </c>
    </row>
    <row r="1290" spans="1:14">
      <c r="A1290" s="63" t="s">
        <v>1342</v>
      </c>
      <c r="B1290" s="64">
        <v>2.9850094443117499</v>
      </c>
      <c r="C1290" s="65">
        <v>3.8250000000000002</v>
      </c>
      <c r="D1290" s="66">
        <f t="shared" si="140"/>
        <v>7</v>
      </c>
      <c r="E1290" s="66">
        <f t="shared" si="141"/>
        <v>0.2</v>
      </c>
      <c r="F1290" s="66">
        <f t="shared" si="142"/>
        <v>5</v>
      </c>
      <c r="G1290" s="66">
        <f t="shared" si="143"/>
        <v>2.9822795203424599</v>
      </c>
      <c r="H1290" s="66">
        <f t="shared" si="144"/>
        <v>1</v>
      </c>
      <c r="I1290" s="66">
        <f t="shared" si="145"/>
        <v>1</v>
      </c>
      <c r="J1290" s="66">
        <f t="shared" si="146"/>
        <v>2.9822795203424599</v>
      </c>
      <c r="K1290" s="66">
        <f>IF(CurrentMtgRatesDataTable8[[#This Row],[WA CC]]&lt;&gt;0,C1289-CurrentMtgRatesDataTable8[[#This Row],[WA CC]],0)</f>
        <v>0.84272047965754027</v>
      </c>
      <c r="L1290" s="66">
        <f>IF(CurrentMtgRatesDataTable8[[#This Row],[Servicing Spread]]&lt;=0,L1289,CurrentMtgRatesDataTable8[[#This Row],[Servicing Spread]])</f>
        <v>0.84272047965754027</v>
      </c>
      <c r="M1290" s="66">
        <f>CurrentMtgRatesDataTable8[[#This Row],[Servicing Spread Non-Zero]]-L1289</f>
        <v>-1.2216088284067173E-2</v>
      </c>
      <c r="N1290" s="66">
        <f>IF(J1289&lt;&gt;0,CurrentMtgRatesDataTable8[[#This Row],[Rate]]-C1289,N1289)</f>
        <v>-6.9999999999999396E-2</v>
      </c>
    </row>
    <row r="1291" spans="1:14">
      <c r="A1291" s="63" t="s">
        <v>1343</v>
      </c>
      <c r="B1291" s="64">
        <v>2.9655991684288501</v>
      </c>
      <c r="C1291" s="65">
        <v>3.8149999999999999</v>
      </c>
      <c r="D1291" s="66">
        <f t="shared" si="140"/>
        <v>1</v>
      </c>
      <c r="E1291" s="66">
        <f t="shared" si="141"/>
        <v>0.2</v>
      </c>
      <c r="F1291" s="66">
        <f t="shared" si="142"/>
        <v>1</v>
      </c>
      <c r="G1291" s="66">
        <f t="shared" si="143"/>
        <v>0.59311983368577004</v>
      </c>
      <c r="H1291" s="66">
        <f t="shared" si="144"/>
        <v>0.2</v>
      </c>
      <c r="I1291" s="66">
        <f t="shared" si="145"/>
        <v>0</v>
      </c>
      <c r="J1291" s="66">
        <f t="shared" si="146"/>
        <v>0</v>
      </c>
      <c r="K1291" s="66">
        <f>IF(CurrentMtgRatesDataTable8[[#This Row],[WA CC]]&lt;&gt;0,C1290-CurrentMtgRatesDataTable8[[#This Row],[WA CC]],0)</f>
        <v>0</v>
      </c>
      <c r="L1291" s="66">
        <f>IF(CurrentMtgRatesDataTable8[[#This Row],[Servicing Spread]]&lt;=0,L1290,CurrentMtgRatesDataTable8[[#This Row],[Servicing Spread]])</f>
        <v>0.84272047965754027</v>
      </c>
      <c r="M1291" s="66">
        <f>CurrentMtgRatesDataTable8[[#This Row],[Servicing Spread Non-Zero]]-L1290</f>
        <v>0</v>
      </c>
      <c r="N1291" s="66">
        <f>IF(J1290&lt;&gt;0,CurrentMtgRatesDataTable8[[#This Row],[Rate]]-C1290,N1290)</f>
        <v>-1.0000000000000231E-2</v>
      </c>
    </row>
    <row r="1292" spans="1:14">
      <c r="A1292" s="63" t="s">
        <v>1344</v>
      </c>
      <c r="B1292" s="64">
        <v>2.9675370068735298</v>
      </c>
      <c r="C1292" s="65">
        <v>3.8149999999999999</v>
      </c>
      <c r="D1292" s="66">
        <f t="shared" si="140"/>
        <v>2</v>
      </c>
      <c r="E1292" s="66">
        <f t="shared" si="141"/>
        <v>0.2</v>
      </c>
      <c r="F1292" s="66">
        <f t="shared" si="142"/>
        <v>2</v>
      </c>
      <c r="G1292" s="66">
        <f t="shared" si="143"/>
        <v>1.1866272350604761</v>
      </c>
      <c r="H1292" s="66">
        <f t="shared" si="144"/>
        <v>0.4</v>
      </c>
      <c r="I1292" s="66">
        <f t="shared" si="145"/>
        <v>0</v>
      </c>
      <c r="J1292" s="66">
        <f t="shared" si="146"/>
        <v>0</v>
      </c>
      <c r="K1292" s="66">
        <f>IF(CurrentMtgRatesDataTable8[[#This Row],[WA CC]]&lt;&gt;0,C1291-CurrentMtgRatesDataTable8[[#This Row],[WA CC]],0)</f>
        <v>0</v>
      </c>
      <c r="L1292" s="66">
        <f>IF(CurrentMtgRatesDataTable8[[#This Row],[Servicing Spread]]&lt;=0,L1291,CurrentMtgRatesDataTable8[[#This Row],[Servicing Spread]])</f>
        <v>0.84272047965754027</v>
      </c>
      <c r="M1292" s="66">
        <f>CurrentMtgRatesDataTable8[[#This Row],[Servicing Spread Non-Zero]]-L1291</f>
        <v>0</v>
      </c>
      <c r="N1292" s="66">
        <f>IF(J1291&lt;&gt;0,CurrentMtgRatesDataTable8[[#This Row],[Rate]]-C1291,N1291)</f>
        <v>-1.0000000000000231E-2</v>
      </c>
    </row>
    <row r="1293" spans="1:14">
      <c r="A1293" s="63" t="s">
        <v>1345</v>
      </c>
      <c r="B1293" s="64">
        <v>2.9372545764826601</v>
      </c>
      <c r="C1293" s="65">
        <v>3.8149999999999999</v>
      </c>
      <c r="D1293" s="66">
        <f t="shared" si="140"/>
        <v>6</v>
      </c>
      <c r="E1293" s="66">
        <f t="shared" si="141"/>
        <v>0.2</v>
      </c>
      <c r="F1293" s="66">
        <f t="shared" si="142"/>
        <v>3</v>
      </c>
      <c r="G1293" s="66">
        <f t="shared" si="143"/>
        <v>1.774078150357008</v>
      </c>
      <c r="H1293" s="66">
        <f t="shared" si="144"/>
        <v>0.60000000000000009</v>
      </c>
      <c r="I1293" s="66">
        <f t="shared" si="145"/>
        <v>0</v>
      </c>
      <c r="J1293" s="66">
        <f t="shared" si="146"/>
        <v>0</v>
      </c>
      <c r="K1293" s="66">
        <f>IF(CurrentMtgRatesDataTable8[[#This Row],[WA CC]]&lt;&gt;0,C1292-CurrentMtgRatesDataTable8[[#This Row],[WA CC]],0)</f>
        <v>0</v>
      </c>
      <c r="L1293" s="66">
        <f>IF(CurrentMtgRatesDataTable8[[#This Row],[Servicing Spread]]&lt;=0,L1292,CurrentMtgRatesDataTable8[[#This Row],[Servicing Spread]])</f>
        <v>0.84272047965754027</v>
      </c>
      <c r="M1293" s="66">
        <f>CurrentMtgRatesDataTable8[[#This Row],[Servicing Spread Non-Zero]]-L1292</f>
        <v>0</v>
      </c>
      <c r="N1293" s="66">
        <f>IF(J1292&lt;&gt;0,CurrentMtgRatesDataTable8[[#This Row],[Rate]]-C1292,N1292)</f>
        <v>-1.0000000000000231E-2</v>
      </c>
    </row>
    <row r="1294" spans="1:14">
      <c r="A1294" s="63" t="s">
        <v>1346</v>
      </c>
      <c r="B1294" s="64">
        <v>2.9230211048442398</v>
      </c>
      <c r="C1294" s="65">
        <v>3.8149999999999999</v>
      </c>
      <c r="D1294" s="66">
        <f t="shared" si="140"/>
        <v>7</v>
      </c>
      <c r="E1294" s="66">
        <f t="shared" si="141"/>
        <v>0.2</v>
      </c>
      <c r="F1294" s="66">
        <f t="shared" si="142"/>
        <v>4</v>
      </c>
      <c r="G1294" s="66">
        <f t="shared" si="143"/>
        <v>2.3586823713258562</v>
      </c>
      <c r="H1294" s="66">
        <f t="shared" si="144"/>
        <v>0.8</v>
      </c>
      <c r="I1294" s="66">
        <f t="shared" si="145"/>
        <v>1</v>
      </c>
      <c r="J1294" s="66">
        <f t="shared" si="146"/>
        <v>2.9483529641573201</v>
      </c>
      <c r="K1294" s="66">
        <f>IF(CurrentMtgRatesDataTable8[[#This Row],[WA CC]]&lt;&gt;0,C1293-CurrentMtgRatesDataTable8[[#This Row],[WA CC]],0)</f>
        <v>0.86664703584267988</v>
      </c>
      <c r="L1294" s="66">
        <f>IF(CurrentMtgRatesDataTable8[[#This Row],[Servicing Spread]]&lt;=0,L1293,CurrentMtgRatesDataTable8[[#This Row],[Servicing Spread]])</f>
        <v>0.86664703584267988</v>
      </c>
      <c r="M1294" s="66">
        <f>CurrentMtgRatesDataTable8[[#This Row],[Servicing Spread Non-Zero]]-L1293</f>
        <v>2.3926556185139614E-2</v>
      </c>
      <c r="N1294" s="66">
        <f>IF(J1293&lt;&gt;0,CurrentMtgRatesDataTable8[[#This Row],[Rate]]-C1293,N1293)</f>
        <v>-1.0000000000000231E-2</v>
      </c>
    </row>
    <row r="1295" spans="1:14">
      <c r="A1295" s="63" t="s">
        <v>1347</v>
      </c>
      <c r="B1295" s="64">
        <v>2.9488855063004098</v>
      </c>
      <c r="C1295" s="65">
        <v>3.7650000000000001</v>
      </c>
      <c r="D1295" s="66">
        <f t="shared" si="140"/>
        <v>1</v>
      </c>
      <c r="E1295" s="66">
        <f t="shared" si="141"/>
        <v>0.2</v>
      </c>
      <c r="F1295" s="66">
        <f t="shared" si="142"/>
        <v>1</v>
      </c>
      <c r="G1295" s="66">
        <f t="shared" si="143"/>
        <v>0.58977710126008198</v>
      </c>
      <c r="H1295" s="66">
        <f t="shared" si="144"/>
        <v>0.2</v>
      </c>
      <c r="I1295" s="66">
        <f t="shared" si="145"/>
        <v>0</v>
      </c>
      <c r="J1295" s="66">
        <f t="shared" si="146"/>
        <v>0</v>
      </c>
      <c r="K1295" s="66">
        <f>IF(CurrentMtgRatesDataTable8[[#This Row],[WA CC]]&lt;&gt;0,C1294-CurrentMtgRatesDataTable8[[#This Row],[WA CC]],0)</f>
        <v>0</v>
      </c>
      <c r="L1295" s="66">
        <f>IF(CurrentMtgRatesDataTable8[[#This Row],[Servicing Spread]]&lt;=0,L1294,CurrentMtgRatesDataTable8[[#This Row],[Servicing Spread]])</f>
        <v>0.86664703584267988</v>
      </c>
      <c r="M1295" s="66">
        <f>CurrentMtgRatesDataTable8[[#This Row],[Servicing Spread Non-Zero]]-L1294</f>
        <v>0</v>
      </c>
      <c r="N1295" s="66">
        <f>IF(J1294&lt;&gt;0,CurrentMtgRatesDataTable8[[#This Row],[Rate]]-C1294,N1294)</f>
        <v>-4.9999999999999822E-2</v>
      </c>
    </row>
    <row r="1296" spans="1:14">
      <c r="A1296" s="63" t="s">
        <v>1348</v>
      </c>
      <c r="B1296" s="64">
        <v>2.90078451779174</v>
      </c>
      <c r="C1296" s="65">
        <v>3.7650000000000001</v>
      </c>
      <c r="D1296" s="66">
        <f t="shared" si="140"/>
        <v>2</v>
      </c>
      <c r="E1296" s="66">
        <f t="shared" si="141"/>
        <v>0.2</v>
      </c>
      <c r="F1296" s="66">
        <f t="shared" si="142"/>
        <v>2</v>
      </c>
      <c r="G1296" s="66">
        <f t="shared" si="143"/>
        <v>1.1699340048184301</v>
      </c>
      <c r="H1296" s="66">
        <f t="shared" si="144"/>
        <v>0.4</v>
      </c>
      <c r="I1296" s="66">
        <f t="shared" si="145"/>
        <v>0</v>
      </c>
      <c r="J1296" s="66">
        <f t="shared" si="146"/>
        <v>0</v>
      </c>
      <c r="K1296" s="66">
        <f>IF(CurrentMtgRatesDataTable8[[#This Row],[WA CC]]&lt;&gt;0,C1295-CurrentMtgRatesDataTable8[[#This Row],[WA CC]],0)</f>
        <v>0</v>
      </c>
      <c r="L1296" s="66">
        <f>IF(CurrentMtgRatesDataTable8[[#This Row],[Servicing Spread]]&lt;=0,L1295,CurrentMtgRatesDataTable8[[#This Row],[Servicing Spread]])</f>
        <v>0.86664703584267988</v>
      </c>
      <c r="M1296" s="66">
        <f>CurrentMtgRatesDataTable8[[#This Row],[Servicing Spread Non-Zero]]-L1295</f>
        <v>0</v>
      </c>
      <c r="N1296" s="66">
        <f>IF(J1295&lt;&gt;0,CurrentMtgRatesDataTable8[[#This Row],[Rate]]-C1295,N1295)</f>
        <v>-4.9999999999999822E-2</v>
      </c>
    </row>
    <row r="1297" spans="1:14">
      <c r="A1297" s="63" t="s">
        <v>1349</v>
      </c>
      <c r="B1297" s="64">
        <v>2.9134061518930401</v>
      </c>
      <c r="C1297" s="65">
        <v>3.7650000000000001</v>
      </c>
      <c r="D1297" s="66">
        <f t="shared" si="140"/>
        <v>5</v>
      </c>
      <c r="E1297" s="66">
        <f t="shared" si="141"/>
        <v>0.2</v>
      </c>
      <c r="F1297" s="66">
        <f t="shared" si="142"/>
        <v>3</v>
      </c>
      <c r="G1297" s="66">
        <f t="shared" si="143"/>
        <v>1.7526152351970383</v>
      </c>
      <c r="H1297" s="66">
        <f t="shared" si="144"/>
        <v>0.60000000000000009</v>
      </c>
      <c r="I1297" s="66">
        <f t="shared" si="145"/>
        <v>0</v>
      </c>
      <c r="J1297" s="66">
        <f t="shared" si="146"/>
        <v>0</v>
      </c>
      <c r="K1297" s="66">
        <f>IF(CurrentMtgRatesDataTable8[[#This Row],[WA CC]]&lt;&gt;0,C1296-CurrentMtgRatesDataTable8[[#This Row],[WA CC]],0)</f>
        <v>0</v>
      </c>
      <c r="L1297" s="66">
        <f>IF(CurrentMtgRatesDataTable8[[#This Row],[Servicing Spread]]&lt;=0,L1296,CurrentMtgRatesDataTable8[[#This Row],[Servicing Spread]])</f>
        <v>0.86664703584267988</v>
      </c>
      <c r="M1297" s="66">
        <f>CurrentMtgRatesDataTable8[[#This Row],[Servicing Spread Non-Zero]]-L1296</f>
        <v>0</v>
      </c>
      <c r="N1297" s="66">
        <f>IF(J1296&lt;&gt;0,CurrentMtgRatesDataTable8[[#This Row],[Rate]]-C1296,N1296)</f>
        <v>-4.9999999999999822E-2</v>
      </c>
    </row>
    <row r="1298" spans="1:14">
      <c r="A1298" s="63" t="s">
        <v>1350</v>
      </c>
      <c r="B1298" s="64">
        <v>2.87725867553146</v>
      </c>
      <c r="C1298" s="65">
        <v>3.7650000000000001</v>
      </c>
      <c r="D1298" s="66">
        <f t="shared" si="140"/>
        <v>6</v>
      </c>
      <c r="E1298" s="66">
        <f t="shared" si="141"/>
        <v>0.2</v>
      </c>
      <c r="F1298" s="66">
        <f t="shared" si="142"/>
        <v>4</v>
      </c>
      <c r="G1298" s="66">
        <f t="shared" si="143"/>
        <v>2.3280669703033303</v>
      </c>
      <c r="H1298" s="66">
        <f t="shared" si="144"/>
        <v>0.8</v>
      </c>
      <c r="I1298" s="66">
        <f t="shared" si="145"/>
        <v>0</v>
      </c>
      <c r="J1298" s="66">
        <f t="shared" si="146"/>
        <v>0</v>
      </c>
      <c r="K1298" s="66">
        <f>IF(CurrentMtgRatesDataTable8[[#This Row],[WA CC]]&lt;&gt;0,C1297-CurrentMtgRatesDataTable8[[#This Row],[WA CC]],0)</f>
        <v>0</v>
      </c>
      <c r="L1298" s="66">
        <f>IF(CurrentMtgRatesDataTable8[[#This Row],[Servicing Spread]]&lt;=0,L1297,CurrentMtgRatesDataTable8[[#This Row],[Servicing Spread]])</f>
        <v>0.86664703584267988</v>
      </c>
      <c r="M1298" s="66">
        <f>CurrentMtgRatesDataTable8[[#This Row],[Servicing Spread Non-Zero]]-L1297</f>
        <v>0</v>
      </c>
      <c r="N1298" s="66">
        <f>IF(J1297&lt;&gt;0,CurrentMtgRatesDataTable8[[#This Row],[Rate]]-C1297,N1297)</f>
        <v>-4.9999999999999822E-2</v>
      </c>
    </row>
    <row r="1299" spans="1:14">
      <c r="A1299" s="63" t="s">
        <v>1351</v>
      </c>
      <c r="B1299" s="64">
        <v>2.9007963657703</v>
      </c>
      <c r="C1299" s="65">
        <v>3.7650000000000001</v>
      </c>
      <c r="D1299" s="66">
        <f t="shared" si="140"/>
        <v>7</v>
      </c>
      <c r="E1299" s="66">
        <f t="shared" si="141"/>
        <v>0.2</v>
      </c>
      <c r="F1299" s="66">
        <f t="shared" si="142"/>
        <v>5</v>
      </c>
      <c r="G1299" s="66">
        <f t="shared" si="143"/>
        <v>2.9082262434573902</v>
      </c>
      <c r="H1299" s="66">
        <f t="shared" si="144"/>
        <v>1</v>
      </c>
      <c r="I1299" s="66">
        <f t="shared" si="145"/>
        <v>1</v>
      </c>
      <c r="J1299" s="66">
        <f t="shared" si="146"/>
        <v>2.9082262434573902</v>
      </c>
      <c r="K1299" s="66">
        <f>IF(CurrentMtgRatesDataTable8[[#This Row],[WA CC]]&lt;&gt;0,C1298-CurrentMtgRatesDataTable8[[#This Row],[WA CC]],0)</f>
        <v>0.8567737565426099</v>
      </c>
      <c r="L1299" s="66">
        <f>IF(CurrentMtgRatesDataTable8[[#This Row],[Servicing Spread]]&lt;=0,L1298,CurrentMtgRatesDataTable8[[#This Row],[Servicing Spread]])</f>
        <v>0.8567737565426099</v>
      </c>
      <c r="M1299" s="66">
        <f>CurrentMtgRatesDataTable8[[#This Row],[Servicing Spread Non-Zero]]-L1298</f>
        <v>-9.8732793000699814E-3</v>
      </c>
      <c r="N1299" s="66">
        <f>IF(J1298&lt;&gt;0,CurrentMtgRatesDataTable8[[#This Row],[Rate]]-C1298,N1298)</f>
        <v>-4.9999999999999822E-2</v>
      </c>
    </row>
    <row r="1300" spans="1:14">
      <c r="A1300" s="63" t="s">
        <v>1352</v>
      </c>
      <c r="B1300" s="64">
        <v>2.90843617288568</v>
      </c>
      <c r="C1300" s="65">
        <v>3.7850000000000001</v>
      </c>
      <c r="D1300" s="66">
        <f t="shared" si="140"/>
        <v>1</v>
      </c>
      <c r="E1300" s="66">
        <f t="shared" si="141"/>
        <v>0.2</v>
      </c>
      <c r="F1300" s="66">
        <f t="shared" si="142"/>
        <v>1</v>
      </c>
      <c r="G1300" s="66">
        <f t="shared" si="143"/>
        <v>0.581687234577136</v>
      </c>
      <c r="H1300" s="66">
        <f t="shared" si="144"/>
        <v>0.2</v>
      </c>
      <c r="I1300" s="66">
        <f t="shared" si="145"/>
        <v>0</v>
      </c>
      <c r="J1300" s="66">
        <f t="shared" si="146"/>
        <v>0</v>
      </c>
      <c r="K1300" s="66">
        <f>IF(CurrentMtgRatesDataTable8[[#This Row],[WA CC]]&lt;&gt;0,C1299-CurrentMtgRatesDataTable8[[#This Row],[WA CC]],0)</f>
        <v>0</v>
      </c>
      <c r="L1300" s="66">
        <f>IF(CurrentMtgRatesDataTable8[[#This Row],[Servicing Spread]]&lt;=0,L1299,CurrentMtgRatesDataTable8[[#This Row],[Servicing Spread]])</f>
        <v>0.8567737565426099</v>
      </c>
      <c r="M1300" s="66">
        <f>CurrentMtgRatesDataTable8[[#This Row],[Servicing Spread Non-Zero]]-L1299</f>
        <v>0</v>
      </c>
      <c r="N1300" s="66">
        <f>IF(J1299&lt;&gt;0,CurrentMtgRatesDataTable8[[#This Row],[Rate]]-C1299,N1299)</f>
        <v>2.0000000000000018E-2</v>
      </c>
    </row>
    <row r="1301" spans="1:14">
      <c r="A1301" s="63" t="s">
        <v>1353</v>
      </c>
      <c r="B1301" s="64">
        <v>2.9249537323478201</v>
      </c>
      <c r="C1301" s="65">
        <v>3.7850000000000001</v>
      </c>
      <c r="D1301" s="66">
        <f t="shared" si="140"/>
        <v>2</v>
      </c>
      <c r="E1301" s="66">
        <f t="shared" si="141"/>
        <v>0.2</v>
      </c>
      <c r="F1301" s="66">
        <f t="shared" si="142"/>
        <v>2</v>
      </c>
      <c r="G1301" s="66">
        <f t="shared" si="143"/>
        <v>1.1666779810467001</v>
      </c>
      <c r="H1301" s="66">
        <f t="shared" si="144"/>
        <v>0.4</v>
      </c>
      <c r="I1301" s="66">
        <f t="shared" si="145"/>
        <v>0</v>
      </c>
      <c r="J1301" s="66">
        <f t="shared" si="146"/>
        <v>0</v>
      </c>
      <c r="K1301" s="66">
        <f>IF(CurrentMtgRatesDataTable8[[#This Row],[WA CC]]&lt;&gt;0,C1300-CurrentMtgRatesDataTable8[[#This Row],[WA CC]],0)</f>
        <v>0</v>
      </c>
      <c r="L1301" s="66">
        <f>IF(CurrentMtgRatesDataTable8[[#This Row],[Servicing Spread]]&lt;=0,L1300,CurrentMtgRatesDataTable8[[#This Row],[Servicing Spread]])</f>
        <v>0.8567737565426099</v>
      </c>
      <c r="M1301" s="66">
        <f>CurrentMtgRatesDataTable8[[#This Row],[Servicing Spread Non-Zero]]-L1300</f>
        <v>0</v>
      </c>
      <c r="N1301" s="66">
        <f>IF(J1300&lt;&gt;0,CurrentMtgRatesDataTable8[[#This Row],[Rate]]-C1300,N1300)</f>
        <v>2.0000000000000018E-2</v>
      </c>
    </row>
    <row r="1302" spans="1:14">
      <c r="A1302" s="63" t="s">
        <v>1354</v>
      </c>
      <c r="B1302" s="64">
        <v>2.94258560480931</v>
      </c>
      <c r="C1302" s="65">
        <v>3.7850000000000001</v>
      </c>
      <c r="D1302" s="66">
        <f t="shared" si="140"/>
        <v>5</v>
      </c>
      <c r="E1302" s="66">
        <f t="shared" si="141"/>
        <v>0.2</v>
      </c>
      <c r="F1302" s="66">
        <f t="shared" si="142"/>
        <v>3</v>
      </c>
      <c r="G1302" s="66">
        <f t="shared" si="143"/>
        <v>1.7551951020085621</v>
      </c>
      <c r="H1302" s="66">
        <f t="shared" si="144"/>
        <v>0.60000000000000009</v>
      </c>
      <c r="I1302" s="66">
        <f t="shared" si="145"/>
        <v>0</v>
      </c>
      <c r="J1302" s="66">
        <f t="shared" si="146"/>
        <v>0</v>
      </c>
      <c r="K1302" s="66">
        <f>IF(CurrentMtgRatesDataTable8[[#This Row],[WA CC]]&lt;&gt;0,C1301-CurrentMtgRatesDataTable8[[#This Row],[WA CC]],0)</f>
        <v>0</v>
      </c>
      <c r="L1302" s="66">
        <f>IF(CurrentMtgRatesDataTable8[[#This Row],[Servicing Spread]]&lt;=0,L1301,CurrentMtgRatesDataTable8[[#This Row],[Servicing Spread]])</f>
        <v>0.8567737565426099</v>
      </c>
      <c r="M1302" s="66">
        <f>CurrentMtgRatesDataTable8[[#This Row],[Servicing Spread Non-Zero]]-L1301</f>
        <v>0</v>
      </c>
      <c r="N1302" s="66">
        <f>IF(J1301&lt;&gt;0,CurrentMtgRatesDataTable8[[#This Row],[Rate]]-C1301,N1301)</f>
        <v>2.0000000000000018E-2</v>
      </c>
    </row>
    <row r="1303" spans="1:14">
      <c r="A1303" s="63" t="s">
        <v>1355</v>
      </c>
      <c r="B1303" s="64">
        <v>2.9398654916265299</v>
      </c>
      <c r="C1303" s="65">
        <v>3.7850000000000001</v>
      </c>
      <c r="D1303" s="66">
        <f t="shared" si="140"/>
        <v>6</v>
      </c>
      <c r="E1303" s="66">
        <f t="shared" si="141"/>
        <v>0.2</v>
      </c>
      <c r="F1303" s="66">
        <f t="shared" si="142"/>
        <v>4</v>
      </c>
      <c r="G1303" s="66">
        <f t="shared" si="143"/>
        <v>2.3431682003338681</v>
      </c>
      <c r="H1303" s="66">
        <f t="shared" si="144"/>
        <v>0.8</v>
      </c>
      <c r="I1303" s="66">
        <f t="shared" si="145"/>
        <v>0</v>
      </c>
      <c r="J1303" s="66">
        <f t="shared" si="146"/>
        <v>0</v>
      </c>
      <c r="K1303" s="66">
        <f>IF(CurrentMtgRatesDataTable8[[#This Row],[WA CC]]&lt;&gt;0,C1302-CurrentMtgRatesDataTable8[[#This Row],[WA CC]],0)</f>
        <v>0</v>
      </c>
      <c r="L1303" s="66">
        <f>IF(CurrentMtgRatesDataTable8[[#This Row],[Servicing Spread]]&lt;=0,L1302,CurrentMtgRatesDataTable8[[#This Row],[Servicing Spread]])</f>
        <v>0.8567737565426099</v>
      </c>
      <c r="M1303" s="66">
        <f>CurrentMtgRatesDataTable8[[#This Row],[Servicing Spread Non-Zero]]-L1302</f>
        <v>0</v>
      </c>
      <c r="N1303" s="66">
        <f>IF(J1302&lt;&gt;0,CurrentMtgRatesDataTable8[[#This Row],[Rate]]-C1302,N1302)</f>
        <v>2.0000000000000018E-2</v>
      </c>
    </row>
    <row r="1304" spans="1:14">
      <c r="A1304" s="39" t="s">
        <v>1356</v>
      </c>
      <c r="B1304" s="40">
        <v>2.8752948215848</v>
      </c>
      <c r="C1304" s="11">
        <v>3.7850000000000001</v>
      </c>
      <c r="D1304" s="16">
        <f t="shared" si="140"/>
        <v>7</v>
      </c>
      <c r="E1304" s="16">
        <f t="shared" si="141"/>
        <v>0.2</v>
      </c>
      <c r="F1304" s="16">
        <f t="shared" si="142"/>
        <v>5</v>
      </c>
      <c r="G1304" s="16">
        <f t="shared" si="143"/>
        <v>2.918227164650828</v>
      </c>
      <c r="H1304" s="16">
        <f t="shared" si="144"/>
        <v>1</v>
      </c>
      <c r="I1304" s="16">
        <f t="shared" si="145"/>
        <v>1</v>
      </c>
      <c r="J1304" s="16">
        <f t="shared" si="146"/>
        <v>2.918227164650828</v>
      </c>
      <c r="K1304" s="16">
        <f>IF(CurrentMtgRatesDataTable8[[#This Row],[WA CC]]&lt;&gt;0,C1303-CurrentMtgRatesDataTable8[[#This Row],[WA CC]],0)</f>
        <v>0.86677283534917215</v>
      </c>
      <c r="L1304" s="16">
        <f>IF(CurrentMtgRatesDataTable8[[#This Row],[Servicing Spread]]&lt;=0,L1303,CurrentMtgRatesDataTable8[[#This Row],[Servicing Spread]])</f>
        <v>0.86677283534917215</v>
      </c>
      <c r="M1304" s="16">
        <f>CurrentMtgRatesDataTable8[[#This Row],[Servicing Spread Non-Zero]]-L1303</f>
        <v>9.999078806562256E-3</v>
      </c>
      <c r="N1304" s="16">
        <f>IF(J1303&lt;&gt;0,CurrentMtgRatesDataTable8[[#This Row],[Rate]]-C1303,N1303)</f>
        <v>2.0000000000000018E-2</v>
      </c>
    </row>
    <row r="1305" spans="1:14">
      <c r="A1305" s="39" t="s">
        <v>1357</v>
      </c>
      <c r="B1305" s="40">
        <v>2.9075667658346598</v>
      </c>
      <c r="C1305" s="11">
        <v>3.7749999999999999</v>
      </c>
      <c r="D1305" s="16">
        <f t="shared" si="140"/>
        <v>1</v>
      </c>
      <c r="E1305" s="16">
        <f t="shared" si="141"/>
        <v>0.2</v>
      </c>
      <c r="F1305" s="16">
        <f t="shared" si="142"/>
        <v>1</v>
      </c>
      <c r="G1305" s="16">
        <f t="shared" si="143"/>
        <v>0.58151335316693198</v>
      </c>
      <c r="H1305" s="16">
        <f t="shared" si="144"/>
        <v>0.2</v>
      </c>
      <c r="I1305" s="16">
        <f t="shared" si="145"/>
        <v>0</v>
      </c>
      <c r="J1305" s="16">
        <f t="shared" si="146"/>
        <v>0</v>
      </c>
      <c r="K1305" s="16">
        <f>IF(CurrentMtgRatesDataTable8[[#This Row],[WA CC]]&lt;&gt;0,C1304-CurrentMtgRatesDataTable8[[#This Row],[WA CC]],0)</f>
        <v>0</v>
      </c>
      <c r="L1305" s="16">
        <f>IF(CurrentMtgRatesDataTable8[[#This Row],[Servicing Spread]]&lt;=0,L1304,CurrentMtgRatesDataTable8[[#This Row],[Servicing Spread]])</f>
        <v>0.86677283534917215</v>
      </c>
      <c r="M1305" s="16">
        <f>CurrentMtgRatesDataTable8[[#This Row],[Servicing Spread Non-Zero]]-L1304</f>
        <v>0</v>
      </c>
      <c r="N1305" s="16">
        <f>IF(J1304&lt;&gt;0,CurrentMtgRatesDataTable8[[#This Row],[Rate]]-C1304,N1304)</f>
        <v>-1.0000000000000231E-2</v>
      </c>
    </row>
    <row r="1306" spans="1:14">
      <c r="A1306" s="39" t="s">
        <v>1358</v>
      </c>
      <c r="B1306" s="40">
        <v>2.8970830344627001</v>
      </c>
      <c r="C1306" s="11">
        <v>3.7749999999999999</v>
      </c>
      <c r="D1306" s="16">
        <f t="shared" si="140"/>
        <v>2</v>
      </c>
      <c r="E1306" s="16">
        <f t="shared" si="141"/>
        <v>0.2</v>
      </c>
      <c r="F1306" s="16">
        <f t="shared" si="142"/>
        <v>2</v>
      </c>
      <c r="G1306" s="16">
        <f t="shared" si="143"/>
        <v>1.160929960059472</v>
      </c>
      <c r="H1306" s="16">
        <f t="shared" si="144"/>
        <v>0.4</v>
      </c>
      <c r="I1306" s="16">
        <f t="shared" si="145"/>
        <v>0</v>
      </c>
      <c r="J1306" s="16">
        <f t="shared" si="146"/>
        <v>0</v>
      </c>
      <c r="K1306" s="16">
        <f>IF(CurrentMtgRatesDataTable8[[#This Row],[WA CC]]&lt;&gt;0,C1305-CurrentMtgRatesDataTable8[[#This Row],[WA CC]],0)</f>
        <v>0</v>
      </c>
      <c r="L1306" s="16">
        <f>IF(CurrentMtgRatesDataTable8[[#This Row],[Servicing Spread]]&lt;=0,L1305,CurrentMtgRatesDataTable8[[#This Row],[Servicing Spread]])</f>
        <v>0.86677283534917215</v>
      </c>
      <c r="M1306" s="16">
        <f>CurrentMtgRatesDataTable8[[#This Row],[Servicing Spread Non-Zero]]-L1305</f>
        <v>0</v>
      </c>
      <c r="N1306" s="16">
        <f>IF(J1305&lt;&gt;0,CurrentMtgRatesDataTable8[[#This Row],[Rate]]-C1305,N1305)</f>
        <v>-1.0000000000000231E-2</v>
      </c>
    </row>
    <row r="1307" spans="1:14">
      <c r="A1307" s="39" t="s">
        <v>1359</v>
      </c>
      <c r="B1307" s="40">
        <v>2.9229309635649501</v>
      </c>
      <c r="C1307" s="11">
        <v>3.7749999999999999</v>
      </c>
      <c r="D1307" s="16">
        <f t="shared" si="140"/>
        <v>5</v>
      </c>
      <c r="E1307" s="16">
        <f t="shared" si="141"/>
        <v>0.2</v>
      </c>
      <c r="F1307" s="16">
        <f t="shared" si="142"/>
        <v>3</v>
      </c>
      <c r="G1307" s="16">
        <f t="shared" si="143"/>
        <v>1.7455161527724621</v>
      </c>
      <c r="H1307" s="16">
        <f t="shared" si="144"/>
        <v>0.60000000000000009</v>
      </c>
      <c r="I1307" s="16">
        <f t="shared" si="145"/>
        <v>0</v>
      </c>
      <c r="J1307" s="16">
        <f t="shared" si="146"/>
        <v>0</v>
      </c>
      <c r="K1307" s="16">
        <f>IF(CurrentMtgRatesDataTable8[[#This Row],[WA CC]]&lt;&gt;0,C1306-CurrentMtgRatesDataTable8[[#This Row],[WA CC]],0)</f>
        <v>0</v>
      </c>
      <c r="L1307" s="16">
        <f>IF(CurrentMtgRatesDataTable8[[#This Row],[Servicing Spread]]&lt;=0,L1306,CurrentMtgRatesDataTable8[[#This Row],[Servicing Spread]])</f>
        <v>0.86677283534917215</v>
      </c>
      <c r="M1307" s="16">
        <f>CurrentMtgRatesDataTable8[[#This Row],[Servicing Spread Non-Zero]]-L1306</f>
        <v>0</v>
      </c>
      <c r="N1307" s="16">
        <f>IF(J1306&lt;&gt;0,CurrentMtgRatesDataTable8[[#This Row],[Rate]]-C1306,N1306)</f>
        <v>-1.0000000000000231E-2</v>
      </c>
    </row>
    <row r="1308" spans="1:14">
      <c r="A1308" s="39" t="s">
        <v>1360</v>
      </c>
      <c r="B1308" s="40">
        <v>2.8829829108867799</v>
      </c>
      <c r="C1308" s="11">
        <v>3.7749999999999999</v>
      </c>
      <c r="D1308" s="16">
        <f t="shared" si="140"/>
        <v>6</v>
      </c>
      <c r="E1308" s="16">
        <f t="shared" si="141"/>
        <v>0.2</v>
      </c>
      <c r="F1308" s="16">
        <f t="shared" si="142"/>
        <v>4</v>
      </c>
      <c r="G1308" s="16">
        <f t="shared" si="143"/>
        <v>2.3221127349498181</v>
      </c>
      <c r="H1308" s="16">
        <f t="shared" si="144"/>
        <v>0.8</v>
      </c>
      <c r="I1308" s="16">
        <f t="shared" si="145"/>
        <v>0</v>
      </c>
      <c r="J1308" s="16">
        <f t="shared" si="146"/>
        <v>0</v>
      </c>
      <c r="K1308" s="16">
        <f>IF(CurrentMtgRatesDataTable8[[#This Row],[WA CC]]&lt;&gt;0,C1307-CurrentMtgRatesDataTable8[[#This Row],[WA CC]],0)</f>
        <v>0</v>
      </c>
      <c r="L1308" s="16">
        <f>IF(CurrentMtgRatesDataTable8[[#This Row],[Servicing Spread]]&lt;=0,L1307,CurrentMtgRatesDataTable8[[#This Row],[Servicing Spread]])</f>
        <v>0.86677283534917215</v>
      </c>
      <c r="M1308" s="16">
        <f>CurrentMtgRatesDataTable8[[#This Row],[Servicing Spread Non-Zero]]-L1307</f>
        <v>0</v>
      </c>
      <c r="N1308" s="16">
        <f>IF(J1307&lt;&gt;0,CurrentMtgRatesDataTable8[[#This Row],[Rate]]-C1307,N1307)</f>
        <v>-1.0000000000000231E-2</v>
      </c>
    </row>
    <row r="1309" spans="1:14">
      <c r="A1309" s="39" t="s">
        <v>1361</v>
      </c>
      <c r="B1309" s="40">
        <v>2.8967693275214801</v>
      </c>
      <c r="C1309" s="11">
        <v>3.7749999999999999</v>
      </c>
      <c r="D1309" s="16">
        <f t="shared" si="140"/>
        <v>7</v>
      </c>
      <c r="E1309" s="16">
        <f t="shared" si="141"/>
        <v>0.2</v>
      </c>
      <c r="F1309" s="16">
        <f t="shared" si="142"/>
        <v>5</v>
      </c>
      <c r="G1309" s="16">
        <f t="shared" si="143"/>
        <v>2.9014666004541141</v>
      </c>
      <c r="H1309" s="16">
        <f t="shared" si="144"/>
        <v>1</v>
      </c>
      <c r="I1309" s="16">
        <f t="shared" si="145"/>
        <v>1</v>
      </c>
      <c r="J1309" s="16">
        <f t="shared" si="146"/>
        <v>2.9014666004541141</v>
      </c>
      <c r="K1309" s="16">
        <f>IF(CurrentMtgRatesDataTable8[[#This Row],[WA CC]]&lt;&gt;0,C1308-CurrentMtgRatesDataTable8[[#This Row],[WA CC]],0)</f>
        <v>0.87353339954588582</v>
      </c>
      <c r="L1309" s="16">
        <f>IF(CurrentMtgRatesDataTable8[[#This Row],[Servicing Spread]]&lt;=0,L1308,CurrentMtgRatesDataTable8[[#This Row],[Servicing Spread]])</f>
        <v>0.87353339954588582</v>
      </c>
      <c r="M1309" s="16">
        <f>CurrentMtgRatesDataTable8[[#This Row],[Servicing Spread Non-Zero]]-L1308</f>
        <v>6.7605641967136698E-3</v>
      </c>
      <c r="N1309" s="16">
        <f>IF(J1308&lt;&gt;0,CurrentMtgRatesDataTable8[[#This Row],[Rate]]-C1308,N1308)</f>
        <v>-1.0000000000000231E-2</v>
      </c>
    </row>
    <row r="1310" spans="1:14">
      <c r="A1310" s="39" t="s">
        <v>1362</v>
      </c>
      <c r="B1310" s="40">
        <v>2.89502511307504</v>
      </c>
      <c r="C1310" s="11">
        <v>3.7549999999999999</v>
      </c>
      <c r="D1310" s="16">
        <f t="shared" si="140"/>
        <v>1</v>
      </c>
      <c r="E1310" s="16">
        <f t="shared" si="141"/>
        <v>0.2</v>
      </c>
      <c r="F1310" s="16">
        <f t="shared" si="142"/>
        <v>1</v>
      </c>
      <c r="G1310" s="16">
        <f t="shared" si="143"/>
        <v>0.57900502261500797</v>
      </c>
      <c r="H1310" s="16">
        <f t="shared" si="144"/>
        <v>0.2</v>
      </c>
      <c r="I1310" s="16">
        <f t="shared" si="145"/>
        <v>0</v>
      </c>
      <c r="J1310" s="16">
        <f t="shared" si="146"/>
        <v>0</v>
      </c>
      <c r="K1310" s="16">
        <f>IF(CurrentMtgRatesDataTable8[[#This Row],[WA CC]]&lt;&gt;0,C1309-CurrentMtgRatesDataTable8[[#This Row],[WA CC]],0)</f>
        <v>0</v>
      </c>
      <c r="L1310" s="16">
        <f>IF(CurrentMtgRatesDataTable8[[#This Row],[Servicing Spread]]&lt;=0,L1309,CurrentMtgRatesDataTable8[[#This Row],[Servicing Spread]])</f>
        <v>0.87353339954588582</v>
      </c>
      <c r="M1310" s="16">
        <f>CurrentMtgRatesDataTable8[[#This Row],[Servicing Spread Non-Zero]]-L1309</f>
        <v>0</v>
      </c>
      <c r="N1310" s="16">
        <f>IF(J1309&lt;&gt;0,CurrentMtgRatesDataTable8[[#This Row],[Rate]]-C1309,N1309)</f>
        <v>-2.0000000000000018E-2</v>
      </c>
    </row>
    <row r="1311" spans="1:14">
      <c r="A1311" s="39" t="s">
        <v>1363</v>
      </c>
      <c r="B1311" s="40">
        <v>2.8885893355353098</v>
      </c>
      <c r="C1311" s="11">
        <v>3.7549999999999999</v>
      </c>
      <c r="D1311" s="16">
        <f t="shared" si="140"/>
        <v>2</v>
      </c>
      <c r="E1311" s="16">
        <f t="shared" si="141"/>
        <v>0.2</v>
      </c>
      <c r="F1311" s="16">
        <f t="shared" si="142"/>
        <v>2</v>
      </c>
      <c r="G1311" s="16">
        <f t="shared" si="143"/>
        <v>1.15672288972207</v>
      </c>
      <c r="H1311" s="16">
        <f t="shared" si="144"/>
        <v>0.4</v>
      </c>
      <c r="I1311" s="16">
        <f t="shared" si="145"/>
        <v>0</v>
      </c>
      <c r="J1311" s="16">
        <f t="shared" si="146"/>
        <v>0</v>
      </c>
      <c r="K1311" s="16">
        <f>IF(CurrentMtgRatesDataTable8[[#This Row],[WA CC]]&lt;&gt;0,C1310-CurrentMtgRatesDataTable8[[#This Row],[WA CC]],0)</f>
        <v>0</v>
      </c>
      <c r="L1311" s="16">
        <f>IF(CurrentMtgRatesDataTable8[[#This Row],[Servicing Spread]]&lt;=0,L1310,CurrentMtgRatesDataTable8[[#This Row],[Servicing Spread]])</f>
        <v>0.87353339954588582</v>
      </c>
      <c r="M1311" s="16">
        <f>CurrentMtgRatesDataTable8[[#This Row],[Servicing Spread Non-Zero]]-L1310</f>
        <v>0</v>
      </c>
      <c r="N1311" s="16">
        <f>IF(J1310&lt;&gt;0,CurrentMtgRatesDataTable8[[#This Row],[Rate]]-C1310,N1310)</f>
        <v>-2.0000000000000018E-2</v>
      </c>
    </row>
    <row r="1312" spans="1:14">
      <c r="A1312" s="39" t="s">
        <v>1364</v>
      </c>
      <c r="B1312" s="40">
        <v>2.8786176823455198</v>
      </c>
      <c r="C1312" s="11">
        <v>3.7549999999999999</v>
      </c>
      <c r="D1312" s="16">
        <f t="shared" si="140"/>
        <v>5</v>
      </c>
      <c r="E1312" s="16">
        <f t="shared" si="141"/>
        <v>0.2</v>
      </c>
      <c r="F1312" s="16">
        <f t="shared" si="142"/>
        <v>3</v>
      </c>
      <c r="G1312" s="16">
        <f t="shared" si="143"/>
        <v>1.7324464261911741</v>
      </c>
      <c r="H1312" s="16">
        <f t="shared" si="144"/>
        <v>0.60000000000000009</v>
      </c>
      <c r="I1312" s="16">
        <f t="shared" si="145"/>
        <v>0</v>
      </c>
      <c r="J1312" s="16">
        <f t="shared" si="146"/>
        <v>0</v>
      </c>
      <c r="K1312" s="16">
        <f>IF(CurrentMtgRatesDataTable8[[#This Row],[WA CC]]&lt;&gt;0,C1311-CurrentMtgRatesDataTable8[[#This Row],[WA CC]],0)</f>
        <v>0</v>
      </c>
      <c r="L1312" s="16">
        <f>IF(CurrentMtgRatesDataTable8[[#This Row],[Servicing Spread]]&lt;=0,L1311,CurrentMtgRatesDataTable8[[#This Row],[Servicing Spread]])</f>
        <v>0.87353339954588582</v>
      </c>
      <c r="M1312" s="16">
        <f>CurrentMtgRatesDataTable8[[#This Row],[Servicing Spread Non-Zero]]-L1311</f>
        <v>0</v>
      </c>
      <c r="N1312" s="16">
        <f>IF(J1311&lt;&gt;0,CurrentMtgRatesDataTable8[[#This Row],[Rate]]-C1311,N1311)</f>
        <v>-2.0000000000000018E-2</v>
      </c>
    </row>
    <row r="1313" spans="1:14">
      <c r="A1313" s="39" t="s">
        <v>1365</v>
      </c>
      <c r="B1313" s="40">
        <v>2.9305936844385498</v>
      </c>
      <c r="C1313" s="11">
        <v>3.7549999999999999</v>
      </c>
      <c r="D1313" s="16">
        <f t="shared" si="140"/>
        <v>6</v>
      </c>
      <c r="E1313" s="16">
        <f t="shared" si="141"/>
        <v>0.2</v>
      </c>
      <c r="F1313" s="16">
        <f t="shared" si="142"/>
        <v>4</v>
      </c>
      <c r="G1313" s="16">
        <f t="shared" si="143"/>
        <v>2.3185651630788842</v>
      </c>
      <c r="H1313" s="16">
        <f t="shared" si="144"/>
        <v>0.8</v>
      </c>
      <c r="I1313" s="16">
        <f t="shared" si="145"/>
        <v>0</v>
      </c>
      <c r="J1313" s="16">
        <f t="shared" si="146"/>
        <v>0</v>
      </c>
      <c r="K1313" s="16">
        <f>IF(CurrentMtgRatesDataTable8[[#This Row],[WA CC]]&lt;&gt;0,C1312-CurrentMtgRatesDataTable8[[#This Row],[WA CC]],0)</f>
        <v>0</v>
      </c>
      <c r="L1313" s="16">
        <f>IF(CurrentMtgRatesDataTable8[[#This Row],[Servicing Spread]]&lt;=0,L1312,CurrentMtgRatesDataTable8[[#This Row],[Servicing Spread]])</f>
        <v>0.87353339954588582</v>
      </c>
      <c r="M1313" s="16">
        <f>CurrentMtgRatesDataTable8[[#This Row],[Servicing Spread Non-Zero]]-L1312</f>
        <v>0</v>
      </c>
      <c r="N1313" s="16">
        <f>IF(J1312&lt;&gt;0,CurrentMtgRatesDataTable8[[#This Row],[Rate]]-C1312,N1312)</f>
        <v>-2.0000000000000018E-2</v>
      </c>
    </row>
    <row r="1314" spans="1:14">
      <c r="A1314" s="39" t="s">
        <v>1366</v>
      </c>
      <c r="B1314" s="40">
        <v>2.9404244020871499</v>
      </c>
      <c r="C1314" s="11">
        <v>3.7549999999999999</v>
      </c>
      <c r="D1314" s="16">
        <f t="shared" si="140"/>
        <v>7</v>
      </c>
      <c r="E1314" s="16">
        <f t="shared" si="141"/>
        <v>0.2</v>
      </c>
      <c r="F1314" s="16">
        <f t="shared" si="142"/>
        <v>5</v>
      </c>
      <c r="G1314" s="16">
        <f t="shared" si="143"/>
        <v>2.9066500434963141</v>
      </c>
      <c r="H1314" s="16">
        <f t="shared" si="144"/>
        <v>1</v>
      </c>
      <c r="I1314" s="16">
        <f t="shared" si="145"/>
        <v>1</v>
      </c>
      <c r="J1314" s="16">
        <f t="shared" si="146"/>
        <v>2.9066500434963141</v>
      </c>
      <c r="K1314" s="16">
        <f>IF(CurrentMtgRatesDataTable8[[#This Row],[WA CC]]&lt;&gt;0,C1313-CurrentMtgRatesDataTable8[[#This Row],[WA CC]],0)</f>
        <v>0.84834995650368583</v>
      </c>
      <c r="L1314" s="16">
        <f>IF(CurrentMtgRatesDataTable8[[#This Row],[Servicing Spread]]&lt;=0,L1313,CurrentMtgRatesDataTable8[[#This Row],[Servicing Spread]])</f>
        <v>0.84834995650368583</v>
      </c>
      <c r="M1314" s="16">
        <f>CurrentMtgRatesDataTable8[[#This Row],[Servicing Spread Non-Zero]]-L1313</f>
        <v>-2.5183443042199993E-2</v>
      </c>
      <c r="N1314" s="16">
        <f>IF(J1313&lt;&gt;0,CurrentMtgRatesDataTable8[[#This Row],[Rate]]-C1313,N1313)</f>
        <v>-2.0000000000000018E-2</v>
      </c>
    </row>
    <row r="1315" spans="1:14">
      <c r="A1315" s="39" t="s">
        <v>1367</v>
      </c>
      <c r="B1315" s="40">
        <v>2.9800880794915101</v>
      </c>
      <c r="C1315" s="11">
        <v>3.86</v>
      </c>
      <c r="D1315" s="16">
        <f t="shared" si="140"/>
        <v>1</v>
      </c>
      <c r="E1315" s="16">
        <f t="shared" si="141"/>
        <v>0.2</v>
      </c>
      <c r="F1315" s="16">
        <f t="shared" si="142"/>
        <v>1</v>
      </c>
      <c r="G1315" s="16">
        <f t="shared" si="143"/>
        <v>0.59601761589830204</v>
      </c>
      <c r="H1315" s="16">
        <f t="shared" si="144"/>
        <v>0.2</v>
      </c>
      <c r="I1315" s="16">
        <f t="shared" si="145"/>
        <v>0</v>
      </c>
      <c r="J1315" s="16">
        <f t="shared" si="146"/>
        <v>0</v>
      </c>
      <c r="K1315" s="16">
        <f>IF(CurrentMtgRatesDataTable8[[#This Row],[WA CC]]&lt;&gt;0,C1314-CurrentMtgRatesDataTable8[[#This Row],[WA CC]],0)</f>
        <v>0</v>
      </c>
      <c r="L1315" s="16">
        <f>IF(CurrentMtgRatesDataTable8[[#This Row],[Servicing Spread]]&lt;=0,L1314,CurrentMtgRatesDataTable8[[#This Row],[Servicing Spread]])</f>
        <v>0.84834995650368583</v>
      </c>
      <c r="M1315" s="16">
        <f>CurrentMtgRatesDataTable8[[#This Row],[Servicing Spread Non-Zero]]-L1314</f>
        <v>0</v>
      </c>
      <c r="N1315" s="16">
        <f>IF(J1314&lt;&gt;0,CurrentMtgRatesDataTable8[[#This Row],[Rate]]-C1314,N1314)</f>
        <v>0.10499999999999998</v>
      </c>
    </row>
    <row r="1316" spans="1:14">
      <c r="A1316" s="39" t="s">
        <v>1368</v>
      </c>
      <c r="B1316" s="40">
        <v>3.0226143981411502</v>
      </c>
      <c r="C1316" s="11">
        <v>3.86</v>
      </c>
      <c r="D1316" s="16">
        <f t="shared" si="140"/>
        <v>2</v>
      </c>
      <c r="E1316" s="16">
        <f t="shared" si="141"/>
        <v>0.2</v>
      </c>
      <c r="F1316" s="16">
        <f t="shared" si="142"/>
        <v>2</v>
      </c>
      <c r="G1316" s="16">
        <f t="shared" si="143"/>
        <v>1.200540495526532</v>
      </c>
      <c r="H1316" s="16">
        <f t="shared" si="144"/>
        <v>0.4</v>
      </c>
      <c r="I1316" s="16">
        <f t="shared" si="145"/>
        <v>0</v>
      </c>
      <c r="J1316" s="16">
        <f t="shared" si="146"/>
        <v>0</v>
      </c>
      <c r="K1316" s="16">
        <f>IF(CurrentMtgRatesDataTable8[[#This Row],[WA CC]]&lt;&gt;0,C1315-CurrentMtgRatesDataTable8[[#This Row],[WA CC]],0)</f>
        <v>0</v>
      </c>
      <c r="L1316" s="16">
        <f>IF(CurrentMtgRatesDataTable8[[#This Row],[Servicing Spread]]&lt;=0,L1315,CurrentMtgRatesDataTable8[[#This Row],[Servicing Spread]])</f>
        <v>0.84834995650368583</v>
      </c>
      <c r="M1316" s="16">
        <f>CurrentMtgRatesDataTable8[[#This Row],[Servicing Spread Non-Zero]]-L1315</f>
        <v>0</v>
      </c>
      <c r="N1316" s="16">
        <f>IF(J1315&lt;&gt;0,CurrentMtgRatesDataTable8[[#This Row],[Rate]]-C1315,N1315)</f>
        <v>0.10499999999999998</v>
      </c>
    </row>
    <row r="1317" spans="1:14">
      <c r="A1317" s="39" t="s">
        <v>1369</v>
      </c>
      <c r="B1317" s="40">
        <v>3.0738606111301499</v>
      </c>
      <c r="C1317" s="11">
        <v>3.86</v>
      </c>
      <c r="D1317" s="16">
        <f t="shared" si="140"/>
        <v>5</v>
      </c>
      <c r="E1317" s="16">
        <f t="shared" si="141"/>
        <v>0.2</v>
      </c>
      <c r="F1317" s="16">
        <f t="shared" si="142"/>
        <v>3</v>
      </c>
      <c r="G1317" s="16">
        <f t="shared" si="143"/>
        <v>1.815312617752562</v>
      </c>
      <c r="H1317" s="16">
        <f t="shared" si="144"/>
        <v>0.60000000000000009</v>
      </c>
      <c r="I1317" s="16">
        <f t="shared" si="145"/>
        <v>0</v>
      </c>
      <c r="J1317" s="16">
        <f t="shared" si="146"/>
        <v>0</v>
      </c>
      <c r="K1317" s="16">
        <f>IF(CurrentMtgRatesDataTable8[[#This Row],[WA CC]]&lt;&gt;0,C1316-CurrentMtgRatesDataTable8[[#This Row],[WA CC]],0)</f>
        <v>0</v>
      </c>
      <c r="L1317" s="16">
        <f>IF(CurrentMtgRatesDataTable8[[#This Row],[Servicing Spread]]&lt;=0,L1316,CurrentMtgRatesDataTable8[[#This Row],[Servicing Spread]])</f>
        <v>0.84834995650368583</v>
      </c>
      <c r="M1317" s="16">
        <f>CurrentMtgRatesDataTable8[[#This Row],[Servicing Spread Non-Zero]]-L1316</f>
        <v>0</v>
      </c>
      <c r="N1317" s="16">
        <f>IF(J1316&lt;&gt;0,CurrentMtgRatesDataTable8[[#This Row],[Rate]]-C1316,N1316)</f>
        <v>0.10499999999999998</v>
      </c>
    </row>
    <row r="1318" spans="1:14">
      <c r="A1318" s="39" t="s">
        <v>1370</v>
      </c>
      <c r="B1318" s="40">
        <v>3.0541997432279802</v>
      </c>
      <c r="C1318" s="11">
        <v>3.86</v>
      </c>
      <c r="D1318" s="16">
        <f t="shared" si="140"/>
        <v>7</v>
      </c>
      <c r="E1318" s="16">
        <f t="shared" si="141"/>
        <v>0.2</v>
      </c>
      <c r="F1318" s="16">
        <f t="shared" si="142"/>
        <v>4</v>
      </c>
      <c r="G1318" s="16">
        <f t="shared" si="143"/>
        <v>2.4261525663981582</v>
      </c>
      <c r="H1318" s="16">
        <f t="shared" si="144"/>
        <v>0.8</v>
      </c>
      <c r="I1318" s="16">
        <f t="shared" si="145"/>
        <v>1</v>
      </c>
      <c r="J1318" s="16">
        <f t="shared" si="146"/>
        <v>3.0326907079976975</v>
      </c>
      <c r="K1318" s="16">
        <f>IF(CurrentMtgRatesDataTable8[[#This Row],[WA CC]]&lt;&gt;0,C1317-CurrentMtgRatesDataTable8[[#This Row],[WA CC]],0)</f>
        <v>0.82730929200230241</v>
      </c>
      <c r="L1318" s="16">
        <f>IF(CurrentMtgRatesDataTable8[[#This Row],[Servicing Spread]]&lt;=0,L1317,CurrentMtgRatesDataTable8[[#This Row],[Servicing Spread]])</f>
        <v>0.82730929200230241</v>
      </c>
      <c r="M1318" s="16">
        <f>CurrentMtgRatesDataTable8[[#This Row],[Servicing Spread Non-Zero]]-L1317</f>
        <v>-2.1040664501383421E-2</v>
      </c>
      <c r="N1318" s="16">
        <f>IF(J1317&lt;&gt;0,CurrentMtgRatesDataTable8[[#This Row],[Rate]]-C1317,N1317)</f>
        <v>0.10499999999999998</v>
      </c>
    </row>
    <row r="1319" spans="1:14">
      <c r="A1319" s="39" t="s">
        <v>1371</v>
      </c>
      <c r="B1319" s="40">
        <v>3.0857459402469098</v>
      </c>
      <c r="C1319" s="11">
        <v>3.9050000000000002</v>
      </c>
      <c r="D1319" s="16">
        <f t="shared" si="140"/>
        <v>1</v>
      </c>
      <c r="E1319" s="16">
        <f t="shared" si="141"/>
        <v>0.2</v>
      </c>
      <c r="F1319" s="16">
        <f t="shared" si="142"/>
        <v>1</v>
      </c>
      <c r="G1319" s="16">
        <f t="shared" si="143"/>
        <v>0.61714918804938201</v>
      </c>
      <c r="H1319" s="16">
        <f t="shared" si="144"/>
        <v>0.2</v>
      </c>
      <c r="I1319" s="16">
        <f t="shared" si="145"/>
        <v>0</v>
      </c>
      <c r="J1319" s="16">
        <f t="shared" si="146"/>
        <v>0</v>
      </c>
      <c r="K1319" s="16">
        <f>IF(CurrentMtgRatesDataTable8[[#This Row],[WA CC]]&lt;&gt;0,C1318-CurrentMtgRatesDataTable8[[#This Row],[WA CC]],0)</f>
        <v>0</v>
      </c>
      <c r="L1319" s="16">
        <f>IF(CurrentMtgRatesDataTable8[[#This Row],[Servicing Spread]]&lt;=0,L1318,CurrentMtgRatesDataTable8[[#This Row],[Servicing Spread]])</f>
        <v>0.82730929200230241</v>
      </c>
      <c r="M1319" s="16">
        <f>CurrentMtgRatesDataTable8[[#This Row],[Servicing Spread Non-Zero]]-L1318</f>
        <v>0</v>
      </c>
      <c r="N1319" s="16">
        <f>IF(J1318&lt;&gt;0,CurrentMtgRatesDataTable8[[#This Row],[Rate]]-C1318,N1318)</f>
        <v>4.5000000000000373E-2</v>
      </c>
    </row>
    <row r="1320" spans="1:14">
      <c r="A1320" s="39" t="s">
        <v>1372</v>
      </c>
      <c r="B1320" s="40">
        <v>3.1061017529399901</v>
      </c>
      <c r="C1320" s="11">
        <v>3.9050000000000002</v>
      </c>
      <c r="D1320" s="16">
        <f t="shared" si="140"/>
        <v>2</v>
      </c>
      <c r="E1320" s="16">
        <f t="shared" si="141"/>
        <v>0.2</v>
      </c>
      <c r="F1320" s="16">
        <f t="shared" si="142"/>
        <v>2</v>
      </c>
      <c r="G1320" s="16">
        <f t="shared" si="143"/>
        <v>1.2383695386373801</v>
      </c>
      <c r="H1320" s="16">
        <f t="shared" si="144"/>
        <v>0.4</v>
      </c>
      <c r="I1320" s="16">
        <f t="shared" si="145"/>
        <v>0</v>
      </c>
      <c r="J1320" s="16">
        <f t="shared" si="146"/>
        <v>0</v>
      </c>
      <c r="K1320" s="16">
        <f>IF(CurrentMtgRatesDataTable8[[#This Row],[WA CC]]&lt;&gt;0,C1319-CurrentMtgRatesDataTable8[[#This Row],[WA CC]],0)</f>
        <v>0</v>
      </c>
      <c r="L1320" s="16">
        <f>IF(CurrentMtgRatesDataTable8[[#This Row],[Servicing Spread]]&lt;=0,L1319,CurrentMtgRatesDataTable8[[#This Row],[Servicing Spread]])</f>
        <v>0.82730929200230241</v>
      </c>
      <c r="M1320" s="16">
        <f>CurrentMtgRatesDataTable8[[#This Row],[Servicing Spread Non-Zero]]-L1319</f>
        <v>0</v>
      </c>
      <c r="N1320" s="16">
        <f>IF(J1319&lt;&gt;0,CurrentMtgRatesDataTable8[[#This Row],[Rate]]-C1319,N1319)</f>
        <v>4.5000000000000373E-2</v>
      </c>
    </row>
    <row r="1321" spans="1:14">
      <c r="A1321" s="39" t="s">
        <v>1373</v>
      </c>
      <c r="B1321" s="40">
        <v>3.0818663952260299</v>
      </c>
      <c r="C1321" s="11">
        <v>3.9050000000000002</v>
      </c>
      <c r="D1321" s="16">
        <f t="shared" si="140"/>
        <v>5</v>
      </c>
      <c r="E1321" s="16">
        <f t="shared" si="141"/>
        <v>0.2</v>
      </c>
      <c r="F1321" s="16">
        <f t="shared" si="142"/>
        <v>3</v>
      </c>
      <c r="G1321" s="16">
        <f t="shared" si="143"/>
        <v>1.854742817682586</v>
      </c>
      <c r="H1321" s="16">
        <f t="shared" si="144"/>
        <v>0.60000000000000009</v>
      </c>
      <c r="I1321" s="16">
        <f t="shared" si="145"/>
        <v>0</v>
      </c>
      <c r="J1321" s="16">
        <f t="shared" si="146"/>
        <v>0</v>
      </c>
      <c r="K1321" s="16">
        <f>IF(CurrentMtgRatesDataTable8[[#This Row],[WA CC]]&lt;&gt;0,C1320-CurrentMtgRatesDataTable8[[#This Row],[WA CC]],0)</f>
        <v>0</v>
      </c>
      <c r="L1321" s="16">
        <f>IF(CurrentMtgRatesDataTable8[[#This Row],[Servicing Spread]]&lt;=0,L1320,CurrentMtgRatesDataTable8[[#This Row],[Servicing Spread]])</f>
        <v>0.82730929200230241</v>
      </c>
      <c r="M1321" s="16">
        <f>CurrentMtgRatesDataTable8[[#This Row],[Servicing Spread Non-Zero]]-L1320</f>
        <v>0</v>
      </c>
      <c r="N1321" s="16">
        <f>IF(J1320&lt;&gt;0,CurrentMtgRatesDataTable8[[#This Row],[Rate]]-C1320,N1320)</f>
        <v>4.5000000000000373E-2</v>
      </c>
    </row>
    <row r="1322" spans="1:14">
      <c r="A1322" s="39" t="s">
        <v>1374</v>
      </c>
      <c r="B1322" s="40">
        <v>3.0692268892382302</v>
      </c>
      <c r="C1322" s="11">
        <v>3.9050000000000002</v>
      </c>
      <c r="D1322" s="16">
        <f t="shared" si="140"/>
        <v>6</v>
      </c>
      <c r="E1322" s="16">
        <f t="shared" si="141"/>
        <v>0.2</v>
      </c>
      <c r="F1322" s="16">
        <f t="shared" si="142"/>
        <v>4</v>
      </c>
      <c r="G1322" s="16">
        <f t="shared" si="143"/>
        <v>2.468588195530232</v>
      </c>
      <c r="H1322" s="16">
        <f t="shared" si="144"/>
        <v>0.8</v>
      </c>
      <c r="I1322" s="16">
        <f t="shared" si="145"/>
        <v>0</v>
      </c>
      <c r="J1322" s="16">
        <f t="shared" si="146"/>
        <v>0</v>
      </c>
      <c r="K1322" s="16">
        <f>IF(CurrentMtgRatesDataTable8[[#This Row],[WA CC]]&lt;&gt;0,C1321-CurrentMtgRatesDataTable8[[#This Row],[WA CC]],0)</f>
        <v>0</v>
      </c>
      <c r="L1322" s="16">
        <f>IF(CurrentMtgRatesDataTable8[[#This Row],[Servicing Spread]]&lt;=0,L1321,CurrentMtgRatesDataTable8[[#This Row],[Servicing Spread]])</f>
        <v>0.82730929200230241</v>
      </c>
      <c r="M1322" s="16">
        <f>CurrentMtgRatesDataTable8[[#This Row],[Servicing Spread Non-Zero]]-L1321</f>
        <v>0</v>
      </c>
      <c r="N1322" s="16">
        <f>IF(J1321&lt;&gt;0,CurrentMtgRatesDataTable8[[#This Row],[Rate]]-C1321,N1321)</f>
        <v>4.5000000000000373E-2</v>
      </c>
    </row>
    <row r="1323" spans="1:14">
      <c r="A1323" s="39" t="s">
        <v>1375</v>
      </c>
      <c r="B1323" s="40">
        <v>3.01403656016261</v>
      </c>
      <c r="C1323" s="11">
        <v>3.9050000000000002</v>
      </c>
      <c r="D1323" s="16">
        <f t="shared" si="140"/>
        <v>7</v>
      </c>
      <c r="E1323" s="16">
        <f t="shared" si="141"/>
        <v>0.2</v>
      </c>
      <c r="F1323" s="16">
        <f t="shared" si="142"/>
        <v>5</v>
      </c>
      <c r="G1323" s="16">
        <f t="shared" si="143"/>
        <v>3.0713955075627539</v>
      </c>
      <c r="H1323" s="16">
        <f t="shared" si="144"/>
        <v>1</v>
      </c>
      <c r="I1323" s="16">
        <f t="shared" si="145"/>
        <v>1</v>
      </c>
      <c r="J1323" s="16">
        <f t="shared" si="146"/>
        <v>3.0713955075627539</v>
      </c>
      <c r="K1323" s="16">
        <f>IF(CurrentMtgRatesDataTable8[[#This Row],[WA CC]]&lt;&gt;0,C1322-CurrentMtgRatesDataTable8[[#This Row],[WA CC]],0)</f>
        <v>0.83360449243724632</v>
      </c>
      <c r="L1323" s="16">
        <f>IF(CurrentMtgRatesDataTable8[[#This Row],[Servicing Spread]]&lt;=0,L1322,CurrentMtgRatesDataTable8[[#This Row],[Servicing Spread]])</f>
        <v>0.83360449243724632</v>
      </c>
      <c r="M1323" s="16">
        <f>CurrentMtgRatesDataTable8[[#This Row],[Servicing Spread Non-Zero]]-L1322</f>
        <v>6.295200434943915E-3</v>
      </c>
      <c r="N1323" s="16">
        <f>IF(J1322&lt;&gt;0,CurrentMtgRatesDataTable8[[#This Row],[Rate]]-C1322,N1322)</f>
        <v>4.5000000000000373E-2</v>
      </c>
    </row>
    <row r="1324" spans="1:14">
      <c r="A1324" s="39" t="s">
        <v>1376</v>
      </c>
      <c r="B1324" s="40">
        <v>3.0326199882874301</v>
      </c>
      <c r="C1324" s="11">
        <v>3.86</v>
      </c>
      <c r="D1324" s="16">
        <f t="shared" si="140"/>
        <v>1</v>
      </c>
      <c r="E1324" s="16">
        <f t="shared" si="141"/>
        <v>0.2</v>
      </c>
      <c r="F1324" s="16">
        <f t="shared" si="142"/>
        <v>1</v>
      </c>
      <c r="G1324" s="16">
        <f t="shared" si="143"/>
        <v>0.6065239976574861</v>
      </c>
      <c r="H1324" s="16">
        <f t="shared" si="144"/>
        <v>0.2</v>
      </c>
      <c r="I1324" s="16">
        <f t="shared" si="145"/>
        <v>0</v>
      </c>
      <c r="J1324" s="16">
        <f t="shared" si="146"/>
        <v>0</v>
      </c>
      <c r="K1324" s="16">
        <f>IF(CurrentMtgRatesDataTable8[[#This Row],[WA CC]]&lt;&gt;0,C1323-CurrentMtgRatesDataTable8[[#This Row],[WA CC]],0)</f>
        <v>0</v>
      </c>
      <c r="L1324" s="16">
        <f>IF(CurrentMtgRatesDataTable8[[#This Row],[Servicing Spread]]&lt;=0,L1323,CurrentMtgRatesDataTable8[[#This Row],[Servicing Spread]])</f>
        <v>0.83360449243724632</v>
      </c>
      <c r="M1324" s="16">
        <f>CurrentMtgRatesDataTable8[[#This Row],[Servicing Spread Non-Zero]]-L1323</f>
        <v>0</v>
      </c>
      <c r="N1324" s="16">
        <f>IF(J1323&lt;&gt;0,CurrentMtgRatesDataTable8[[#This Row],[Rate]]-C1323,N1323)</f>
        <v>-4.5000000000000373E-2</v>
      </c>
    </row>
    <row r="1325" spans="1:14">
      <c r="A1325" s="39" t="s">
        <v>1377</v>
      </c>
      <c r="B1325" s="40">
        <v>3.0158212312193302</v>
      </c>
      <c r="C1325" s="11">
        <v>3.86</v>
      </c>
      <c r="D1325" s="16">
        <f t="shared" si="140"/>
        <v>2</v>
      </c>
      <c r="E1325" s="16">
        <f t="shared" si="141"/>
        <v>0.2</v>
      </c>
      <c r="F1325" s="16">
        <f t="shared" si="142"/>
        <v>2</v>
      </c>
      <c r="G1325" s="16">
        <f t="shared" si="143"/>
        <v>1.2096882439013523</v>
      </c>
      <c r="H1325" s="16">
        <f t="shared" si="144"/>
        <v>0.4</v>
      </c>
      <c r="I1325" s="16">
        <f t="shared" si="145"/>
        <v>0</v>
      </c>
      <c r="J1325" s="16">
        <f t="shared" si="146"/>
        <v>0</v>
      </c>
      <c r="K1325" s="16">
        <f>IF(CurrentMtgRatesDataTable8[[#This Row],[WA CC]]&lt;&gt;0,C1324-CurrentMtgRatesDataTable8[[#This Row],[WA CC]],0)</f>
        <v>0</v>
      </c>
      <c r="L1325" s="16">
        <f>IF(CurrentMtgRatesDataTable8[[#This Row],[Servicing Spread]]&lt;=0,L1324,CurrentMtgRatesDataTable8[[#This Row],[Servicing Spread]])</f>
        <v>0.83360449243724632</v>
      </c>
      <c r="M1325" s="16">
        <f>CurrentMtgRatesDataTable8[[#This Row],[Servicing Spread Non-Zero]]-L1324</f>
        <v>0</v>
      </c>
      <c r="N1325" s="16">
        <f>IF(J1324&lt;&gt;0,CurrentMtgRatesDataTable8[[#This Row],[Rate]]-C1324,N1324)</f>
        <v>-4.5000000000000373E-2</v>
      </c>
    </row>
    <row r="1326" spans="1:14">
      <c r="A1326" s="39" t="s">
        <v>1378</v>
      </c>
      <c r="B1326" s="40">
        <v>3.0046032284055402</v>
      </c>
      <c r="C1326" s="11">
        <v>3.86</v>
      </c>
      <c r="D1326" s="16">
        <f t="shared" si="140"/>
        <v>5</v>
      </c>
      <c r="E1326" s="16">
        <f t="shared" si="141"/>
        <v>0.2</v>
      </c>
      <c r="F1326" s="16">
        <f t="shared" si="142"/>
        <v>3</v>
      </c>
      <c r="G1326" s="16">
        <f t="shared" si="143"/>
        <v>1.8106088895824604</v>
      </c>
      <c r="H1326" s="16">
        <f t="shared" si="144"/>
        <v>0.60000000000000009</v>
      </c>
      <c r="I1326" s="16">
        <f t="shared" si="145"/>
        <v>0</v>
      </c>
      <c r="J1326" s="16">
        <f t="shared" si="146"/>
        <v>0</v>
      </c>
      <c r="K1326" s="16">
        <f>IF(CurrentMtgRatesDataTable8[[#This Row],[WA CC]]&lt;&gt;0,C1325-CurrentMtgRatesDataTable8[[#This Row],[WA CC]],0)</f>
        <v>0</v>
      </c>
      <c r="L1326" s="16">
        <f>IF(CurrentMtgRatesDataTable8[[#This Row],[Servicing Spread]]&lt;=0,L1325,CurrentMtgRatesDataTable8[[#This Row],[Servicing Spread]])</f>
        <v>0.83360449243724632</v>
      </c>
      <c r="M1326" s="16">
        <f>CurrentMtgRatesDataTable8[[#This Row],[Servicing Spread Non-Zero]]-L1325</f>
        <v>0</v>
      </c>
      <c r="N1326" s="16">
        <f>IF(J1325&lt;&gt;0,CurrentMtgRatesDataTable8[[#This Row],[Rate]]-C1325,N1325)</f>
        <v>-4.5000000000000373E-2</v>
      </c>
    </row>
    <row r="1327" spans="1:14">
      <c r="A1327" s="39" t="s">
        <v>1379</v>
      </c>
      <c r="B1327" s="40">
        <v>2.97056428337457</v>
      </c>
      <c r="C1327" s="11">
        <v>3.86</v>
      </c>
      <c r="D1327" s="16">
        <f t="shared" si="140"/>
        <v>6</v>
      </c>
      <c r="E1327" s="16">
        <f t="shared" si="141"/>
        <v>0.2</v>
      </c>
      <c r="F1327" s="16">
        <f t="shared" si="142"/>
        <v>4</v>
      </c>
      <c r="G1327" s="16">
        <f t="shared" si="143"/>
        <v>2.4047217462573744</v>
      </c>
      <c r="H1327" s="16">
        <f t="shared" si="144"/>
        <v>0.8</v>
      </c>
      <c r="I1327" s="16">
        <f t="shared" si="145"/>
        <v>0</v>
      </c>
      <c r="J1327" s="16">
        <f t="shared" si="146"/>
        <v>0</v>
      </c>
      <c r="K1327" s="16">
        <f>IF(CurrentMtgRatesDataTable8[[#This Row],[WA CC]]&lt;&gt;0,C1326-CurrentMtgRatesDataTable8[[#This Row],[WA CC]],0)</f>
        <v>0</v>
      </c>
      <c r="L1327" s="16">
        <f>IF(CurrentMtgRatesDataTable8[[#This Row],[Servicing Spread]]&lt;=0,L1326,CurrentMtgRatesDataTable8[[#This Row],[Servicing Spread]])</f>
        <v>0.83360449243724632</v>
      </c>
      <c r="M1327" s="16">
        <f>CurrentMtgRatesDataTable8[[#This Row],[Servicing Spread Non-Zero]]-L1326</f>
        <v>0</v>
      </c>
      <c r="N1327" s="16">
        <f>IF(J1326&lt;&gt;0,CurrentMtgRatesDataTable8[[#This Row],[Rate]]-C1326,N1326)</f>
        <v>-4.5000000000000373E-2</v>
      </c>
    </row>
    <row r="1328" spans="1:14">
      <c r="A1328" s="39" t="s">
        <v>1380</v>
      </c>
      <c r="B1328" s="40">
        <v>2.97246415847412</v>
      </c>
      <c r="C1328" s="11">
        <v>3.86</v>
      </c>
      <c r="D1328" s="16">
        <f t="shared" si="140"/>
        <v>7</v>
      </c>
      <c r="E1328" s="16">
        <f t="shared" si="141"/>
        <v>0.2</v>
      </c>
      <c r="F1328" s="16">
        <f t="shared" si="142"/>
        <v>5</v>
      </c>
      <c r="G1328" s="16">
        <f t="shared" si="143"/>
        <v>2.9992145779521984</v>
      </c>
      <c r="H1328" s="16">
        <f t="shared" si="144"/>
        <v>1</v>
      </c>
      <c r="I1328" s="16">
        <f t="shared" si="145"/>
        <v>1</v>
      </c>
      <c r="J1328" s="16">
        <f t="shared" si="146"/>
        <v>2.9992145779521984</v>
      </c>
      <c r="K1328" s="16">
        <f>IF(CurrentMtgRatesDataTable8[[#This Row],[WA CC]]&lt;&gt;0,C1327-CurrentMtgRatesDataTable8[[#This Row],[WA CC]],0)</f>
        <v>0.86078542204780151</v>
      </c>
      <c r="L1328" s="16">
        <f>IF(CurrentMtgRatesDataTable8[[#This Row],[Servicing Spread]]&lt;=0,L1327,CurrentMtgRatesDataTable8[[#This Row],[Servicing Spread]])</f>
        <v>0.86078542204780151</v>
      </c>
      <c r="M1328" s="16">
        <f>CurrentMtgRatesDataTable8[[#This Row],[Servicing Spread Non-Zero]]-L1327</f>
        <v>2.7180929610555182E-2</v>
      </c>
      <c r="N1328" s="16">
        <f>IF(J1327&lt;&gt;0,CurrentMtgRatesDataTable8[[#This Row],[Rate]]-C1327,N1327)</f>
        <v>-4.5000000000000373E-2</v>
      </c>
    </row>
    <row r="1329" spans="1:14">
      <c r="A1329" s="39" t="s">
        <v>1381</v>
      </c>
      <c r="B1329" s="40">
        <v>2.9731323059338801</v>
      </c>
      <c r="C1329" s="11">
        <v>3.7949999999999999</v>
      </c>
      <c r="D1329" s="16">
        <f t="shared" si="140"/>
        <v>1</v>
      </c>
      <c r="E1329" s="16">
        <f t="shared" si="141"/>
        <v>0.2</v>
      </c>
      <c r="F1329" s="16">
        <f t="shared" si="142"/>
        <v>1</v>
      </c>
      <c r="G1329" s="16">
        <f t="shared" si="143"/>
        <v>0.59462646118677609</v>
      </c>
      <c r="H1329" s="16">
        <f t="shared" si="144"/>
        <v>0.2</v>
      </c>
      <c r="I1329" s="16">
        <f t="shared" si="145"/>
        <v>0</v>
      </c>
      <c r="J1329" s="16">
        <f t="shared" si="146"/>
        <v>0</v>
      </c>
      <c r="K1329" s="16">
        <f>IF(CurrentMtgRatesDataTable8[[#This Row],[WA CC]]&lt;&gt;0,C1328-CurrentMtgRatesDataTable8[[#This Row],[WA CC]],0)</f>
        <v>0</v>
      </c>
      <c r="L1329" s="16">
        <f>IF(CurrentMtgRatesDataTable8[[#This Row],[Servicing Spread]]&lt;=0,L1328,CurrentMtgRatesDataTable8[[#This Row],[Servicing Spread]])</f>
        <v>0.86078542204780151</v>
      </c>
      <c r="M1329" s="16">
        <f>CurrentMtgRatesDataTable8[[#This Row],[Servicing Spread Non-Zero]]-L1328</f>
        <v>0</v>
      </c>
      <c r="N1329" s="16">
        <f>IF(J1328&lt;&gt;0,CurrentMtgRatesDataTable8[[#This Row],[Rate]]-C1328,N1328)</f>
        <v>-6.4999999999999947E-2</v>
      </c>
    </row>
    <row r="1330" spans="1:14">
      <c r="A1330" s="39" t="s">
        <v>1382</v>
      </c>
      <c r="B1330" s="40">
        <v>2.94257511254186</v>
      </c>
      <c r="C1330" s="11">
        <v>3.7949999999999999</v>
      </c>
      <c r="D1330" s="16">
        <f t="shared" si="140"/>
        <v>2</v>
      </c>
      <c r="E1330" s="16">
        <f t="shared" si="141"/>
        <v>0.2</v>
      </c>
      <c r="F1330" s="16">
        <f t="shared" si="142"/>
        <v>2</v>
      </c>
      <c r="G1330" s="16">
        <f t="shared" si="143"/>
        <v>1.1831414836951482</v>
      </c>
      <c r="H1330" s="16">
        <f t="shared" si="144"/>
        <v>0.4</v>
      </c>
      <c r="I1330" s="16">
        <f t="shared" si="145"/>
        <v>0</v>
      </c>
      <c r="J1330" s="16">
        <f t="shared" si="146"/>
        <v>0</v>
      </c>
      <c r="K1330" s="16">
        <f>IF(CurrentMtgRatesDataTable8[[#This Row],[WA CC]]&lt;&gt;0,C1329-CurrentMtgRatesDataTable8[[#This Row],[WA CC]],0)</f>
        <v>0</v>
      </c>
      <c r="L1330" s="16">
        <f>IF(CurrentMtgRatesDataTable8[[#This Row],[Servicing Spread]]&lt;=0,L1329,CurrentMtgRatesDataTable8[[#This Row],[Servicing Spread]])</f>
        <v>0.86078542204780151</v>
      </c>
      <c r="M1330" s="16">
        <f>CurrentMtgRatesDataTable8[[#This Row],[Servicing Spread Non-Zero]]-L1329</f>
        <v>0</v>
      </c>
      <c r="N1330" s="16">
        <f>IF(J1329&lt;&gt;0,CurrentMtgRatesDataTable8[[#This Row],[Rate]]-C1329,N1329)</f>
        <v>-6.4999999999999947E-2</v>
      </c>
    </row>
    <row r="1331" spans="1:14">
      <c r="A1331" s="39" t="s">
        <v>1383</v>
      </c>
      <c r="B1331" s="40">
        <v>2.9539216653401201</v>
      </c>
      <c r="C1331" s="11">
        <v>3.7949999999999999</v>
      </c>
      <c r="D1331" s="16">
        <f t="shared" si="140"/>
        <v>5</v>
      </c>
      <c r="E1331" s="16">
        <f t="shared" si="141"/>
        <v>0.2</v>
      </c>
      <c r="F1331" s="16">
        <f t="shared" si="142"/>
        <v>3</v>
      </c>
      <c r="G1331" s="16">
        <f t="shared" si="143"/>
        <v>1.7739258167631722</v>
      </c>
      <c r="H1331" s="16">
        <f t="shared" si="144"/>
        <v>0.60000000000000009</v>
      </c>
      <c r="I1331" s="16">
        <f t="shared" si="145"/>
        <v>0</v>
      </c>
      <c r="J1331" s="16">
        <f t="shared" si="146"/>
        <v>0</v>
      </c>
      <c r="K1331" s="16">
        <f>IF(CurrentMtgRatesDataTable8[[#This Row],[WA CC]]&lt;&gt;0,C1330-CurrentMtgRatesDataTable8[[#This Row],[WA CC]],0)</f>
        <v>0</v>
      </c>
      <c r="L1331" s="16">
        <f>IF(CurrentMtgRatesDataTable8[[#This Row],[Servicing Spread]]&lt;=0,L1330,CurrentMtgRatesDataTable8[[#This Row],[Servicing Spread]])</f>
        <v>0.86078542204780151</v>
      </c>
      <c r="M1331" s="16">
        <f>CurrentMtgRatesDataTable8[[#This Row],[Servicing Spread Non-Zero]]-L1330</f>
        <v>0</v>
      </c>
      <c r="N1331" s="16">
        <f>IF(J1330&lt;&gt;0,CurrentMtgRatesDataTable8[[#This Row],[Rate]]-C1330,N1330)</f>
        <v>-6.4999999999999947E-2</v>
      </c>
    </row>
    <row r="1332" spans="1:14">
      <c r="A1332" s="39" t="s">
        <v>1384</v>
      </c>
      <c r="B1332" s="40">
        <v>3.02215443116989</v>
      </c>
      <c r="C1332" s="11">
        <v>3.7949999999999999</v>
      </c>
      <c r="D1332" s="16">
        <f t="shared" si="140"/>
        <v>6</v>
      </c>
      <c r="E1332" s="16">
        <f t="shared" si="141"/>
        <v>0.2</v>
      </c>
      <c r="F1332" s="16">
        <f t="shared" si="142"/>
        <v>4</v>
      </c>
      <c r="G1332" s="16">
        <f t="shared" si="143"/>
        <v>2.3783567029971504</v>
      </c>
      <c r="H1332" s="16">
        <f t="shared" si="144"/>
        <v>0.8</v>
      </c>
      <c r="I1332" s="16">
        <f t="shared" si="145"/>
        <v>0</v>
      </c>
      <c r="J1332" s="16">
        <f t="shared" si="146"/>
        <v>0</v>
      </c>
      <c r="K1332" s="16">
        <f>IF(CurrentMtgRatesDataTable8[[#This Row],[WA CC]]&lt;&gt;0,C1331-CurrentMtgRatesDataTable8[[#This Row],[WA CC]],0)</f>
        <v>0</v>
      </c>
      <c r="L1332" s="16">
        <f>IF(CurrentMtgRatesDataTable8[[#This Row],[Servicing Spread]]&lt;=0,L1331,CurrentMtgRatesDataTable8[[#This Row],[Servicing Spread]])</f>
        <v>0.86078542204780151</v>
      </c>
      <c r="M1332" s="16">
        <f>CurrentMtgRatesDataTable8[[#This Row],[Servicing Spread Non-Zero]]-L1331</f>
        <v>0</v>
      </c>
      <c r="N1332" s="16">
        <f>IF(J1331&lt;&gt;0,CurrentMtgRatesDataTable8[[#This Row],[Rate]]-C1331,N1331)</f>
        <v>-6.4999999999999947E-2</v>
      </c>
    </row>
    <row r="1333" spans="1:14">
      <c r="A1333" s="39" t="s">
        <v>1385</v>
      </c>
      <c r="B1333" s="40">
        <v>2.9701129901318302</v>
      </c>
      <c r="C1333" s="11">
        <v>3.7949999999999999</v>
      </c>
      <c r="D1333" s="16">
        <f t="shared" si="140"/>
        <v>7</v>
      </c>
      <c r="E1333" s="16">
        <f t="shared" si="141"/>
        <v>0.2</v>
      </c>
      <c r="F1333" s="16">
        <f t="shared" si="142"/>
        <v>5</v>
      </c>
      <c r="G1333" s="16">
        <f t="shared" si="143"/>
        <v>2.9723793010235164</v>
      </c>
      <c r="H1333" s="16">
        <f t="shared" si="144"/>
        <v>1</v>
      </c>
      <c r="I1333" s="16">
        <f t="shared" si="145"/>
        <v>1</v>
      </c>
      <c r="J1333" s="16">
        <f t="shared" si="146"/>
        <v>2.9723793010235164</v>
      </c>
      <c r="K1333" s="16">
        <f>IF(CurrentMtgRatesDataTable8[[#This Row],[WA CC]]&lt;&gt;0,C1332-CurrentMtgRatesDataTable8[[#This Row],[WA CC]],0)</f>
        <v>0.82262069897648349</v>
      </c>
      <c r="L1333" s="16">
        <f>IF(CurrentMtgRatesDataTable8[[#This Row],[Servicing Spread]]&lt;=0,L1332,CurrentMtgRatesDataTable8[[#This Row],[Servicing Spread]])</f>
        <v>0.82262069897648349</v>
      </c>
      <c r="M1333" s="16">
        <f>CurrentMtgRatesDataTable8[[#This Row],[Servicing Spread Non-Zero]]-L1332</f>
        <v>-3.8164723071318019E-2</v>
      </c>
      <c r="N1333" s="16">
        <f>IF(J1332&lt;&gt;0,CurrentMtgRatesDataTable8[[#This Row],[Rate]]-C1332,N1332)</f>
        <v>-6.4999999999999947E-2</v>
      </c>
    </row>
    <row r="1334" spans="1:14">
      <c r="A1334" s="39" t="s">
        <v>1386</v>
      </c>
      <c r="B1334" s="40">
        <v>2.9938270438996102</v>
      </c>
      <c r="C1334" s="11">
        <v>3.8050000000000002</v>
      </c>
      <c r="D1334" s="16">
        <f t="shared" si="140"/>
        <v>1</v>
      </c>
      <c r="E1334" s="16">
        <f t="shared" si="141"/>
        <v>0.2</v>
      </c>
      <c r="F1334" s="16">
        <f t="shared" si="142"/>
        <v>1</v>
      </c>
      <c r="G1334" s="16">
        <f t="shared" si="143"/>
        <v>0.59876540877992201</v>
      </c>
      <c r="H1334" s="16">
        <f t="shared" si="144"/>
        <v>0.2</v>
      </c>
      <c r="I1334" s="16">
        <f t="shared" si="145"/>
        <v>0</v>
      </c>
      <c r="J1334" s="16">
        <f t="shared" si="146"/>
        <v>0</v>
      </c>
      <c r="K1334" s="16">
        <f>IF(CurrentMtgRatesDataTable8[[#This Row],[WA CC]]&lt;&gt;0,C1333-CurrentMtgRatesDataTable8[[#This Row],[WA CC]],0)</f>
        <v>0</v>
      </c>
      <c r="L1334" s="16">
        <f>IF(CurrentMtgRatesDataTable8[[#This Row],[Servicing Spread]]&lt;=0,L1333,CurrentMtgRatesDataTable8[[#This Row],[Servicing Spread]])</f>
        <v>0.82262069897648349</v>
      </c>
      <c r="M1334" s="16">
        <f>CurrentMtgRatesDataTable8[[#This Row],[Servicing Spread Non-Zero]]-L1333</f>
        <v>0</v>
      </c>
      <c r="N1334" s="16">
        <f>IF(J1333&lt;&gt;0,CurrentMtgRatesDataTable8[[#This Row],[Rate]]-C1333,N1333)</f>
        <v>1.0000000000000231E-2</v>
      </c>
    </row>
    <row r="1335" spans="1:14">
      <c r="A1335" s="39" t="s">
        <v>1387</v>
      </c>
      <c r="B1335" s="40">
        <v>2.9740140733448301</v>
      </c>
      <c r="C1335" s="11">
        <v>3.8050000000000002</v>
      </c>
      <c r="D1335" s="16">
        <f t="shared" si="140"/>
        <v>2</v>
      </c>
      <c r="E1335" s="16">
        <f t="shared" si="141"/>
        <v>0.2</v>
      </c>
      <c r="F1335" s="16">
        <f t="shared" si="142"/>
        <v>2</v>
      </c>
      <c r="G1335" s="16">
        <f t="shared" si="143"/>
        <v>1.193568223448888</v>
      </c>
      <c r="H1335" s="16">
        <f t="shared" si="144"/>
        <v>0.4</v>
      </c>
      <c r="I1335" s="16">
        <f t="shared" si="145"/>
        <v>0</v>
      </c>
      <c r="J1335" s="16">
        <f t="shared" si="146"/>
        <v>0</v>
      </c>
      <c r="K1335" s="16">
        <f>IF(CurrentMtgRatesDataTable8[[#This Row],[WA CC]]&lt;&gt;0,C1334-CurrentMtgRatesDataTable8[[#This Row],[WA CC]],0)</f>
        <v>0</v>
      </c>
      <c r="L1335" s="16">
        <f>IF(CurrentMtgRatesDataTable8[[#This Row],[Servicing Spread]]&lt;=0,L1334,CurrentMtgRatesDataTable8[[#This Row],[Servicing Spread]])</f>
        <v>0.82262069897648349</v>
      </c>
      <c r="M1335" s="16">
        <f>CurrentMtgRatesDataTable8[[#This Row],[Servicing Spread Non-Zero]]-L1334</f>
        <v>0</v>
      </c>
      <c r="N1335" s="16">
        <f>IF(J1334&lt;&gt;0,CurrentMtgRatesDataTable8[[#This Row],[Rate]]-C1334,N1334)</f>
        <v>1.0000000000000231E-2</v>
      </c>
    </row>
    <row r="1336" spans="1:14">
      <c r="A1336" s="39" t="s">
        <v>1388</v>
      </c>
      <c r="B1336" s="40">
        <v>2.97637624245715</v>
      </c>
      <c r="C1336" s="11">
        <v>3.8050000000000002</v>
      </c>
      <c r="D1336" s="16">
        <f t="shared" si="140"/>
        <v>5</v>
      </c>
      <c r="E1336" s="16">
        <f t="shared" si="141"/>
        <v>0.2</v>
      </c>
      <c r="F1336" s="16">
        <f t="shared" si="142"/>
        <v>3</v>
      </c>
      <c r="G1336" s="16">
        <f t="shared" si="143"/>
        <v>1.7888434719403179</v>
      </c>
      <c r="H1336" s="16">
        <f t="shared" si="144"/>
        <v>0.60000000000000009</v>
      </c>
      <c r="I1336" s="16">
        <f t="shared" si="145"/>
        <v>0</v>
      </c>
      <c r="J1336" s="16">
        <f t="shared" si="146"/>
        <v>0</v>
      </c>
      <c r="K1336" s="16">
        <f>IF(CurrentMtgRatesDataTable8[[#This Row],[WA CC]]&lt;&gt;0,C1335-CurrentMtgRatesDataTable8[[#This Row],[WA CC]],0)</f>
        <v>0</v>
      </c>
      <c r="L1336" s="16">
        <f>IF(CurrentMtgRatesDataTable8[[#This Row],[Servicing Spread]]&lt;=0,L1335,CurrentMtgRatesDataTable8[[#This Row],[Servicing Spread]])</f>
        <v>0.82262069897648349</v>
      </c>
      <c r="M1336" s="16">
        <f>CurrentMtgRatesDataTable8[[#This Row],[Servicing Spread Non-Zero]]-L1335</f>
        <v>0</v>
      </c>
      <c r="N1336" s="16">
        <f>IF(J1335&lt;&gt;0,CurrentMtgRatesDataTable8[[#This Row],[Rate]]-C1335,N1335)</f>
        <v>1.0000000000000231E-2</v>
      </c>
    </row>
    <row r="1337" spans="1:14">
      <c r="A1337" s="39" t="s">
        <v>1389</v>
      </c>
      <c r="B1337" s="40">
        <v>2.9403667589797098</v>
      </c>
      <c r="C1337" s="11">
        <v>3.8050000000000002</v>
      </c>
      <c r="D1337" s="16">
        <f t="shared" si="140"/>
        <v>6</v>
      </c>
      <c r="E1337" s="16">
        <f t="shared" si="141"/>
        <v>0.2</v>
      </c>
      <c r="F1337" s="16">
        <f t="shared" si="142"/>
        <v>4</v>
      </c>
      <c r="G1337" s="16">
        <f t="shared" si="143"/>
        <v>2.3769168237362601</v>
      </c>
      <c r="H1337" s="16">
        <f t="shared" si="144"/>
        <v>0.8</v>
      </c>
      <c r="I1337" s="16">
        <f t="shared" si="145"/>
        <v>0</v>
      </c>
      <c r="J1337" s="16">
        <f t="shared" si="146"/>
        <v>0</v>
      </c>
      <c r="K1337" s="16">
        <f>IF(CurrentMtgRatesDataTable8[[#This Row],[WA CC]]&lt;&gt;0,C1336-CurrentMtgRatesDataTable8[[#This Row],[WA CC]],0)</f>
        <v>0</v>
      </c>
      <c r="L1337" s="16">
        <f>IF(CurrentMtgRatesDataTable8[[#This Row],[Servicing Spread]]&lt;=0,L1336,CurrentMtgRatesDataTable8[[#This Row],[Servicing Spread]])</f>
        <v>0.82262069897648349</v>
      </c>
      <c r="M1337" s="16">
        <f>CurrentMtgRatesDataTable8[[#This Row],[Servicing Spread Non-Zero]]-L1336</f>
        <v>0</v>
      </c>
      <c r="N1337" s="16">
        <f>IF(J1336&lt;&gt;0,CurrentMtgRatesDataTable8[[#This Row],[Rate]]-C1336,N1336)</f>
        <v>1.0000000000000231E-2</v>
      </c>
    </row>
    <row r="1338" spans="1:14">
      <c r="A1338" s="39" t="s">
        <v>1390</v>
      </c>
      <c r="B1338" s="40">
        <v>2.9478542196080602</v>
      </c>
      <c r="C1338" s="11">
        <v>3.8050000000000002</v>
      </c>
      <c r="D1338" s="16">
        <f t="shared" si="140"/>
        <v>7</v>
      </c>
      <c r="E1338" s="16">
        <f t="shared" si="141"/>
        <v>0.2</v>
      </c>
      <c r="F1338" s="16">
        <f t="shared" si="142"/>
        <v>5</v>
      </c>
      <c r="G1338" s="16">
        <f t="shared" si="143"/>
        <v>2.966487667657872</v>
      </c>
      <c r="H1338" s="16">
        <f t="shared" si="144"/>
        <v>1</v>
      </c>
      <c r="I1338" s="16">
        <f t="shared" si="145"/>
        <v>1</v>
      </c>
      <c r="J1338" s="16">
        <f t="shared" si="146"/>
        <v>2.966487667657872</v>
      </c>
      <c r="K1338" s="16">
        <f>IF(CurrentMtgRatesDataTable8[[#This Row],[WA CC]]&lt;&gt;0,C1337-CurrentMtgRatesDataTable8[[#This Row],[WA CC]],0)</f>
        <v>0.83851233234212819</v>
      </c>
      <c r="L1338" s="16">
        <f>IF(CurrentMtgRatesDataTable8[[#This Row],[Servicing Spread]]&lt;=0,L1337,CurrentMtgRatesDataTable8[[#This Row],[Servicing Spread]])</f>
        <v>0.83851233234212819</v>
      </c>
      <c r="M1338" s="16">
        <f>CurrentMtgRatesDataTable8[[#This Row],[Servicing Spread Non-Zero]]-L1337</f>
        <v>1.5891633365644697E-2</v>
      </c>
      <c r="N1338" s="16">
        <f>IF(J1337&lt;&gt;0,CurrentMtgRatesDataTable8[[#This Row],[Rate]]-C1337,N1337)</f>
        <v>1.0000000000000231E-2</v>
      </c>
    </row>
    <row r="1339" spans="1:14">
      <c r="A1339" s="39" t="s">
        <v>1391</v>
      </c>
      <c r="B1339" s="40">
        <v>2.9190280511429001</v>
      </c>
      <c r="C1339" s="11">
        <v>3.7749999999999999</v>
      </c>
      <c r="D1339" s="16">
        <f t="shared" si="140"/>
        <v>1</v>
      </c>
      <c r="E1339" s="16">
        <f t="shared" si="141"/>
        <v>0.2</v>
      </c>
      <c r="F1339" s="16">
        <f t="shared" si="142"/>
        <v>1</v>
      </c>
      <c r="G1339" s="16">
        <f t="shared" si="143"/>
        <v>0.58380561022858002</v>
      </c>
      <c r="H1339" s="16">
        <f t="shared" si="144"/>
        <v>0.2</v>
      </c>
      <c r="I1339" s="16">
        <f t="shared" si="145"/>
        <v>0</v>
      </c>
      <c r="J1339" s="16">
        <f t="shared" si="146"/>
        <v>0</v>
      </c>
      <c r="K1339" s="16">
        <f>IF(CurrentMtgRatesDataTable8[[#This Row],[WA CC]]&lt;&gt;0,C1338-CurrentMtgRatesDataTable8[[#This Row],[WA CC]],0)</f>
        <v>0</v>
      </c>
      <c r="L1339" s="16">
        <f>IF(CurrentMtgRatesDataTable8[[#This Row],[Servicing Spread]]&lt;=0,L1338,CurrentMtgRatesDataTable8[[#This Row],[Servicing Spread]])</f>
        <v>0.83851233234212819</v>
      </c>
      <c r="M1339" s="16">
        <f>CurrentMtgRatesDataTable8[[#This Row],[Servicing Spread Non-Zero]]-L1338</f>
        <v>0</v>
      </c>
      <c r="N1339" s="16">
        <f>IF(J1338&lt;&gt;0,CurrentMtgRatesDataTable8[[#This Row],[Rate]]-C1338,N1338)</f>
        <v>-3.0000000000000249E-2</v>
      </c>
    </row>
    <row r="1340" spans="1:14">
      <c r="A1340" s="39" t="s">
        <v>1392</v>
      </c>
      <c r="B1340" s="40">
        <v>2.9469409436626601</v>
      </c>
      <c r="C1340" s="11">
        <v>3.7749999999999999</v>
      </c>
      <c r="D1340" s="16">
        <f t="shared" si="140"/>
        <v>2</v>
      </c>
      <c r="E1340" s="16">
        <f t="shared" si="141"/>
        <v>0.2</v>
      </c>
      <c r="F1340" s="16">
        <f t="shared" si="142"/>
        <v>2</v>
      </c>
      <c r="G1340" s="16">
        <f t="shared" si="143"/>
        <v>1.1731937989611121</v>
      </c>
      <c r="H1340" s="16">
        <f t="shared" si="144"/>
        <v>0.4</v>
      </c>
      <c r="I1340" s="16">
        <f t="shared" si="145"/>
        <v>0</v>
      </c>
      <c r="J1340" s="16">
        <f t="shared" si="146"/>
        <v>0</v>
      </c>
      <c r="K1340" s="16">
        <f>IF(CurrentMtgRatesDataTable8[[#This Row],[WA CC]]&lt;&gt;0,C1339-CurrentMtgRatesDataTable8[[#This Row],[WA CC]],0)</f>
        <v>0</v>
      </c>
      <c r="L1340" s="16">
        <f>IF(CurrentMtgRatesDataTable8[[#This Row],[Servicing Spread]]&lt;=0,L1339,CurrentMtgRatesDataTable8[[#This Row],[Servicing Spread]])</f>
        <v>0.83851233234212819</v>
      </c>
      <c r="M1340" s="16">
        <f>CurrentMtgRatesDataTable8[[#This Row],[Servicing Spread Non-Zero]]-L1339</f>
        <v>0</v>
      </c>
      <c r="N1340" s="16">
        <f>IF(J1339&lt;&gt;0,CurrentMtgRatesDataTable8[[#This Row],[Rate]]-C1339,N1339)</f>
        <v>-3.0000000000000249E-2</v>
      </c>
    </row>
    <row r="1341" spans="1:14">
      <c r="A1341" s="39" t="s">
        <v>1393</v>
      </c>
      <c r="B1341" s="40">
        <v>2.9337005392138198</v>
      </c>
      <c r="C1341" s="11">
        <v>3.7749999999999999</v>
      </c>
      <c r="D1341" s="16">
        <f t="shared" si="140"/>
        <v>5</v>
      </c>
      <c r="E1341" s="16">
        <f t="shared" si="141"/>
        <v>0.2</v>
      </c>
      <c r="F1341" s="16">
        <f t="shared" si="142"/>
        <v>3</v>
      </c>
      <c r="G1341" s="16">
        <f t="shared" si="143"/>
        <v>1.7599339068038762</v>
      </c>
      <c r="H1341" s="16">
        <f t="shared" si="144"/>
        <v>0.60000000000000009</v>
      </c>
      <c r="I1341" s="16">
        <f t="shared" si="145"/>
        <v>0</v>
      </c>
      <c r="J1341" s="16">
        <f t="shared" si="146"/>
        <v>0</v>
      </c>
      <c r="K1341" s="16">
        <f>IF(CurrentMtgRatesDataTable8[[#This Row],[WA CC]]&lt;&gt;0,C1340-CurrentMtgRatesDataTable8[[#This Row],[WA CC]],0)</f>
        <v>0</v>
      </c>
      <c r="L1341" s="16">
        <f>IF(CurrentMtgRatesDataTable8[[#This Row],[Servicing Spread]]&lt;=0,L1340,CurrentMtgRatesDataTable8[[#This Row],[Servicing Spread]])</f>
        <v>0.83851233234212819</v>
      </c>
      <c r="M1341" s="16">
        <f>CurrentMtgRatesDataTable8[[#This Row],[Servicing Spread Non-Zero]]-L1340</f>
        <v>0</v>
      </c>
      <c r="N1341" s="16">
        <f>IF(J1340&lt;&gt;0,CurrentMtgRatesDataTable8[[#This Row],[Rate]]-C1340,N1340)</f>
        <v>-3.0000000000000249E-2</v>
      </c>
    </row>
    <row r="1342" spans="1:14">
      <c r="A1342" s="39" t="s">
        <v>1394</v>
      </c>
      <c r="B1342" s="40">
        <v>2.9532777755808302</v>
      </c>
      <c r="C1342" s="11">
        <v>3.7749999999999999</v>
      </c>
      <c r="D1342" s="16">
        <f t="shared" si="140"/>
        <v>6</v>
      </c>
      <c r="E1342" s="16">
        <f t="shared" si="141"/>
        <v>0.2</v>
      </c>
      <c r="F1342" s="16">
        <f t="shared" si="142"/>
        <v>4</v>
      </c>
      <c r="G1342" s="16">
        <f t="shared" si="143"/>
        <v>2.350589461920042</v>
      </c>
      <c r="H1342" s="16">
        <f t="shared" si="144"/>
        <v>0.8</v>
      </c>
      <c r="I1342" s="16">
        <f t="shared" si="145"/>
        <v>0</v>
      </c>
      <c r="J1342" s="16">
        <f t="shared" si="146"/>
        <v>0</v>
      </c>
      <c r="K1342" s="16">
        <f>IF(CurrentMtgRatesDataTable8[[#This Row],[WA CC]]&lt;&gt;0,C1341-CurrentMtgRatesDataTable8[[#This Row],[WA CC]],0)</f>
        <v>0</v>
      </c>
      <c r="L1342" s="16">
        <f>IF(CurrentMtgRatesDataTable8[[#This Row],[Servicing Spread]]&lt;=0,L1341,CurrentMtgRatesDataTable8[[#This Row],[Servicing Spread]])</f>
        <v>0.83851233234212819</v>
      </c>
      <c r="M1342" s="16">
        <f>CurrentMtgRatesDataTable8[[#This Row],[Servicing Spread Non-Zero]]-L1341</f>
        <v>0</v>
      </c>
      <c r="N1342" s="16">
        <f>IF(J1341&lt;&gt;0,CurrentMtgRatesDataTable8[[#This Row],[Rate]]-C1341,N1341)</f>
        <v>-3.0000000000000249E-2</v>
      </c>
    </row>
    <row r="1343" spans="1:14">
      <c r="A1343" s="39" t="s">
        <v>1395</v>
      </c>
      <c r="B1343" s="40">
        <v>2.9149127266331099</v>
      </c>
      <c r="C1343" s="11">
        <v>3.7749999999999999</v>
      </c>
      <c r="D1343" s="16">
        <f t="shared" si="140"/>
        <v>7</v>
      </c>
      <c r="E1343" s="16">
        <f t="shared" si="141"/>
        <v>0.2</v>
      </c>
      <c r="F1343" s="16">
        <f t="shared" si="142"/>
        <v>5</v>
      </c>
      <c r="G1343" s="16">
        <f t="shared" si="143"/>
        <v>2.933572007246664</v>
      </c>
      <c r="H1343" s="16">
        <f t="shared" si="144"/>
        <v>1</v>
      </c>
      <c r="I1343" s="16">
        <f t="shared" si="145"/>
        <v>1</v>
      </c>
      <c r="J1343" s="16">
        <f t="shared" si="146"/>
        <v>2.933572007246664</v>
      </c>
      <c r="K1343" s="16">
        <f>IF(CurrentMtgRatesDataTable8[[#This Row],[WA CC]]&lt;&gt;0,C1342-CurrentMtgRatesDataTable8[[#This Row],[WA CC]],0)</f>
        <v>0.84142799275333591</v>
      </c>
      <c r="L1343" s="16">
        <f>IF(CurrentMtgRatesDataTable8[[#This Row],[Servicing Spread]]&lt;=0,L1342,CurrentMtgRatesDataTable8[[#This Row],[Servicing Spread]])</f>
        <v>0.84142799275333591</v>
      </c>
      <c r="M1343" s="16">
        <f>CurrentMtgRatesDataTable8[[#This Row],[Servicing Spread Non-Zero]]-L1342</f>
        <v>2.9156604112077211E-3</v>
      </c>
      <c r="N1343" s="16">
        <f>IF(J1342&lt;&gt;0,CurrentMtgRatesDataTable8[[#This Row],[Rate]]-C1342,N1342)</f>
        <v>-3.0000000000000249E-2</v>
      </c>
    </row>
    <row r="1344" spans="1:14">
      <c r="A1344" s="39" t="s">
        <v>1396</v>
      </c>
      <c r="B1344" s="40">
        <v>2.9057812704780299</v>
      </c>
      <c r="C1344" s="11">
        <v>3.74</v>
      </c>
      <c r="D1344" s="16">
        <f t="shared" si="140"/>
        <v>1</v>
      </c>
      <c r="E1344" s="16">
        <f t="shared" si="141"/>
        <v>0.2</v>
      </c>
      <c r="F1344" s="16">
        <f t="shared" si="142"/>
        <v>1</v>
      </c>
      <c r="G1344" s="16">
        <f t="shared" si="143"/>
        <v>0.58115625409560601</v>
      </c>
      <c r="H1344" s="16">
        <f t="shared" si="144"/>
        <v>0.2</v>
      </c>
      <c r="I1344" s="16">
        <f t="shared" si="145"/>
        <v>0</v>
      </c>
      <c r="J1344" s="16">
        <f t="shared" si="146"/>
        <v>0</v>
      </c>
      <c r="K1344" s="16">
        <f>IF(CurrentMtgRatesDataTable8[[#This Row],[WA CC]]&lt;&gt;0,C1343-CurrentMtgRatesDataTable8[[#This Row],[WA CC]],0)</f>
        <v>0</v>
      </c>
      <c r="L1344" s="16">
        <f>IF(CurrentMtgRatesDataTable8[[#This Row],[Servicing Spread]]&lt;=0,L1343,CurrentMtgRatesDataTable8[[#This Row],[Servicing Spread]])</f>
        <v>0.84142799275333591</v>
      </c>
      <c r="M1344" s="16">
        <f>CurrentMtgRatesDataTable8[[#This Row],[Servicing Spread Non-Zero]]-L1343</f>
        <v>0</v>
      </c>
      <c r="N1344" s="16">
        <f>IF(J1343&lt;&gt;0,CurrentMtgRatesDataTable8[[#This Row],[Rate]]-C1343,N1343)</f>
        <v>-3.4999999999999698E-2</v>
      </c>
    </row>
    <row r="1345" spans="1:14">
      <c r="A1345" s="39" t="s">
        <v>1397</v>
      </c>
      <c r="B1345" s="40">
        <v>2.88684387791647</v>
      </c>
      <c r="C1345" s="11">
        <v>3.74</v>
      </c>
      <c r="D1345" s="16">
        <f t="shared" si="140"/>
        <v>2</v>
      </c>
      <c r="E1345" s="16">
        <f t="shared" si="141"/>
        <v>0.2</v>
      </c>
      <c r="F1345" s="16">
        <f t="shared" si="142"/>
        <v>2</v>
      </c>
      <c r="G1345" s="16">
        <f t="shared" si="143"/>
        <v>1.1585250296789</v>
      </c>
      <c r="H1345" s="16">
        <f t="shared" si="144"/>
        <v>0.4</v>
      </c>
      <c r="I1345" s="16">
        <f t="shared" si="145"/>
        <v>0</v>
      </c>
      <c r="J1345" s="16">
        <f t="shared" si="146"/>
        <v>0</v>
      </c>
      <c r="K1345" s="16">
        <f>IF(CurrentMtgRatesDataTable8[[#This Row],[WA CC]]&lt;&gt;0,C1344-CurrentMtgRatesDataTable8[[#This Row],[WA CC]],0)</f>
        <v>0</v>
      </c>
      <c r="L1345" s="16">
        <f>IF(CurrentMtgRatesDataTable8[[#This Row],[Servicing Spread]]&lt;=0,L1344,CurrentMtgRatesDataTable8[[#This Row],[Servicing Spread]])</f>
        <v>0.84142799275333591</v>
      </c>
      <c r="M1345" s="16">
        <f>CurrentMtgRatesDataTable8[[#This Row],[Servicing Spread Non-Zero]]-L1344</f>
        <v>0</v>
      </c>
      <c r="N1345" s="16">
        <f>IF(J1344&lt;&gt;0,CurrentMtgRatesDataTable8[[#This Row],[Rate]]-C1344,N1344)</f>
        <v>-3.4999999999999698E-2</v>
      </c>
    </row>
    <row r="1346" spans="1:14">
      <c r="A1346" s="39" t="s">
        <v>1398</v>
      </c>
      <c r="B1346" s="40">
        <v>2.8989518850804301</v>
      </c>
      <c r="C1346" s="11">
        <v>3.74</v>
      </c>
      <c r="D1346" s="16">
        <f t="shared" si="140"/>
        <v>5</v>
      </c>
      <c r="E1346" s="16">
        <f t="shared" si="141"/>
        <v>0.2</v>
      </c>
      <c r="F1346" s="16">
        <f t="shared" si="142"/>
        <v>3</v>
      </c>
      <c r="G1346" s="16">
        <f t="shared" si="143"/>
        <v>1.7383154066949862</v>
      </c>
      <c r="H1346" s="16">
        <f t="shared" si="144"/>
        <v>0.60000000000000009</v>
      </c>
      <c r="I1346" s="16">
        <f t="shared" si="145"/>
        <v>0</v>
      </c>
      <c r="J1346" s="16">
        <f t="shared" si="146"/>
        <v>0</v>
      </c>
      <c r="K1346" s="16">
        <f>IF(CurrentMtgRatesDataTable8[[#This Row],[WA CC]]&lt;&gt;0,C1345-CurrentMtgRatesDataTable8[[#This Row],[WA CC]],0)</f>
        <v>0</v>
      </c>
      <c r="L1346" s="16">
        <f>IF(CurrentMtgRatesDataTable8[[#This Row],[Servicing Spread]]&lt;=0,L1345,CurrentMtgRatesDataTable8[[#This Row],[Servicing Spread]])</f>
        <v>0.84142799275333591</v>
      </c>
      <c r="M1346" s="16">
        <f>CurrentMtgRatesDataTable8[[#This Row],[Servicing Spread Non-Zero]]-L1345</f>
        <v>0</v>
      </c>
      <c r="N1346" s="16">
        <f>IF(J1345&lt;&gt;0,CurrentMtgRatesDataTable8[[#This Row],[Rate]]-C1345,N1345)</f>
        <v>-3.4999999999999698E-2</v>
      </c>
    </row>
    <row r="1347" spans="1:14">
      <c r="A1347" s="39" t="s">
        <v>1399</v>
      </c>
      <c r="B1347" s="40">
        <v>2.9395075858603499</v>
      </c>
      <c r="C1347" s="11">
        <v>3.74</v>
      </c>
      <c r="D1347" s="16">
        <f t="shared" si="140"/>
        <v>6</v>
      </c>
      <c r="E1347" s="16">
        <f t="shared" si="141"/>
        <v>0.2</v>
      </c>
      <c r="F1347" s="16">
        <f t="shared" si="142"/>
        <v>4</v>
      </c>
      <c r="G1347" s="16">
        <f t="shared" si="143"/>
        <v>2.3262169238670563</v>
      </c>
      <c r="H1347" s="16">
        <f t="shared" si="144"/>
        <v>0.8</v>
      </c>
      <c r="I1347" s="16">
        <f t="shared" si="145"/>
        <v>0</v>
      </c>
      <c r="J1347" s="16">
        <f t="shared" si="146"/>
        <v>0</v>
      </c>
      <c r="K1347" s="16">
        <f>IF(CurrentMtgRatesDataTable8[[#This Row],[WA CC]]&lt;&gt;0,C1346-CurrentMtgRatesDataTable8[[#This Row],[WA CC]],0)</f>
        <v>0</v>
      </c>
      <c r="L1347" s="16">
        <f>IF(CurrentMtgRatesDataTable8[[#This Row],[Servicing Spread]]&lt;=0,L1346,CurrentMtgRatesDataTable8[[#This Row],[Servicing Spread]])</f>
        <v>0.84142799275333591</v>
      </c>
      <c r="M1347" s="16">
        <f>CurrentMtgRatesDataTable8[[#This Row],[Servicing Spread Non-Zero]]-L1346</f>
        <v>0</v>
      </c>
      <c r="N1347" s="16">
        <f>IF(J1346&lt;&gt;0,CurrentMtgRatesDataTable8[[#This Row],[Rate]]-C1346,N1346)</f>
        <v>-3.4999999999999698E-2</v>
      </c>
    </row>
    <row r="1348" spans="1:14">
      <c r="A1348" s="39" t="s">
        <v>1400</v>
      </c>
      <c r="B1348" s="40">
        <v>2.9032960694511001</v>
      </c>
      <c r="C1348" s="11">
        <v>3.74</v>
      </c>
      <c r="D1348" s="16">
        <f t="shared" si="140"/>
        <v>7</v>
      </c>
      <c r="E1348" s="16">
        <f t="shared" si="141"/>
        <v>0.2</v>
      </c>
      <c r="F1348" s="16">
        <f t="shared" si="142"/>
        <v>5</v>
      </c>
      <c r="G1348" s="16">
        <f t="shared" si="143"/>
        <v>2.9068761377572763</v>
      </c>
      <c r="H1348" s="16">
        <f t="shared" si="144"/>
        <v>1</v>
      </c>
      <c r="I1348" s="16">
        <f t="shared" si="145"/>
        <v>1</v>
      </c>
      <c r="J1348" s="16">
        <f t="shared" si="146"/>
        <v>2.9068761377572763</v>
      </c>
      <c r="K1348" s="16">
        <f>IF(CurrentMtgRatesDataTable8[[#This Row],[WA CC]]&lt;&gt;0,C1347-CurrentMtgRatesDataTable8[[#This Row],[WA CC]],0)</f>
        <v>0.83312386224272394</v>
      </c>
      <c r="L1348" s="16">
        <f>IF(CurrentMtgRatesDataTable8[[#This Row],[Servicing Spread]]&lt;=0,L1347,CurrentMtgRatesDataTable8[[#This Row],[Servicing Spread]])</f>
        <v>0.83312386224272394</v>
      </c>
      <c r="M1348" s="16">
        <f>CurrentMtgRatesDataTable8[[#This Row],[Servicing Spread Non-Zero]]-L1347</f>
        <v>-8.3041305106119623E-3</v>
      </c>
      <c r="N1348" s="16">
        <f>IF(J1347&lt;&gt;0,CurrentMtgRatesDataTable8[[#This Row],[Rate]]-C1347,N1347)</f>
        <v>-3.4999999999999698E-2</v>
      </c>
    </row>
    <row r="1349" spans="1:14">
      <c r="A1349" s="39" t="s">
        <v>1401</v>
      </c>
      <c r="B1349" s="40">
        <v>2.8788328946045998</v>
      </c>
      <c r="C1349" s="11">
        <v>3.7349999999999999</v>
      </c>
      <c r="D1349" s="16">
        <f t="shared" ref="D1349:D1412" si="147">WEEKDAY(A1349,14)</f>
        <v>1</v>
      </c>
      <c r="E1349" s="16">
        <f t="shared" ref="E1349:E1412" si="148">VLOOKUP(D1349,Q$5:R$11,2,FALSE)</f>
        <v>0.2</v>
      </c>
      <c r="F1349" s="16">
        <f t="shared" ref="F1349:F1412" si="149">IF(AND(D1349&gt;D1348,F1348&lt;6),F1348+1,1)</f>
        <v>1</v>
      </c>
      <c r="G1349" s="16">
        <f t="shared" ref="G1349:G1412" si="150">IF(F1349&gt;F1348,G1348+B1349*E1349,B1349*E1349)</f>
        <v>0.57576657892091998</v>
      </c>
      <c r="H1349" s="16">
        <f t="shared" ref="H1349:H1412" si="151">IF(AND(F1349&lt;6,F1349&gt;F1348),E1349+H1348,E1349)</f>
        <v>0.2</v>
      </c>
      <c r="I1349" s="16">
        <f t="shared" ref="I1349:I1412" si="152">IF(F1349&gt;F1350,1,0)</f>
        <v>0</v>
      </c>
      <c r="J1349" s="16">
        <f t="shared" ref="J1349:J1412" si="153">IF(F1349&gt;F1350,G1349/H1349,0)</f>
        <v>0</v>
      </c>
      <c r="K1349" s="16">
        <f>IF(CurrentMtgRatesDataTable8[[#This Row],[WA CC]]&lt;&gt;0,C1348-CurrentMtgRatesDataTable8[[#This Row],[WA CC]],0)</f>
        <v>0</v>
      </c>
      <c r="L1349" s="16">
        <f>IF(CurrentMtgRatesDataTable8[[#This Row],[Servicing Spread]]&lt;=0,L1348,CurrentMtgRatesDataTable8[[#This Row],[Servicing Spread]])</f>
        <v>0.83312386224272394</v>
      </c>
      <c r="M1349" s="16">
        <f>CurrentMtgRatesDataTable8[[#This Row],[Servicing Spread Non-Zero]]-L1348</f>
        <v>0</v>
      </c>
      <c r="N1349" s="16">
        <f>IF(J1348&lt;&gt;0,CurrentMtgRatesDataTable8[[#This Row],[Rate]]-C1348,N1348)</f>
        <v>-5.0000000000003375E-3</v>
      </c>
    </row>
    <row r="1350" spans="1:14">
      <c r="A1350" s="39" t="s">
        <v>1402</v>
      </c>
      <c r="B1350" s="40">
        <v>2.8849159649276999</v>
      </c>
      <c r="C1350" s="11">
        <v>3.7349999999999999</v>
      </c>
      <c r="D1350" s="16">
        <f t="shared" si="147"/>
        <v>2</v>
      </c>
      <c r="E1350" s="16">
        <f t="shared" si="148"/>
        <v>0.2</v>
      </c>
      <c r="F1350" s="16">
        <f t="shared" si="149"/>
        <v>2</v>
      </c>
      <c r="G1350" s="16">
        <f t="shared" si="150"/>
        <v>1.1527497719064601</v>
      </c>
      <c r="H1350" s="16">
        <f t="shared" si="151"/>
        <v>0.4</v>
      </c>
      <c r="I1350" s="16">
        <f t="shared" si="152"/>
        <v>0</v>
      </c>
      <c r="J1350" s="16">
        <f t="shared" si="153"/>
        <v>0</v>
      </c>
      <c r="K1350" s="16">
        <f>IF(CurrentMtgRatesDataTable8[[#This Row],[WA CC]]&lt;&gt;0,C1349-CurrentMtgRatesDataTable8[[#This Row],[WA CC]],0)</f>
        <v>0</v>
      </c>
      <c r="L1350" s="16">
        <f>IF(CurrentMtgRatesDataTable8[[#This Row],[Servicing Spread]]&lt;=0,L1349,CurrentMtgRatesDataTable8[[#This Row],[Servicing Spread]])</f>
        <v>0.83312386224272394</v>
      </c>
      <c r="M1350" s="16">
        <f>CurrentMtgRatesDataTable8[[#This Row],[Servicing Spread Non-Zero]]-L1349</f>
        <v>0</v>
      </c>
      <c r="N1350" s="16">
        <f>IF(J1349&lt;&gt;0,CurrentMtgRatesDataTable8[[#This Row],[Rate]]-C1349,N1349)</f>
        <v>-5.0000000000003375E-3</v>
      </c>
    </row>
    <row r="1351" spans="1:14">
      <c r="A1351" s="39" t="s">
        <v>1403</v>
      </c>
      <c r="B1351" s="40">
        <v>2.8809330766595802</v>
      </c>
      <c r="C1351" s="11">
        <v>3.7349999999999999</v>
      </c>
      <c r="D1351" s="16">
        <f t="shared" si="147"/>
        <v>5</v>
      </c>
      <c r="E1351" s="16">
        <f t="shared" si="148"/>
        <v>0.2</v>
      </c>
      <c r="F1351" s="16">
        <f t="shared" si="149"/>
        <v>3</v>
      </c>
      <c r="G1351" s="16">
        <f t="shared" si="150"/>
        <v>1.7289363872383761</v>
      </c>
      <c r="H1351" s="16">
        <f t="shared" si="151"/>
        <v>0.60000000000000009</v>
      </c>
      <c r="I1351" s="16">
        <f t="shared" si="152"/>
        <v>0</v>
      </c>
      <c r="J1351" s="16">
        <f t="shared" si="153"/>
        <v>0</v>
      </c>
      <c r="K1351" s="16">
        <f>IF(CurrentMtgRatesDataTable8[[#This Row],[WA CC]]&lt;&gt;0,C1350-CurrentMtgRatesDataTable8[[#This Row],[WA CC]],0)</f>
        <v>0</v>
      </c>
      <c r="L1351" s="16">
        <f>IF(CurrentMtgRatesDataTable8[[#This Row],[Servicing Spread]]&lt;=0,L1350,CurrentMtgRatesDataTable8[[#This Row],[Servicing Spread]])</f>
        <v>0.83312386224272394</v>
      </c>
      <c r="M1351" s="16">
        <f>CurrentMtgRatesDataTable8[[#This Row],[Servicing Spread Non-Zero]]-L1350</f>
        <v>0</v>
      </c>
      <c r="N1351" s="16">
        <f>IF(J1350&lt;&gt;0,CurrentMtgRatesDataTable8[[#This Row],[Rate]]-C1350,N1350)</f>
        <v>-5.0000000000003375E-3</v>
      </c>
    </row>
    <row r="1352" spans="1:14">
      <c r="A1352" s="39" t="s">
        <v>1404</v>
      </c>
      <c r="B1352" s="40">
        <v>2.9039512630900401</v>
      </c>
      <c r="C1352" s="11">
        <v>3.7349999999999999</v>
      </c>
      <c r="D1352" s="16">
        <f t="shared" si="147"/>
        <v>6</v>
      </c>
      <c r="E1352" s="16">
        <f t="shared" si="148"/>
        <v>0.2</v>
      </c>
      <c r="F1352" s="16">
        <f t="shared" si="149"/>
        <v>4</v>
      </c>
      <c r="G1352" s="16">
        <f t="shared" si="150"/>
        <v>2.3097266398563843</v>
      </c>
      <c r="H1352" s="16">
        <f t="shared" si="151"/>
        <v>0.8</v>
      </c>
      <c r="I1352" s="16">
        <f t="shared" si="152"/>
        <v>0</v>
      </c>
      <c r="J1352" s="16">
        <f t="shared" si="153"/>
        <v>0</v>
      </c>
      <c r="K1352" s="16">
        <f>IF(CurrentMtgRatesDataTable8[[#This Row],[WA CC]]&lt;&gt;0,C1351-CurrentMtgRatesDataTable8[[#This Row],[WA CC]],0)</f>
        <v>0</v>
      </c>
      <c r="L1352" s="16">
        <f>IF(CurrentMtgRatesDataTable8[[#This Row],[Servicing Spread]]&lt;=0,L1351,CurrentMtgRatesDataTable8[[#This Row],[Servicing Spread]])</f>
        <v>0.83312386224272394</v>
      </c>
      <c r="M1352" s="16">
        <f>CurrentMtgRatesDataTable8[[#This Row],[Servicing Spread Non-Zero]]-L1351</f>
        <v>0</v>
      </c>
      <c r="N1352" s="16">
        <f>IF(J1351&lt;&gt;0,CurrentMtgRatesDataTable8[[#This Row],[Rate]]-C1351,N1351)</f>
        <v>-5.0000000000003375E-3</v>
      </c>
    </row>
    <row r="1353" spans="1:14">
      <c r="A1353" s="39" t="s">
        <v>1405</v>
      </c>
      <c r="B1353" s="40">
        <v>2.86756430791635</v>
      </c>
      <c r="C1353" s="11">
        <v>3.7349999999999999</v>
      </c>
      <c r="D1353" s="16">
        <f t="shared" si="147"/>
        <v>7</v>
      </c>
      <c r="E1353" s="16">
        <f t="shared" si="148"/>
        <v>0.2</v>
      </c>
      <c r="F1353" s="16">
        <f t="shared" si="149"/>
        <v>5</v>
      </c>
      <c r="G1353" s="16">
        <f t="shared" si="150"/>
        <v>2.8832395014396544</v>
      </c>
      <c r="H1353" s="16">
        <f t="shared" si="151"/>
        <v>1</v>
      </c>
      <c r="I1353" s="16">
        <f t="shared" si="152"/>
        <v>1</v>
      </c>
      <c r="J1353" s="16">
        <f t="shared" si="153"/>
        <v>2.8832395014396544</v>
      </c>
      <c r="K1353" s="16">
        <f>IF(CurrentMtgRatesDataTable8[[#This Row],[WA CC]]&lt;&gt;0,C1352-CurrentMtgRatesDataTable8[[#This Row],[WA CC]],0)</f>
        <v>0.85176049856034552</v>
      </c>
      <c r="L1353" s="16">
        <f>IF(CurrentMtgRatesDataTable8[[#This Row],[Servicing Spread]]&lt;=0,L1352,CurrentMtgRatesDataTable8[[#This Row],[Servicing Spread]])</f>
        <v>0.85176049856034552</v>
      </c>
      <c r="M1353" s="16">
        <f>CurrentMtgRatesDataTable8[[#This Row],[Servicing Spread Non-Zero]]-L1352</f>
        <v>1.863663631762158E-2</v>
      </c>
      <c r="N1353" s="16">
        <f>IF(J1352&lt;&gt;0,CurrentMtgRatesDataTable8[[#This Row],[Rate]]-C1352,N1352)</f>
        <v>-5.0000000000003375E-3</v>
      </c>
    </row>
    <row r="1354" spans="1:14">
      <c r="A1354" s="39" t="s">
        <v>1406</v>
      </c>
      <c r="B1354" s="40">
        <v>2.8814309818514099</v>
      </c>
      <c r="C1354" s="11">
        <v>3.6949999999999998</v>
      </c>
      <c r="D1354" s="16">
        <f t="shared" si="147"/>
        <v>1</v>
      </c>
      <c r="E1354" s="16">
        <f t="shared" si="148"/>
        <v>0.2</v>
      </c>
      <c r="F1354" s="16">
        <f t="shared" si="149"/>
        <v>1</v>
      </c>
      <c r="G1354" s="16">
        <f t="shared" si="150"/>
        <v>0.576286196370282</v>
      </c>
      <c r="H1354" s="16">
        <f t="shared" si="151"/>
        <v>0.2</v>
      </c>
      <c r="I1354" s="16">
        <f t="shared" si="152"/>
        <v>0</v>
      </c>
      <c r="J1354" s="16">
        <f t="shared" si="153"/>
        <v>0</v>
      </c>
      <c r="K1354" s="16">
        <f>IF(CurrentMtgRatesDataTable8[[#This Row],[WA CC]]&lt;&gt;0,C1353-CurrentMtgRatesDataTable8[[#This Row],[WA CC]],0)</f>
        <v>0</v>
      </c>
      <c r="L1354" s="16">
        <f>IF(CurrentMtgRatesDataTable8[[#This Row],[Servicing Spread]]&lt;=0,L1353,CurrentMtgRatesDataTable8[[#This Row],[Servicing Spread]])</f>
        <v>0.85176049856034552</v>
      </c>
      <c r="M1354" s="16">
        <f>CurrentMtgRatesDataTable8[[#This Row],[Servicing Spread Non-Zero]]-L1353</f>
        <v>0</v>
      </c>
      <c r="N1354" s="16">
        <f>IF(J1353&lt;&gt;0,CurrentMtgRatesDataTable8[[#This Row],[Rate]]-C1353,N1353)</f>
        <v>-4.0000000000000036E-2</v>
      </c>
    </row>
    <row r="1355" spans="1:14">
      <c r="A1355" s="39" t="s">
        <v>1407</v>
      </c>
      <c r="B1355" s="40">
        <v>2.85470701352213</v>
      </c>
      <c r="C1355" s="11">
        <v>3.6949999999999998</v>
      </c>
      <c r="D1355" s="16">
        <f t="shared" si="147"/>
        <v>2</v>
      </c>
      <c r="E1355" s="16">
        <f t="shared" si="148"/>
        <v>0.2</v>
      </c>
      <c r="F1355" s="16">
        <f t="shared" si="149"/>
        <v>2</v>
      </c>
      <c r="G1355" s="16">
        <f t="shared" si="150"/>
        <v>1.1472275990747081</v>
      </c>
      <c r="H1355" s="16">
        <f t="shared" si="151"/>
        <v>0.4</v>
      </c>
      <c r="I1355" s="16">
        <f t="shared" si="152"/>
        <v>0</v>
      </c>
      <c r="J1355" s="16">
        <f t="shared" si="153"/>
        <v>0</v>
      </c>
      <c r="K1355" s="16">
        <f>IF(CurrentMtgRatesDataTable8[[#This Row],[WA CC]]&lt;&gt;0,C1354-CurrentMtgRatesDataTable8[[#This Row],[WA CC]],0)</f>
        <v>0</v>
      </c>
      <c r="L1355" s="16">
        <f>IF(CurrentMtgRatesDataTable8[[#This Row],[Servicing Spread]]&lt;=0,L1354,CurrentMtgRatesDataTable8[[#This Row],[Servicing Spread]])</f>
        <v>0.85176049856034552</v>
      </c>
      <c r="M1355" s="16">
        <f>CurrentMtgRatesDataTable8[[#This Row],[Servicing Spread Non-Zero]]-L1354</f>
        <v>0</v>
      </c>
      <c r="N1355" s="16">
        <f>IF(J1354&lt;&gt;0,CurrentMtgRatesDataTable8[[#This Row],[Rate]]-C1354,N1354)</f>
        <v>-4.0000000000000036E-2</v>
      </c>
    </row>
    <row r="1356" spans="1:14">
      <c r="A1356" s="39" t="s">
        <v>1408</v>
      </c>
      <c r="B1356" s="40">
        <v>2.8455759093588999</v>
      </c>
      <c r="C1356" s="11">
        <v>3.6949999999999998</v>
      </c>
      <c r="D1356" s="16">
        <f t="shared" si="147"/>
        <v>5</v>
      </c>
      <c r="E1356" s="16">
        <f t="shared" si="148"/>
        <v>0.2</v>
      </c>
      <c r="F1356" s="16">
        <f t="shared" si="149"/>
        <v>3</v>
      </c>
      <c r="G1356" s="16">
        <f t="shared" si="150"/>
        <v>1.716342780946488</v>
      </c>
      <c r="H1356" s="16">
        <f t="shared" si="151"/>
        <v>0.60000000000000009</v>
      </c>
      <c r="I1356" s="16">
        <f t="shared" si="152"/>
        <v>0</v>
      </c>
      <c r="J1356" s="16">
        <f t="shared" si="153"/>
        <v>0</v>
      </c>
      <c r="K1356" s="16">
        <f>IF(CurrentMtgRatesDataTable8[[#This Row],[WA CC]]&lt;&gt;0,C1355-CurrentMtgRatesDataTable8[[#This Row],[WA CC]],0)</f>
        <v>0</v>
      </c>
      <c r="L1356" s="16">
        <f>IF(CurrentMtgRatesDataTable8[[#This Row],[Servicing Spread]]&lt;=0,L1355,CurrentMtgRatesDataTable8[[#This Row],[Servicing Spread]])</f>
        <v>0.85176049856034552</v>
      </c>
      <c r="M1356" s="16">
        <f>CurrentMtgRatesDataTable8[[#This Row],[Servicing Spread Non-Zero]]-L1355</f>
        <v>0</v>
      </c>
      <c r="N1356" s="16">
        <f>IF(J1355&lt;&gt;0,CurrentMtgRatesDataTable8[[#This Row],[Rate]]-C1355,N1355)</f>
        <v>-4.0000000000000036E-2</v>
      </c>
    </row>
    <row r="1357" spans="1:14">
      <c r="A1357" s="39" t="s">
        <v>1409</v>
      </c>
      <c r="B1357" s="40">
        <v>2.8303497254794401</v>
      </c>
      <c r="C1357" s="11">
        <v>3.6949999999999998</v>
      </c>
      <c r="D1357" s="16">
        <f t="shared" si="147"/>
        <v>6</v>
      </c>
      <c r="E1357" s="16">
        <f t="shared" si="148"/>
        <v>0.2</v>
      </c>
      <c r="F1357" s="16">
        <f t="shared" si="149"/>
        <v>4</v>
      </c>
      <c r="G1357" s="16">
        <f t="shared" si="150"/>
        <v>2.2824127260423759</v>
      </c>
      <c r="H1357" s="16">
        <f t="shared" si="151"/>
        <v>0.8</v>
      </c>
      <c r="I1357" s="16">
        <f t="shared" si="152"/>
        <v>0</v>
      </c>
      <c r="J1357" s="16">
        <f t="shared" si="153"/>
        <v>0</v>
      </c>
      <c r="K1357" s="16">
        <f>IF(CurrentMtgRatesDataTable8[[#This Row],[WA CC]]&lt;&gt;0,C1356-CurrentMtgRatesDataTable8[[#This Row],[WA CC]],0)</f>
        <v>0</v>
      </c>
      <c r="L1357" s="16">
        <f>IF(CurrentMtgRatesDataTable8[[#This Row],[Servicing Spread]]&lt;=0,L1356,CurrentMtgRatesDataTable8[[#This Row],[Servicing Spread]])</f>
        <v>0.85176049856034552</v>
      </c>
      <c r="M1357" s="16">
        <f>CurrentMtgRatesDataTable8[[#This Row],[Servicing Spread Non-Zero]]-L1356</f>
        <v>0</v>
      </c>
      <c r="N1357" s="16">
        <f>IF(J1356&lt;&gt;0,CurrentMtgRatesDataTable8[[#This Row],[Rate]]-C1356,N1356)</f>
        <v>-4.0000000000000036E-2</v>
      </c>
    </row>
    <row r="1358" spans="1:14">
      <c r="A1358" s="39" t="s">
        <v>1410</v>
      </c>
      <c r="B1358" s="40">
        <v>2.8426315316664401</v>
      </c>
      <c r="C1358" s="11">
        <v>3.6949999999999998</v>
      </c>
      <c r="D1358" s="16">
        <f t="shared" si="147"/>
        <v>7</v>
      </c>
      <c r="E1358" s="16">
        <f t="shared" si="148"/>
        <v>0.2</v>
      </c>
      <c r="F1358" s="16">
        <f t="shared" si="149"/>
        <v>5</v>
      </c>
      <c r="G1358" s="16">
        <f t="shared" si="150"/>
        <v>2.8509390323756638</v>
      </c>
      <c r="H1358" s="16">
        <f t="shared" si="151"/>
        <v>1</v>
      </c>
      <c r="I1358" s="16">
        <f t="shared" si="152"/>
        <v>1</v>
      </c>
      <c r="J1358" s="16">
        <f t="shared" si="153"/>
        <v>2.8509390323756638</v>
      </c>
      <c r="K1358" s="16">
        <f>IF(CurrentMtgRatesDataTable8[[#This Row],[WA CC]]&lt;&gt;0,C1357-CurrentMtgRatesDataTable8[[#This Row],[WA CC]],0)</f>
        <v>0.84406096762433602</v>
      </c>
      <c r="L1358" s="16">
        <f>IF(CurrentMtgRatesDataTable8[[#This Row],[Servicing Spread]]&lt;=0,L1357,CurrentMtgRatesDataTable8[[#This Row],[Servicing Spread]])</f>
        <v>0.84406096762433602</v>
      </c>
      <c r="M1358" s="16">
        <f>CurrentMtgRatesDataTable8[[#This Row],[Servicing Spread Non-Zero]]-L1357</f>
        <v>-7.6995309360095021E-3</v>
      </c>
      <c r="N1358" s="16">
        <f>IF(J1357&lt;&gt;0,CurrentMtgRatesDataTable8[[#This Row],[Rate]]-C1357,N1357)</f>
        <v>-4.0000000000000036E-2</v>
      </c>
    </row>
    <row r="1359" spans="1:14">
      <c r="A1359" s="39" t="s">
        <v>1411</v>
      </c>
      <c r="B1359" s="40">
        <v>2.8177381018146699</v>
      </c>
      <c r="C1359" s="11">
        <v>3.6549999999999998</v>
      </c>
      <c r="D1359" s="16">
        <f t="shared" si="147"/>
        <v>1</v>
      </c>
      <c r="E1359" s="16">
        <f t="shared" si="148"/>
        <v>0.2</v>
      </c>
      <c r="F1359" s="16">
        <f t="shared" si="149"/>
        <v>1</v>
      </c>
      <c r="G1359" s="16">
        <f t="shared" si="150"/>
        <v>0.56354762036293404</v>
      </c>
      <c r="H1359" s="16">
        <f t="shared" si="151"/>
        <v>0.2</v>
      </c>
      <c r="I1359" s="16">
        <f t="shared" si="152"/>
        <v>0</v>
      </c>
      <c r="J1359" s="16">
        <f t="shared" si="153"/>
        <v>0</v>
      </c>
      <c r="K1359" s="16">
        <f>IF(CurrentMtgRatesDataTable8[[#This Row],[WA CC]]&lt;&gt;0,C1358-CurrentMtgRatesDataTable8[[#This Row],[WA CC]],0)</f>
        <v>0</v>
      </c>
      <c r="L1359" s="16">
        <f>IF(CurrentMtgRatesDataTable8[[#This Row],[Servicing Spread]]&lt;=0,L1358,CurrentMtgRatesDataTable8[[#This Row],[Servicing Spread]])</f>
        <v>0.84406096762433602</v>
      </c>
      <c r="M1359" s="16">
        <f>CurrentMtgRatesDataTable8[[#This Row],[Servicing Spread Non-Zero]]-L1358</f>
        <v>0</v>
      </c>
      <c r="N1359" s="16">
        <f>IF(J1358&lt;&gt;0,CurrentMtgRatesDataTable8[[#This Row],[Rate]]-C1358,N1358)</f>
        <v>-4.0000000000000036E-2</v>
      </c>
    </row>
    <row r="1360" spans="1:14">
      <c r="A1360" s="39" t="s">
        <v>1412</v>
      </c>
      <c r="B1360" s="40">
        <v>2.8505659614824999</v>
      </c>
      <c r="C1360" s="11">
        <v>3.6549999999999998</v>
      </c>
      <c r="D1360" s="16">
        <f t="shared" si="147"/>
        <v>2</v>
      </c>
      <c r="E1360" s="16">
        <f t="shared" si="148"/>
        <v>0.2</v>
      </c>
      <c r="F1360" s="16">
        <f t="shared" si="149"/>
        <v>2</v>
      </c>
      <c r="G1360" s="16">
        <f t="shared" si="150"/>
        <v>1.1336608126594341</v>
      </c>
      <c r="H1360" s="16">
        <f t="shared" si="151"/>
        <v>0.4</v>
      </c>
      <c r="I1360" s="16">
        <f t="shared" si="152"/>
        <v>0</v>
      </c>
      <c r="J1360" s="16">
        <f t="shared" si="153"/>
        <v>0</v>
      </c>
      <c r="K1360" s="16">
        <f>IF(CurrentMtgRatesDataTable8[[#This Row],[WA CC]]&lt;&gt;0,C1359-CurrentMtgRatesDataTable8[[#This Row],[WA CC]],0)</f>
        <v>0</v>
      </c>
      <c r="L1360" s="16">
        <f>IF(CurrentMtgRatesDataTable8[[#This Row],[Servicing Spread]]&lt;=0,L1359,CurrentMtgRatesDataTable8[[#This Row],[Servicing Spread]])</f>
        <v>0.84406096762433602</v>
      </c>
      <c r="M1360" s="16">
        <f>CurrentMtgRatesDataTable8[[#This Row],[Servicing Spread Non-Zero]]-L1359</f>
        <v>0</v>
      </c>
      <c r="N1360" s="16">
        <f>IF(J1359&lt;&gt;0,CurrentMtgRatesDataTable8[[#This Row],[Rate]]-C1359,N1359)</f>
        <v>-4.0000000000000036E-2</v>
      </c>
    </row>
    <row r="1361" spans="1:14">
      <c r="A1361" s="39" t="s">
        <v>1413</v>
      </c>
      <c r="B1361" s="40">
        <v>2.7686387386153899</v>
      </c>
      <c r="C1361" s="11">
        <v>3.6549999999999998</v>
      </c>
      <c r="D1361" s="16">
        <f t="shared" si="147"/>
        <v>6</v>
      </c>
      <c r="E1361" s="16">
        <f t="shared" si="148"/>
        <v>0.2</v>
      </c>
      <c r="F1361" s="16">
        <f t="shared" si="149"/>
        <v>3</v>
      </c>
      <c r="G1361" s="16">
        <f t="shared" si="150"/>
        <v>1.6873885603825121</v>
      </c>
      <c r="H1361" s="16">
        <f t="shared" si="151"/>
        <v>0.60000000000000009</v>
      </c>
      <c r="I1361" s="16">
        <f t="shared" si="152"/>
        <v>0</v>
      </c>
      <c r="J1361" s="16">
        <f t="shared" si="153"/>
        <v>0</v>
      </c>
      <c r="K1361" s="16">
        <f>IF(CurrentMtgRatesDataTable8[[#This Row],[WA CC]]&lt;&gt;0,C1360-CurrentMtgRatesDataTable8[[#This Row],[WA CC]],0)</f>
        <v>0</v>
      </c>
      <c r="L1361" s="16">
        <f>IF(CurrentMtgRatesDataTable8[[#This Row],[Servicing Spread]]&lt;=0,L1360,CurrentMtgRatesDataTable8[[#This Row],[Servicing Spread]])</f>
        <v>0.84406096762433602</v>
      </c>
      <c r="M1361" s="16">
        <f>CurrentMtgRatesDataTable8[[#This Row],[Servicing Spread Non-Zero]]-L1360</f>
        <v>0</v>
      </c>
      <c r="N1361" s="16">
        <f>IF(J1360&lt;&gt;0,CurrentMtgRatesDataTable8[[#This Row],[Rate]]-C1360,N1360)</f>
        <v>-4.0000000000000036E-2</v>
      </c>
    </row>
    <row r="1362" spans="1:14">
      <c r="A1362" s="39" t="s">
        <v>1414</v>
      </c>
      <c r="B1362" s="40">
        <v>2.8132496631977602</v>
      </c>
      <c r="C1362" s="11">
        <v>3.6549999999999998</v>
      </c>
      <c r="D1362" s="16">
        <f t="shared" si="147"/>
        <v>7</v>
      </c>
      <c r="E1362" s="16">
        <f t="shared" si="148"/>
        <v>0.2</v>
      </c>
      <c r="F1362" s="16">
        <f t="shared" si="149"/>
        <v>4</v>
      </c>
      <c r="G1362" s="16">
        <f t="shared" si="150"/>
        <v>2.250038493022064</v>
      </c>
      <c r="H1362" s="16">
        <f t="shared" si="151"/>
        <v>0.8</v>
      </c>
      <c r="I1362" s="16">
        <f t="shared" si="152"/>
        <v>1</v>
      </c>
      <c r="J1362" s="16">
        <f t="shared" si="153"/>
        <v>2.8125481162775801</v>
      </c>
      <c r="K1362" s="16">
        <f>IF(CurrentMtgRatesDataTable8[[#This Row],[WA CC]]&lt;&gt;0,C1361-CurrentMtgRatesDataTable8[[#This Row],[WA CC]],0)</f>
        <v>0.84245188372241975</v>
      </c>
      <c r="L1362" s="16">
        <f>IF(CurrentMtgRatesDataTable8[[#This Row],[Servicing Spread]]&lt;=0,L1361,CurrentMtgRatesDataTable8[[#This Row],[Servicing Spread]])</f>
        <v>0.84245188372241975</v>
      </c>
      <c r="M1362" s="16">
        <f>CurrentMtgRatesDataTable8[[#This Row],[Servicing Spread Non-Zero]]-L1361</f>
        <v>-1.609083901916275E-3</v>
      </c>
      <c r="N1362" s="16">
        <f>IF(J1361&lt;&gt;0,CurrentMtgRatesDataTable8[[#This Row],[Rate]]-C1361,N1361)</f>
        <v>-4.0000000000000036E-2</v>
      </c>
    </row>
    <row r="1363" spans="1:14">
      <c r="A1363" s="39" t="s">
        <v>1415</v>
      </c>
      <c r="B1363" s="40">
        <v>2.7688521651914</v>
      </c>
      <c r="C1363" s="11">
        <v>3.6549999999999998</v>
      </c>
      <c r="D1363" s="16">
        <f t="shared" si="147"/>
        <v>1</v>
      </c>
      <c r="E1363" s="16">
        <f t="shared" si="148"/>
        <v>0.2</v>
      </c>
      <c r="F1363" s="16">
        <f t="shared" si="149"/>
        <v>1</v>
      </c>
      <c r="G1363" s="16">
        <f t="shared" si="150"/>
        <v>0.55377043303828</v>
      </c>
      <c r="H1363" s="16">
        <f t="shared" si="151"/>
        <v>0.2</v>
      </c>
      <c r="I1363" s="16">
        <f t="shared" si="152"/>
        <v>0</v>
      </c>
      <c r="J1363" s="16">
        <f t="shared" si="153"/>
        <v>0</v>
      </c>
      <c r="K1363" s="16">
        <f>IF(CurrentMtgRatesDataTable8[[#This Row],[WA CC]]&lt;&gt;0,C1362-CurrentMtgRatesDataTable8[[#This Row],[WA CC]],0)</f>
        <v>0</v>
      </c>
      <c r="L1363" s="16">
        <f>IF(CurrentMtgRatesDataTable8[[#This Row],[Servicing Spread]]&lt;=0,L1362,CurrentMtgRatesDataTable8[[#This Row],[Servicing Spread]])</f>
        <v>0.84245188372241975</v>
      </c>
      <c r="M1363" s="16">
        <f>CurrentMtgRatesDataTable8[[#This Row],[Servicing Spread Non-Zero]]-L1362</f>
        <v>0</v>
      </c>
      <c r="N1363" s="16">
        <f>IF(J1362&lt;&gt;0,CurrentMtgRatesDataTable8[[#This Row],[Rate]]-C1362,N1362)</f>
        <v>0</v>
      </c>
    </row>
    <row r="1364" spans="1:14">
      <c r="A1364" s="39" t="s">
        <v>1416</v>
      </c>
      <c r="B1364" s="40">
        <v>2.76958844979265</v>
      </c>
      <c r="C1364" s="11">
        <v>3.6549999999999998</v>
      </c>
      <c r="D1364" s="16">
        <f t="shared" si="147"/>
        <v>2</v>
      </c>
      <c r="E1364" s="16">
        <f t="shared" si="148"/>
        <v>0.2</v>
      </c>
      <c r="F1364" s="16">
        <f t="shared" si="149"/>
        <v>2</v>
      </c>
      <c r="G1364" s="16">
        <f t="shared" si="150"/>
        <v>1.1076881229968101</v>
      </c>
      <c r="H1364" s="16">
        <f t="shared" si="151"/>
        <v>0.4</v>
      </c>
      <c r="I1364" s="16">
        <f t="shared" si="152"/>
        <v>0</v>
      </c>
      <c r="J1364" s="16">
        <f t="shared" si="153"/>
        <v>0</v>
      </c>
      <c r="K1364" s="16">
        <f>IF(CurrentMtgRatesDataTable8[[#This Row],[WA CC]]&lt;&gt;0,C1363-CurrentMtgRatesDataTable8[[#This Row],[WA CC]],0)</f>
        <v>0</v>
      </c>
      <c r="L1364" s="16">
        <f>IF(CurrentMtgRatesDataTable8[[#This Row],[Servicing Spread]]&lt;=0,L1363,CurrentMtgRatesDataTable8[[#This Row],[Servicing Spread]])</f>
        <v>0.84245188372241975</v>
      </c>
      <c r="M1364" s="16">
        <f>CurrentMtgRatesDataTable8[[#This Row],[Servicing Spread Non-Zero]]-L1363</f>
        <v>0</v>
      </c>
      <c r="N1364" s="16">
        <f>IF(J1363&lt;&gt;0,CurrentMtgRatesDataTable8[[#This Row],[Rate]]-C1363,N1363)</f>
        <v>0</v>
      </c>
    </row>
    <row r="1365" spans="1:14">
      <c r="A1365" s="39" t="s">
        <v>1417</v>
      </c>
      <c r="B1365" s="40">
        <v>2.8333960473494502</v>
      </c>
      <c r="C1365" s="11">
        <v>3.6549999999999998</v>
      </c>
      <c r="D1365" s="16">
        <f t="shared" si="147"/>
        <v>5</v>
      </c>
      <c r="E1365" s="16">
        <f t="shared" si="148"/>
        <v>0.2</v>
      </c>
      <c r="F1365" s="16">
        <f t="shared" si="149"/>
        <v>3</v>
      </c>
      <c r="G1365" s="16">
        <f t="shared" si="150"/>
        <v>1.6743673324667001</v>
      </c>
      <c r="H1365" s="16">
        <f t="shared" si="151"/>
        <v>0.60000000000000009</v>
      </c>
      <c r="I1365" s="16">
        <f t="shared" si="152"/>
        <v>0</v>
      </c>
      <c r="J1365" s="16">
        <f t="shared" si="153"/>
        <v>0</v>
      </c>
      <c r="K1365" s="16">
        <f>IF(CurrentMtgRatesDataTable8[[#This Row],[WA CC]]&lt;&gt;0,C1364-CurrentMtgRatesDataTable8[[#This Row],[WA CC]],0)</f>
        <v>0</v>
      </c>
      <c r="L1365" s="16">
        <f>IF(CurrentMtgRatesDataTable8[[#This Row],[Servicing Spread]]&lt;=0,L1364,CurrentMtgRatesDataTable8[[#This Row],[Servicing Spread]])</f>
        <v>0.84245188372241975</v>
      </c>
      <c r="M1365" s="16">
        <f>CurrentMtgRatesDataTable8[[#This Row],[Servicing Spread Non-Zero]]-L1364</f>
        <v>0</v>
      </c>
      <c r="N1365" s="16">
        <f>IF(J1364&lt;&gt;0,CurrentMtgRatesDataTable8[[#This Row],[Rate]]-C1364,N1364)</f>
        <v>0</v>
      </c>
    </row>
    <row r="1366" spans="1:14">
      <c r="A1366" s="39" t="s">
        <v>1418</v>
      </c>
      <c r="B1366" s="40">
        <v>2.85764653167635</v>
      </c>
      <c r="C1366" s="11">
        <v>3.6549999999999998</v>
      </c>
      <c r="D1366" s="16">
        <f t="shared" si="147"/>
        <v>6</v>
      </c>
      <c r="E1366" s="16">
        <f t="shared" si="148"/>
        <v>0.2</v>
      </c>
      <c r="F1366" s="16">
        <f t="shared" si="149"/>
        <v>4</v>
      </c>
      <c r="G1366" s="16">
        <f t="shared" si="150"/>
        <v>2.2458966388019701</v>
      </c>
      <c r="H1366" s="16">
        <f t="shared" si="151"/>
        <v>0.8</v>
      </c>
      <c r="I1366" s="16">
        <f t="shared" si="152"/>
        <v>0</v>
      </c>
      <c r="J1366" s="16">
        <f t="shared" si="153"/>
        <v>0</v>
      </c>
      <c r="K1366" s="16">
        <f>IF(CurrentMtgRatesDataTable8[[#This Row],[WA CC]]&lt;&gt;0,C1365-CurrentMtgRatesDataTable8[[#This Row],[WA CC]],0)</f>
        <v>0</v>
      </c>
      <c r="L1366" s="16">
        <f>IF(CurrentMtgRatesDataTable8[[#This Row],[Servicing Spread]]&lt;=0,L1365,CurrentMtgRatesDataTable8[[#This Row],[Servicing Spread]])</f>
        <v>0.84245188372241975</v>
      </c>
      <c r="M1366" s="16">
        <f>CurrentMtgRatesDataTable8[[#This Row],[Servicing Spread Non-Zero]]-L1365</f>
        <v>0</v>
      </c>
      <c r="N1366" s="16">
        <f>IF(J1365&lt;&gt;0,CurrentMtgRatesDataTable8[[#This Row],[Rate]]-C1365,N1365)</f>
        <v>0</v>
      </c>
    </row>
    <row r="1367" spans="1:14">
      <c r="A1367" s="39" t="s">
        <v>1419</v>
      </c>
      <c r="B1367" s="40">
        <v>2.8730648948017001</v>
      </c>
      <c r="C1367" s="11">
        <v>3.6549999999999998</v>
      </c>
      <c r="D1367" s="16">
        <f t="shared" si="147"/>
        <v>7</v>
      </c>
      <c r="E1367" s="16">
        <f t="shared" si="148"/>
        <v>0.2</v>
      </c>
      <c r="F1367" s="16">
        <f t="shared" si="149"/>
        <v>5</v>
      </c>
      <c r="G1367" s="16">
        <f t="shared" si="150"/>
        <v>2.8205096177623101</v>
      </c>
      <c r="H1367" s="16">
        <f t="shared" si="151"/>
        <v>1</v>
      </c>
      <c r="I1367" s="16">
        <f t="shared" si="152"/>
        <v>1</v>
      </c>
      <c r="J1367" s="16">
        <f t="shared" si="153"/>
        <v>2.8205096177623101</v>
      </c>
      <c r="K1367" s="16">
        <f>IF(CurrentMtgRatesDataTable8[[#This Row],[WA CC]]&lt;&gt;0,C1366-CurrentMtgRatesDataTable8[[#This Row],[WA CC]],0)</f>
        <v>0.83449038223768968</v>
      </c>
      <c r="L1367" s="16">
        <f>IF(CurrentMtgRatesDataTable8[[#This Row],[Servicing Spread]]&lt;=0,L1366,CurrentMtgRatesDataTable8[[#This Row],[Servicing Spread]])</f>
        <v>0.83449038223768968</v>
      </c>
      <c r="M1367" s="16">
        <f>CurrentMtgRatesDataTable8[[#This Row],[Servicing Spread Non-Zero]]-L1366</f>
        <v>-7.9615014847300714E-3</v>
      </c>
      <c r="N1367" s="16">
        <f>IF(J1366&lt;&gt;0,CurrentMtgRatesDataTable8[[#This Row],[Rate]]-C1366,N1366)</f>
        <v>0</v>
      </c>
    </row>
    <row r="1368" spans="1:14">
      <c r="A1368" s="39" t="s">
        <v>1420</v>
      </c>
      <c r="B1368" s="40">
        <v>2.8751288472692602</v>
      </c>
      <c r="C1368" s="11">
        <v>3.7050000000000001</v>
      </c>
      <c r="D1368" s="16">
        <f t="shared" si="147"/>
        <v>1</v>
      </c>
      <c r="E1368" s="16">
        <f t="shared" si="148"/>
        <v>0.2</v>
      </c>
      <c r="F1368" s="16">
        <f t="shared" si="149"/>
        <v>1</v>
      </c>
      <c r="G1368" s="16">
        <f t="shared" si="150"/>
        <v>0.57502576945385209</v>
      </c>
      <c r="H1368" s="16">
        <f t="shared" si="151"/>
        <v>0.2</v>
      </c>
      <c r="I1368" s="16">
        <f t="shared" si="152"/>
        <v>0</v>
      </c>
      <c r="J1368" s="16">
        <f t="shared" si="153"/>
        <v>0</v>
      </c>
      <c r="K1368" s="16">
        <f>IF(CurrentMtgRatesDataTable8[[#This Row],[WA CC]]&lt;&gt;0,C1367-CurrentMtgRatesDataTable8[[#This Row],[WA CC]],0)</f>
        <v>0</v>
      </c>
      <c r="L1368" s="16">
        <f>IF(CurrentMtgRatesDataTable8[[#This Row],[Servicing Spread]]&lt;=0,L1367,CurrentMtgRatesDataTable8[[#This Row],[Servicing Spread]])</f>
        <v>0.83449038223768968</v>
      </c>
      <c r="M1368" s="16">
        <f>CurrentMtgRatesDataTable8[[#This Row],[Servicing Spread Non-Zero]]-L1367</f>
        <v>0</v>
      </c>
      <c r="N1368" s="16">
        <f>IF(J1367&lt;&gt;0,CurrentMtgRatesDataTable8[[#This Row],[Rate]]-C1367,N1367)</f>
        <v>5.0000000000000266E-2</v>
      </c>
    </row>
    <row r="1369" spans="1:14">
      <c r="A1369" s="39" t="s">
        <v>1421</v>
      </c>
      <c r="B1369" s="40">
        <v>2.8805932706555302</v>
      </c>
      <c r="C1369" s="11">
        <v>3.7050000000000001</v>
      </c>
      <c r="D1369" s="16">
        <f t="shared" si="147"/>
        <v>2</v>
      </c>
      <c r="E1369" s="16">
        <f t="shared" si="148"/>
        <v>0.2</v>
      </c>
      <c r="F1369" s="16">
        <f t="shared" si="149"/>
        <v>2</v>
      </c>
      <c r="G1369" s="16">
        <f t="shared" si="150"/>
        <v>1.1511444235849582</v>
      </c>
      <c r="H1369" s="16">
        <f t="shared" si="151"/>
        <v>0.4</v>
      </c>
      <c r="I1369" s="16">
        <f t="shared" si="152"/>
        <v>0</v>
      </c>
      <c r="J1369" s="16">
        <f t="shared" si="153"/>
        <v>0</v>
      </c>
      <c r="K1369" s="16">
        <f>IF(CurrentMtgRatesDataTable8[[#This Row],[WA CC]]&lt;&gt;0,C1368-CurrentMtgRatesDataTable8[[#This Row],[WA CC]],0)</f>
        <v>0</v>
      </c>
      <c r="L1369" s="16">
        <f>IF(CurrentMtgRatesDataTable8[[#This Row],[Servicing Spread]]&lt;=0,L1368,CurrentMtgRatesDataTable8[[#This Row],[Servicing Spread]])</f>
        <v>0.83449038223768968</v>
      </c>
      <c r="M1369" s="16">
        <f>CurrentMtgRatesDataTable8[[#This Row],[Servicing Spread Non-Zero]]-L1368</f>
        <v>0</v>
      </c>
      <c r="N1369" s="16">
        <f>IF(J1368&lt;&gt;0,CurrentMtgRatesDataTable8[[#This Row],[Rate]]-C1368,N1368)</f>
        <v>5.0000000000000266E-2</v>
      </c>
    </row>
    <row r="1370" spans="1:14">
      <c r="A1370" s="39" t="s">
        <v>1422</v>
      </c>
      <c r="B1370" s="40">
        <v>2.9057723964536701</v>
      </c>
      <c r="C1370" s="11">
        <v>3.7050000000000001</v>
      </c>
      <c r="D1370" s="16">
        <f t="shared" si="147"/>
        <v>5</v>
      </c>
      <c r="E1370" s="16">
        <f t="shared" si="148"/>
        <v>0.2</v>
      </c>
      <c r="F1370" s="16">
        <f t="shared" si="149"/>
        <v>3</v>
      </c>
      <c r="G1370" s="16">
        <f t="shared" si="150"/>
        <v>1.7322989028756921</v>
      </c>
      <c r="H1370" s="16">
        <f t="shared" si="151"/>
        <v>0.60000000000000009</v>
      </c>
      <c r="I1370" s="16">
        <f t="shared" si="152"/>
        <v>0</v>
      </c>
      <c r="J1370" s="16">
        <f t="shared" si="153"/>
        <v>0</v>
      </c>
      <c r="K1370" s="16">
        <f>IF(CurrentMtgRatesDataTable8[[#This Row],[WA CC]]&lt;&gt;0,C1369-CurrentMtgRatesDataTable8[[#This Row],[WA CC]],0)</f>
        <v>0</v>
      </c>
      <c r="L1370" s="16">
        <f>IF(CurrentMtgRatesDataTable8[[#This Row],[Servicing Spread]]&lt;=0,L1369,CurrentMtgRatesDataTable8[[#This Row],[Servicing Spread]])</f>
        <v>0.83449038223768968</v>
      </c>
      <c r="M1370" s="16">
        <f>CurrentMtgRatesDataTable8[[#This Row],[Servicing Spread Non-Zero]]-L1369</f>
        <v>0</v>
      </c>
      <c r="N1370" s="16">
        <f>IF(J1369&lt;&gt;0,CurrentMtgRatesDataTable8[[#This Row],[Rate]]-C1369,N1369)</f>
        <v>5.0000000000000266E-2</v>
      </c>
    </row>
    <row r="1371" spans="1:14">
      <c r="A1371" s="39" t="s">
        <v>1423</v>
      </c>
      <c r="B1371" s="40">
        <v>2.9043715676588402</v>
      </c>
      <c r="C1371" s="11">
        <v>3.7050000000000001</v>
      </c>
      <c r="D1371" s="16">
        <f t="shared" si="147"/>
        <v>6</v>
      </c>
      <c r="E1371" s="16">
        <f t="shared" si="148"/>
        <v>0.2</v>
      </c>
      <c r="F1371" s="16">
        <f t="shared" si="149"/>
        <v>4</v>
      </c>
      <c r="G1371" s="16">
        <f t="shared" si="150"/>
        <v>2.3131732164074603</v>
      </c>
      <c r="H1371" s="16">
        <f t="shared" si="151"/>
        <v>0.8</v>
      </c>
      <c r="I1371" s="16">
        <f t="shared" si="152"/>
        <v>0</v>
      </c>
      <c r="J1371" s="16">
        <f t="shared" si="153"/>
        <v>0</v>
      </c>
      <c r="K1371" s="16">
        <f>IF(CurrentMtgRatesDataTable8[[#This Row],[WA CC]]&lt;&gt;0,C1370-CurrentMtgRatesDataTable8[[#This Row],[WA CC]],0)</f>
        <v>0</v>
      </c>
      <c r="L1371" s="16">
        <f>IF(CurrentMtgRatesDataTable8[[#This Row],[Servicing Spread]]&lt;=0,L1370,CurrentMtgRatesDataTable8[[#This Row],[Servicing Spread]])</f>
        <v>0.83449038223768968</v>
      </c>
      <c r="M1371" s="16">
        <f>CurrentMtgRatesDataTable8[[#This Row],[Servicing Spread Non-Zero]]-L1370</f>
        <v>0</v>
      </c>
      <c r="N1371" s="16">
        <f>IF(J1370&lt;&gt;0,CurrentMtgRatesDataTable8[[#This Row],[Rate]]-C1370,N1370)</f>
        <v>5.0000000000000266E-2</v>
      </c>
    </row>
    <row r="1372" spans="1:14">
      <c r="A1372" s="39" t="s">
        <v>1424</v>
      </c>
      <c r="B1372" s="40">
        <v>2.9399523487894101</v>
      </c>
      <c r="C1372" s="11">
        <v>3.7050000000000001</v>
      </c>
      <c r="D1372" s="16">
        <f t="shared" si="147"/>
        <v>7</v>
      </c>
      <c r="E1372" s="16">
        <f t="shared" si="148"/>
        <v>0.2</v>
      </c>
      <c r="F1372" s="16">
        <f t="shared" si="149"/>
        <v>5</v>
      </c>
      <c r="G1372" s="16">
        <f t="shared" si="150"/>
        <v>2.9011636861653423</v>
      </c>
      <c r="H1372" s="16">
        <f t="shared" si="151"/>
        <v>1</v>
      </c>
      <c r="I1372" s="16">
        <f t="shared" si="152"/>
        <v>1</v>
      </c>
      <c r="J1372" s="16">
        <f t="shared" si="153"/>
        <v>2.9011636861653423</v>
      </c>
      <c r="K1372" s="16">
        <f>IF(CurrentMtgRatesDataTable8[[#This Row],[WA CC]]&lt;&gt;0,C1371-CurrentMtgRatesDataTable8[[#This Row],[WA CC]],0)</f>
        <v>0.80383631383465781</v>
      </c>
      <c r="L1372" s="16">
        <f>IF(CurrentMtgRatesDataTable8[[#This Row],[Servicing Spread]]&lt;=0,L1371,CurrentMtgRatesDataTable8[[#This Row],[Servicing Spread]])</f>
        <v>0.80383631383465781</v>
      </c>
      <c r="M1372" s="16">
        <f>CurrentMtgRatesDataTable8[[#This Row],[Servicing Spread Non-Zero]]-L1371</f>
        <v>-3.0654068403031864E-2</v>
      </c>
      <c r="N1372" s="16">
        <f>IF(J1371&lt;&gt;0,CurrentMtgRatesDataTable8[[#This Row],[Rate]]-C1371,N1371)</f>
        <v>5.0000000000000266E-2</v>
      </c>
    </row>
    <row r="1373" spans="1:14">
      <c r="A1373" s="39" t="s">
        <v>1425</v>
      </c>
      <c r="B1373" s="40">
        <v>2.93833125966247</v>
      </c>
      <c r="C1373" s="11">
        <v>3.73</v>
      </c>
      <c r="D1373" s="16">
        <f t="shared" si="147"/>
        <v>1</v>
      </c>
      <c r="E1373" s="16">
        <f t="shared" si="148"/>
        <v>0.2</v>
      </c>
      <c r="F1373" s="16">
        <f t="shared" si="149"/>
        <v>1</v>
      </c>
      <c r="G1373" s="16">
        <f t="shared" si="150"/>
        <v>0.587666251932494</v>
      </c>
      <c r="H1373" s="16">
        <f t="shared" si="151"/>
        <v>0.2</v>
      </c>
      <c r="I1373" s="16">
        <f t="shared" si="152"/>
        <v>0</v>
      </c>
      <c r="J1373" s="16">
        <f t="shared" si="153"/>
        <v>0</v>
      </c>
      <c r="K1373" s="16">
        <f>IF(CurrentMtgRatesDataTable8[[#This Row],[WA CC]]&lt;&gt;0,C1372-CurrentMtgRatesDataTable8[[#This Row],[WA CC]],0)</f>
        <v>0</v>
      </c>
      <c r="L1373" s="16">
        <f>IF(CurrentMtgRatesDataTable8[[#This Row],[Servicing Spread]]&lt;=0,L1372,CurrentMtgRatesDataTable8[[#This Row],[Servicing Spread]])</f>
        <v>0.80383631383465781</v>
      </c>
      <c r="M1373" s="16">
        <f>CurrentMtgRatesDataTable8[[#This Row],[Servicing Spread Non-Zero]]-L1372</f>
        <v>0</v>
      </c>
      <c r="N1373" s="16">
        <f>IF(J1372&lt;&gt;0,CurrentMtgRatesDataTable8[[#This Row],[Rate]]-C1372,N1372)</f>
        <v>2.4999999999999911E-2</v>
      </c>
    </row>
    <row r="1374" spans="1:14">
      <c r="A1374" s="39" t="s">
        <v>1426</v>
      </c>
      <c r="B1374" s="40">
        <v>2.9240861727141798</v>
      </c>
      <c r="C1374" s="11">
        <v>3.73</v>
      </c>
      <c r="D1374" s="16">
        <f t="shared" si="147"/>
        <v>2</v>
      </c>
      <c r="E1374" s="16">
        <f t="shared" si="148"/>
        <v>0.2</v>
      </c>
      <c r="F1374" s="16">
        <f t="shared" si="149"/>
        <v>2</v>
      </c>
      <c r="G1374" s="16">
        <f t="shared" si="150"/>
        <v>1.17248348647533</v>
      </c>
      <c r="H1374" s="16">
        <f t="shared" si="151"/>
        <v>0.4</v>
      </c>
      <c r="I1374" s="16">
        <f t="shared" si="152"/>
        <v>0</v>
      </c>
      <c r="J1374" s="16">
        <f t="shared" si="153"/>
        <v>0</v>
      </c>
      <c r="K1374" s="16">
        <f>IF(CurrentMtgRatesDataTable8[[#This Row],[WA CC]]&lt;&gt;0,C1373-CurrentMtgRatesDataTable8[[#This Row],[WA CC]],0)</f>
        <v>0</v>
      </c>
      <c r="L1374" s="16">
        <f>IF(CurrentMtgRatesDataTable8[[#This Row],[Servicing Spread]]&lt;=0,L1373,CurrentMtgRatesDataTable8[[#This Row],[Servicing Spread]])</f>
        <v>0.80383631383465781</v>
      </c>
      <c r="M1374" s="16">
        <f>CurrentMtgRatesDataTable8[[#This Row],[Servicing Spread Non-Zero]]-L1373</f>
        <v>0</v>
      </c>
      <c r="N1374" s="16">
        <f>IF(J1373&lt;&gt;0,CurrentMtgRatesDataTable8[[#This Row],[Rate]]-C1373,N1373)</f>
        <v>2.4999999999999911E-2</v>
      </c>
    </row>
    <row r="1375" spans="1:14">
      <c r="A1375" s="39" t="s">
        <v>1427</v>
      </c>
      <c r="B1375" s="40">
        <v>2.8840645930864102</v>
      </c>
      <c r="C1375" s="11">
        <v>3.73</v>
      </c>
      <c r="D1375" s="16">
        <f t="shared" si="147"/>
        <v>5</v>
      </c>
      <c r="E1375" s="16">
        <f t="shared" si="148"/>
        <v>0.2</v>
      </c>
      <c r="F1375" s="16">
        <f t="shared" si="149"/>
        <v>3</v>
      </c>
      <c r="G1375" s="16">
        <f t="shared" si="150"/>
        <v>1.7492964050926121</v>
      </c>
      <c r="H1375" s="16">
        <f t="shared" si="151"/>
        <v>0.60000000000000009</v>
      </c>
      <c r="I1375" s="16">
        <f t="shared" si="152"/>
        <v>0</v>
      </c>
      <c r="J1375" s="16">
        <f t="shared" si="153"/>
        <v>0</v>
      </c>
      <c r="K1375" s="16">
        <f>IF(CurrentMtgRatesDataTable8[[#This Row],[WA CC]]&lt;&gt;0,C1374-CurrentMtgRatesDataTable8[[#This Row],[WA CC]],0)</f>
        <v>0</v>
      </c>
      <c r="L1375" s="16">
        <f>IF(CurrentMtgRatesDataTable8[[#This Row],[Servicing Spread]]&lt;=0,L1374,CurrentMtgRatesDataTable8[[#This Row],[Servicing Spread]])</f>
        <v>0.80383631383465781</v>
      </c>
      <c r="M1375" s="16">
        <f>CurrentMtgRatesDataTable8[[#This Row],[Servicing Spread Non-Zero]]-L1374</f>
        <v>0</v>
      </c>
      <c r="N1375" s="16">
        <f>IF(J1374&lt;&gt;0,CurrentMtgRatesDataTable8[[#This Row],[Rate]]-C1374,N1374)</f>
        <v>2.4999999999999911E-2</v>
      </c>
    </row>
    <row r="1376" spans="1:14">
      <c r="A1376" s="39" t="s">
        <v>1428</v>
      </c>
      <c r="B1376" s="40">
        <v>2.8877476464560701</v>
      </c>
      <c r="C1376" s="11">
        <v>3.73</v>
      </c>
      <c r="D1376" s="16">
        <f t="shared" si="147"/>
        <v>6</v>
      </c>
      <c r="E1376" s="16">
        <f t="shared" si="148"/>
        <v>0.2</v>
      </c>
      <c r="F1376" s="16">
        <f t="shared" si="149"/>
        <v>4</v>
      </c>
      <c r="G1376" s="16">
        <f t="shared" si="150"/>
        <v>2.3268459343838259</v>
      </c>
      <c r="H1376" s="16">
        <f t="shared" si="151"/>
        <v>0.8</v>
      </c>
      <c r="I1376" s="16">
        <f t="shared" si="152"/>
        <v>0</v>
      </c>
      <c r="J1376" s="16">
        <f t="shared" si="153"/>
        <v>0</v>
      </c>
      <c r="K1376" s="16">
        <f>IF(CurrentMtgRatesDataTable8[[#This Row],[WA CC]]&lt;&gt;0,C1375-CurrentMtgRatesDataTable8[[#This Row],[WA CC]],0)</f>
        <v>0</v>
      </c>
      <c r="L1376" s="16">
        <f>IF(CurrentMtgRatesDataTable8[[#This Row],[Servicing Spread]]&lt;=0,L1375,CurrentMtgRatesDataTable8[[#This Row],[Servicing Spread]])</f>
        <v>0.80383631383465781</v>
      </c>
      <c r="M1376" s="16">
        <f>CurrentMtgRatesDataTable8[[#This Row],[Servicing Spread Non-Zero]]-L1375</f>
        <v>0</v>
      </c>
      <c r="N1376" s="16">
        <f>IF(J1375&lt;&gt;0,CurrentMtgRatesDataTable8[[#This Row],[Rate]]-C1375,N1375)</f>
        <v>2.4999999999999911E-2</v>
      </c>
    </row>
    <row r="1377" spans="1:14">
      <c r="A1377" s="39" t="s">
        <v>1429</v>
      </c>
      <c r="B1377" s="40">
        <v>2.9533030207859099</v>
      </c>
      <c r="C1377" s="11">
        <v>3.73</v>
      </c>
      <c r="D1377" s="16">
        <f t="shared" si="147"/>
        <v>7</v>
      </c>
      <c r="E1377" s="16">
        <f t="shared" si="148"/>
        <v>0.2</v>
      </c>
      <c r="F1377" s="16">
        <f t="shared" si="149"/>
        <v>5</v>
      </c>
      <c r="G1377" s="16">
        <f t="shared" si="150"/>
        <v>2.9175065385410077</v>
      </c>
      <c r="H1377" s="16">
        <f t="shared" si="151"/>
        <v>1</v>
      </c>
      <c r="I1377" s="16">
        <f t="shared" si="152"/>
        <v>1</v>
      </c>
      <c r="J1377" s="16">
        <f t="shared" si="153"/>
        <v>2.9175065385410077</v>
      </c>
      <c r="K1377" s="16">
        <f>IF(CurrentMtgRatesDataTable8[[#This Row],[WA CC]]&lt;&gt;0,C1376-CurrentMtgRatesDataTable8[[#This Row],[WA CC]],0)</f>
        <v>0.81249346145899226</v>
      </c>
      <c r="L1377" s="16">
        <f>IF(CurrentMtgRatesDataTable8[[#This Row],[Servicing Spread]]&lt;=0,L1376,CurrentMtgRatesDataTable8[[#This Row],[Servicing Spread]])</f>
        <v>0.81249346145899226</v>
      </c>
      <c r="M1377" s="16">
        <f>CurrentMtgRatesDataTable8[[#This Row],[Servicing Spread Non-Zero]]-L1376</f>
        <v>8.6571476243344492E-3</v>
      </c>
      <c r="N1377" s="16">
        <f>IF(J1376&lt;&gt;0,CurrentMtgRatesDataTable8[[#This Row],[Rate]]-C1376,N1376)</f>
        <v>2.4999999999999911E-2</v>
      </c>
    </row>
    <row r="1378" spans="1:14">
      <c r="A1378" s="39" t="s">
        <v>1430</v>
      </c>
      <c r="B1378" s="40">
        <v>2.93891033578682</v>
      </c>
      <c r="C1378" s="11">
        <v>3.7250000000000001</v>
      </c>
      <c r="D1378" s="16">
        <f t="shared" si="147"/>
        <v>1</v>
      </c>
      <c r="E1378" s="16">
        <f t="shared" si="148"/>
        <v>0.2</v>
      </c>
      <c r="F1378" s="16">
        <f t="shared" si="149"/>
        <v>1</v>
      </c>
      <c r="G1378" s="16">
        <f t="shared" si="150"/>
        <v>0.58778206715736403</v>
      </c>
      <c r="H1378" s="16">
        <f t="shared" si="151"/>
        <v>0.2</v>
      </c>
      <c r="I1378" s="16">
        <f t="shared" si="152"/>
        <v>0</v>
      </c>
      <c r="J1378" s="16">
        <f t="shared" si="153"/>
        <v>0</v>
      </c>
      <c r="K1378" s="16">
        <f>IF(CurrentMtgRatesDataTable8[[#This Row],[WA CC]]&lt;&gt;0,C1377-CurrentMtgRatesDataTable8[[#This Row],[WA CC]],0)</f>
        <v>0</v>
      </c>
      <c r="L1378" s="16">
        <f>IF(CurrentMtgRatesDataTable8[[#This Row],[Servicing Spread]]&lt;=0,L1377,CurrentMtgRatesDataTable8[[#This Row],[Servicing Spread]])</f>
        <v>0.81249346145899226</v>
      </c>
      <c r="M1378" s="16">
        <f>CurrentMtgRatesDataTable8[[#This Row],[Servicing Spread Non-Zero]]-L1377</f>
        <v>0</v>
      </c>
      <c r="N1378" s="16">
        <f>IF(J1377&lt;&gt;0,CurrentMtgRatesDataTable8[[#This Row],[Rate]]-C1377,N1377)</f>
        <v>-4.9999999999998934E-3</v>
      </c>
    </row>
    <row r="1379" spans="1:14">
      <c r="A1379" s="39" t="s">
        <v>1431</v>
      </c>
      <c r="B1379" s="40">
        <v>2.9532102294675502</v>
      </c>
      <c r="C1379" s="11">
        <v>3.7250000000000001</v>
      </c>
      <c r="D1379" s="16">
        <f t="shared" si="147"/>
        <v>2</v>
      </c>
      <c r="E1379" s="16">
        <f t="shared" si="148"/>
        <v>0.2</v>
      </c>
      <c r="F1379" s="16">
        <f t="shared" si="149"/>
        <v>2</v>
      </c>
      <c r="G1379" s="16">
        <f t="shared" si="150"/>
        <v>1.1784241130508741</v>
      </c>
      <c r="H1379" s="16">
        <f t="shared" si="151"/>
        <v>0.4</v>
      </c>
      <c r="I1379" s="16">
        <f t="shared" si="152"/>
        <v>0</v>
      </c>
      <c r="J1379" s="16">
        <f t="shared" si="153"/>
        <v>0</v>
      </c>
      <c r="K1379" s="16">
        <f>IF(CurrentMtgRatesDataTable8[[#This Row],[WA CC]]&lt;&gt;0,C1378-CurrentMtgRatesDataTable8[[#This Row],[WA CC]],0)</f>
        <v>0</v>
      </c>
      <c r="L1379" s="16">
        <f>IF(CurrentMtgRatesDataTable8[[#This Row],[Servicing Spread]]&lt;=0,L1378,CurrentMtgRatesDataTable8[[#This Row],[Servicing Spread]])</f>
        <v>0.81249346145899226</v>
      </c>
      <c r="M1379" s="16">
        <f>CurrentMtgRatesDataTable8[[#This Row],[Servicing Spread Non-Zero]]-L1378</f>
        <v>0</v>
      </c>
      <c r="N1379" s="16">
        <f>IF(J1378&lt;&gt;0,CurrentMtgRatesDataTable8[[#This Row],[Rate]]-C1378,N1378)</f>
        <v>-4.9999999999998934E-3</v>
      </c>
    </row>
    <row r="1380" spans="1:14">
      <c r="A1380" s="39" t="s">
        <v>1432</v>
      </c>
      <c r="B1380" s="40">
        <v>2.9577488830812499</v>
      </c>
      <c r="C1380" s="11">
        <v>3.7250000000000001</v>
      </c>
      <c r="D1380" s="16">
        <f t="shared" si="147"/>
        <v>5</v>
      </c>
      <c r="E1380" s="16">
        <f t="shared" si="148"/>
        <v>0.2</v>
      </c>
      <c r="F1380" s="16">
        <f t="shared" si="149"/>
        <v>3</v>
      </c>
      <c r="G1380" s="16">
        <f t="shared" si="150"/>
        <v>1.7699738896671242</v>
      </c>
      <c r="H1380" s="16">
        <f t="shared" si="151"/>
        <v>0.60000000000000009</v>
      </c>
      <c r="I1380" s="16">
        <f t="shared" si="152"/>
        <v>0</v>
      </c>
      <c r="J1380" s="16">
        <f t="shared" si="153"/>
        <v>0</v>
      </c>
      <c r="K1380" s="16">
        <f>IF(CurrentMtgRatesDataTable8[[#This Row],[WA CC]]&lt;&gt;0,C1379-CurrentMtgRatesDataTable8[[#This Row],[WA CC]],0)</f>
        <v>0</v>
      </c>
      <c r="L1380" s="16">
        <f>IF(CurrentMtgRatesDataTable8[[#This Row],[Servicing Spread]]&lt;=0,L1379,CurrentMtgRatesDataTable8[[#This Row],[Servicing Spread]])</f>
        <v>0.81249346145899226</v>
      </c>
      <c r="M1380" s="16">
        <f>CurrentMtgRatesDataTable8[[#This Row],[Servicing Spread Non-Zero]]-L1379</f>
        <v>0</v>
      </c>
      <c r="N1380" s="16">
        <f>IF(J1379&lt;&gt;0,CurrentMtgRatesDataTable8[[#This Row],[Rate]]-C1379,N1379)</f>
        <v>-4.9999999999998934E-3</v>
      </c>
    </row>
    <row r="1381" spans="1:14">
      <c r="A1381" s="39" t="s">
        <v>1433</v>
      </c>
      <c r="B1381" s="40">
        <v>2.952806250509</v>
      </c>
      <c r="C1381" s="11">
        <v>3.7250000000000001</v>
      </c>
      <c r="D1381" s="16">
        <f t="shared" si="147"/>
        <v>6</v>
      </c>
      <c r="E1381" s="16">
        <f t="shared" si="148"/>
        <v>0.2</v>
      </c>
      <c r="F1381" s="16">
        <f t="shared" si="149"/>
        <v>4</v>
      </c>
      <c r="G1381" s="16">
        <f t="shared" si="150"/>
        <v>2.360535139768924</v>
      </c>
      <c r="H1381" s="16">
        <f t="shared" si="151"/>
        <v>0.8</v>
      </c>
      <c r="I1381" s="16">
        <f t="shared" si="152"/>
        <v>0</v>
      </c>
      <c r="J1381" s="16">
        <f t="shared" si="153"/>
        <v>0</v>
      </c>
      <c r="K1381" s="16">
        <f>IF(CurrentMtgRatesDataTable8[[#This Row],[WA CC]]&lt;&gt;0,C1380-CurrentMtgRatesDataTable8[[#This Row],[WA CC]],0)</f>
        <v>0</v>
      </c>
      <c r="L1381" s="16">
        <f>IF(CurrentMtgRatesDataTable8[[#This Row],[Servicing Spread]]&lt;=0,L1380,CurrentMtgRatesDataTable8[[#This Row],[Servicing Spread]])</f>
        <v>0.81249346145899226</v>
      </c>
      <c r="M1381" s="16">
        <f>CurrentMtgRatesDataTable8[[#This Row],[Servicing Spread Non-Zero]]-L1380</f>
        <v>0</v>
      </c>
      <c r="N1381" s="16">
        <f>IF(J1380&lt;&gt;0,CurrentMtgRatesDataTable8[[#This Row],[Rate]]-C1380,N1380)</f>
        <v>-4.9999999999998934E-3</v>
      </c>
    </row>
    <row r="1382" spans="1:14">
      <c r="A1382" s="39" t="s">
        <v>1434</v>
      </c>
      <c r="B1382" s="40">
        <v>2.9545969286593401</v>
      </c>
      <c r="C1382" s="11">
        <v>3.7250000000000001</v>
      </c>
      <c r="D1382" s="16">
        <f t="shared" si="147"/>
        <v>7</v>
      </c>
      <c r="E1382" s="16">
        <f t="shared" si="148"/>
        <v>0.2</v>
      </c>
      <c r="F1382" s="16">
        <f t="shared" si="149"/>
        <v>5</v>
      </c>
      <c r="G1382" s="16">
        <f t="shared" si="150"/>
        <v>2.9514545255007922</v>
      </c>
      <c r="H1382" s="16">
        <f t="shared" si="151"/>
        <v>1</v>
      </c>
      <c r="I1382" s="16">
        <f t="shared" si="152"/>
        <v>1</v>
      </c>
      <c r="J1382" s="16">
        <f t="shared" si="153"/>
        <v>2.9514545255007922</v>
      </c>
      <c r="K1382" s="16">
        <f>IF(CurrentMtgRatesDataTable8[[#This Row],[WA CC]]&lt;&gt;0,C1381-CurrentMtgRatesDataTable8[[#This Row],[WA CC]],0)</f>
        <v>0.77354547449920785</v>
      </c>
      <c r="L1382" s="16">
        <f>IF(CurrentMtgRatesDataTable8[[#This Row],[Servicing Spread]]&lt;=0,L1381,CurrentMtgRatesDataTable8[[#This Row],[Servicing Spread]])</f>
        <v>0.77354547449920785</v>
      </c>
      <c r="M1382" s="16">
        <f>CurrentMtgRatesDataTable8[[#This Row],[Servicing Spread Non-Zero]]-L1381</f>
        <v>-3.8947986959784409E-2</v>
      </c>
      <c r="N1382" s="16">
        <f>IF(J1381&lt;&gt;0,CurrentMtgRatesDataTable8[[#This Row],[Rate]]-C1381,N1381)</f>
        <v>-4.9999999999998934E-3</v>
      </c>
    </row>
    <row r="1383" spans="1:14">
      <c r="A1383" s="39" t="s">
        <v>1435</v>
      </c>
      <c r="B1383" s="40">
        <v>2.9793172807072401</v>
      </c>
      <c r="C1383" s="11">
        <v>3.7850000000000001</v>
      </c>
      <c r="D1383" s="16">
        <f t="shared" si="147"/>
        <v>1</v>
      </c>
      <c r="E1383" s="16">
        <f t="shared" si="148"/>
        <v>0.2</v>
      </c>
      <c r="F1383" s="16">
        <f t="shared" si="149"/>
        <v>1</v>
      </c>
      <c r="G1383" s="16">
        <f t="shared" si="150"/>
        <v>0.59586345614144809</v>
      </c>
      <c r="H1383" s="16">
        <f t="shared" si="151"/>
        <v>0.2</v>
      </c>
      <c r="I1383" s="16">
        <f t="shared" si="152"/>
        <v>0</v>
      </c>
      <c r="J1383" s="16">
        <f t="shared" si="153"/>
        <v>0</v>
      </c>
      <c r="K1383" s="16">
        <f>IF(CurrentMtgRatesDataTable8[[#This Row],[WA CC]]&lt;&gt;0,C1382-CurrentMtgRatesDataTable8[[#This Row],[WA CC]],0)</f>
        <v>0</v>
      </c>
      <c r="L1383" s="16">
        <f>IF(CurrentMtgRatesDataTable8[[#This Row],[Servicing Spread]]&lt;=0,L1382,CurrentMtgRatesDataTable8[[#This Row],[Servicing Spread]])</f>
        <v>0.77354547449920785</v>
      </c>
      <c r="M1383" s="16">
        <f>CurrentMtgRatesDataTable8[[#This Row],[Servicing Spread Non-Zero]]-L1382</f>
        <v>0</v>
      </c>
      <c r="N1383" s="16">
        <f>IF(J1382&lt;&gt;0,CurrentMtgRatesDataTable8[[#This Row],[Rate]]-C1382,N1382)</f>
        <v>6.0000000000000053E-2</v>
      </c>
    </row>
    <row r="1384" spans="1:14">
      <c r="A1384" s="39" t="s">
        <v>1436</v>
      </c>
      <c r="B1384" s="40">
        <v>3.0009273106510901</v>
      </c>
      <c r="C1384" s="11">
        <v>3.7850000000000001</v>
      </c>
      <c r="D1384" s="16">
        <f t="shared" si="147"/>
        <v>2</v>
      </c>
      <c r="E1384" s="16">
        <f t="shared" si="148"/>
        <v>0.2</v>
      </c>
      <c r="F1384" s="16">
        <f t="shared" si="149"/>
        <v>2</v>
      </c>
      <c r="G1384" s="16">
        <f t="shared" si="150"/>
        <v>1.196048918271666</v>
      </c>
      <c r="H1384" s="16">
        <f t="shared" si="151"/>
        <v>0.4</v>
      </c>
      <c r="I1384" s="16">
        <f t="shared" si="152"/>
        <v>0</v>
      </c>
      <c r="J1384" s="16">
        <f t="shared" si="153"/>
        <v>0</v>
      </c>
      <c r="K1384" s="16">
        <f>IF(CurrentMtgRatesDataTable8[[#This Row],[WA CC]]&lt;&gt;0,C1383-CurrentMtgRatesDataTable8[[#This Row],[WA CC]],0)</f>
        <v>0</v>
      </c>
      <c r="L1384" s="16">
        <f>IF(CurrentMtgRatesDataTable8[[#This Row],[Servicing Spread]]&lt;=0,L1383,CurrentMtgRatesDataTable8[[#This Row],[Servicing Spread]])</f>
        <v>0.77354547449920785</v>
      </c>
      <c r="M1384" s="16">
        <f>CurrentMtgRatesDataTable8[[#This Row],[Servicing Spread Non-Zero]]-L1383</f>
        <v>0</v>
      </c>
      <c r="N1384" s="16">
        <f>IF(J1383&lt;&gt;0,CurrentMtgRatesDataTable8[[#This Row],[Rate]]-C1383,N1383)</f>
        <v>6.0000000000000053E-2</v>
      </c>
    </row>
    <row r="1385" spans="1:14">
      <c r="A1385" s="39" t="s">
        <v>1437</v>
      </c>
      <c r="B1385" s="40">
        <v>2.9830790424309099</v>
      </c>
      <c r="C1385" s="11">
        <v>3.7850000000000001</v>
      </c>
      <c r="D1385" s="16">
        <f t="shared" si="147"/>
        <v>6</v>
      </c>
      <c r="E1385" s="16">
        <f t="shared" si="148"/>
        <v>0.2</v>
      </c>
      <c r="F1385" s="16">
        <f t="shared" si="149"/>
        <v>3</v>
      </c>
      <c r="G1385" s="16">
        <f t="shared" si="150"/>
        <v>1.7926647267578479</v>
      </c>
      <c r="H1385" s="16">
        <f t="shared" si="151"/>
        <v>0.60000000000000009</v>
      </c>
      <c r="I1385" s="16">
        <f t="shared" si="152"/>
        <v>0</v>
      </c>
      <c r="J1385" s="16">
        <f t="shared" si="153"/>
        <v>0</v>
      </c>
      <c r="K1385" s="16">
        <f>IF(CurrentMtgRatesDataTable8[[#This Row],[WA CC]]&lt;&gt;0,C1384-CurrentMtgRatesDataTable8[[#This Row],[WA CC]],0)</f>
        <v>0</v>
      </c>
      <c r="L1385" s="16">
        <f>IF(CurrentMtgRatesDataTable8[[#This Row],[Servicing Spread]]&lt;=0,L1384,CurrentMtgRatesDataTable8[[#This Row],[Servicing Spread]])</f>
        <v>0.77354547449920785</v>
      </c>
      <c r="M1385" s="16">
        <f>CurrentMtgRatesDataTable8[[#This Row],[Servicing Spread Non-Zero]]-L1384</f>
        <v>0</v>
      </c>
      <c r="N1385" s="16">
        <f>IF(J1384&lt;&gt;0,CurrentMtgRatesDataTable8[[#This Row],[Rate]]-C1384,N1384)</f>
        <v>6.0000000000000053E-2</v>
      </c>
    </row>
    <row r="1386" spans="1:14">
      <c r="A1386" s="39" t="s">
        <v>1438</v>
      </c>
      <c r="B1386" s="40">
        <v>2.9723769302526701</v>
      </c>
      <c r="C1386" s="11">
        <v>3.7850000000000001</v>
      </c>
      <c r="D1386" s="16">
        <f t="shared" si="147"/>
        <v>7</v>
      </c>
      <c r="E1386" s="16">
        <f t="shared" si="148"/>
        <v>0.2</v>
      </c>
      <c r="F1386" s="16">
        <f t="shared" si="149"/>
        <v>4</v>
      </c>
      <c r="G1386" s="16">
        <f t="shared" si="150"/>
        <v>2.3871401128083818</v>
      </c>
      <c r="H1386" s="16">
        <f t="shared" si="151"/>
        <v>0.8</v>
      </c>
      <c r="I1386" s="16">
        <f t="shared" si="152"/>
        <v>1</v>
      </c>
      <c r="J1386" s="16">
        <f t="shared" si="153"/>
        <v>2.9839251410104772</v>
      </c>
      <c r="K1386" s="16">
        <f>IF(CurrentMtgRatesDataTable8[[#This Row],[WA CC]]&lt;&gt;0,C1385-CurrentMtgRatesDataTable8[[#This Row],[WA CC]],0)</f>
        <v>0.80107485898952291</v>
      </c>
      <c r="L1386" s="16">
        <f>IF(CurrentMtgRatesDataTable8[[#This Row],[Servicing Spread]]&lt;=0,L1385,CurrentMtgRatesDataTable8[[#This Row],[Servicing Spread]])</f>
        <v>0.80107485898952291</v>
      </c>
      <c r="M1386" s="16">
        <f>CurrentMtgRatesDataTable8[[#This Row],[Servicing Spread Non-Zero]]-L1385</f>
        <v>2.7529384490315056E-2</v>
      </c>
      <c r="N1386" s="16">
        <f>IF(J1385&lt;&gt;0,CurrentMtgRatesDataTable8[[#This Row],[Rate]]-C1385,N1385)</f>
        <v>6.0000000000000053E-2</v>
      </c>
    </row>
    <row r="1387" spans="1:14">
      <c r="A1387" s="39" t="s">
        <v>1439</v>
      </c>
      <c r="B1387" s="40">
        <v>2.9511837020622398</v>
      </c>
      <c r="C1387" s="11">
        <v>3.7549999999999999</v>
      </c>
      <c r="D1387" s="16">
        <f t="shared" si="147"/>
        <v>1</v>
      </c>
      <c r="E1387" s="16">
        <f t="shared" si="148"/>
        <v>0.2</v>
      </c>
      <c r="F1387" s="16">
        <f t="shared" si="149"/>
        <v>1</v>
      </c>
      <c r="G1387" s="16">
        <f t="shared" si="150"/>
        <v>0.590236740412448</v>
      </c>
      <c r="H1387" s="16">
        <f t="shared" si="151"/>
        <v>0.2</v>
      </c>
      <c r="I1387" s="16">
        <f t="shared" si="152"/>
        <v>0</v>
      </c>
      <c r="J1387" s="16">
        <f t="shared" si="153"/>
        <v>0</v>
      </c>
      <c r="K1387" s="16">
        <f>IF(CurrentMtgRatesDataTable8[[#This Row],[WA CC]]&lt;&gt;0,C1386-CurrentMtgRatesDataTable8[[#This Row],[WA CC]],0)</f>
        <v>0</v>
      </c>
      <c r="L1387" s="16">
        <f>IF(CurrentMtgRatesDataTable8[[#This Row],[Servicing Spread]]&lt;=0,L1386,CurrentMtgRatesDataTable8[[#This Row],[Servicing Spread]])</f>
        <v>0.80107485898952291</v>
      </c>
      <c r="M1387" s="16">
        <f>CurrentMtgRatesDataTable8[[#This Row],[Servicing Spread Non-Zero]]-L1386</f>
        <v>0</v>
      </c>
      <c r="N1387" s="16">
        <f>IF(J1386&lt;&gt;0,CurrentMtgRatesDataTable8[[#This Row],[Rate]]-C1386,N1386)</f>
        <v>-3.0000000000000249E-2</v>
      </c>
    </row>
    <row r="1388" spans="1:14">
      <c r="A1388" s="39" t="s">
        <v>1440</v>
      </c>
      <c r="B1388" s="40">
        <v>2.9141532212182901</v>
      </c>
      <c r="C1388" s="11">
        <v>3.7549999999999999</v>
      </c>
      <c r="D1388" s="16">
        <f t="shared" si="147"/>
        <v>2</v>
      </c>
      <c r="E1388" s="16">
        <f t="shared" si="148"/>
        <v>0.2</v>
      </c>
      <c r="F1388" s="16">
        <f t="shared" si="149"/>
        <v>2</v>
      </c>
      <c r="G1388" s="16">
        <f t="shared" si="150"/>
        <v>1.1730673846561062</v>
      </c>
      <c r="H1388" s="16">
        <f t="shared" si="151"/>
        <v>0.4</v>
      </c>
      <c r="I1388" s="16">
        <f t="shared" si="152"/>
        <v>0</v>
      </c>
      <c r="J1388" s="16">
        <f t="shared" si="153"/>
        <v>0</v>
      </c>
      <c r="K1388" s="16">
        <f>IF(CurrentMtgRatesDataTable8[[#This Row],[WA CC]]&lt;&gt;0,C1387-CurrentMtgRatesDataTable8[[#This Row],[WA CC]],0)</f>
        <v>0</v>
      </c>
      <c r="L1388" s="16">
        <f>IF(CurrentMtgRatesDataTable8[[#This Row],[Servicing Spread]]&lt;=0,L1387,CurrentMtgRatesDataTable8[[#This Row],[Servicing Spread]])</f>
        <v>0.80107485898952291</v>
      </c>
      <c r="M1388" s="16">
        <f>CurrentMtgRatesDataTable8[[#This Row],[Servicing Spread Non-Zero]]-L1387</f>
        <v>0</v>
      </c>
      <c r="N1388" s="16">
        <f>IF(J1387&lt;&gt;0,CurrentMtgRatesDataTable8[[#This Row],[Rate]]-C1387,N1387)</f>
        <v>-3.0000000000000249E-2</v>
      </c>
    </row>
    <row r="1389" spans="1:14">
      <c r="A1389" s="39" t="s">
        <v>1441</v>
      </c>
      <c r="B1389" s="40">
        <v>2.9370100055573301</v>
      </c>
      <c r="C1389" s="11">
        <v>3.7549999999999999</v>
      </c>
      <c r="D1389" s="16">
        <f t="shared" si="147"/>
        <v>5</v>
      </c>
      <c r="E1389" s="16">
        <f t="shared" si="148"/>
        <v>0.2</v>
      </c>
      <c r="F1389" s="16">
        <f t="shared" si="149"/>
        <v>3</v>
      </c>
      <c r="G1389" s="16">
        <f t="shared" si="150"/>
        <v>1.7604693857675722</v>
      </c>
      <c r="H1389" s="16">
        <f t="shared" si="151"/>
        <v>0.60000000000000009</v>
      </c>
      <c r="I1389" s="16">
        <f t="shared" si="152"/>
        <v>0</v>
      </c>
      <c r="J1389" s="16">
        <f t="shared" si="153"/>
        <v>0</v>
      </c>
      <c r="K1389" s="16">
        <f>IF(CurrentMtgRatesDataTable8[[#This Row],[WA CC]]&lt;&gt;0,C1388-CurrentMtgRatesDataTable8[[#This Row],[WA CC]],0)</f>
        <v>0</v>
      </c>
      <c r="L1389" s="16">
        <f>IF(CurrentMtgRatesDataTable8[[#This Row],[Servicing Spread]]&lt;=0,L1388,CurrentMtgRatesDataTable8[[#This Row],[Servicing Spread]])</f>
        <v>0.80107485898952291</v>
      </c>
      <c r="M1389" s="16">
        <f>CurrentMtgRatesDataTable8[[#This Row],[Servicing Spread Non-Zero]]-L1388</f>
        <v>0</v>
      </c>
      <c r="N1389" s="16">
        <f>IF(J1388&lt;&gt;0,CurrentMtgRatesDataTable8[[#This Row],[Rate]]-C1388,N1388)</f>
        <v>-3.0000000000000249E-2</v>
      </c>
    </row>
    <row r="1390" spans="1:14">
      <c r="A1390" s="39" t="s">
        <v>1442</v>
      </c>
      <c r="B1390" s="40">
        <v>2.93181344995519</v>
      </c>
      <c r="C1390" s="11">
        <v>3.7549999999999999</v>
      </c>
      <c r="D1390" s="16">
        <f t="shared" si="147"/>
        <v>6</v>
      </c>
      <c r="E1390" s="16">
        <f t="shared" si="148"/>
        <v>0.2</v>
      </c>
      <c r="F1390" s="16">
        <f t="shared" si="149"/>
        <v>4</v>
      </c>
      <c r="G1390" s="16">
        <f t="shared" si="150"/>
        <v>2.3468320757586101</v>
      </c>
      <c r="H1390" s="16">
        <f t="shared" si="151"/>
        <v>0.8</v>
      </c>
      <c r="I1390" s="16">
        <f t="shared" si="152"/>
        <v>0</v>
      </c>
      <c r="J1390" s="16">
        <f t="shared" si="153"/>
        <v>0</v>
      </c>
      <c r="K1390" s="16">
        <f>IF(CurrentMtgRatesDataTable8[[#This Row],[WA CC]]&lt;&gt;0,C1389-CurrentMtgRatesDataTable8[[#This Row],[WA CC]],0)</f>
        <v>0</v>
      </c>
      <c r="L1390" s="16">
        <f>IF(CurrentMtgRatesDataTable8[[#This Row],[Servicing Spread]]&lt;=0,L1389,CurrentMtgRatesDataTable8[[#This Row],[Servicing Spread]])</f>
        <v>0.80107485898952291</v>
      </c>
      <c r="M1390" s="16">
        <f>CurrentMtgRatesDataTable8[[#This Row],[Servicing Spread Non-Zero]]-L1389</f>
        <v>0</v>
      </c>
      <c r="N1390" s="16">
        <f>IF(J1389&lt;&gt;0,CurrentMtgRatesDataTable8[[#This Row],[Rate]]-C1389,N1389)</f>
        <v>-3.0000000000000249E-2</v>
      </c>
    </row>
    <row r="1391" spans="1:14">
      <c r="A1391" s="39" t="s">
        <v>1443</v>
      </c>
      <c r="B1391" s="40">
        <v>2.97706492093908</v>
      </c>
      <c r="C1391" s="11">
        <v>3.7549999999999999</v>
      </c>
      <c r="D1391" s="16">
        <f t="shared" si="147"/>
        <v>7</v>
      </c>
      <c r="E1391" s="16">
        <f t="shared" si="148"/>
        <v>0.2</v>
      </c>
      <c r="F1391" s="16">
        <f t="shared" si="149"/>
        <v>5</v>
      </c>
      <c r="G1391" s="16">
        <f t="shared" si="150"/>
        <v>2.9422450599464263</v>
      </c>
      <c r="H1391" s="16">
        <f t="shared" si="151"/>
        <v>1</v>
      </c>
      <c r="I1391" s="16">
        <f t="shared" si="152"/>
        <v>1</v>
      </c>
      <c r="J1391" s="16">
        <f t="shared" si="153"/>
        <v>2.9422450599464263</v>
      </c>
      <c r="K1391" s="16">
        <f>IF(CurrentMtgRatesDataTable8[[#This Row],[WA CC]]&lt;&gt;0,C1390-CurrentMtgRatesDataTable8[[#This Row],[WA CC]],0)</f>
        <v>0.81275494005357363</v>
      </c>
      <c r="L1391" s="16">
        <f>IF(CurrentMtgRatesDataTable8[[#This Row],[Servicing Spread]]&lt;=0,L1390,CurrentMtgRatesDataTable8[[#This Row],[Servicing Spread]])</f>
        <v>0.81275494005357363</v>
      </c>
      <c r="M1391" s="16">
        <f>CurrentMtgRatesDataTable8[[#This Row],[Servicing Spread Non-Zero]]-L1390</f>
        <v>1.1680081064050718E-2</v>
      </c>
      <c r="N1391" s="16">
        <f>IF(J1390&lt;&gt;0,CurrentMtgRatesDataTable8[[#This Row],[Rate]]-C1390,N1390)</f>
        <v>-3.0000000000000249E-2</v>
      </c>
    </row>
    <row r="1392" spans="1:14">
      <c r="A1392" s="39" t="s">
        <v>1444</v>
      </c>
      <c r="B1392" s="40">
        <v>2.9757195014507198</v>
      </c>
      <c r="C1392" s="11">
        <v>3.8149999999999999</v>
      </c>
      <c r="D1392" s="16">
        <f t="shared" si="147"/>
        <v>1</v>
      </c>
      <c r="E1392" s="16">
        <f t="shared" si="148"/>
        <v>0.2</v>
      </c>
      <c r="F1392" s="16">
        <f t="shared" si="149"/>
        <v>1</v>
      </c>
      <c r="G1392" s="16">
        <f t="shared" si="150"/>
        <v>0.59514390029014397</v>
      </c>
      <c r="H1392" s="16">
        <f t="shared" si="151"/>
        <v>0.2</v>
      </c>
      <c r="I1392" s="16">
        <f t="shared" si="152"/>
        <v>0</v>
      </c>
      <c r="J1392" s="16">
        <f t="shared" si="153"/>
        <v>0</v>
      </c>
      <c r="K1392" s="16">
        <f>IF(CurrentMtgRatesDataTable8[[#This Row],[WA CC]]&lt;&gt;0,C1391-CurrentMtgRatesDataTable8[[#This Row],[WA CC]],0)</f>
        <v>0</v>
      </c>
      <c r="L1392" s="16">
        <f>IF(CurrentMtgRatesDataTable8[[#This Row],[Servicing Spread]]&lt;=0,L1391,CurrentMtgRatesDataTable8[[#This Row],[Servicing Spread]])</f>
        <v>0.81275494005357363</v>
      </c>
      <c r="M1392" s="16">
        <f>CurrentMtgRatesDataTable8[[#This Row],[Servicing Spread Non-Zero]]-L1391</f>
        <v>0</v>
      </c>
      <c r="N1392" s="16">
        <f>IF(J1391&lt;&gt;0,CurrentMtgRatesDataTable8[[#This Row],[Rate]]-C1391,N1391)</f>
        <v>6.0000000000000053E-2</v>
      </c>
    </row>
    <row r="1393" spans="1:14">
      <c r="A1393" s="39" t="s">
        <v>1445</v>
      </c>
      <c r="B1393" s="40">
        <v>3.01518414447508</v>
      </c>
      <c r="C1393" s="11">
        <v>3.8149999999999999</v>
      </c>
      <c r="D1393" s="16">
        <f t="shared" si="147"/>
        <v>2</v>
      </c>
      <c r="E1393" s="16">
        <f t="shared" si="148"/>
        <v>0.2</v>
      </c>
      <c r="F1393" s="16">
        <f t="shared" si="149"/>
        <v>2</v>
      </c>
      <c r="G1393" s="16">
        <f t="shared" si="150"/>
        <v>1.1981807291851601</v>
      </c>
      <c r="H1393" s="16">
        <f t="shared" si="151"/>
        <v>0.4</v>
      </c>
      <c r="I1393" s="16">
        <f t="shared" si="152"/>
        <v>0</v>
      </c>
      <c r="J1393" s="16">
        <f t="shared" si="153"/>
        <v>0</v>
      </c>
      <c r="K1393" s="16">
        <f>IF(CurrentMtgRatesDataTable8[[#This Row],[WA CC]]&lt;&gt;0,C1392-CurrentMtgRatesDataTable8[[#This Row],[WA CC]],0)</f>
        <v>0</v>
      </c>
      <c r="L1393" s="16">
        <f>IF(CurrentMtgRatesDataTable8[[#This Row],[Servicing Spread]]&lt;=0,L1392,CurrentMtgRatesDataTable8[[#This Row],[Servicing Spread]])</f>
        <v>0.81275494005357363</v>
      </c>
      <c r="M1393" s="16">
        <f>CurrentMtgRatesDataTable8[[#This Row],[Servicing Spread Non-Zero]]-L1392</f>
        <v>0</v>
      </c>
      <c r="N1393" s="16">
        <f>IF(J1392&lt;&gt;0,CurrentMtgRatesDataTable8[[#This Row],[Rate]]-C1392,N1392)</f>
        <v>6.0000000000000053E-2</v>
      </c>
    </row>
    <row r="1394" spans="1:14">
      <c r="A1394" s="39" t="s">
        <v>1446</v>
      </c>
      <c r="B1394" s="40">
        <v>2.99577895958971</v>
      </c>
      <c r="C1394" s="11">
        <v>3.8149999999999999</v>
      </c>
      <c r="D1394" s="16">
        <f t="shared" si="147"/>
        <v>5</v>
      </c>
      <c r="E1394" s="16">
        <f t="shared" si="148"/>
        <v>0.2</v>
      </c>
      <c r="F1394" s="16">
        <f t="shared" si="149"/>
        <v>3</v>
      </c>
      <c r="G1394" s="16">
        <f t="shared" si="150"/>
        <v>1.797336521103102</v>
      </c>
      <c r="H1394" s="16">
        <f t="shared" si="151"/>
        <v>0.60000000000000009</v>
      </c>
      <c r="I1394" s="16">
        <f t="shared" si="152"/>
        <v>0</v>
      </c>
      <c r="J1394" s="16">
        <f t="shared" si="153"/>
        <v>0</v>
      </c>
      <c r="K1394" s="16">
        <f>IF(CurrentMtgRatesDataTable8[[#This Row],[WA CC]]&lt;&gt;0,C1393-CurrentMtgRatesDataTable8[[#This Row],[WA CC]],0)</f>
        <v>0</v>
      </c>
      <c r="L1394" s="16">
        <f>IF(CurrentMtgRatesDataTable8[[#This Row],[Servicing Spread]]&lt;=0,L1393,CurrentMtgRatesDataTable8[[#This Row],[Servicing Spread]])</f>
        <v>0.81275494005357363</v>
      </c>
      <c r="M1394" s="16">
        <f>CurrentMtgRatesDataTable8[[#This Row],[Servicing Spread Non-Zero]]-L1393</f>
        <v>0</v>
      </c>
      <c r="N1394" s="16">
        <f>IF(J1393&lt;&gt;0,CurrentMtgRatesDataTable8[[#This Row],[Rate]]-C1393,N1393)</f>
        <v>6.0000000000000053E-2</v>
      </c>
    </row>
    <row r="1395" spans="1:14">
      <c r="A1395" s="39" t="s">
        <v>1447</v>
      </c>
      <c r="B1395" s="40">
        <v>3.0341872345121401</v>
      </c>
      <c r="C1395" s="11">
        <v>3.8149999999999999</v>
      </c>
      <c r="D1395" s="16">
        <f t="shared" si="147"/>
        <v>6</v>
      </c>
      <c r="E1395" s="16">
        <f t="shared" si="148"/>
        <v>0.2</v>
      </c>
      <c r="F1395" s="16">
        <f t="shared" si="149"/>
        <v>4</v>
      </c>
      <c r="G1395" s="16">
        <f t="shared" si="150"/>
        <v>2.4041739680055301</v>
      </c>
      <c r="H1395" s="16">
        <f t="shared" si="151"/>
        <v>0.8</v>
      </c>
      <c r="I1395" s="16">
        <f t="shared" si="152"/>
        <v>0</v>
      </c>
      <c r="J1395" s="16">
        <f t="shared" si="153"/>
        <v>0</v>
      </c>
      <c r="K1395" s="16">
        <f>IF(CurrentMtgRatesDataTable8[[#This Row],[WA CC]]&lt;&gt;0,C1394-CurrentMtgRatesDataTable8[[#This Row],[WA CC]],0)</f>
        <v>0</v>
      </c>
      <c r="L1395" s="16">
        <f>IF(CurrentMtgRatesDataTable8[[#This Row],[Servicing Spread]]&lt;=0,L1394,CurrentMtgRatesDataTable8[[#This Row],[Servicing Spread]])</f>
        <v>0.81275494005357363</v>
      </c>
      <c r="M1395" s="16">
        <f>CurrentMtgRatesDataTable8[[#This Row],[Servicing Spread Non-Zero]]-L1394</f>
        <v>0</v>
      </c>
      <c r="N1395" s="16">
        <f>IF(J1394&lt;&gt;0,CurrentMtgRatesDataTable8[[#This Row],[Rate]]-C1394,N1394)</f>
        <v>6.0000000000000053E-2</v>
      </c>
    </row>
    <row r="1396" spans="1:14">
      <c r="A1396" s="39" t="s">
        <v>1448</v>
      </c>
      <c r="B1396" s="40">
        <v>3.0653082915099299</v>
      </c>
      <c r="C1396" s="11">
        <v>3.8149999999999999</v>
      </c>
      <c r="D1396" s="16">
        <f t="shared" si="147"/>
        <v>7</v>
      </c>
      <c r="E1396" s="16">
        <f t="shared" si="148"/>
        <v>0.2</v>
      </c>
      <c r="F1396" s="16">
        <f t="shared" si="149"/>
        <v>5</v>
      </c>
      <c r="G1396" s="16">
        <f t="shared" si="150"/>
        <v>3.017235626307516</v>
      </c>
      <c r="H1396" s="16">
        <f t="shared" si="151"/>
        <v>1</v>
      </c>
      <c r="I1396" s="16">
        <f t="shared" si="152"/>
        <v>1</v>
      </c>
      <c r="J1396" s="16">
        <f t="shared" si="153"/>
        <v>3.017235626307516</v>
      </c>
      <c r="K1396" s="16">
        <f>IF(CurrentMtgRatesDataTable8[[#This Row],[WA CC]]&lt;&gt;0,C1395-CurrentMtgRatesDataTable8[[#This Row],[WA CC]],0)</f>
        <v>0.79776437369248399</v>
      </c>
      <c r="L1396" s="16">
        <f>IF(CurrentMtgRatesDataTable8[[#This Row],[Servicing Spread]]&lt;=0,L1395,CurrentMtgRatesDataTable8[[#This Row],[Servicing Spread]])</f>
        <v>0.79776437369248399</v>
      </c>
      <c r="M1396" s="16">
        <f>CurrentMtgRatesDataTable8[[#This Row],[Servicing Spread Non-Zero]]-L1395</f>
        <v>-1.4990566361089641E-2</v>
      </c>
      <c r="N1396" s="16">
        <f>IF(J1395&lt;&gt;0,CurrentMtgRatesDataTable8[[#This Row],[Rate]]-C1395,N1395)</f>
        <v>6.0000000000000053E-2</v>
      </c>
    </row>
    <row r="1397" spans="1:14">
      <c r="A1397" s="39" t="s">
        <v>1449</v>
      </c>
      <c r="B1397" s="40">
        <v>3.0902788542109598</v>
      </c>
      <c r="C1397" s="11">
        <v>3.8149999999999999</v>
      </c>
      <c r="D1397" s="16">
        <f t="shared" si="147"/>
        <v>1</v>
      </c>
      <c r="E1397" s="16">
        <f t="shared" si="148"/>
        <v>0.2</v>
      </c>
      <c r="F1397" s="16">
        <f t="shared" si="149"/>
        <v>1</v>
      </c>
      <c r="G1397" s="16">
        <f t="shared" si="150"/>
        <v>0.61805577084219199</v>
      </c>
      <c r="H1397" s="16">
        <f t="shared" si="151"/>
        <v>0.2</v>
      </c>
      <c r="I1397" s="16">
        <f t="shared" si="152"/>
        <v>0</v>
      </c>
      <c r="J1397" s="16">
        <f t="shared" si="153"/>
        <v>0</v>
      </c>
      <c r="K1397" s="16">
        <f>IF(CurrentMtgRatesDataTable8[[#This Row],[WA CC]]&lt;&gt;0,C1396-CurrentMtgRatesDataTable8[[#This Row],[WA CC]],0)</f>
        <v>0</v>
      </c>
      <c r="L1397" s="16">
        <f>IF(CurrentMtgRatesDataTable8[[#This Row],[Servicing Spread]]&lt;=0,L1396,CurrentMtgRatesDataTable8[[#This Row],[Servicing Spread]])</f>
        <v>0.79776437369248399</v>
      </c>
      <c r="M1397" s="16">
        <f>CurrentMtgRatesDataTable8[[#This Row],[Servicing Spread Non-Zero]]-L1396</f>
        <v>0</v>
      </c>
      <c r="N1397" s="16">
        <f>IF(J1396&lt;&gt;0,CurrentMtgRatesDataTable8[[#This Row],[Rate]]-C1396,N1396)</f>
        <v>0</v>
      </c>
    </row>
    <row r="1398" spans="1:14">
      <c r="A1398" s="39" t="s">
        <v>1450</v>
      </c>
      <c r="B1398" s="40">
        <v>3.0467872784597301</v>
      </c>
      <c r="C1398" s="11">
        <v>3.8149999999999999</v>
      </c>
      <c r="D1398" s="16">
        <f t="shared" si="147"/>
        <v>2</v>
      </c>
      <c r="E1398" s="16">
        <f t="shared" si="148"/>
        <v>0.2</v>
      </c>
      <c r="F1398" s="16">
        <f t="shared" si="149"/>
        <v>2</v>
      </c>
      <c r="G1398" s="16">
        <f t="shared" si="150"/>
        <v>1.227413226534138</v>
      </c>
      <c r="H1398" s="16">
        <f t="shared" si="151"/>
        <v>0.4</v>
      </c>
      <c r="I1398" s="16">
        <f t="shared" si="152"/>
        <v>0</v>
      </c>
      <c r="J1398" s="16">
        <f t="shared" si="153"/>
        <v>0</v>
      </c>
      <c r="K1398" s="16">
        <f>IF(CurrentMtgRatesDataTable8[[#This Row],[WA CC]]&lt;&gt;0,C1397-CurrentMtgRatesDataTable8[[#This Row],[WA CC]],0)</f>
        <v>0</v>
      </c>
      <c r="L1398" s="16">
        <f>IF(CurrentMtgRatesDataTable8[[#This Row],[Servicing Spread]]&lt;=0,L1397,CurrentMtgRatesDataTable8[[#This Row],[Servicing Spread]])</f>
        <v>0.79776437369248399</v>
      </c>
      <c r="M1398" s="16">
        <f>CurrentMtgRatesDataTable8[[#This Row],[Servicing Spread Non-Zero]]-L1397</f>
        <v>0</v>
      </c>
      <c r="N1398" s="16">
        <f>IF(J1397&lt;&gt;0,CurrentMtgRatesDataTable8[[#This Row],[Rate]]-C1397,N1397)</f>
        <v>0</v>
      </c>
    </row>
    <row r="1399" spans="1:14">
      <c r="A1399" s="39" t="s">
        <v>1451</v>
      </c>
      <c r="B1399" s="40">
        <v>2.9862193219320199</v>
      </c>
      <c r="C1399" s="11">
        <v>3.8149999999999999</v>
      </c>
      <c r="D1399" s="16">
        <f t="shared" si="147"/>
        <v>5</v>
      </c>
      <c r="E1399" s="16">
        <f t="shared" si="148"/>
        <v>0.2</v>
      </c>
      <c r="F1399" s="16">
        <f t="shared" si="149"/>
        <v>3</v>
      </c>
      <c r="G1399" s="16">
        <f t="shared" si="150"/>
        <v>1.824657090920542</v>
      </c>
      <c r="H1399" s="16">
        <f t="shared" si="151"/>
        <v>0.60000000000000009</v>
      </c>
      <c r="I1399" s="16">
        <f t="shared" si="152"/>
        <v>0</v>
      </c>
      <c r="J1399" s="16">
        <f t="shared" si="153"/>
        <v>0</v>
      </c>
      <c r="K1399" s="16">
        <f>IF(CurrentMtgRatesDataTable8[[#This Row],[WA CC]]&lt;&gt;0,C1398-CurrentMtgRatesDataTable8[[#This Row],[WA CC]],0)</f>
        <v>0</v>
      </c>
      <c r="L1399" s="16">
        <f>IF(CurrentMtgRatesDataTable8[[#This Row],[Servicing Spread]]&lt;=0,L1398,CurrentMtgRatesDataTable8[[#This Row],[Servicing Spread]])</f>
        <v>0.79776437369248399</v>
      </c>
      <c r="M1399" s="16">
        <f>CurrentMtgRatesDataTable8[[#This Row],[Servicing Spread Non-Zero]]-L1398</f>
        <v>0</v>
      </c>
      <c r="N1399" s="16">
        <f>IF(J1398&lt;&gt;0,CurrentMtgRatesDataTable8[[#This Row],[Rate]]-C1398,N1398)</f>
        <v>0</v>
      </c>
    </row>
    <row r="1400" spans="1:14">
      <c r="A1400" s="39" t="s">
        <v>1452</v>
      </c>
      <c r="B1400" s="40">
        <v>2.9950080257939802</v>
      </c>
      <c r="C1400" s="11">
        <v>3.8149999999999999</v>
      </c>
      <c r="D1400" s="16">
        <f t="shared" si="147"/>
        <v>6</v>
      </c>
      <c r="E1400" s="16">
        <f t="shared" si="148"/>
        <v>0.2</v>
      </c>
      <c r="F1400" s="16">
        <f t="shared" si="149"/>
        <v>4</v>
      </c>
      <c r="G1400" s="16">
        <f t="shared" si="150"/>
        <v>2.4236586960793378</v>
      </c>
      <c r="H1400" s="16">
        <f t="shared" si="151"/>
        <v>0.8</v>
      </c>
      <c r="I1400" s="16">
        <f t="shared" si="152"/>
        <v>0</v>
      </c>
      <c r="J1400" s="16">
        <f t="shared" si="153"/>
        <v>0</v>
      </c>
      <c r="K1400" s="16">
        <f>IF(CurrentMtgRatesDataTable8[[#This Row],[WA CC]]&lt;&gt;0,C1399-CurrentMtgRatesDataTable8[[#This Row],[WA CC]],0)</f>
        <v>0</v>
      </c>
      <c r="L1400" s="16">
        <f>IF(CurrentMtgRatesDataTable8[[#This Row],[Servicing Spread]]&lt;=0,L1399,CurrentMtgRatesDataTable8[[#This Row],[Servicing Spread]])</f>
        <v>0.79776437369248399</v>
      </c>
      <c r="M1400" s="16">
        <f>CurrentMtgRatesDataTable8[[#This Row],[Servicing Spread Non-Zero]]-L1399</f>
        <v>0</v>
      </c>
      <c r="N1400" s="16">
        <f>IF(J1399&lt;&gt;0,CurrentMtgRatesDataTable8[[#This Row],[Rate]]-C1399,N1399)</f>
        <v>0</v>
      </c>
    </row>
    <row r="1401" spans="1:14">
      <c r="A1401" s="39" t="s">
        <v>1453</v>
      </c>
      <c r="B1401" s="40">
        <v>3.0013346619924599</v>
      </c>
      <c r="C1401" s="11">
        <v>3.8149999999999999</v>
      </c>
      <c r="D1401" s="16">
        <f t="shared" si="147"/>
        <v>7</v>
      </c>
      <c r="E1401" s="16">
        <f t="shared" si="148"/>
        <v>0.2</v>
      </c>
      <c r="F1401" s="16">
        <f t="shared" si="149"/>
        <v>5</v>
      </c>
      <c r="G1401" s="16">
        <f t="shared" si="150"/>
        <v>3.02392562847783</v>
      </c>
      <c r="H1401" s="16">
        <f t="shared" si="151"/>
        <v>1</v>
      </c>
      <c r="I1401" s="16">
        <f t="shared" si="152"/>
        <v>1</v>
      </c>
      <c r="J1401" s="16">
        <f t="shared" si="153"/>
        <v>3.02392562847783</v>
      </c>
      <c r="K1401" s="16">
        <f>IF(CurrentMtgRatesDataTable8[[#This Row],[WA CC]]&lt;&gt;0,C1400-CurrentMtgRatesDataTable8[[#This Row],[WA CC]],0)</f>
        <v>0.79107437152216997</v>
      </c>
      <c r="L1401" s="16">
        <f>IF(CurrentMtgRatesDataTable8[[#This Row],[Servicing Spread]]&lt;=0,L1400,CurrentMtgRatesDataTable8[[#This Row],[Servicing Spread]])</f>
        <v>0.79107437152216997</v>
      </c>
      <c r="M1401" s="16">
        <f>CurrentMtgRatesDataTable8[[#This Row],[Servicing Spread Non-Zero]]-L1400</f>
        <v>-6.6900021703140133E-3</v>
      </c>
      <c r="N1401" s="16">
        <f>IF(J1400&lt;&gt;0,CurrentMtgRatesDataTable8[[#This Row],[Rate]]-C1400,N1400)</f>
        <v>0</v>
      </c>
    </row>
    <row r="1402" spans="1:14">
      <c r="A1402" s="39" t="s">
        <v>1454</v>
      </c>
      <c r="B1402" s="40">
        <v>2.9792260148028</v>
      </c>
      <c r="C1402" s="11">
        <v>3.75</v>
      </c>
      <c r="D1402" s="16">
        <f t="shared" si="147"/>
        <v>1</v>
      </c>
      <c r="E1402" s="16">
        <f t="shared" si="148"/>
        <v>0.2</v>
      </c>
      <c r="F1402" s="16">
        <f t="shared" si="149"/>
        <v>1</v>
      </c>
      <c r="G1402" s="16">
        <f t="shared" si="150"/>
        <v>0.59584520296055998</v>
      </c>
      <c r="H1402" s="16">
        <f t="shared" si="151"/>
        <v>0.2</v>
      </c>
      <c r="I1402" s="16">
        <f t="shared" si="152"/>
        <v>0</v>
      </c>
      <c r="J1402" s="16">
        <f t="shared" si="153"/>
        <v>0</v>
      </c>
      <c r="K1402" s="16">
        <f>IF(CurrentMtgRatesDataTable8[[#This Row],[WA CC]]&lt;&gt;0,C1401-CurrentMtgRatesDataTable8[[#This Row],[WA CC]],0)</f>
        <v>0</v>
      </c>
      <c r="L1402" s="16">
        <f>IF(CurrentMtgRatesDataTable8[[#This Row],[Servicing Spread]]&lt;=0,L1401,CurrentMtgRatesDataTable8[[#This Row],[Servicing Spread]])</f>
        <v>0.79107437152216997</v>
      </c>
      <c r="M1402" s="16">
        <f>CurrentMtgRatesDataTable8[[#This Row],[Servicing Spread Non-Zero]]-L1401</f>
        <v>0</v>
      </c>
      <c r="N1402" s="16">
        <f>IF(J1401&lt;&gt;0,CurrentMtgRatesDataTable8[[#This Row],[Rate]]-C1401,N1401)</f>
        <v>-6.4999999999999947E-2</v>
      </c>
    </row>
    <row r="1403" spans="1:14">
      <c r="A1403" s="39" t="s">
        <v>1455</v>
      </c>
      <c r="B1403" s="40">
        <v>2.9673100306240898</v>
      </c>
      <c r="C1403" s="11">
        <v>3.75</v>
      </c>
      <c r="D1403" s="16">
        <f t="shared" si="147"/>
        <v>2</v>
      </c>
      <c r="E1403" s="16">
        <f t="shared" si="148"/>
        <v>0.2</v>
      </c>
      <c r="F1403" s="16">
        <f t="shared" si="149"/>
        <v>2</v>
      </c>
      <c r="G1403" s="16">
        <f t="shared" si="150"/>
        <v>1.189307209085378</v>
      </c>
      <c r="H1403" s="16">
        <f t="shared" si="151"/>
        <v>0.4</v>
      </c>
      <c r="I1403" s="16">
        <f t="shared" si="152"/>
        <v>0</v>
      </c>
      <c r="J1403" s="16">
        <f t="shared" si="153"/>
        <v>0</v>
      </c>
      <c r="K1403" s="16">
        <f>IF(CurrentMtgRatesDataTable8[[#This Row],[WA CC]]&lt;&gt;0,C1402-CurrentMtgRatesDataTable8[[#This Row],[WA CC]],0)</f>
        <v>0</v>
      </c>
      <c r="L1403" s="16">
        <f>IF(CurrentMtgRatesDataTable8[[#This Row],[Servicing Spread]]&lt;=0,L1402,CurrentMtgRatesDataTable8[[#This Row],[Servicing Spread]])</f>
        <v>0.79107437152216997</v>
      </c>
      <c r="M1403" s="16">
        <f>CurrentMtgRatesDataTable8[[#This Row],[Servicing Spread Non-Zero]]-L1402</f>
        <v>0</v>
      </c>
      <c r="N1403" s="16">
        <f>IF(J1402&lt;&gt;0,CurrentMtgRatesDataTable8[[#This Row],[Rate]]-C1402,N1402)</f>
        <v>-6.4999999999999947E-2</v>
      </c>
    </row>
    <row r="1404" spans="1:14">
      <c r="A1404" s="39" t="s">
        <v>1456</v>
      </c>
      <c r="B1404" s="40">
        <v>2.9424366684946102</v>
      </c>
      <c r="C1404" s="11">
        <v>3.75</v>
      </c>
      <c r="D1404" s="16">
        <f t="shared" si="147"/>
        <v>5</v>
      </c>
      <c r="E1404" s="16">
        <f t="shared" si="148"/>
        <v>0.2</v>
      </c>
      <c r="F1404" s="16">
        <f t="shared" si="149"/>
        <v>3</v>
      </c>
      <c r="G1404" s="16">
        <f t="shared" si="150"/>
        <v>1.7777945427843</v>
      </c>
      <c r="H1404" s="16">
        <f t="shared" si="151"/>
        <v>0.60000000000000009</v>
      </c>
      <c r="I1404" s="16">
        <f t="shared" si="152"/>
        <v>0</v>
      </c>
      <c r="J1404" s="16">
        <f t="shared" si="153"/>
        <v>0</v>
      </c>
      <c r="K1404" s="16">
        <f>IF(CurrentMtgRatesDataTable8[[#This Row],[WA CC]]&lt;&gt;0,C1403-CurrentMtgRatesDataTable8[[#This Row],[WA CC]],0)</f>
        <v>0</v>
      </c>
      <c r="L1404" s="16">
        <f>IF(CurrentMtgRatesDataTable8[[#This Row],[Servicing Spread]]&lt;=0,L1403,CurrentMtgRatesDataTable8[[#This Row],[Servicing Spread]])</f>
        <v>0.79107437152216997</v>
      </c>
      <c r="M1404" s="16">
        <f>CurrentMtgRatesDataTable8[[#This Row],[Servicing Spread Non-Zero]]-L1403</f>
        <v>0</v>
      </c>
      <c r="N1404" s="16">
        <f>IF(J1403&lt;&gt;0,CurrentMtgRatesDataTable8[[#This Row],[Rate]]-C1403,N1403)</f>
        <v>-6.4999999999999947E-2</v>
      </c>
    </row>
    <row r="1405" spans="1:14">
      <c r="A1405" s="39" t="s">
        <v>1457</v>
      </c>
      <c r="B1405" s="40">
        <v>2.9389348891258198</v>
      </c>
      <c r="C1405" s="11">
        <v>3.75</v>
      </c>
      <c r="D1405" s="16">
        <f t="shared" si="147"/>
        <v>6</v>
      </c>
      <c r="E1405" s="16">
        <f t="shared" si="148"/>
        <v>0.2</v>
      </c>
      <c r="F1405" s="16">
        <f t="shared" si="149"/>
        <v>4</v>
      </c>
      <c r="G1405" s="16">
        <f t="shared" si="150"/>
        <v>2.3655815206094641</v>
      </c>
      <c r="H1405" s="16">
        <f t="shared" si="151"/>
        <v>0.8</v>
      </c>
      <c r="I1405" s="16">
        <f t="shared" si="152"/>
        <v>0</v>
      </c>
      <c r="J1405" s="16">
        <f t="shared" si="153"/>
        <v>0</v>
      </c>
      <c r="K1405" s="16">
        <f>IF(CurrentMtgRatesDataTable8[[#This Row],[WA CC]]&lt;&gt;0,C1404-CurrentMtgRatesDataTable8[[#This Row],[WA CC]],0)</f>
        <v>0</v>
      </c>
      <c r="L1405" s="16">
        <f>IF(CurrentMtgRatesDataTable8[[#This Row],[Servicing Spread]]&lt;=0,L1404,CurrentMtgRatesDataTable8[[#This Row],[Servicing Spread]])</f>
        <v>0.79107437152216997</v>
      </c>
      <c r="M1405" s="16">
        <f>CurrentMtgRatesDataTable8[[#This Row],[Servicing Spread Non-Zero]]-L1404</f>
        <v>0</v>
      </c>
      <c r="N1405" s="16">
        <f>IF(J1404&lt;&gt;0,CurrentMtgRatesDataTable8[[#This Row],[Rate]]-C1404,N1404)</f>
        <v>-6.4999999999999947E-2</v>
      </c>
    </row>
    <row r="1406" spans="1:14">
      <c r="A1406" s="39" t="s">
        <v>1458</v>
      </c>
      <c r="B1406" s="40">
        <v>2.9600254528723302</v>
      </c>
      <c r="C1406" s="11">
        <v>3.75</v>
      </c>
      <c r="D1406" s="16">
        <f t="shared" si="147"/>
        <v>7</v>
      </c>
      <c r="E1406" s="16">
        <f t="shared" si="148"/>
        <v>0.2</v>
      </c>
      <c r="F1406" s="16">
        <f t="shared" si="149"/>
        <v>5</v>
      </c>
      <c r="G1406" s="16">
        <f t="shared" si="150"/>
        <v>2.9575866111839302</v>
      </c>
      <c r="H1406" s="16">
        <f t="shared" si="151"/>
        <v>1</v>
      </c>
      <c r="I1406" s="16">
        <f t="shared" si="152"/>
        <v>1</v>
      </c>
      <c r="J1406" s="16">
        <f t="shared" si="153"/>
        <v>2.9575866111839302</v>
      </c>
      <c r="K1406" s="16">
        <f>IF(CurrentMtgRatesDataTable8[[#This Row],[WA CC]]&lt;&gt;0,C1405-CurrentMtgRatesDataTable8[[#This Row],[WA CC]],0)</f>
        <v>0.79241338881606982</v>
      </c>
      <c r="L1406" s="16">
        <f>IF(CurrentMtgRatesDataTable8[[#This Row],[Servicing Spread]]&lt;=0,L1405,CurrentMtgRatesDataTable8[[#This Row],[Servicing Spread]])</f>
        <v>0.79241338881606982</v>
      </c>
      <c r="M1406" s="16">
        <f>CurrentMtgRatesDataTable8[[#This Row],[Servicing Spread Non-Zero]]-L1405</f>
        <v>1.3390172938998468E-3</v>
      </c>
      <c r="N1406" s="16">
        <f>IF(J1405&lt;&gt;0,CurrentMtgRatesDataTable8[[#This Row],[Rate]]-C1405,N1405)</f>
        <v>-6.4999999999999947E-2</v>
      </c>
    </row>
    <row r="1407" spans="1:14">
      <c r="A1407" s="39" t="s">
        <v>1459</v>
      </c>
      <c r="B1407" s="40">
        <v>2.9800098209744199</v>
      </c>
      <c r="C1407" s="11">
        <v>3.8250000000000002</v>
      </c>
      <c r="D1407" s="16">
        <f t="shared" si="147"/>
        <v>1</v>
      </c>
      <c r="E1407" s="16">
        <f t="shared" si="148"/>
        <v>0.2</v>
      </c>
      <c r="F1407" s="16">
        <f t="shared" si="149"/>
        <v>1</v>
      </c>
      <c r="G1407" s="16">
        <f t="shared" si="150"/>
        <v>0.59600196419488405</v>
      </c>
      <c r="H1407" s="16">
        <f t="shared" si="151"/>
        <v>0.2</v>
      </c>
      <c r="I1407" s="16">
        <f t="shared" si="152"/>
        <v>0</v>
      </c>
      <c r="J1407" s="16">
        <f t="shared" si="153"/>
        <v>0</v>
      </c>
      <c r="K1407" s="16">
        <f>IF(CurrentMtgRatesDataTable8[[#This Row],[WA CC]]&lt;&gt;0,C1406-CurrentMtgRatesDataTable8[[#This Row],[WA CC]],0)</f>
        <v>0</v>
      </c>
      <c r="L1407" s="16">
        <f>IF(CurrentMtgRatesDataTable8[[#This Row],[Servicing Spread]]&lt;=0,L1406,CurrentMtgRatesDataTable8[[#This Row],[Servicing Spread]])</f>
        <v>0.79241338881606982</v>
      </c>
      <c r="M1407" s="16">
        <f>CurrentMtgRatesDataTable8[[#This Row],[Servicing Spread Non-Zero]]-L1406</f>
        <v>0</v>
      </c>
      <c r="N1407" s="16">
        <f>IF(J1406&lt;&gt;0,CurrentMtgRatesDataTable8[[#This Row],[Rate]]-C1406,N1406)</f>
        <v>7.5000000000000178E-2</v>
      </c>
    </row>
    <row r="1408" spans="1:14">
      <c r="A1408" s="39" t="s">
        <v>1460</v>
      </c>
      <c r="B1408" s="40">
        <v>3.0443074721170098</v>
      </c>
      <c r="C1408" s="11">
        <v>3.8250000000000002</v>
      </c>
      <c r="D1408" s="16">
        <f t="shared" si="147"/>
        <v>2</v>
      </c>
      <c r="E1408" s="16">
        <f t="shared" si="148"/>
        <v>0.2</v>
      </c>
      <c r="F1408" s="16">
        <f t="shared" si="149"/>
        <v>2</v>
      </c>
      <c r="G1408" s="16">
        <f t="shared" si="150"/>
        <v>1.204863458618286</v>
      </c>
      <c r="H1408" s="16">
        <f t="shared" si="151"/>
        <v>0.4</v>
      </c>
      <c r="I1408" s="16">
        <f t="shared" si="152"/>
        <v>0</v>
      </c>
      <c r="J1408" s="16">
        <f t="shared" si="153"/>
        <v>0</v>
      </c>
      <c r="K1408" s="16">
        <f>IF(CurrentMtgRatesDataTable8[[#This Row],[WA CC]]&lt;&gt;0,C1407-CurrentMtgRatesDataTable8[[#This Row],[WA CC]],0)</f>
        <v>0</v>
      </c>
      <c r="L1408" s="16">
        <f>IF(CurrentMtgRatesDataTable8[[#This Row],[Servicing Spread]]&lt;=0,L1407,CurrentMtgRatesDataTable8[[#This Row],[Servicing Spread]])</f>
        <v>0.79241338881606982</v>
      </c>
      <c r="M1408" s="16">
        <f>CurrentMtgRatesDataTable8[[#This Row],[Servicing Spread Non-Zero]]-L1407</f>
        <v>0</v>
      </c>
      <c r="N1408" s="16">
        <f>IF(J1407&lt;&gt;0,CurrentMtgRatesDataTable8[[#This Row],[Rate]]-C1407,N1407)</f>
        <v>7.5000000000000178E-2</v>
      </c>
    </row>
    <row r="1409" spans="1:14">
      <c r="A1409" s="39" t="s">
        <v>1461</v>
      </c>
      <c r="B1409" s="40">
        <v>3.0403355668872298</v>
      </c>
      <c r="C1409" s="11">
        <v>3.8250000000000002</v>
      </c>
      <c r="D1409" s="16">
        <f t="shared" si="147"/>
        <v>5</v>
      </c>
      <c r="E1409" s="16">
        <f t="shared" si="148"/>
        <v>0.2</v>
      </c>
      <c r="F1409" s="16">
        <f t="shared" si="149"/>
        <v>3</v>
      </c>
      <c r="G1409" s="16">
        <f t="shared" si="150"/>
        <v>1.812930571995732</v>
      </c>
      <c r="H1409" s="16">
        <f t="shared" si="151"/>
        <v>0.60000000000000009</v>
      </c>
      <c r="I1409" s="16">
        <f t="shared" si="152"/>
        <v>0</v>
      </c>
      <c r="J1409" s="16">
        <f t="shared" si="153"/>
        <v>0</v>
      </c>
      <c r="K1409" s="16">
        <f>IF(CurrentMtgRatesDataTable8[[#This Row],[WA CC]]&lt;&gt;0,C1408-CurrentMtgRatesDataTable8[[#This Row],[WA CC]],0)</f>
        <v>0</v>
      </c>
      <c r="L1409" s="16">
        <f>IF(CurrentMtgRatesDataTable8[[#This Row],[Servicing Spread]]&lt;=0,L1408,CurrentMtgRatesDataTable8[[#This Row],[Servicing Spread]])</f>
        <v>0.79241338881606982</v>
      </c>
      <c r="M1409" s="16">
        <f>CurrentMtgRatesDataTable8[[#This Row],[Servicing Spread Non-Zero]]-L1408</f>
        <v>0</v>
      </c>
      <c r="N1409" s="16">
        <f>IF(J1408&lt;&gt;0,CurrentMtgRatesDataTable8[[#This Row],[Rate]]-C1408,N1408)</f>
        <v>7.5000000000000178E-2</v>
      </c>
    </row>
    <row r="1410" spans="1:14">
      <c r="A1410" s="39" t="s">
        <v>1462</v>
      </c>
      <c r="B1410" s="40">
        <v>3.0130090109041801</v>
      </c>
      <c r="C1410" s="11">
        <v>3.8250000000000002</v>
      </c>
      <c r="D1410" s="16">
        <f t="shared" si="147"/>
        <v>6</v>
      </c>
      <c r="E1410" s="16">
        <f t="shared" si="148"/>
        <v>0.2</v>
      </c>
      <c r="F1410" s="16">
        <f t="shared" si="149"/>
        <v>4</v>
      </c>
      <c r="G1410" s="16">
        <f t="shared" si="150"/>
        <v>2.4155323741765682</v>
      </c>
      <c r="H1410" s="16">
        <f t="shared" si="151"/>
        <v>0.8</v>
      </c>
      <c r="I1410" s="16">
        <f t="shared" si="152"/>
        <v>0</v>
      </c>
      <c r="J1410" s="16">
        <f t="shared" si="153"/>
        <v>0</v>
      </c>
      <c r="K1410" s="16">
        <f>IF(CurrentMtgRatesDataTable8[[#This Row],[WA CC]]&lt;&gt;0,C1409-CurrentMtgRatesDataTable8[[#This Row],[WA CC]],0)</f>
        <v>0</v>
      </c>
      <c r="L1410" s="16">
        <f>IF(CurrentMtgRatesDataTable8[[#This Row],[Servicing Spread]]&lt;=0,L1409,CurrentMtgRatesDataTable8[[#This Row],[Servicing Spread]])</f>
        <v>0.79241338881606982</v>
      </c>
      <c r="M1410" s="16">
        <f>CurrentMtgRatesDataTable8[[#This Row],[Servicing Spread Non-Zero]]-L1409</f>
        <v>0</v>
      </c>
      <c r="N1410" s="16">
        <f>IF(J1409&lt;&gt;0,CurrentMtgRatesDataTable8[[#This Row],[Rate]]-C1409,N1409)</f>
        <v>7.5000000000000178E-2</v>
      </c>
    </row>
    <row r="1411" spans="1:14">
      <c r="A1411" s="39" t="s">
        <v>1463</v>
      </c>
      <c r="B1411" s="40">
        <v>2.9832273925471098</v>
      </c>
      <c r="C1411" s="11">
        <v>3.8250000000000002</v>
      </c>
      <c r="D1411" s="16">
        <f t="shared" si="147"/>
        <v>7</v>
      </c>
      <c r="E1411" s="16">
        <f t="shared" si="148"/>
        <v>0.2</v>
      </c>
      <c r="F1411" s="16">
        <f t="shared" si="149"/>
        <v>5</v>
      </c>
      <c r="G1411" s="16">
        <f t="shared" si="150"/>
        <v>3.0121778526859901</v>
      </c>
      <c r="H1411" s="16">
        <f t="shared" si="151"/>
        <v>1</v>
      </c>
      <c r="I1411" s="16">
        <f t="shared" si="152"/>
        <v>1</v>
      </c>
      <c r="J1411" s="16">
        <f t="shared" si="153"/>
        <v>3.0121778526859901</v>
      </c>
      <c r="K1411" s="16">
        <f>IF(CurrentMtgRatesDataTable8[[#This Row],[WA CC]]&lt;&gt;0,C1410-CurrentMtgRatesDataTable8[[#This Row],[WA CC]],0)</f>
        <v>0.81282214731401004</v>
      </c>
      <c r="L1411" s="16">
        <f>IF(CurrentMtgRatesDataTable8[[#This Row],[Servicing Spread]]&lt;=0,L1410,CurrentMtgRatesDataTable8[[#This Row],[Servicing Spread]])</f>
        <v>0.81282214731401004</v>
      </c>
      <c r="M1411" s="16">
        <f>CurrentMtgRatesDataTable8[[#This Row],[Servicing Spread Non-Zero]]-L1410</f>
        <v>2.0408758497940216E-2</v>
      </c>
      <c r="N1411" s="16">
        <f>IF(J1410&lt;&gt;0,CurrentMtgRatesDataTable8[[#This Row],[Rate]]-C1410,N1410)</f>
        <v>7.5000000000000178E-2</v>
      </c>
    </row>
    <row r="1412" spans="1:14">
      <c r="A1412" s="39" t="s">
        <v>1464</v>
      </c>
      <c r="B1412" s="40">
        <v>2.9906585902343101</v>
      </c>
      <c r="C1412" s="11">
        <v>3.7949999999999999</v>
      </c>
      <c r="D1412" s="16">
        <f t="shared" si="147"/>
        <v>1</v>
      </c>
      <c r="E1412" s="16">
        <f t="shared" si="148"/>
        <v>0.2</v>
      </c>
      <c r="F1412" s="16">
        <f t="shared" si="149"/>
        <v>1</v>
      </c>
      <c r="G1412" s="16">
        <f t="shared" si="150"/>
        <v>0.59813171804686205</v>
      </c>
      <c r="H1412" s="16">
        <f t="shared" si="151"/>
        <v>0.2</v>
      </c>
      <c r="I1412" s="16">
        <f t="shared" si="152"/>
        <v>0</v>
      </c>
      <c r="J1412" s="16">
        <f t="shared" si="153"/>
        <v>0</v>
      </c>
      <c r="K1412" s="16">
        <f>IF(CurrentMtgRatesDataTable8[[#This Row],[WA CC]]&lt;&gt;0,C1411-CurrentMtgRatesDataTable8[[#This Row],[WA CC]],0)</f>
        <v>0</v>
      </c>
      <c r="L1412" s="16">
        <f>IF(CurrentMtgRatesDataTable8[[#This Row],[Servicing Spread]]&lt;=0,L1411,CurrentMtgRatesDataTable8[[#This Row],[Servicing Spread]])</f>
        <v>0.81282214731401004</v>
      </c>
      <c r="M1412" s="16">
        <f>CurrentMtgRatesDataTable8[[#This Row],[Servicing Spread Non-Zero]]-L1411</f>
        <v>0</v>
      </c>
      <c r="N1412" s="16">
        <f>IF(J1411&lt;&gt;0,CurrentMtgRatesDataTable8[[#This Row],[Rate]]-C1411,N1411)</f>
        <v>-3.0000000000000249E-2</v>
      </c>
    </row>
    <row r="1413" spans="1:14">
      <c r="A1413" s="39" t="s">
        <v>1465</v>
      </c>
      <c r="B1413" s="40">
        <v>2.98764576093506</v>
      </c>
      <c r="C1413" s="11">
        <v>3.7949999999999999</v>
      </c>
      <c r="D1413" s="16">
        <f t="shared" ref="D1413:D1476" si="154">WEEKDAY(A1413,14)</f>
        <v>2</v>
      </c>
      <c r="E1413" s="16">
        <f t="shared" ref="E1413:E1476" si="155">VLOOKUP(D1413,Q$5:R$11,2,FALSE)</f>
        <v>0.2</v>
      </c>
      <c r="F1413" s="16">
        <f t="shared" ref="F1413:F1476" si="156">IF(AND(D1413&gt;D1412,F1412&lt;6),F1412+1,1)</f>
        <v>2</v>
      </c>
      <c r="G1413" s="16">
        <f t="shared" ref="G1413:G1476" si="157">IF(F1413&gt;F1412,G1412+B1413*E1413,B1413*E1413)</f>
        <v>1.195660870233874</v>
      </c>
      <c r="H1413" s="16">
        <f t="shared" ref="H1413:H1476" si="158">IF(AND(F1413&lt;6,F1413&gt;F1412),E1413+H1412,E1413)</f>
        <v>0.4</v>
      </c>
      <c r="I1413" s="16">
        <f t="shared" ref="I1413:I1476" si="159">IF(F1413&gt;F1414,1,0)</f>
        <v>0</v>
      </c>
      <c r="J1413" s="16">
        <f t="shared" ref="J1413:J1476" si="160">IF(F1413&gt;F1414,G1413/H1413,0)</f>
        <v>0</v>
      </c>
      <c r="K1413" s="16">
        <f>IF(CurrentMtgRatesDataTable8[[#This Row],[WA CC]]&lt;&gt;0,C1412-CurrentMtgRatesDataTable8[[#This Row],[WA CC]],0)</f>
        <v>0</v>
      </c>
      <c r="L1413" s="16">
        <f>IF(CurrentMtgRatesDataTable8[[#This Row],[Servicing Spread]]&lt;=0,L1412,CurrentMtgRatesDataTable8[[#This Row],[Servicing Spread]])</f>
        <v>0.81282214731401004</v>
      </c>
      <c r="M1413" s="16">
        <f>CurrentMtgRatesDataTable8[[#This Row],[Servicing Spread Non-Zero]]-L1412</f>
        <v>0</v>
      </c>
      <c r="N1413" s="16">
        <f>IF(J1412&lt;&gt;0,CurrentMtgRatesDataTable8[[#This Row],[Rate]]-C1412,N1412)</f>
        <v>-3.0000000000000249E-2</v>
      </c>
    </row>
    <row r="1414" spans="1:14">
      <c r="A1414" s="39" t="s">
        <v>1466</v>
      </c>
      <c r="B1414" s="40">
        <v>3.0172328691696801</v>
      </c>
      <c r="C1414" s="11">
        <v>3.7949999999999999</v>
      </c>
      <c r="D1414" s="16">
        <f t="shared" si="154"/>
        <v>5</v>
      </c>
      <c r="E1414" s="16">
        <f t="shared" si="155"/>
        <v>0.2</v>
      </c>
      <c r="F1414" s="16">
        <f t="shared" si="156"/>
        <v>3</v>
      </c>
      <c r="G1414" s="16">
        <f t="shared" si="157"/>
        <v>1.7991074440678101</v>
      </c>
      <c r="H1414" s="16">
        <f t="shared" si="158"/>
        <v>0.60000000000000009</v>
      </c>
      <c r="I1414" s="16">
        <f t="shared" si="159"/>
        <v>0</v>
      </c>
      <c r="J1414" s="16">
        <f t="shared" si="160"/>
        <v>0</v>
      </c>
      <c r="K1414" s="16">
        <f>IF(CurrentMtgRatesDataTable8[[#This Row],[WA CC]]&lt;&gt;0,C1413-CurrentMtgRatesDataTable8[[#This Row],[WA CC]],0)</f>
        <v>0</v>
      </c>
      <c r="L1414" s="16">
        <f>IF(CurrentMtgRatesDataTable8[[#This Row],[Servicing Spread]]&lt;=0,L1413,CurrentMtgRatesDataTable8[[#This Row],[Servicing Spread]])</f>
        <v>0.81282214731401004</v>
      </c>
      <c r="M1414" s="16">
        <f>CurrentMtgRatesDataTable8[[#This Row],[Servicing Spread Non-Zero]]-L1413</f>
        <v>0</v>
      </c>
      <c r="N1414" s="16">
        <f>IF(J1413&lt;&gt;0,CurrentMtgRatesDataTable8[[#This Row],[Rate]]-C1413,N1413)</f>
        <v>-3.0000000000000249E-2</v>
      </c>
    </row>
    <row r="1415" spans="1:14">
      <c r="A1415" s="39" t="s">
        <v>1467</v>
      </c>
      <c r="B1415" s="40">
        <v>3.0047390423646898</v>
      </c>
      <c r="C1415" s="11">
        <v>3.7949999999999999</v>
      </c>
      <c r="D1415" s="16">
        <f t="shared" si="154"/>
        <v>6</v>
      </c>
      <c r="E1415" s="16">
        <f t="shared" si="155"/>
        <v>0.2</v>
      </c>
      <c r="F1415" s="16">
        <f t="shared" si="156"/>
        <v>4</v>
      </c>
      <c r="G1415" s="16">
        <f t="shared" si="157"/>
        <v>2.4000552525407484</v>
      </c>
      <c r="H1415" s="16">
        <f t="shared" si="158"/>
        <v>0.8</v>
      </c>
      <c r="I1415" s="16">
        <f t="shared" si="159"/>
        <v>0</v>
      </c>
      <c r="J1415" s="16">
        <f t="shared" si="160"/>
        <v>0</v>
      </c>
      <c r="K1415" s="16">
        <f>IF(CurrentMtgRatesDataTable8[[#This Row],[WA CC]]&lt;&gt;0,C1414-CurrentMtgRatesDataTable8[[#This Row],[WA CC]],0)</f>
        <v>0</v>
      </c>
      <c r="L1415" s="16">
        <f>IF(CurrentMtgRatesDataTable8[[#This Row],[Servicing Spread]]&lt;=0,L1414,CurrentMtgRatesDataTable8[[#This Row],[Servicing Spread]])</f>
        <v>0.81282214731401004</v>
      </c>
      <c r="M1415" s="16">
        <f>CurrentMtgRatesDataTable8[[#This Row],[Servicing Spread Non-Zero]]-L1414</f>
        <v>0</v>
      </c>
      <c r="N1415" s="16">
        <f>IF(J1414&lt;&gt;0,CurrentMtgRatesDataTable8[[#This Row],[Rate]]-C1414,N1414)</f>
        <v>-3.0000000000000249E-2</v>
      </c>
    </row>
    <row r="1416" spans="1:14">
      <c r="A1416" s="39" t="s">
        <v>1468</v>
      </c>
      <c r="B1416" s="40">
        <v>2.96000129770144</v>
      </c>
      <c r="C1416" s="11">
        <v>3.7949999999999999</v>
      </c>
      <c r="D1416" s="16">
        <f t="shared" si="154"/>
        <v>7</v>
      </c>
      <c r="E1416" s="16">
        <f t="shared" si="155"/>
        <v>0.2</v>
      </c>
      <c r="F1416" s="16">
        <f t="shared" si="156"/>
        <v>5</v>
      </c>
      <c r="G1416" s="16">
        <f t="shared" si="157"/>
        <v>2.9920555120810364</v>
      </c>
      <c r="H1416" s="16">
        <f t="shared" si="158"/>
        <v>1</v>
      </c>
      <c r="I1416" s="16">
        <f t="shared" si="159"/>
        <v>1</v>
      </c>
      <c r="J1416" s="16">
        <f t="shared" si="160"/>
        <v>2.9920555120810364</v>
      </c>
      <c r="K1416" s="16">
        <f>IF(CurrentMtgRatesDataTable8[[#This Row],[WA CC]]&lt;&gt;0,C1415-CurrentMtgRatesDataTable8[[#This Row],[WA CC]],0)</f>
        <v>0.80294448791896356</v>
      </c>
      <c r="L1416" s="16">
        <f>IF(CurrentMtgRatesDataTable8[[#This Row],[Servicing Spread]]&lt;=0,L1415,CurrentMtgRatesDataTable8[[#This Row],[Servicing Spread]])</f>
        <v>0.80294448791896356</v>
      </c>
      <c r="M1416" s="16">
        <f>CurrentMtgRatesDataTable8[[#This Row],[Servicing Spread Non-Zero]]-L1415</f>
        <v>-9.8776593950464786E-3</v>
      </c>
      <c r="N1416" s="16">
        <f>IF(J1415&lt;&gt;0,CurrentMtgRatesDataTable8[[#This Row],[Rate]]-C1415,N1415)</f>
        <v>-3.0000000000000249E-2</v>
      </c>
    </row>
    <row r="1417" spans="1:14">
      <c r="A1417" s="39" t="s">
        <v>1469</v>
      </c>
      <c r="B1417" s="40">
        <v>2.9773369107577001</v>
      </c>
      <c r="C1417" s="11">
        <v>3.7749999999999999</v>
      </c>
      <c r="D1417" s="16">
        <f t="shared" si="154"/>
        <v>2</v>
      </c>
      <c r="E1417" s="16">
        <f t="shared" si="155"/>
        <v>0.2</v>
      </c>
      <c r="F1417" s="16">
        <f t="shared" si="156"/>
        <v>1</v>
      </c>
      <c r="G1417" s="16">
        <f t="shared" si="157"/>
        <v>0.59546738215154005</v>
      </c>
      <c r="H1417" s="16">
        <f t="shared" si="158"/>
        <v>0.2</v>
      </c>
      <c r="I1417" s="16">
        <f t="shared" si="159"/>
        <v>0</v>
      </c>
      <c r="J1417" s="16">
        <f t="shared" si="160"/>
        <v>0</v>
      </c>
      <c r="K1417" s="16">
        <f>IF(CurrentMtgRatesDataTable8[[#This Row],[WA CC]]&lt;&gt;0,C1416-CurrentMtgRatesDataTable8[[#This Row],[WA CC]],0)</f>
        <v>0</v>
      </c>
      <c r="L1417" s="16">
        <f>IF(CurrentMtgRatesDataTable8[[#This Row],[Servicing Spread]]&lt;=0,L1416,CurrentMtgRatesDataTable8[[#This Row],[Servicing Spread]])</f>
        <v>0.80294448791896356</v>
      </c>
      <c r="M1417" s="16">
        <f>CurrentMtgRatesDataTable8[[#This Row],[Servicing Spread Non-Zero]]-L1416</f>
        <v>0</v>
      </c>
      <c r="N1417" s="16">
        <f>IF(J1416&lt;&gt;0,CurrentMtgRatesDataTable8[[#This Row],[Rate]]-C1416,N1416)</f>
        <v>-2.0000000000000018E-2</v>
      </c>
    </row>
    <row r="1418" spans="1:14">
      <c r="A1418" s="39" t="s">
        <v>1470</v>
      </c>
      <c r="B1418" s="40">
        <v>2.9651134917588999</v>
      </c>
      <c r="C1418" s="11">
        <v>3.7749999999999999</v>
      </c>
      <c r="D1418" s="16">
        <f t="shared" si="154"/>
        <v>5</v>
      </c>
      <c r="E1418" s="16">
        <f t="shared" si="155"/>
        <v>0.2</v>
      </c>
      <c r="F1418" s="16">
        <f t="shared" si="156"/>
        <v>2</v>
      </c>
      <c r="G1418" s="16">
        <f t="shared" si="157"/>
        <v>1.1884900805033201</v>
      </c>
      <c r="H1418" s="16">
        <f t="shared" si="158"/>
        <v>0.4</v>
      </c>
      <c r="I1418" s="16">
        <f t="shared" si="159"/>
        <v>0</v>
      </c>
      <c r="J1418" s="16">
        <f t="shared" si="160"/>
        <v>0</v>
      </c>
      <c r="K1418" s="16">
        <f>IF(CurrentMtgRatesDataTable8[[#This Row],[WA CC]]&lt;&gt;0,C1417-CurrentMtgRatesDataTable8[[#This Row],[WA CC]],0)</f>
        <v>0</v>
      </c>
      <c r="L1418" s="16">
        <f>IF(CurrentMtgRatesDataTable8[[#This Row],[Servicing Spread]]&lt;=0,L1417,CurrentMtgRatesDataTable8[[#This Row],[Servicing Spread]])</f>
        <v>0.80294448791896356</v>
      </c>
      <c r="M1418" s="16">
        <f>CurrentMtgRatesDataTable8[[#This Row],[Servicing Spread Non-Zero]]-L1417</f>
        <v>0</v>
      </c>
      <c r="N1418" s="16">
        <f>IF(J1417&lt;&gt;0,CurrentMtgRatesDataTable8[[#This Row],[Rate]]-C1417,N1417)</f>
        <v>-2.0000000000000018E-2</v>
      </c>
    </row>
    <row r="1419" spans="1:14">
      <c r="A1419" s="39" t="s">
        <v>1471</v>
      </c>
      <c r="B1419" s="40">
        <v>2.9759969781925699</v>
      </c>
      <c r="C1419" s="11">
        <v>3.7749999999999999</v>
      </c>
      <c r="D1419" s="16">
        <f t="shared" si="154"/>
        <v>6</v>
      </c>
      <c r="E1419" s="16">
        <f t="shared" si="155"/>
        <v>0.2</v>
      </c>
      <c r="F1419" s="16">
        <f t="shared" si="156"/>
        <v>3</v>
      </c>
      <c r="G1419" s="16">
        <f t="shared" si="157"/>
        <v>1.783689476141834</v>
      </c>
      <c r="H1419" s="16">
        <f t="shared" si="158"/>
        <v>0.60000000000000009</v>
      </c>
      <c r="I1419" s="16">
        <f t="shared" si="159"/>
        <v>0</v>
      </c>
      <c r="J1419" s="16">
        <f t="shared" si="160"/>
        <v>0</v>
      </c>
      <c r="K1419" s="16">
        <f>IF(CurrentMtgRatesDataTable8[[#This Row],[WA CC]]&lt;&gt;0,C1418-CurrentMtgRatesDataTable8[[#This Row],[WA CC]],0)</f>
        <v>0</v>
      </c>
      <c r="L1419" s="16">
        <f>IF(CurrentMtgRatesDataTable8[[#This Row],[Servicing Spread]]&lt;=0,L1418,CurrentMtgRatesDataTable8[[#This Row],[Servicing Spread]])</f>
        <v>0.80294448791896356</v>
      </c>
      <c r="M1419" s="16">
        <f>CurrentMtgRatesDataTable8[[#This Row],[Servicing Spread Non-Zero]]-L1418</f>
        <v>0</v>
      </c>
      <c r="N1419" s="16">
        <f>IF(J1418&lt;&gt;0,CurrentMtgRatesDataTable8[[#This Row],[Rate]]-C1418,N1418)</f>
        <v>-2.0000000000000018E-2</v>
      </c>
    </row>
    <row r="1420" spans="1:14">
      <c r="A1420" s="39" t="s">
        <v>1472</v>
      </c>
      <c r="B1420" s="40">
        <v>2.9962570180542998</v>
      </c>
      <c r="C1420" s="11">
        <v>3.7749999999999999</v>
      </c>
      <c r="D1420" s="16">
        <f t="shared" si="154"/>
        <v>7</v>
      </c>
      <c r="E1420" s="16">
        <f t="shared" si="155"/>
        <v>0.2</v>
      </c>
      <c r="F1420" s="16">
        <f t="shared" si="156"/>
        <v>4</v>
      </c>
      <c r="G1420" s="16">
        <f t="shared" si="157"/>
        <v>2.3829408797526939</v>
      </c>
      <c r="H1420" s="16">
        <f t="shared" si="158"/>
        <v>0.8</v>
      </c>
      <c r="I1420" s="16">
        <f t="shared" si="159"/>
        <v>1</v>
      </c>
      <c r="J1420" s="16">
        <f t="shared" si="160"/>
        <v>2.9786760996908672</v>
      </c>
      <c r="K1420" s="16">
        <f>IF(CurrentMtgRatesDataTable8[[#This Row],[WA CC]]&lt;&gt;0,C1419-CurrentMtgRatesDataTable8[[#This Row],[WA CC]],0)</f>
        <v>0.79632390030913269</v>
      </c>
      <c r="L1420" s="16">
        <f>IF(CurrentMtgRatesDataTable8[[#This Row],[Servicing Spread]]&lt;=0,L1419,CurrentMtgRatesDataTable8[[#This Row],[Servicing Spread]])</f>
        <v>0.79632390030913269</v>
      </c>
      <c r="M1420" s="16">
        <f>CurrentMtgRatesDataTable8[[#This Row],[Servicing Spread Non-Zero]]-L1419</f>
        <v>-6.6205876098308636E-3</v>
      </c>
      <c r="N1420" s="16">
        <f>IF(J1419&lt;&gt;0,CurrentMtgRatesDataTable8[[#This Row],[Rate]]-C1419,N1419)</f>
        <v>-2.0000000000000018E-2</v>
      </c>
    </row>
    <row r="1421" spans="1:14">
      <c r="A1421" s="39" t="s">
        <v>1473</v>
      </c>
      <c r="B1421" s="40">
        <v>3.039872343841</v>
      </c>
      <c r="C1421" s="11">
        <v>3.8149999999999999</v>
      </c>
      <c r="D1421" s="16">
        <f t="shared" si="154"/>
        <v>1</v>
      </c>
      <c r="E1421" s="16">
        <f t="shared" si="155"/>
        <v>0.2</v>
      </c>
      <c r="F1421" s="16">
        <f t="shared" si="156"/>
        <v>1</v>
      </c>
      <c r="G1421" s="16">
        <f t="shared" si="157"/>
        <v>0.60797446876820005</v>
      </c>
      <c r="H1421" s="16">
        <f t="shared" si="158"/>
        <v>0.2</v>
      </c>
      <c r="I1421" s="16">
        <f t="shared" si="159"/>
        <v>0</v>
      </c>
      <c r="J1421" s="16">
        <f t="shared" si="160"/>
        <v>0</v>
      </c>
      <c r="K1421" s="16">
        <f>IF(CurrentMtgRatesDataTable8[[#This Row],[WA CC]]&lt;&gt;0,C1420-CurrentMtgRatesDataTable8[[#This Row],[WA CC]],0)</f>
        <v>0</v>
      </c>
      <c r="L1421" s="16">
        <f>IF(CurrentMtgRatesDataTable8[[#This Row],[Servicing Spread]]&lt;=0,L1420,CurrentMtgRatesDataTable8[[#This Row],[Servicing Spread]])</f>
        <v>0.79632390030913269</v>
      </c>
      <c r="M1421" s="16">
        <f>CurrentMtgRatesDataTable8[[#This Row],[Servicing Spread Non-Zero]]-L1420</f>
        <v>0</v>
      </c>
      <c r="N1421" s="16">
        <f>IF(J1420&lt;&gt;0,CurrentMtgRatesDataTable8[[#This Row],[Rate]]-C1420,N1420)</f>
        <v>4.0000000000000036E-2</v>
      </c>
    </row>
    <row r="1422" spans="1:14">
      <c r="A1422" s="39" t="s">
        <v>1474</v>
      </c>
      <c r="B1422" s="40">
        <v>2.9992578340021199</v>
      </c>
      <c r="C1422" s="11">
        <v>3.8149999999999999</v>
      </c>
      <c r="D1422" s="16">
        <f t="shared" si="154"/>
        <v>2</v>
      </c>
      <c r="E1422" s="16">
        <f t="shared" si="155"/>
        <v>0.2</v>
      </c>
      <c r="F1422" s="16">
        <f t="shared" si="156"/>
        <v>2</v>
      </c>
      <c r="G1422" s="16">
        <f t="shared" si="157"/>
        <v>1.2078260355686241</v>
      </c>
      <c r="H1422" s="16">
        <f t="shared" si="158"/>
        <v>0.4</v>
      </c>
      <c r="I1422" s="16">
        <f t="shared" si="159"/>
        <v>0</v>
      </c>
      <c r="J1422" s="16">
        <f t="shared" si="160"/>
        <v>0</v>
      </c>
      <c r="K1422" s="16">
        <f>IF(CurrentMtgRatesDataTable8[[#This Row],[WA CC]]&lt;&gt;0,C1421-CurrentMtgRatesDataTable8[[#This Row],[WA CC]],0)</f>
        <v>0</v>
      </c>
      <c r="L1422" s="16">
        <f>IF(CurrentMtgRatesDataTable8[[#This Row],[Servicing Spread]]&lt;=0,L1421,CurrentMtgRatesDataTable8[[#This Row],[Servicing Spread]])</f>
        <v>0.79632390030913269</v>
      </c>
      <c r="M1422" s="16">
        <f>CurrentMtgRatesDataTable8[[#This Row],[Servicing Spread Non-Zero]]-L1421</f>
        <v>0</v>
      </c>
      <c r="N1422" s="16">
        <f>IF(J1421&lt;&gt;0,CurrentMtgRatesDataTable8[[#This Row],[Rate]]-C1421,N1421)</f>
        <v>4.0000000000000036E-2</v>
      </c>
    </row>
    <row r="1423" spans="1:14">
      <c r="A1423" s="39" t="s">
        <v>1475</v>
      </c>
      <c r="B1423" s="40">
        <v>3.0124377926268302</v>
      </c>
      <c r="C1423" s="11">
        <v>3.8149999999999999</v>
      </c>
      <c r="D1423" s="16">
        <f t="shared" si="154"/>
        <v>5</v>
      </c>
      <c r="E1423" s="16">
        <f t="shared" si="155"/>
        <v>0.2</v>
      </c>
      <c r="F1423" s="16">
        <f t="shared" si="156"/>
        <v>3</v>
      </c>
      <c r="G1423" s="16">
        <f t="shared" si="157"/>
        <v>1.8103135940939903</v>
      </c>
      <c r="H1423" s="16">
        <f t="shared" si="158"/>
        <v>0.60000000000000009</v>
      </c>
      <c r="I1423" s="16">
        <f t="shared" si="159"/>
        <v>0</v>
      </c>
      <c r="J1423" s="16">
        <f t="shared" si="160"/>
        <v>0</v>
      </c>
      <c r="K1423" s="16">
        <f>IF(CurrentMtgRatesDataTable8[[#This Row],[WA CC]]&lt;&gt;0,C1422-CurrentMtgRatesDataTable8[[#This Row],[WA CC]],0)</f>
        <v>0</v>
      </c>
      <c r="L1423" s="16">
        <f>IF(CurrentMtgRatesDataTable8[[#This Row],[Servicing Spread]]&lt;=0,L1422,CurrentMtgRatesDataTable8[[#This Row],[Servicing Spread]])</f>
        <v>0.79632390030913269</v>
      </c>
      <c r="M1423" s="16">
        <f>CurrentMtgRatesDataTable8[[#This Row],[Servicing Spread Non-Zero]]-L1422</f>
        <v>0</v>
      </c>
      <c r="N1423" s="16">
        <f>IF(J1422&lt;&gt;0,CurrentMtgRatesDataTable8[[#This Row],[Rate]]-C1422,N1422)</f>
        <v>4.0000000000000036E-2</v>
      </c>
    </row>
    <row r="1424" spans="1:14">
      <c r="A1424" s="39" t="s">
        <v>1476</v>
      </c>
      <c r="B1424" s="40">
        <v>2.9976192206493399</v>
      </c>
      <c r="C1424" s="11">
        <v>3.8149999999999999</v>
      </c>
      <c r="D1424" s="16">
        <f t="shared" si="154"/>
        <v>6</v>
      </c>
      <c r="E1424" s="16">
        <f t="shared" si="155"/>
        <v>0.2</v>
      </c>
      <c r="F1424" s="16">
        <f t="shared" si="156"/>
        <v>4</v>
      </c>
      <c r="G1424" s="16">
        <f t="shared" si="157"/>
        <v>2.4098374382238585</v>
      </c>
      <c r="H1424" s="16">
        <f t="shared" si="158"/>
        <v>0.8</v>
      </c>
      <c r="I1424" s="16">
        <f t="shared" si="159"/>
        <v>0</v>
      </c>
      <c r="J1424" s="16">
        <f t="shared" si="160"/>
        <v>0</v>
      </c>
      <c r="K1424" s="16">
        <f>IF(CurrentMtgRatesDataTable8[[#This Row],[WA CC]]&lt;&gt;0,C1423-CurrentMtgRatesDataTable8[[#This Row],[WA CC]],0)</f>
        <v>0</v>
      </c>
      <c r="L1424" s="16">
        <f>IF(CurrentMtgRatesDataTable8[[#This Row],[Servicing Spread]]&lt;=0,L1423,CurrentMtgRatesDataTable8[[#This Row],[Servicing Spread]])</f>
        <v>0.79632390030913269</v>
      </c>
      <c r="M1424" s="16">
        <f>CurrentMtgRatesDataTable8[[#This Row],[Servicing Spread Non-Zero]]-L1423</f>
        <v>0</v>
      </c>
      <c r="N1424" s="16">
        <f>IF(J1423&lt;&gt;0,CurrentMtgRatesDataTable8[[#This Row],[Rate]]-C1423,N1423)</f>
        <v>4.0000000000000036E-2</v>
      </c>
    </row>
    <row r="1425" spans="1:14">
      <c r="A1425" s="39" t="s">
        <v>1477</v>
      </c>
      <c r="B1425" s="40">
        <v>2.9788513551914302</v>
      </c>
      <c r="C1425" s="11">
        <v>3.8149999999999999</v>
      </c>
      <c r="D1425" s="16">
        <f t="shared" si="154"/>
        <v>7</v>
      </c>
      <c r="E1425" s="16">
        <f t="shared" si="155"/>
        <v>0.2</v>
      </c>
      <c r="F1425" s="16">
        <f t="shared" si="156"/>
        <v>5</v>
      </c>
      <c r="G1425" s="16">
        <f t="shared" si="157"/>
        <v>3.0056077092621445</v>
      </c>
      <c r="H1425" s="16">
        <f t="shared" si="158"/>
        <v>1</v>
      </c>
      <c r="I1425" s="16">
        <f t="shared" si="159"/>
        <v>1</v>
      </c>
      <c r="J1425" s="16">
        <f t="shared" si="160"/>
        <v>3.0056077092621445</v>
      </c>
      <c r="K1425" s="16">
        <f>IF(CurrentMtgRatesDataTable8[[#This Row],[WA CC]]&lt;&gt;0,C1424-CurrentMtgRatesDataTable8[[#This Row],[WA CC]],0)</f>
        <v>0.80939229073785546</v>
      </c>
      <c r="L1425" s="16">
        <f>IF(CurrentMtgRatesDataTable8[[#This Row],[Servicing Spread]]&lt;=0,L1424,CurrentMtgRatesDataTable8[[#This Row],[Servicing Spread]])</f>
        <v>0.80939229073785546</v>
      </c>
      <c r="M1425" s="16">
        <f>CurrentMtgRatesDataTable8[[#This Row],[Servicing Spread Non-Zero]]-L1424</f>
        <v>1.3068390428722765E-2</v>
      </c>
      <c r="N1425" s="16">
        <f>IF(J1424&lt;&gt;0,CurrentMtgRatesDataTable8[[#This Row],[Rate]]-C1424,N1424)</f>
        <v>4.0000000000000036E-2</v>
      </c>
    </row>
    <row r="1426" spans="1:14">
      <c r="A1426" s="39" t="s">
        <v>1478</v>
      </c>
      <c r="B1426" s="40">
        <v>3.00277267354438</v>
      </c>
      <c r="C1426" s="11">
        <v>3.8050000000000002</v>
      </c>
      <c r="D1426" s="16">
        <f t="shared" si="154"/>
        <v>1</v>
      </c>
      <c r="E1426" s="16">
        <f t="shared" si="155"/>
        <v>0.2</v>
      </c>
      <c r="F1426" s="16">
        <f t="shared" si="156"/>
        <v>1</v>
      </c>
      <c r="G1426" s="16">
        <f t="shared" si="157"/>
        <v>0.6005545347088761</v>
      </c>
      <c r="H1426" s="16">
        <f t="shared" si="158"/>
        <v>0.2</v>
      </c>
      <c r="I1426" s="16">
        <f t="shared" si="159"/>
        <v>0</v>
      </c>
      <c r="J1426" s="16">
        <f t="shared" si="160"/>
        <v>0</v>
      </c>
      <c r="K1426" s="16">
        <f>IF(CurrentMtgRatesDataTable8[[#This Row],[WA CC]]&lt;&gt;0,C1425-CurrentMtgRatesDataTable8[[#This Row],[WA CC]],0)</f>
        <v>0</v>
      </c>
      <c r="L1426" s="16">
        <f>IF(CurrentMtgRatesDataTable8[[#This Row],[Servicing Spread]]&lt;=0,L1425,CurrentMtgRatesDataTable8[[#This Row],[Servicing Spread]])</f>
        <v>0.80939229073785546</v>
      </c>
      <c r="M1426" s="16">
        <f>CurrentMtgRatesDataTable8[[#This Row],[Servicing Spread Non-Zero]]-L1425</f>
        <v>0</v>
      </c>
      <c r="N1426" s="16">
        <f>IF(J1425&lt;&gt;0,CurrentMtgRatesDataTable8[[#This Row],[Rate]]-C1425,N1425)</f>
        <v>-9.9999999999997868E-3</v>
      </c>
    </row>
    <row r="1427" spans="1:14">
      <c r="A1427" s="39" t="s">
        <v>1479</v>
      </c>
      <c r="B1427" s="40">
        <v>3.0124897237266501</v>
      </c>
      <c r="C1427" s="11">
        <v>3.8050000000000002</v>
      </c>
      <c r="D1427" s="16">
        <f t="shared" si="154"/>
        <v>2</v>
      </c>
      <c r="E1427" s="16">
        <f t="shared" si="155"/>
        <v>0.2</v>
      </c>
      <c r="F1427" s="16">
        <f t="shared" si="156"/>
        <v>2</v>
      </c>
      <c r="G1427" s="16">
        <f t="shared" si="157"/>
        <v>1.2030524794542061</v>
      </c>
      <c r="H1427" s="16">
        <f t="shared" si="158"/>
        <v>0.4</v>
      </c>
      <c r="I1427" s="16">
        <f t="shared" si="159"/>
        <v>0</v>
      </c>
      <c r="J1427" s="16">
        <f t="shared" si="160"/>
        <v>0</v>
      </c>
      <c r="K1427" s="16">
        <f>IF(CurrentMtgRatesDataTable8[[#This Row],[WA CC]]&lt;&gt;0,C1426-CurrentMtgRatesDataTable8[[#This Row],[WA CC]],0)</f>
        <v>0</v>
      </c>
      <c r="L1427" s="16">
        <f>IF(CurrentMtgRatesDataTable8[[#This Row],[Servicing Spread]]&lt;=0,L1426,CurrentMtgRatesDataTable8[[#This Row],[Servicing Spread]])</f>
        <v>0.80939229073785546</v>
      </c>
      <c r="M1427" s="16">
        <f>CurrentMtgRatesDataTable8[[#This Row],[Servicing Spread Non-Zero]]-L1426</f>
        <v>0</v>
      </c>
      <c r="N1427" s="16">
        <f>IF(J1426&lt;&gt;0,CurrentMtgRatesDataTable8[[#This Row],[Rate]]-C1426,N1426)</f>
        <v>-9.9999999999997868E-3</v>
      </c>
    </row>
    <row r="1428" spans="1:14">
      <c r="A1428" s="39" t="s">
        <v>1480</v>
      </c>
      <c r="B1428" s="40">
        <v>3.0318162237101798</v>
      </c>
      <c r="C1428" s="11">
        <v>3.8050000000000002</v>
      </c>
      <c r="D1428" s="16">
        <f t="shared" si="154"/>
        <v>5</v>
      </c>
      <c r="E1428" s="16">
        <f t="shared" si="155"/>
        <v>0.2</v>
      </c>
      <c r="F1428" s="16">
        <f t="shared" si="156"/>
        <v>3</v>
      </c>
      <c r="G1428" s="16">
        <f t="shared" si="157"/>
        <v>1.8094157241962421</v>
      </c>
      <c r="H1428" s="16">
        <f t="shared" si="158"/>
        <v>0.60000000000000009</v>
      </c>
      <c r="I1428" s="16">
        <f t="shared" si="159"/>
        <v>0</v>
      </c>
      <c r="J1428" s="16">
        <f t="shared" si="160"/>
        <v>0</v>
      </c>
      <c r="K1428" s="16">
        <f>IF(CurrentMtgRatesDataTable8[[#This Row],[WA CC]]&lt;&gt;0,C1427-CurrentMtgRatesDataTable8[[#This Row],[WA CC]],0)</f>
        <v>0</v>
      </c>
      <c r="L1428" s="16">
        <f>IF(CurrentMtgRatesDataTable8[[#This Row],[Servicing Spread]]&lt;=0,L1427,CurrentMtgRatesDataTable8[[#This Row],[Servicing Spread]])</f>
        <v>0.80939229073785546</v>
      </c>
      <c r="M1428" s="16">
        <f>CurrentMtgRatesDataTable8[[#This Row],[Servicing Spread Non-Zero]]-L1427</f>
        <v>0</v>
      </c>
      <c r="N1428" s="16">
        <f>IF(J1427&lt;&gt;0,CurrentMtgRatesDataTable8[[#This Row],[Rate]]-C1427,N1427)</f>
        <v>-9.9999999999997868E-3</v>
      </c>
    </row>
    <row r="1429" spans="1:14">
      <c r="A1429" s="39" t="s">
        <v>1481</v>
      </c>
      <c r="B1429" s="40">
        <v>3.0339833905387099</v>
      </c>
      <c r="C1429" s="11">
        <v>3.8050000000000002</v>
      </c>
      <c r="D1429" s="16">
        <f t="shared" si="154"/>
        <v>6</v>
      </c>
      <c r="E1429" s="16">
        <f t="shared" si="155"/>
        <v>0.2</v>
      </c>
      <c r="F1429" s="16">
        <f t="shared" si="156"/>
        <v>4</v>
      </c>
      <c r="G1429" s="16">
        <f t="shared" si="157"/>
        <v>2.4162124023039842</v>
      </c>
      <c r="H1429" s="16">
        <f t="shared" si="158"/>
        <v>0.8</v>
      </c>
      <c r="I1429" s="16">
        <f t="shared" si="159"/>
        <v>0</v>
      </c>
      <c r="J1429" s="16">
        <f t="shared" si="160"/>
        <v>0</v>
      </c>
      <c r="K1429" s="16">
        <f>IF(CurrentMtgRatesDataTable8[[#This Row],[WA CC]]&lt;&gt;0,C1428-CurrentMtgRatesDataTable8[[#This Row],[WA CC]],0)</f>
        <v>0</v>
      </c>
      <c r="L1429" s="16">
        <f>IF(CurrentMtgRatesDataTable8[[#This Row],[Servicing Spread]]&lt;=0,L1428,CurrentMtgRatesDataTable8[[#This Row],[Servicing Spread]])</f>
        <v>0.80939229073785546</v>
      </c>
      <c r="M1429" s="16">
        <f>CurrentMtgRatesDataTable8[[#This Row],[Servicing Spread Non-Zero]]-L1428</f>
        <v>0</v>
      </c>
      <c r="N1429" s="16">
        <f>IF(J1428&lt;&gt;0,CurrentMtgRatesDataTable8[[#This Row],[Rate]]-C1428,N1428)</f>
        <v>-9.9999999999997868E-3</v>
      </c>
    </row>
    <row r="1430" spans="1:14">
      <c r="A1430" s="39" t="s">
        <v>1482</v>
      </c>
      <c r="B1430" s="40">
        <v>2.9727125780720298</v>
      </c>
      <c r="C1430" s="11">
        <v>3.8050000000000002</v>
      </c>
      <c r="D1430" s="16">
        <f t="shared" si="154"/>
        <v>7</v>
      </c>
      <c r="E1430" s="16">
        <f t="shared" si="155"/>
        <v>0.2</v>
      </c>
      <c r="F1430" s="16">
        <f t="shared" si="156"/>
        <v>5</v>
      </c>
      <c r="G1430" s="16">
        <f t="shared" si="157"/>
        <v>3.0107549179183901</v>
      </c>
      <c r="H1430" s="16">
        <f t="shared" si="158"/>
        <v>1</v>
      </c>
      <c r="I1430" s="16">
        <f t="shared" si="159"/>
        <v>1</v>
      </c>
      <c r="J1430" s="16">
        <f t="shared" si="160"/>
        <v>3.0107549179183901</v>
      </c>
      <c r="K1430" s="16">
        <f>IF(CurrentMtgRatesDataTable8[[#This Row],[WA CC]]&lt;&gt;0,C1429-CurrentMtgRatesDataTable8[[#This Row],[WA CC]],0)</f>
        <v>0.79424508208161004</v>
      </c>
      <c r="L1430" s="16">
        <f>IF(CurrentMtgRatesDataTable8[[#This Row],[Servicing Spread]]&lt;=0,L1429,CurrentMtgRatesDataTable8[[#This Row],[Servicing Spread]])</f>
        <v>0.79424508208161004</v>
      </c>
      <c r="M1430" s="16">
        <f>CurrentMtgRatesDataTable8[[#This Row],[Servicing Spread Non-Zero]]-L1429</f>
        <v>-1.5147208656245414E-2</v>
      </c>
      <c r="N1430" s="16">
        <f>IF(J1429&lt;&gt;0,CurrentMtgRatesDataTable8[[#This Row],[Rate]]-C1429,N1429)</f>
        <v>-9.9999999999997868E-3</v>
      </c>
    </row>
    <row r="1431" spans="1:14">
      <c r="A1431" s="39" t="s">
        <v>1483</v>
      </c>
      <c r="B1431" s="40">
        <v>2.9600642142995102</v>
      </c>
      <c r="C1431" s="11">
        <v>3.8149999999999999</v>
      </c>
      <c r="D1431" s="16">
        <f t="shared" si="154"/>
        <v>1</v>
      </c>
      <c r="E1431" s="16">
        <f t="shared" si="155"/>
        <v>0.2</v>
      </c>
      <c r="F1431" s="16">
        <f t="shared" si="156"/>
        <v>1</v>
      </c>
      <c r="G1431" s="16">
        <f t="shared" si="157"/>
        <v>0.59201284285990208</v>
      </c>
      <c r="H1431" s="16">
        <f t="shared" si="158"/>
        <v>0.2</v>
      </c>
      <c r="I1431" s="16">
        <f t="shared" si="159"/>
        <v>0</v>
      </c>
      <c r="J1431" s="16">
        <f t="shared" si="160"/>
        <v>0</v>
      </c>
      <c r="K1431" s="16">
        <f>IF(CurrentMtgRatesDataTable8[[#This Row],[WA CC]]&lt;&gt;0,C1430-CurrentMtgRatesDataTable8[[#This Row],[WA CC]],0)</f>
        <v>0</v>
      </c>
      <c r="L1431" s="16">
        <f>IF(CurrentMtgRatesDataTable8[[#This Row],[Servicing Spread]]&lt;=0,L1430,CurrentMtgRatesDataTable8[[#This Row],[Servicing Spread]])</f>
        <v>0.79424508208161004</v>
      </c>
      <c r="M1431" s="16">
        <f>CurrentMtgRatesDataTable8[[#This Row],[Servicing Spread Non-Zero]]-L1430</f>
        <v>0</v>
      </c>
      <c r="N1431" s="16">
        <f>IF(J1430&lt;&gt;0,CurrentMtgRatesDataTable8[[#This Row],[Rate]]-C1430,N1430)</f>
        <v>9.9999999999997868E-3</v>
      </c>
    </row>
    <row r="1432" spans="1:14">
      <c r="A1432" s="39" t="s">
        <v>1484</v>
      </c>
      <c r="B1432" s="40">
        <v>2.9632029997698002</v>
      </c>
      <c r="C1432" s="11">
        <v>3.8149999999999999</v>
      </c>
      <c r="D1432" s="16">
        <f t="shared" si="154"/>
        <v>2</v>
      </c>
      <c r="E1432" s="16">
        <f t="shared" si="155"/>
        <v>0.2</v>
      </c>
      <c r="F1432" s="16">
        <f t="shared" si="156"/>
        <v>2</v>
      </c>
      <c r="G1432" s="16">
        <f t="shared" si="157"/>
        <v>1.184653442813862</v>
      </c>
      <c r="H1432" s="16">
        <f t="shared" si="158"/>
        <v>0.4</v>
      </c>
      <c r="I1432" s="16">
        <f t="shared" si="159"/>
        <v>0</v>
      </c>
      <c r="J1432" s="16">
        <f t="shared" si="160"/>
        <v>0</v>
      </c>
      <c r="K1432" s="16">
        <f>IF(CurrentMtgRatesDataTable8[[#This Row],[WA CC]]&lt;&gt;0,C1431-CurrentMtgRatesDataTable8[[#This Row],[WA CC]],0)</f>
        <v>0</v>
      </c>
      <c r="L1432" s="16">
        <f>IF(CurrentMtgRatesDataTable8[[#This Row],[Servicing Spread]]&lt;=0,L1431,CurrentMtgRatesDataTable8[[#This Row],[Servicing Spread]])</f>
        <v>0.79424508208161004</v>
      </c>
      <c r="M1432" s="16">
        <f>CurrentMtgRatesDataTable8[[#This Row],[Servicing Spread Non-Zero]]-L1431</f>
        <v>0</v>
      </c>
      <c r="N1432" s="16">
        <f>IF(J1431&lt;&gt;0,CurrentMtgRatesDataTable8[[#This Row],[Rate]]-C1431,N1431)</f>
        <v>9.9999999999997868E-3</v>
      </c>
    </row>
    <row r="1433" spans="1:14">
      <c r="A1433" s="39" t="s">
        <v>1485</v>
      </c>
      <c r="B1433" s="40">
        <v>2.9914396408866399</v>
      </c>
      <c r="C1433" s="11">
        <v>3.8149999999999999</v>
      </c>
      <c r="D1433" s="16">
        <f t="shared" si="154"/>
        <v>5</v>
      </c>
      <c r="E1433" s="16">
        <f t="shared" si="155"/>
        <v>0.2</v>
      </c>
      <c r="F1433" s="16">
        <f t="shared" si="156"/>
        <v>3</v>
      </c>
      <c r="G1433" s="16">
        <f t="shared" si="157"/>
        <v>1.7829413709911899</v>
      </c>
      <c r="H1433" s="16">
        <f t="shared" si="158"/>
        <v>0.60000000000000009</v>
      </c>
      <c r="I1433" s="16">
        <f t="shared" si="159"/>
        <v>0</v>
      </c>
      <c r="J1433" s="16">
        <f t="shared" si="160"/>
        <v>0</v>
      </c>
      <c r="K1433" s="16">
        <f>IF(CurrentMtgRatesDataTable8[[#This Row],[WA CC]]&lt;&gt;0,C1432-CurrentMtgRatesDataTable8[[#This Row],[WA CC]],0)</f>
        <v>0</v>
      </c>
      <c r="L1433" s="16">
        <f>IF(CurrentMtgRatesDataTable8[[#This Row],[Servicing Spread]]&lt;=0,L1432,CurrentMtgRatesDataTable8[[#This Row],[Servicing Spread]])</f>
        <v>0.79424508208161004</v>
      </c>
      <c r="M1433" s="16">
        <f>CurrentMtgRatesDataTable8[[#This Row],[Servicing Spread Non-Zero]]-L1432</f>
        <v>0</v>
      </c>
      <c r="N1433" s="16">
        <f>IF(J1432&lt;&gt;0,CurrentMtgRatesDataTable8[[#This Row],[Rate]]-C1432,N1432)</f>
        <v>9.9999999999997868E-3</v>
      </c>
    </row>
    <row r="1434" spans="1:14">
      <c r="A1434" s="39" t="s">
        <v>1486</v>
      </c>
      <c r="B1434" s="40">
        <v>3.06006400232204</v>
      </c>
      <c r="C1434" s="11">
        <v>3.8149999999999999</v>
      </c>
      <c r="D1434" s="16">
        <f t="shared" si="154"/>
        <v>6</v>
      </c>
      <c r="E1434" s="16">
        <f t="shared" si="155"/>
        <v>0.2</v>
      </c>
      <c r="F1434" s="16">
        <f t="shared" si="156"/>
        <v>4</v>
      </c>
      <c r="G1434" s="16">
        <f t="shared" si="157"/>
        <v>2.394954171455598</v>
      </c>
      <c r="H1434" s="16">
        <f t="shared" si="158"/>
        <v>0.8</v>
      </c>
      <c r="I1434" s="16">
        <f t="shared" si="159"/>
        <v>0</v>
      </c>
      <c r="J1434" s="16">
        <f t="shared" si="160"/>
        <v>0</v>
      </c>
      <c r="K1434" s="16">
        <f>IF(CurrentMtgRatesDataTable8[[#This Row],[WA CC]]&lt;&gt;0,C1433-CurrentMtgRatesDataTable8[[#This Row],[WA CC]],0)</f>
        <v>0</v>
      </c>
      <c r="L1434" s="16">
        <f>IF(CurrentMtgRatesDataTable8[[#This Row],[Servicing Spread]]&lt;=0,L1433,CurrentMtgRatesDataTable8[[#This Row],[Servicing Spread]])</f>
        <v>0.79424508208161004</v>
      </c>
      <c r="M1434" s="16">
        <f>CurrentMtgRatesDataTable8[[#This Row],[Servicing Spread Non-Zero]]-L1433</f>
        <v>0</v>
      </c>
      <c r="N1434" s="16">
        <f>IF(J1433&lt;&gt;0,CurrentMtgRatesDataTable8[[#This Row],[Rate]]-C1433,N1433)</f>
        <v>9.9999999999997868E-3</v>
      </c>
    </row>
    <row r="1435" spans="1:14">
      <c r="A1435" s="39" t="s">
        <v>1487</v>
      </c>
      <c r="B1435" s="40">
        <v>3.0963285442458899</v>
      </c>
      <c r="C1435" s="11">
        <v>3.8149999999999999</v>
      </c>
      <c r="D1435" s="16">
        <f t="shared" si="154"/>
        <v>7</v>
      </c>
      <c r="E1435" s="16">
        <f t="shared" si="155"/>
        <v>0.2</v>
      </c>
      <c r="F1435" s="16">
        <f t="shared" si="156"/>
        <v>5</v>
      </c>
      <c r="G1435" s="16">
        <f t="shared" si="157"/>
        <v>3.0142198803047759</v>
      </c>
      <c r="H1435" s="16">
        <f t="shared" si="158"/>
        <v>1</v>
      </c>
      <c r="I1435" s="16">
        <f t="shared" si="159"/>
        <v>1</v>
      </c>
      <c r="J1435" s="16">
        <f t="shared" si="160"/>
        <v>3.0142198803047759</v>
      </c>
      <c r="K1435" s="16">
        <f>IF(CurrentMtgRatesDataTable8[[#This Row],[WA CC]]&lt;&gt;0,C1434-CurrentMtgRatesDataTable8[[#This Row],[WA CC]],0)</f>
        <v>0.800780119695224</v>
      </c>
      <c r="L1435" s="16">
        <f>IF(CurrentMtgRatesDataTable8[[#This Row],[Servicing Spread]]&lt;=0,L1434,CurrentMtgRatesDataTable8[[#This Row],[Servicing Spread]])</f>
        <v>0.800780119695224</v>
      </c>
      <c r="M1435" s="16">
        <f>CurrentMtgRatesDataTable8[[#This Row],[Servicing Spread Non-Zero]]-L1434</f>
        <v>6.5350376136139587E-3</v>
      </c>
      <c r="N1435" s="16">
        <f>IF(J1434&lt;&gt;0,CurrentMtgRatesDataTable8[[#This Row],[Rate]]-C1434,N1434)</f>
        <v>9.9999999999997868E-3</v>
      </c>
    </row>
    <row r="1436" spans="1:14">
      <c r="A1436" s="39" t="s">
        <v>1488</v>
      </c>
      <c r="B1436" s="40">
        <v>3.08263374790045</v>
      </c>
      <c r="C1436" s="11">
        <v>3.8650000000000002</v>
      </c>
      <c r="D1436" s="16">
        <f t="shared" si="154"/>
        <v>1</v>
      </c>
      <c r="E1436" s="16">
        <f t="shared" si="155"/>
        <v>0.2</v>
      </c>
      <c r="F1436" s="16">
        <f t="shared" si="156"/>
        <v>1</v>
      </c>
      <c r="G1436" s="16">
        <f t="shared" si="157"/>
        <v>0.61652674958009002</v>
      </c>
      <c r="H1436" s="16">
        <f t="shared" si="158"/>
        <v>0.2</v>
      </c>
      <c r="I1436" s="16">
        <f t="shared" si="159"/>
        <v>0</v>
      </c>
      <c r="J1436" s="16">
        <f t="shared" si="160"/>
        <v>0</v>
      </c>
      <c r="K1436" s="16">
        <f>IF(CurrentMtgRatesDataTable8[[#This Row],[WA CC]]&lt;&gt;0,C1435-CurrentMtgRatesDataTable8[[#This Row],[WA CC]],0)</f>
        <v>0</v>
      </c>
      <c r="L1436" s="16">
        <f>IF(CurrentMtgRatesDataTable8[[#This Row],[Servicing Spread]]&lt;=0,L1435,CurrentMtgRatesDataTable8[[#This Row],[Servicing Spread]])</f>
        <v>0.800780119695224</v>
      </c>
      <c r="M1436" s="16">
        <f>CurrentMtgRatesDataTable8[[#This Row],[Servicing Spread Non-Zero]]-L1435</f>
        <v>0</v>
      </c>
      <c r="N1436" s="16">
        <f>IF(J1435&lt;&gt;0,CurrentMtgRatesDataTable8[[#This Row],[Rate]]-C1435,N1435)</f>
        <v>5.0000000000000266E-2</v>
      </c>
    </row>
    <row r="1437" spans="1:14">
      <c r="A1437" s="39" t="s">
        <v>1489</v>
      </c>
      <c r="B1437" s="40">
        <v>3.0751925710269701</v>
      </c>
      <c r="C1437" s="11">
        <v>3.8650000000000002</v>
      </c>
      <c r="D1437" s="16">
        <f t="shared" si="154"/>
        <v>2</v>
      </c>
      <c r="E1437" s="16">
        <f t="shared" si="155"/>
        <v>0.2</v>
      </c>
      <c r="F1437" s="16">
        <f t="shared" si="156"/>
        <v>2</v>
      </c>
      <c r="G1437" s="16">
        <f t="shared" si="157"/>
        <v>1.2315652637854839</v>
      </c>
      <c r="H1437" s="16">
        <f t="shared" si="158"/>
        <v>0.4</v>
      </c>
      <c r="I1437" s="16">
        <f t="shared" si="159"/>
        <v>0</v>
      </c>
      <c r="J1437" s="16">
        <f t="shared" si="160"/>
        <v>0</v>
      </c>
      <c r="K1437" s="16">
        <f>IF(CurrentMtgRatesDataTable8[[#This Row],[WA CC]]&lt;&gt;0,C1436-CurrentMtgRatesDataTable8[[#This Row],[WA CC]],0)</f>
        <v>0</v>
      </c>
      <c r="L1437" s="16">
        <f>IF(CurrentMtgRatesDataTable8[[#This Row],[Servicing Spread]]&lt;=0,L1436,CurrentMtgRatesDataTable8[[#This Row],[Servicing Spread]])</f>
        <v>0.800780119695224</v>
      </c>
      <c r="M1437" s="16">
        <f>CurrentMtgRatesDataTable8[[#This Row],[Servicing Spread Non-Zero]]-L1436</f>
        <v>0</v>
      </c>
      <c r="N1437" s="16">
        <f>IF(J1436&lt;&gt;0,CurrentMtgRatesDataTable8[[#This Row],[Rate]]-C1436,N1436)</f>
        <v>5.0000000000000266E-2</v>
      </c>
    </row>
    <row r="1438" spans="1:14">
      <c r="A1438" s="39" t="s">
        <v>1490</v>
      </c>
      <c r="B1438" s="40">
        <v>3.0634028881995499</v>
      </c>
      <c r="C1438" s="11">
        <v>3.8650000000000002</v>
      </c>
      <c r="D1438" s="16">
        <f t="shared" si="154"/>
        <v>6</v>
      </c>
      <c r="E1438" s="16">
        <f t="shared" si="155"/>
        <v>0.2</v>
      </c>
      <c r="F1438" s="16">
        <f t="shared" si="156"/>
        <v>3</v>
      </c>
      <c r="G1438" s="16">
        <f t="shared" si="157"/>
        <v>1.8442458414253939</v>
      </c>
      <c r="H1438" s="16">
        <f t="shared" si="158"/>
        <v>0.60000000000000009</v>
      </c>
      <c r="I1438" s="16">
        <f t="shared" si="159"/>
        <v>0</v>
      </c>
      <c r="J1438" s="16">
        <f t="shared" si="160"/>
        <v>0</v>
      </c>
      <c r="K1438" s="16">
        <f>IF(CurrentMtgRatesDataTable8[[#This Row],[WA CC]]&lt;&gt;0,C1437-CurrentMtgRatesDataTable8[[#This Row],[WA CC]],0)</f>
        <v>0</v>
      </c>
      <c r="L1438" s="16">
        <f>IF(CurrentMtgRatesDataTable8[[#This Row],[Servicing Spread]]&lt;=0,L1437,CurrentMtgRatesDataTable8[[#This Row],[Servicing Spread]])</f>
        <v>0.800780119695224</v>
      </c>
      <c r="M1438" s="16">
        <f>CurrentMtgRatesDataTable8[[#This Row],[Servicing Spread Non-Zero]]-L1437</f>
        <v>0</v>
      </c>
      <c r="N1438" s="16">
        <f>IF(J1437&lt;&gt;0,CurrentMtgRatesDataTable8[[#This Row],[Rate]]-C1437,N1437)</f>
        <v>5.0000000000000266E-2</v>
      </c>
    </row>
    <row r="1439" spans="1:14">
      <c r="A1439" s="39" t="s">
        <v>1491</v>
      </c>
      <c r="B1439" s="40">
        <v>3.0043532753091902</v>
      </c>
      <c r="C1439" s="11">
        <v>3.8650000000000002</v>
      </c>
      <c r="D1439" s="16">
        <f t="shared" si="154"/>
        <v>7</v>
      </c>
      <c r="E1439" s="16">
        <f t="shared" si="155"/>
        <v>0.2</v>
      </c>
      <c r="F1439" s="16">
        <f t="shared" si="156"/>
        <v>4</v>
      </c>
      <c r="G1439" s="16">
        <f t="shared" si="157"/>
        <v>2.4451164964872323</v>
      </c>
      <c r="H1439" s="16">
        <f t="shared" si="158"/>
        <v>0.8</v>
      </c>
      <c r="I1439" s="16">
        <f t="shared" si="159"/>
        <v>1</v>
      </c>
      <c r="J1439" s="16">
        <f t="shared" si="160"/>
        <v>3.0563956206090404</v>
      </c>
      <c r="K1439" s="16">
        <f>IF(CurrentMtgRatesDataTable8[[#This Row],[WA CC]]&lt;&gt;0,C1438-CurrentMtgRatesDataTable8[[#This Row],[WA CC]],0)</f>
        <v>0.80860437939095986</v>
      </c>
      <c r="L1439" s="16">
        <f>IF(CurrentMtgRatesDataTable8[[#This Row],[Servicing Spread]]&lt;=0,L1438,CurrentMtgRatesDataTable8[[#This Row],[Servicing Spread]])</f>
        <v>0.80860437939095986</v>
      </c>
      <c r="M1439" s="16">
        <f>CurrentMtgRatesDataTable8[[#This Row],[Servicing Spread Non-Zero]]-L1438</f>
        <v>7.8242596957358579E-3</v>
      </c>
      <c r="N1439" s="16">
        <f>IF(J1438&lt;&gt;0,CurrentMtgRatesDataTable8[[#This Row],[Rate]]-C1438,N1438)</f>
        <v>5.0000000000000266E-2</v>
      </c>
    </row>
    <row r="1440" spans="1:14">
      <c r="A1440" s="39" t="s">
        <v>1492</v>
      </c>
      <c r="B1440" s="40">
        <v>3.0219110766625001</v>
      </c>
      <c r="C1440" s="11">
        <v>3.8250000000000002</v>
      </c>
      <c r="D1440" s="16">
        <f t="shared" si="154"/>
        <v>1</v>
      </c>
      <c r="E1440" s="16">
        <f t="shared" si="155"/>
        <v>0.2</v>
      </c>
      <c r="F1440" s="16">
        <f t="shared" si="156"/>
        <v>1</v>
      </c>
      <c r="G1440" s="16">
        <f t="shared" si="157"/>
        <v>0.60438221533250003</v>
      </c>
      <c r="H1440" s="16">
        <f t="shared" si="158"/>
        <v>0.2</v>
      </c>
      <c r="I1440" s="16">
        <f t="shared" si="159"/>
        <v>0</v>
      </c>
      <c r="J1440" s="16">
        <f t="shared" si="160"/>
        <v>0</v>
      </c>
      <c r="K1440" s="16">
        <f>IF(CurrentMtgRatesDataTable8[[#This Row],[WA CC]]&lt;&gt;0,C1439-CurrentMtgRatesDataTable8[[#This Row],[WA CC]],0)</f>
        <v>0</v>
      </c>
      <c r="L1440" s="16">
        <f>IF(CurrentMtgRatesDataTable8[[#This Row],[Servicing Spread]]&lt;=0,L1439,CurrentMtgRatesDataTable8[[#This Row],[Servicing Spread]])</f>
        <v>0.80860437939095986</v>
      </c>
      <c r="M1440" s="16">
        <f>CurrentMtgRatesDataTable8[[#This Row],[Servicing Spread Non-Zero]]-L1439</f>
        <v>0</v>
      </c>
      <c r="N1440" s="16">
        <f>IF(J1439&lt;&gt;0,CurrentMtgRatesDataTable8[[#This Row],[Rate]]-C1439,N1439)</f>
        <v>-4.0000000000000036E-2</v>
      </c>
    </row>
    <row r="1441" spans="1:14">
      <c r="A1441" s="39" t="s">
        <v>1493</v>
      </c>
      <c r="B1441" s="40">
        <v>2.9971556031306501</v>
      </c>
      <c r="C1441" s="11">
        <v>3.8250000000000002</v>
      </c>
      <c r="D1441" s="16">
        <f t="shared" si="154"/>
        <v>2</v>
      </c>
      <c r="E1441" s="16">
        <f t="shared" si="155"/>
        <v>0.2</v>
      </c>
      <c r="F1441" s="16">
        <f t="shared" si="156"/>
        <v>2</v>
      </c>
      <c r="G1441" s="16">
        <f t="shared" si="157"/>
        <v>1.20381333595863</v>
      </c>
      <c r="H1441" s="16">
        <f t="shared" si="158"/>
        <v>0.4</v>
      </c>
      <c r="I1441" s="16">
        <f t="shared" si="159"/>
        <v>0</v>
      </c>
      <c r="J1441" s="16">
        <f t="shared" si="160"/>
        <v>0</v>
      </c>
      <c r="K1441" s="16">
        <f>IF(CurrentMtgRatesDataTable8[[#This Row],[WA CC]]&lt;&gt;0,C1440-CurrentMtgRatesDataTable8[[#This Row],[WA CC]],0)</f>
        <v>0</v>
      </c>
      <c r="L1441" s="16">
        <f>IF(CurrentMtgRatesDataTable8[[#This Row],[Servicing Spread]]&lt;=0,L1440,CurrentMtgRatesDataTable8[[#This Row],[Servicing Spread]])</f>
        <v>0.80860437939095986</v>
      </c>
      <c r="M1441" s="16">
        <f>CurrentMtgRatesDataTable8[[#This Row],[Servicing Spread Non-Zero]]-L1440</f>
        <v>0</v>
      </c>
      <c r="N1441" s="16">
        <f>IF(J1440&lt;&gt;0,CurrentMtgRatesDataTable8[[#This Row],[Rate]]-C1440,N1440)</f>
        <v>-4.0000000000000036E-2</v>
      </c>
    </row>
    <row r="1442" spans="1:14">
      <c r="A1442" s="39" t="s">
        <v>1494</v>
      </c>
      <c r="B1442" s="40">
        <v>3.0333840077441101</v>
      </c>
      <c r="C1442" s="11">
        <v>3.8250000000000002</v>
      </c>
      <c r="D1442" s="16">
        <f t="shared" si="154"/>
        <v>6</v>
      </c>
      <c r="E1442" s="16">
        <f t="shared" si="155"/>
        <v>0.2</v>
      </c>
      <c r="F1442" s="16">
        <f t="shared" si="156"/>
        <v>3</v>
      </c>
      <c r="G1442" s="16">
        <f t="shared" si="157"/>
        <v>1.8104901375074522</v>
      </c>
      <c r="H1442" s="16">
        <f t="shared" si="158"/>
        <v>0.60000000000000009</v>
      </c>
      <c r="I1442" s="16">
        <f t="shared" si="159"/>
        <v>0</v>
      </c>
      <c r="J1442" s="16">
        <f t="shared" si="160"/>
        <v>0</v>
      </c>
      <c r="K1442" s="16">
        <f>IF(CurrentMtgRatesDataTable8[[#This Row],[WA CC]]&lt;&gt;0,C1441-CurrentMtgRatesDataTable8[[#This Row],[WA CC]],0)</f>
        <v>0</v>
      </c>
      <c r="L1442" s="16">
        <f>IF(CurrentMtgRatesDataTable8[[#This Row],[Servicing Spread]]&lt;=0,L1441,CurrentMtgRatesDataTable8[[#This Row],[Servicing Spread]])</f>
        <v>0.80860437939095986</v>
      </c>
      <c r="M1442" s="16">
        <f>CurrentMtgRatesDataTable8[[#This Row],[Servicing Spread Non-Zero]]-L1441</f>
        <v>0</v>
      </c>
      <c r="N1442" s="16">
        <f>IF(J1441&lt;&gt;0,CurrentMtgRatesDataTable8[[#This Row],[Rate]]-C1441,N1441)</f>
        <v>-4.0000000000000036E-2</v>
      </c>
    </row>
    <row r="1443" spans="1:14">
      <c r="A1443" s="39" t="s">
        <v>1495</v>
      </c>
      <c r="B1443" s="40">
        <v>3.0010321159522402</v>
      </c>
      <c r="C1443" s="11">
        <v>3.8250000000000002</v>
      </c>
      <c r="D1443" s="16">
        <f t="shared" si="154"/>
        <v>7</v>
      </c>
      <c r="E1443" s="16">
        <f t="shared" si="155"/>
        <v>0.2</v>
      </c>
      <c r="F1443" s="16">
        <f t="shared" si="156"/>
        <v>4</v>
      </c>
      <c r="G1443" s="16">
        <f t="shared" si="157"/>
        <v>2.4106965606979003</v>
      </c>
      <c r="H1443" s="16">
        <f t="shared" si="158"/>
        <v>0.8</v>
      </c>
      <c r="I1443" s="16">
        <f t="shared" si="159"/>
        <v>1</v>
      </c>
      <c r="J1443" s="16">
        <f t="shared" si="160"/>
        <v>3.0133707008723754</v>
      </c>
      <c r="K1443" s="16">
        <f>IF(CurrentMtgRatesDataTable8[[#This Row],[WA CC]]&lt;&gt;0,C1442-CurrentMtgRatesDataTable8[[#This Row],[WA CC]],0)</f>
        <v>0.81162929912762483</v>
      </c>
      <c r="L1443" s="16">
        <f>IF(CurrentMtgRatesDataTable8[[#This Row],[Servicing Spread]]&lt;=0,L1442,CurrentMtgRatesDataTable8[[#This Row],[Servicing Spread]])</f>
        <v>0.81162929912762483</v>
      </c>
      <c r="M1443" s="16">
        <f>CurrentMtgRatesDataTable8[[#This Row],[Servicing Spread Non-Zero]]-L1442</f>
        <v>3.0249197366649661E-3</v>
      </c>
      <c r="N1443" s="16">
        <f>IF(J1442&lt;&gt;0,CurrentMtgRatesDataTable8[[#This Row],[Rate]]-C1442,N1442)</f>
        <v>-4.0000000000000036E-2</v>
      </c>
    </row>
    <row r="1444" spans="1:14">
      <c r="A1444" s="39" t="s">
        <v>1496</v>
      </c>
      <c r="B1444" s="40">
        <v>3.0184506677614298</v>
      </c>
      <c r="C1444" s="11">
        <v>3.8650000000000002</v>
      </c>
      <c r="D1444" s="16">
        <f t="shared" si="154"/>
        <v>1</v>
      </c>
      <c r="E1444" s="16">
        <f t="shared" si="155"/>
        <v>0.2</v>
      </c>
      <c r="F1444" s="16">
        <f t="shared" si="156"/>
        <v>1</v>
      </c>
      <c r="G1444" s="16">
        <f t="shared" si="157"/>
        <v>0.60369013355228596</v>
      </c>
      <c r="H1444" s="16">
        <f t="shared" si="158"/>
        <v>0.2</v>
      </c>
      <c r="I1444" s="16">
        <f t="shared" si="159"/>
        <v>0</v>
      </c>
      <c r="J1444" s="16">
        <f t="shared" si="160"/>
        <v>0</v>
      </c>
      <c r="K1444" s="16">
        <f>IF(CurrentMtgRatesDataTable8[[#This Row],[WA CC]]&lt;&gt;0,C1443-CurrentMtgRatesDataTable8[[#This Row],[WA CC]],0)</f>
        <v>0</v>
      </c>
      <c r="L1444" s="16">
        <f>IF(CurrentMtgRatesDataTable8[[#This Row],[Servicing Spread]]&lt;=0,L1443,CurrentMtgRatesDataTable8[[#This Row],[Servicing Spread]])</f>
        <v>0.81162929912762483</v>
      </c>
      <c r="M1444" s="16">
        <f>CurrentMtgRatesDataTable8[[#This Row],[Servicing Spread Non-Zero]]-L1443</f>
        <v>0</v>
      </c>
      <c r="N1444" s="16">
        <f>IF(J1443&lt;&gt;0,CurrentMtgRatesDataTable8[[#This Row],[Rate]]-C1443,N1443)</f>
        <v>4.0000000000000036E-2</v>
      </c>
    </row>
    <row r="1445" spans="1:14">
      <c r="A1445" s="39" t="s">
        <v>1497</v>
      </c>
      <c r="B1445" s="40">
        <v>3.0429935231741201</v>
      </c>
      <c r="C1445" s="11">
        <v>3.8650000000000002</v>
      </c>
      <c r="D1445" s="16">
        <f t="shared" si="154"/>
        <v>2</v>
      </c>
      <c r="E1445" s="16">
        <f t="shared" si="155"/>
        <v>0.2</v>
      </c>
      <c r="F1445" s="16">
        <f t="shared" si="156"/>
        <v>2</v>
      </c>
      <c r="G1445" s="16">
        <f t="shared" si="157"/>
        <v>1.21228883818711</v>
      </c>
      <c r="H1445" s="16">
        <f t="shared" si="158"/>
        <v>0.4</v>
      </c>
      <c r="I1445" s="16">
        <f t="shared" si="159"/>
        <v>0</v>
      </c>
      <c r="J1445" s="16">
        <f t="shared" si="160"/>
        <v>0</v>
      </c>
      <c r="K1445" s="16">
        <f>IF(CurrentMtgRatesDataTable8[[#This Row],[WA CC]]&lt;&gt;0,C1444-CurrentMtgRatesDataTable8[[#This Row],[WA CC]],0)</f>
        <v>0</v>
      </c>
      <c r="L1445" s="16">
        <f>IF(CurrentMtgRatesDataTable8[[#This Row],[Servicing Spread]]&lt;=0,L1444,CurrentMtgRatesDataTable8[[#This Row],[Servicing Spread]])</f>
        <v>0.81162929912762483</v>
      </c>
      <c r="M1445" s="16">
        <f>CurrentMtgRatesDataTable8[[#This Row],[Servicing Spread Non-Zero]]-L1444</f>
        <v>0</v>
      </c>
      <c r="N1445" s="16">
        <f>IF(J1444&lt;&gt;0,CurrentMtgRatesDataTable8[[#This Row],[Rate]]-C1444,N1444)</f>
        <v>4.0000000000000036E-2</v>
      </c>
    </row>
    <row r="1446" spans="1:14">
      <c r="A1446" s="39" t="s">
        <v>1498</v>
      </c>
      <c r="B1446" s="40">
        <v>3.0600060363944701</v>
      </c>
      <c r="C1446" s="11">
        <v>3.8650000000000002</v>
      </c>
      <c r="D1446" s="16">
        <f t="shared" si="154"/>
        <v>5</v>
      </c>
      <c r="E1446" s="16">
        <f t="shared" si="155"/>
        <v>0.2</v>
      </c>
      <c r="F1446" s="16">
        <f t="shared" si="156"/>
        <v>3</v>
      </c>
      <c r="G1446" s="16">
        <f t="shared" si="157"/>
        <v>1.824290045466004</v>
      </c>
      <c r="H1446" s="16">
        <f t="shared" si="158"/>
        <v>0.60000000000000009</v>
      </c>
      <c r="I1446" s="16">
        <f t="shared" si="159"/>
        <v>0</v>
      </c>
      <c r="J1446" s="16">
        <f t="shared" si="160"/>
        <v>0</v>
      </c>
      <c r="K1446" s="16">
        <f>IF(CurrentMtgRatesDataTable8[[#This Row],[WA CC]]&lt;&gt;0,C1445-CurrentMtgRatesDataTable8[[#This Row],[WA CC]],0)</f>
        <v>0</v>
      </c>
      <c r="L1446" s="16">
        <f>IF(CurrentMtgRatesDataTable8[[#This Row],[Servicing Spread]]&lt;=0,L1445,CurrentMtgRatesDataTable8[[#This Row],[Servicing Spread]])</f>
        <v>0.81162929912762483</v>
      </c>
      <c r="M1446" s="16">
        <f>CurrentMtgRatesDataTable8[[#This Row],[Servicing Spread Non-Zero]]-L1445</f>
        <v>0</v>
      </c>
      <c r="N1446" s="16">
        <f>IF(J1445&lt;&gt;0,CurrentMtgRatesDataTable8[[#This Row],[Rate]]-C1445,N1445)</f>
        <v>4.0000000000000036E-2</v>
      </c>
    </row>
    <row r="1447" spans="1:14">
      <c r="A1447" s="39" t="s">
        <v>1499</v>
      </c>
      <c r="B1447" s="40">
        <v>3.1326763618963098</v>
      </c>
      <c r="C1447" s="11">
        <v>3.8650000000000002</v>
      </c>
      <c r="D1447" s="16">
        <f t="shared" si="154"/>
        <v>6</v>
      </c>
      <c r="E1447" s="16">
        <f t="shared" si="155"/>
        <v>0.2</v>
      </c>
      <c r="F1447" s="16">
        <f t="shared" si="156"/>
        <v>4</v>
      </c>
      <c r="G1447" s="16">
        <f t="shared" si="157"/>
        <v>2.4508253178452661</v>
      </c>
      <c r="H1447" s="16">
        <f t="shared" si="158"/>
        <v>0.8</v>
      </c>
      <c r="I1447" s="16">
        <f t="shared" si="159"/>
        <v>0</v>
      </c>
      <c r="J1447" s="16">
        <f t="shared" si="160"/>
        <v>0</v>
      </c>
      <c r="K1447" s="16">
        <f>IF(CurrentMtgRatesDataTable8[[#This Row],[WA CC]]&lt;&gt;0,C1446-CurrentMtgRatesDataTable8[[#This Row],[WA CC]],0)</f>
        <v>0</v>
      </c>
      <c r="L1447" s="16">
        <f>IF(CurrentMtgRatesDataTable8[[#This Row],[Servicing Spread]]&lt;=0,L1446,CurrentMtgRatesDataTable8[[#This Row],[Servicing Spread]])</f>
        <v>0.81162929912762483</v>
      </c>
      <c r="M1447" s="16">
        <f>CurrentMtgRatesDataTable8[[#This Row],[Servicing Spread Non-Zero]]-L1446</f>
        <v>0</v>
      </c>
      <c r="N1447" s="16">
        <f>IF(J1446&lt;&gt;0,CurrentMtgRatesDataTable8[[#This Row],[Rate]]-C1446,N1446)</f>
        <v>4.0000000000000036E-2</v>
      </c>
    </row>
    <row r="1448" spans="1:14">
      <c r="A1448" s="39" t="s">
        <v>1500</v>
      </c>
      <c r="B1448" s="40">
        <v>3.12948619895139</v>
      </c>
      <c r="C1448" s="11">
        <v>3.8650000000000002</v>
      </c>
      <c r="D1448" s="16">
        <f t="shared" si="154"/>
        <v>7</v>
      </c>
      <c r="E1448" s="16">
        <f t="shared" si="155"/>
        <v>0.2</v>
      </c>
      <c r="F1448" s="16">
        <f t="shared" si="156"/>
        <v>5</v>
      </c>
      <c r="G1448" s="16">
        <f t="shared" si="157"/>
        <v>3.0767225576355441</v>
      </c>
      <c r="H1448" s="16">
        <f t="shared" si="158"/>
        <v>1</v>
      </c>
      <c r="I1448" s="16">
        <f t="shared" si="159"/>
        <v>1</v>
      </c>
      <c r="J1448" s="16">
        <f t="shared" si="160"/>
        <v>3.0767225576355441</v>
      </c>
      <c r="K1448" s="16">
        <f>IF(CurrentMtgRatesDataTable8[[#This Row],[WA CC]]&lt;&gt;0,C1447-CurrentMtgRatesDataTable8[[#This Row],[WA CC]],0)</f>
        <v>0.78827744236445607</v>
      </c>
      <c r="L1448" s="16">
        <f>IF(CurrentMtgRatesDataTable8[[#This Row],[Servicing Spread]]&lt;=0,L1447,CurrentMtgRatesDataTable8[[#This Row],[Servicing Spread]])</f>
        <v>0.78827744236445607</v>
      </c>
      <c r="M1448" s="16">
        <f>CurrentMtgRatesDataTable8[[#This Row],[Servicing Spread Non-Zero]]-L1447</f>
        <v>-2.3351856763168755E-2</v>
      </c>
      <c r="N1448" s="16">
        <f>IF(J1447&lt;&gt;0,CurrentMtgRatesDataTable8[[#This Row],[Rate]]-C1447,N1447)</f>
        <v>4.0000000000000036E-2</v>
      </c>
    </row>
    <row r="1449" spans="1:14">
      <c r="A1449" s="39" t="s">
        <v>1501</v>
      </c>
      <c r="B1449" s="40">
        <v>3.1079899578366099</v>
      </c>
      <c r="C1449" s="11">
        <v>3.94</v>
      </c>
      <c r="D1449" s="16">
        <f t="shared" si="154"/>
        <v>1</v>
      </c>
      <c r="E1449" s="16">
        <f t="shared" si="155"/>
        <v>0.2</v>
      </c>
      <c r="F1449" s="16">
        <f t="shared" si="156"/>
        <v>1</v>
      </c>
      <c r="G1449" s="16">
        <f t="shared" si="157"/>
        <v>0.62159799156732198</v>
      </c>
      <c r="H1449" s="16">
        <f t="shared" si="158"/>
        <v>0.2</v>
      </c>
      <c r="I1449" s="16">
        <f t="shared" si="159"/>
        <v>0</v>
      </c>
      <c r="J1449" s="16">
        <f t="shared" si="160"/>
        <v>0</v>
      </c>
      <c r="K1449" s="16">
        <f>IF(CurrentMtgRatesDataTable8[[#This Row],[WA CC]]&lt;&gt;0,C1448-CurrentMtgRatesDataTable8[[#This Row],[WA CC]],0)</f>
        <v>0</v>
      </c>
      <c r="L1449" s="16">
        <f>IF(CurrentMtgRatesDataTable8[[#This Row],[Servicing Spread]]&lt;=0,L1448,CurrentMtgRatesDataTable8[[#This Row],[Servicing Spread]])</f>
        <v>0.78827744236445607</v>
      </c>
      <c r="M1449" s="16">
        <f>CurrentMtgRatesDataTable8[[#This Row],[Servicing Spread Non-Zero]]-L1448</f>
        <v>0</v>
      </c>
      <c r="N1449" s="16">
        <f>IF(J1448&lt;&gt;0,CurrentMtgRatesDataTable8[[#This Row],[Rate]]-C1448,N1448)</f>
        <v>7.4999999999999734E-2</v>
      </c>
    </row>
    <row r="1450" spans="1:14">
      <c r="A1450" s="39" t="s">
        <v>1502</v>
      </c>
      <c r="B1450" s="40">
        <v>3.1201767975079799</v>
      </c>
      <c r="C1450" s="11">
        <v>3.94</v>
      </c>
      <c r="D1450" s="16">
        <f t="shared" si="154"/>
        <v>2</v>
      </c>
      <c r="E1450" s="16">
        <f t="shared" si="155"/>
        <v>0.2</v>
      </c>
      <c r="F1450" s="16">
        <f t="shared" si="156"/>
        <v>2</v>
      </c>
      <c r="G1450" s="16">
        <f t="shared" si="157"/>
        <v>1.2456333510689181</v>
      </c>
      <c r="H1450" s="16">
        <f t="shared" si="158"/>
        <v>0.4</v>
      </c>
      <c r="I1450" s="16">
        <f t="shared" si="159"/>
        <v>0</v>
      </c>
      <c r="J1450" s="16">
        <f t="shared" si="160"/>
        <v>0</v>
      </c>
      <c r="K1450" s="16">
        <f>IF(CurrentMtgRatesDataTable8[[#This Row],[WA CC]]&lt;&gt;0,C1449-CurrentMtgRatesDataTable8[[#This Row],[WA CC]],0)</f>
        <v>0</v>
      </c>
      <c r="L1450" s="16">
        <f>IF(CurrentMtgRatesDataTable8[[#This Row],[Servicing Spread]]&lt;=0,L1449,CurrentMtgRatesDataTable8[[#This Row],[Servicing Spread]])</f>
        <v>0.78827744236445607</v>
      </c>
      <c r="M1450" s="16">
        <f>CurrentMtgRatesDataTable8[[#This Row],[Servicing Spread Non-Zero]]-L1449</f>
        <v>0</v>
      </c>
      <c r="N1450" s="16">
        <f>IF(J1449&lt;&gt;0,CurrentMtgRatesDataTable8[[#This Row],[Rate]]-C1449,N1449)</f>
        <v>7.4999999999999734E-2</v>
      </c>
    </row>
    <row r="1451" spans="1:14">
      <c r="A1451" s="39" t="s">
        <v>1503</v>
      </c>
      <c r="B1451" s="40">
        <v>3.1252712153014199</v>
      </c>
      <c r="C1451" s="11">
        <v>3.94</v>
      </c>
      <c r="D1451" s="16">
        <f t="shared" si="154"/>
        <v>6</v>
      </c>
      <c r="E1451" s="16">
        <f t="shared" si="155"/>
        <v>0.2</v>
      </c>
      <c r="F1451" s="16">
        <f t="shared" si="156"/>
        <v>3</v>
      </c>
      <c r="G1451" s="16">
        <f t="shared" si="157"/>
        <v>1.870687594129202</v>
      </c>
      <c r="H1451" s="16">
        <f t="shared" si="158"/>
        <v>0.60000000000000009</v>
      </c>
      <c r="I1451" s="16">
        <f t="shared" si="159"/>
        <v>0</v>
      </c>
      <c r="J1451" s="16">
        <f t="shared" si="160"/>
        <v>0</v>
      </c>
      <c r="K1451" s="16">
        <f>IF(CurrentMtgRatesDataTable8[[#This Row],[WA CC]]&lt;&gt;0,C1450-CurrentMtgRatesDataTable8[[#This Row],[WA CC]],0)</f>
        <v>0</v>
      </c>
      <c r="L1451" s="16">
        <f>IF(CurrentMtgRatesDataTable8[[#This Row],[Servicing Spread]]&lt;=0,L1450,CurrentMtgRatesDataTable8[[#This Row],[Servicing Spread]])</f>
        <v>0.78827744236445607</v>
      </c>
      <c r="M1451" s="16">
        <f>CurrentMtgRatesDataTable8[[#This Row],[Servicing Spread Non-Zero]]-L1450</f>
        <v>0</v>
      </c>
      <c r="N1451" s="16">
        <f>IF(J1450&lt;&gt;0,CurrentMtgRatesDataTable8[[#This Row],[Rate]]-C1450,N1450)</f>
        <v>7.4999999999999734E-2</v>
      </c>
    </row>
    <row r="1452" spans="1:14">
      <c r="A1452" s="39" t="s">
        <v>1504</v>
      </c>
      <c r="B1452" s="40">
        <v>3.1711318605465202</v>
      </c>
      <c r="C1452" s="11">
        <v>3.94</v>
      </c>
      <c r="D1452" s="16">
        <f t="shared" si="154"/>
        <v>7</v>
      </c>
      <c r="E1452" s="16">
        <f t="shared" si="155"/>
        <v>0.2</v>
      </c>
      <c r="F1452" s="16">
        <f t="shared" si="156"/>
        <v>4</v>
      </c>
      <c r="G1452" s="16">
        <f t="shared" si="157"/>
        <v>2.5049139662385063</v>
      </c>
      <c r="H1452" s="16">
        <f t="shared" si="158"/>
        <v>0.8</v>
      </c>
      <c r="I1452" s="16">
        <f t="shared" si="159"/>
        <v>1</v>
      </c>
      <c r="J1452" s="16">
        <f t="shared" si="160"/>
        <v>3.1311424577981328</v>
      </c>
      <c r="K1452" s="16">
        <f>IF(CurrentMtgRatesDataTable8[[#This Row],[WA CC]]&lt;&gt;0,C1451-CurrentMtgRatesDataTable8[[#This Row],[WA CC]],0)</f>
        <v>0.80885754220186712</v>
      </c>
      <c r="L1452" s="16">
        <f>IF(CurrentMtgRatesDataTable8[[#This Row],[Servicing Spread]]&lt;=0,L1451,CurrentMtgRatesDataTable8[[#This Row],[Servicing Spread]])</f>
        <v>0.80885754220186712</v>
      </c>
      <c r="M1452" s="16">
        <f>CurrentMtgRatesDataTable8[[#This Row],[Servicing Spread Non-Zero]]-L1451</f>
        <v>2.0580099837411048E-2</v>
      </c>
      <c r="N1452" s="16">
        <f>IF(J1451&lt;&gt;0,CurrentMtgRatesDataTable8[[#This Row],[Rate]]-C1451,N1451)</f>
        <v>7.4999999999999734E-2</v>
      </c>
    </row>
    <row r="1453" spans="1:14">
      <c r="A1453" s="39" t="s">
        <v>1505</v>
      </c>
      <c r="B1453" s="40">
        <v>3.2052321312830299</v>
      </c>
      <c r="C1453" s="11">
        <v>4.0250000000000004</v>
      </c>
      <c r="D1453" s="16">
        <f t="shared" si="154"/>
        <v>1</v>
      </c>
      <c r="E1453" s="16">
        <f t="shared" si="155"/>
        <v>0.2</v>
      </c>
      <c r="F1453" s="16">
        <f t="shared" si="156"/>
        <v>1</v>
      </c>
      <c r="G1453" s="16">
        <f t="shared" si="157"/>
        <v>0.64104642625660602</v>
      </c>
      <c r="H1453" s="16">
        <f t="shared" si="158"/>
        <v>0.2</v>
      </c>
      <c r="I1453" s="16">
        <f t="shared" si="159"/>
        <v>0</v>
      </c>
      <c r="J1453" s="16">
        <f t="shared" si="160"/>
        <v>0</v>
      </c>
      <c r="K1453" s="16">
        <f>IF(CurrentMtgRatesDataTable8[[#This Row],[WA CC]]&lt;&gt;0,C1452-CurrentMtgRatesDataTable8[[#This Row],[WA CC]],0)</f>
        <v>0</v>
      </c>
      <c r="L1453" s="16">
        <f>IF(CurrentMtgRatesDataTable8[[#This Row],[Servicing Spread]]&lt;=0,L1452,CurrentMtgRatesDataTable8[[#This Row],[Servicing Spread]])</f>
        <v>0.80885754220186712</v>
      </c>
      <c r="M1453" s="16">
        <f>CurrentMtgRatesDataTable8[[#This Row],[Servicing Spread Non-Zero]]-L1452</f>
        <v>0</v>
      </c>
      <c r="N1453" s="16">
        <f>IF(J1452&lt;&gt;0,CurrentMtgRatesDataTable8[[#This Row],[Rate]]-C1452,N1452)</f>
        <v>8.5000000000000409E-2</v>
      </c>
    </row>
    <row r="1454" spans="1:14">
      <c r="A1454" s="39" t="s">
        <v>1506</v>
      </c>
      <c r="B1454" s="40">
        <v>3.2358553424494998</v>
      </c>
      <c r="C1454" s="11">
        <v>4.0250000000000004</v>
      </c>
      <c r="D1454" s="16">
        <f t="shared" si="154"/>
        <v>2</v>
      </c>
      <c r="E1454" s="16">
        <f t="shared" si="155"/>
        <v>0.2</v>
      </c>
      <c r="F1454" s="16">
        <f t="shared" si="156"/>
        <v>2</v>
      </c>
      <c r="G1454" s="16">
        <f t="shared" si="157"/>
        <v>1.2882174947465059</v>
      </c>
      <c r="H1454" s="16">
        <f t="shared" si="158"/>
        <v>0.4</v>
      </c>
      <c r="I1454" s="16">
        <f t="shared" si="159"/>
        <v>0</v>
      </c>
      <c r="J1454" s="16">
        <f t="shared" si="160"/>
        <v>0</v>
      </c>
      <c r="K1454" s="16">
        <f>IF(CurrentMtgRatesDataTable8[[#This Row],[WA CC]]&lt;&gt;0,C1453-CurrentMtgRatesDataTable8[[#This Row],[WA CC]],0)</f>
        <v>0</v>
      </c>
      <c r="L1454" s="16">
        <f>IF(CurrentMtgRatesDataTable8[[#This Row],[Servicing Spread]]&lt;=0,L1453,CurrentMtgRatesDataTable8[[#This Row],[Servicing Spread]])</f>
        <v>0.80885754220186712</v>
      </c>
      <c r="M1454" s="16">
        <f>CurrentMtgRatesDataTable8[[#This Row],[Servicing Spread Non-Zero]]-L1453</f>
        <v>0</v>
      </c>
      <c r="N1454" s="16">
        <f>IF(J1453&lt;&gt;0,CurrentMtgRatesDataTable8[[#This Row],[Rate]]-C1453,N1453)</f>
        <v>8.5000000000000409E-2</v>
      </c>
    </row>
    <row r="1455" spans="1:14">
      <c r="A1455" s="39" t="s">
        <v>1507</v>
      </c>
      <c r="B1455" s="40">
        <v>3.2756089409200499</v>
      </c>
      <c r="C1455" s="11">
        <v>4.0250000000000004</v>
      </c>
      <c r="D1455" s="16">
        <f t="shared" si="154"/>
        <v>5</v>
      </c>
      <c r="E1455" s="16">
        <f t="shared" si="155"/>
        <v>0.2</v>
      </c>
      <c r="F1455" s="16">
        <f t="shared" si="156"/>
        <v>3</v>
      </c>
      <c r="G1455" s="16">
        <f t="shared" si="157"/>
        <v>1.9433392829305158</v>
      </c>
      <c r="H1455" s="16">
        <f t="shared" si="158"/>
        <v>0.60000000000000009</v>
      </c>
      <c r="I1455" s="16">
        <f t="shared" si="159"/>
        <v>0</v>
      </c>
      <c r="J1455" s="16">
        <f t="shared" si="160"/>
        <v>0</v>
      </c>
      <c r="K1455" s="16">
        <f>IF(CurrentMtgRatesDataTable8[[#This Row],[WA CC]]&lt;&gt;0,C1454-CurrentMtgRatesDataTable8[[#This Row],[WA CC]],0)</f>
        <v>0</v>
      </c>
      <c r="L1455" s="16">
        <f>IF(CurrentMtgRatesDataTable8[[#This Row],[Servicing Spread]]&lt;=0,L1454,CurrentMtgRatesDataTable8[[#This Row],[Servicing Spread]])</f>
        <v>0.80885754220186712</v>
      </c>
      <c r="M1455" s="16">
        <f>CurrentMtgRatesDataTable8[[#This Row],[Servicing Spread Non-Zero]]-L1454</f>
        <v>0</v>
      </c>
      <c r="N1455" s="16">
        <f>IF(J1454&lt;&gt;0,CurrentMtgRatesDataTable8[[#This Row],[Rate]]-C1454,N1454)</f>
        <v>8.5000000000000409E-2</v>
      </c>
    </row>
    <row r="1456" spans="1:14">
      <c r="A1456" s="39" t="s">
        <v>1508</v>
      </c>
      <c r="B1456" s="40">
        <v>3.2309545671703099</v>
      </c>
      <c r="C1456" s="11">
        <v>4.0250000000000004</v>
      </c>
      <c r="D1456" s="16">
        <f t="shared" si="154"/>
        <v>6</v>
      </c>
      <c r="E1456" s="16">
        <f t="shared" si="155"/>
        <v>0.2</v>
      </c>
      <c r="F1456" s="16">
        <f t="shared" si="156"/>
        <v>4</v>
      </c>
      <c r="G1456" s="16">
        <f t="shared" si="157"/>
        <v>2.5895301963645778</v>
      </c>
      <c r="H1456" s="16">
        <f t="shared" si="158"/>
        <v>0.8</v>
      </c>
      <c r="I1456" s="16">
        <f t="shared" si="159"/>
        <v>0</v>
      </c>
      <c r="J1456" s="16">
        <f t="shared" si="160"/>
        <v>0</v>
      </c>
      <c r="K1456" s="16">
        <f>IF(CurrentMtgRatesDataTable8[[#This Row],[WA CC]]&lt;&gt;0,C1455-CurrentMtgRatesDataTable8[[#This Row],[WA CC]],0)</f>
        <v>0</v>
      </c>
      <c r="L1456" s="16">
        <f>IF(CurrentMtgRatesDataTable8[[#This Row],[Servicing Spread]]&lt;=0,L1455,CurrentMtgRatesDataTable8[[#This Row],[Servicing Spread]])</f>
        <v>0.80885754220186712</v>
      </c>
      <c r="M1456" s="16">
        <f>CurrentMtgRatesDataTable8[[#This Row],[Servicing Spread Non-Zero]]-L1455</f>
        <v>0</v>
      </c>
      <c r="N1456" s="16">
        <f>IF(J1455&lt;&gt;0,CurrentMtgRatesDataTable8[[#This Row],[Rate]]-C1455,N1455)</f>
        <v>8.5000000000000409E-2</v>
      </c>
    </row>
    <row r="1457" spans="1:14">
      <c r="A1457" s="39" t="s">
        <v>1509</v>
      </c>
      <c r="B1457" s="40">
        <v>3.2639599022734598</v>
      </c>
      <c r="C1457" s="11">
        <v>4.0250000000000004</v>
      </c>
      <c r="D1457" s="16">
        <f t="shared" si="154"/>
        <v>7</v>
      </c>
      <c r="E1457" s="16">
        <f t="shared" si="155"/>
        <v>0.2</v>
      </c>
      <c r="F1457" s="16">
        <f t="shared" si="156"/>
        <v>5</v>
      </c>
      <c r="G1457" s="16">
        <f t="shared" si="157"/>
        <v>3.24232217681927</v>
      </c>
      <c r="H1457" s="16">
        <f t="shared" si="158"/>
        <v>1</v>
      </c>
      <c r="I1457" s="16">
        <f t="shared" si="159"/>
        <v>1</v>
      </c>
      <c r="J1457" s="16">
        <f t="shared" si="160"/>
        <v>3.24232217681927</v>
      </c>
      <c r="K1457" s="16">
        <f>IF(CurrentMtgRatesDataTable8[[#This Row],[WA CC]]&lt;&gt;0,C1456-CurrentMtgRatesDataTable8[[#This Row],[WA CC]],0)</f>
        <v>0.78267782318073031</v>
      </c>
      <c r="L1457" s="16">
        <f>IF(CurrentMtgRatesDataTable8[[#This Row],[Servicing Spread]]&lt;=0,L1456,CurrentMtgRatesDataTable8[[#This Row],[Servicing Spread]])</f>
        <v>0.78267782318073031</v>
      </c>
      <c r="M1457" s="16">
        <f>CurrentMtgRatesDataTable8[[#This Row],[Servicing Spread Non-Zero]]-L1456</f>
        <v>-2.6179719021136805E-2</v>
      </c>
      <c r="N1457" s="16">
        <f>IF(J1456&lt;&gt;0,CurrentMtgRatesDataTable8[[#This Row],[Rate]]-C1456,N1456)</f>
        <v>8.5000000000000409E-2</v>
      </c>
    </row>
    <row r="1458" spans="1:14">
      <c r="A1458" s="39" t="s">
        <v>1510</v>
      </c>
      <c r="B1458" s="40">
        <v>3.2165947499704002</v>
      </c>
      <c r="C1458" s="11">
        <v>4.0949999999999998</v>
      </c>
      <c r="D1458" s="16">
        <f t="shared" si="154"/>
        <v>1</v>
      </c>
      <c r="E1458" s="16">
        <f t="shared" si="155"/>
        <v>0.2</v>
      </c>
      <c r="F1458" s="16">
        <f t="shared" si="156"/>
        <v>1</v>
      </c>
      <c r="G1458" s="16">
        <f t="shared" si="157"/>
        <v>0.64331894999408012</v>
      </c>
      <c r="H1458" s="16">
        <f t="shared" si="158"/>
        <v>0.2</v>
      </c>
      <c r="I1458" s="16">
        <f t="shared" si="159"/>
        <v>0</v>
      </c>
      <c r="J1458" s="16">
        <f t="shared" si="160"/>
        <v>0</v>
      </c>
      <c r="K1458" s="16">
        <f>IF(CurrentMtgRatesDataTable8[[#This Row],[WA CC]]&lt;&gt;0,C1457-CurrentMtgRatesDataTable8[[#This Row],[WA CC]],0)</f>
        <v>0</v>
      </c>
      <c r="L1458" s="16">
        <f>IF(CurrentMtgRatesDataTable8[[#This Row],[Servicing Spread]]&lt;=0,L1457,CurrentMtgRatesDataTable8[[#This Row],[Servicing Spread]])</f>
        <v>0.78267782318073031</v>
      </c>
      <c r="M1458" s="16">
        <f>CurrentMtgRatesDataTable8[[#This Row],[Servicing Spread Non-Zero]]-L1457</f>
        <v>0</v>
      </c>
      <c r="N1458" s="16">
        <f>IF(J1457&lt;&gt;0,CurrentMtgRatesDataTable8[[#This Row],[Rate]]-C1457,N1457)</f>
        <v>6.9999999999999396E-2</v>
      </c>
    </row>
    <row r="1459" spans="1:14">
      <c r="A1459" s="39" t="s">
        <v>1511</v>
      </c>
      <c r="B1459" s="40">
        <v>3.27500652399522</v>
      </c>
      <c r="C1459" s="11">
        <v>4.0949999999999998</v>
      </c>
      <c r="D1459" s="16">
        <f t="shared" si="154"/>
        <v>2</v>
      </c>
      <c r="E1459" s="16">
        <f t="shared" si="155"/>
        <v>0.2</v>
      </c>
      <c r="F1459" s="16">
        <f t="shared" si="156"/>
        <v>2</v>
      </c>
      <c r="G1459" s="16">
        <f t="shared" si="157"/>
        <v>1.2983202547931243</v>
      </c>
      <c r="H1459" s="16">
        <f t="shared" si="158"/>
        <v>0.4</v>
      </c>
      <c r="I1459" s="16">
        <f t="shared" si="159"/>
        <v>0</v>
      </c>
      <c r="J1459" s="16">
        <f t="shared" si="160"/>
        <v>0</v>
      </c>
      <c r="K1459" s="16">
        <f>IF(CurrentMtgRatesDataTable8[[#This Row],[WA CC]]&lt;&gt;0,C1458-CurrentMtgRatesDataTable8[[#This Row],[WA CC]],0)</f>
        <v>0</v>
      </c>
      <c r="L1459" s="16">
        <f>IF(CurrentMtgRatesDataTable8[[#This Row],[Servicing Spread]]&lt;=0,L1458,CurrentMtgRatesDataTable8[[#This Row],[Servicing Spread]])</f>
        <v>0.78267782318073031</v>
      </c>
      <c r="M1459" s="16">
        <f>CurrentMtgRatesDataTable8[[#This Row],[Servicing Spread Non-Zero]]-L1458</f>
        <v>0</v>
      </c>
      <c r="N1459" s="16">
        <f>IF(J1458&lt;&gt;0,CurrentMtgRatesDataTable8[[#This Row],[Rate]]-C1458,N1458)</f>
        <v>6.9999999999999396E-2</v>
      </c>
    </row>
    <row r="1460" spans="1:14">
      <c r="A1460" s="39" t="s">
        <v>1512</v>
      </c>
      <c r="B1460" s="40">
        <v>3.30876933277424</v>
      </c>
      <c r="C1460" s="11">
        <v>4.0949999999999998</v>
      </c>
      <c r="D1460" s="16">
        <f t="shared" si="154"/>
        <v>5</v>
      </c>
      <c r="E1460" s="16">
        <f t="shared" si="155"/>
        <v>0.2</v>
      </c>
      <c r="F1460" s="16">
        <f t="shared" si="156"/>
        <v>3</v>
      </c>
      <c r="G1460" s="16">
        <f t="shared" si="157"/>
        <v>1.9600741213479722</v>
      </c>
      <c r="H1460" s="16">
        <f t="shared" si="158"/>
        <v>0.60000000000000009</v>
      </c>
      <c r="I1460" s="16">
        <f t="shared" si="159"/>
        <v>0</v>
      </c>
      <c r="J1460" s="16">
        <f t="shared" si="160"/>
        <v>0</v>
      </c>
      <c r="K1460" s="16">
        <f>IF(CurrentMtgRatesDataTable8[[#This Row],[WA CC]]&lt;&gt;0,C1459-CurrentMtgRatesDataTable8[[#This Row],[WA CC]],0)</f>
        <v>0</v>
      </c>
      <c r="L1460" s="16">
        <f>IF(CurrentMtgRatesDataTable8[[#This Row],[Servicing Spread]]&lt;=0,L1459,CurrentMtgRatesDataTable8[[#This Row],[Servicing Spread]])</f>
        <v>0.78267782318073031</v>
      </c>
      <c r="M1460" s="16">
        <f>CurrentMtgRatesDataTable8[[#This Row],[Servicing Spread Non-Zero]]-L1459</f>
        <v>0</v>
      </c>
      <c r="N1460" s="16">
        <f>IF(J1459&lt;&gt;0,CurrentMtgRatesDataTable8[[#This Row],[Rate]]-C1459,N1459)</f>
        <v>6.9999999999999396E-2</v>
      </c>
    </row>
    <row r="1461" spans="1:14">
      <c r="A1461" s="39" t="s">
        <v>1513</v>
      </c>
      <c r="B1461" s="40">
        <v>3.33983268018221</v>
      </c>
      <c r="C1461" s="11">
        <v>4.0949999999999998</v>
      </c>
      <c r="D1461" s="16">
        <f t="shared" si="154"/>
        <v>6</v>
      </c>
      <c r="E1461" s="16">
        <f t="shared" si="155"/>
        <v>0.2</v>
      </c>
      <c r="F1461" s="16">
        <f t="shared" si="156"/>
        <v>4</v>
      </c>
      <c r="G1461" s="16">
        <f t="shared" si="157"/>
        <v>2.6280406573844144</v>
      </c>
      <c r="H1461" s="16">
        <f t="shared" si="158"/>
        <v>0.8</v>
      </c>
      <c r="I1461" s="16">
        <f t="shared" si="159"/>
        <v>0</v>
      </c>
      <c r="J1461" s="16">
        <f t="shared" si="160"/>
        <v>0</v>
      </c>
      <c r="K1461" s="16">
        <f>IF(CurrentMtgRatesDataTable8[[#This Row],[WA CC]]&lt;&gt;0,C1460-CurrentMtgRatesDataTable8[[#This Row],[WA CC]],0)</f>
        <v>0</v>
      </c>
      <c r="L1461" s="16">
        <f>IF(CurrentMtgRatesDataTable8[[#This Row],[Servicing Spread]]&lt;=0,L1460,CurrentMtgRatesDataTable8[[#This Row],[Servicing Spread]])</f>
        <v>0.78267782318073031</v>
      </c>
      <c r="M1461" s="16">
        <f>CurrentMtgRatesDataTable8[[#This Row],[Servicing Spread Non-Zero]]-L1460</f>
        <v>0</v>
      </c>
      <c r="N1461" s="16">
        <f>IF(J1460&lt;&gt;0,CurrentMtgRatesDataTable8[[#This Row],[Rate]]-C1460,N1460)</f>
        <v>6.9999999999999396E-2</v>
      </c>
    </row>
    <row r="1462" spans="1:14">
      <c r="A1462" s="39" t="s">
        <v>1514</v>
      </c>
      <c r="B1462" s="40">
        <v>3.3416996853649299</v>
      </c>
      <c r="C1462" s="11">
        <v>4.0949999999999998</v>
      </c>
      <c r="D1462" s="16">
        <f t="shared" si="154"/>
        <v>7</v>
      </c>
      <c r="E1462" s="16">
        <f t="shared" si="155"/>
        <v>0.2</v>
      </c>
      <c r="F1462" s="16">
        <f t="shared" si="156"/>
        <v>5</v>
      </c>
      <c r="G1462" s="16">
        <f t="shared" si="157"/>
        <v>3.2963805944574003</v>
      </c>
      <c r="H1462" s="16">
        <f t="shared" si="158"/>
        <v>1</v>
      </c>
      <c r="I1462" s="16">
        <f t="shared" si="159"/>
        <v>1</v>
      </c>
      <c r="J1462" s="16">
        <f t="shared" si="160"/>
        <v>3.2963805944574003</v>
      </c>
      <c r="K1462" s="16">
        <f>IF(CurrentMtgRatesDataTable8[[#This Row],[WA CC]]&lt;&gt;0,C1461-CurrentMtgRatesDataTable8[[#This Row],[WA CC]],0)</f>
        <v>0.79861940554259947</v>
      </c>
      <c r="L1462" s="16">
        <f>IF(CurrentMtgRatesDataTable8[[#This Row],[Servicing Spread]]&lt;=0,L1461,CurrentMtgRatesDataTable8[[#This Row],[Servicing Spread]])</f>
        <v>0.79861940554259947</v>
      </c>
      <c r="M1462" s="16">
        <f>CurrentMtgRatesDataTable8[[#This Row],[Servicing Spread Non-Zero]]-L1461</f>
        <v>1.5941582361869155E-2</v>
      </c>
      <c r="N1462" s="16">
        <f>IF(J1461&lt;&gt;0,CurrentMtgRatesDataTable8[[#This Row],[Rate]]-C1461,N1461)</f>
        <v>6.9999999999999396E-2</v>
      </c>
    </row>
    <row r="1463" spans="1:14">
      <c r="A1463" s="39" t="s">
        <v>1515</v>
      </c>
      <c r="B1463" s="40">
        <v>3.3963814570573598</v>
      </c>
      <c r="C1463" s="11">
        <v>4.2200000000000006</v>
      </c>
      <c r="D1463" s="16">
        <f t="shared" si="154"/>
        <v>1</v>
      </c>
      <c r="E1463" s="16">
        <f t="shared" si="155"/>
        <v>0.2</v>
      </c>
      <c r="F1463" s="16">
        <f t="shared" si="156"/>
        <v>1</v>
      </c>
      <c r="G1463" s="16">
        <f t="shared" si="157"/>
        <v>0.67927629141147206</v>
      </c>
      <c r="H1463" s="16">
        <f t="shared" si="158"/>
        <v>0.2</v>
      </c>
      <c r="I1463" s="16">
        <f t="shared" si="159"/>
        <v>0</v>
      </c>
      <c r="J1463" s="16">
        <f t="shared" si="160"/>
        <v>0</v>
      </c>
      <c r="K1463" s="16">
        <f>IF(CurrentMtgRatesDataTable8[[#This Row],[WA CC]]&lt;&gt;0,C1462-CurrentMtgRatesDataTable8[[#This Row],[WA CC]],0)</f>
        <v>0</v>
      </c>
      <c r="L1463" s="16">
        <f>IF(CurrentMtgRatesDataTable8[[#This Row],[Servicing Spread]]&lt;=0,L1462,CurrentMtgRatesDataTable8[[#This Row],[Servicing Spread]])</f>
        <v>0.79861940554259947</v>
      </c>
      <c r="M1463" s="16">
        <f>CurrentMtgRatesDataTable8[[#This Row],[Servicing Spread Non-Zero]]-L1462</f>
        <v>0</v>
      </c>
      <c r="N1463" s="16">
        <f>IF(J1462&lt;&gt;0,CurrentMtgRatesDataTable8[[#This Row],[Rate]]-C1462,N1462)</f>
        <v>0.12500000000000089</v>
      </c>
    </row>
    <row r="1464" spans="1:14">
      <c r="A1464" s="39" t="s">
        <v>1516</v>
      </c>
      <c r="B1464" s="40">
        <v>3.4756654735662802</v>
      </c>
      <c r="C1464" s="11">
        <v>4.2200000000000006</v>
      </c>
      <c r="D1464" s="16">
        <f t="shared" si="154"/>
        <v>2</v>
      </c>
      <c r="E1464" s="16">
        <f t="shared" si="155"/>
        <v>0.2</v>
      </c>
      <c r="F1464" s="16">
        <f t="shared" si="156"/>
        <v>2</v>
      </c>
      <c r="G1464" s="16">
        <f t="shared" si="157"/>
        <v>1.3744093861247282</v>
      </c>
      <c r="H1464" s="16">
        <f t="shared" si="158"/>
        <v>0.4</v>
      </c>
      <c r="I1464" s="16">
        <f t="shared" si="159"/>
        <v>0</v>
      </c>
      <c r="J1464" s="16">
        <f t="shared" si="160"/>
        <v>0</v>
      </c>
      <c r="K1464" s="16">
        <f>IF(CurrentMtgRatesDataTable8[[#This Row],[WA CC]]&lt;&gt;0,C1463-CurrentMtgRatesDataTable8[[#This Row],[WA CC]],0)</f>
        <v>0</v>
      </c>
      <c r="L1464" s="16">
        <f>IF(CurrentMtgRatesDataTable8[[#This Row],[Servicing Spread]]&lt;=0,L1463,CurrentMtgRatesDataTable8[[#This Row],[Servicing Spread]])</f>
        <v>0.79861940554259947</v>
      </c>
      <c r="M1464" s="16">
        <f>CurrentMtgRatesDataTable8[[#This Row],[Servicing Spread Non-Zero]]-L1463</f>
        <v>0</v>
      </c>
      <c r="N1464" s="16">
        <f>IF(J1463&lt;&gt;0,CurrentMtgRatesDataTable8[[#This Row],[Rate]]-C1463,N1463)</f>
        <v>0.12500000000000089</v>
      </c>
    </row>
    <row r="1465" spans="1:14">
      <c r="A1465" s="39" t="s">
        <v>1517</v>
      </c>
      <c r="B1465" s="40">
        <v>3.4166882251409199</v>
      </c>
      <c r="C1465" s="11">
        <v>4.2200000000000006</v>
      </c>
      <c r="D1465" s="16">
        <f t="shared" si="154"/>
        <v>5</v>
      </c>
      <c r="E1465" s="16">
        <f t="shared" si="155"/>
        <v>0.2</v>
      </c>
      <c r="F1465" s="16">
        <f t="shared" si="156"/>
        <v>3</v>
      </c>
      <c r="G1465" s="16">
        <f t="shared" si="157"/>
        <v>2.0577470311529122</v>
      </c>
      <c r="H1465" s="16">
        <f t="shared" si="158"/>
        <v>0.60000000000000009</v>
      </c>
      <c r="I1465" s="16">
        <f t="shared" si="159"/>
        <v>0</v>
      </c>
      <c r="J1465" s="16">
        <f t="shared" si="160"/>
        <v>0</v>
      </c>
      <c r="K1465" s="16">
        <f>IF(CurrentMtgRatesDataTable8[[#This Row],[WA CC]]&lt;&gt;0,C1464-CurrentMtgRatesDataTable8[[#This Row],[WA CC]],0)</f>
        <v>0</v>
      </c>
      <c r="L1465" s="16">
        <f>IF(CurrentMtgRatesDataTable8[[#This Row],[Servicing Spread]]&lt;=0,L1464,CurrentMtgRatesDataTable8[[#This Row],[Servicing Spread]])</f>
        <v>0.79861940554259947</v>
      </c>
      <c r="M1465" s="16">
        <f>CurrentMtgRatesDataTable8[[#This Row],[Servicing Spread Non-Zero]]-L1464</f>
        <v>0</v>
      </c>
      <c r="N1465" s="16">
        <f>IF(J1464&lt;&gt;0,CurrentMtgRatesDataTable8[[#This Row],[Rate]]-C1464,N1464)</f>
        <v>0.12500000000000089</v>
      </c>
    </row>
    <row r="1466" spans="1:14">
      <c r="A1466" s="39" t="s">
        <v>1518</v>
      </c>
      <c r="B1466" s="40">
        <v>3.3996183954418902</v>
      </c>
      <c r="C1466" s="11">
        <v>4.2200000000000006</v>
      </c>
      <c r="D1466" s="16">
        <f t="shared" si="154"/>
        <v>6</v>
      </c>
      <c r="E1466" s="16">
        <f t="shared" si="155"/>
        <v>0.2</v>
      </c>
      <c r="F1466" s="16">
        <f t="shared" si="156"/>
        <v>4</v>
      </c>
      <c r="G1466" s="16">
        <f t="shared" si="157"/>
        <v>2.7376707102412903</v>
      </c>
      <c r="H1466" s="16">
        <f t="shared" si="158"/>
        <v>0.8</v>
      </c>
      <c r="I1466" s="16">
        <f t="shared" si="159"/>
        <v>0</v>
      </c>
      <c r="J1466" s="16">
        <f t="shared" si="160"/>
        <v>0</v>
      </c>
      <c r="K1466" s="16">
        <f>IF(CurrentMtgRatesDataTable8[[#This Row],[WA CC]]&lt;&gt;0,C1465-CurrentMtgRatesDataTable8[[#This Row],[WA CC]],0)</f>
        <v>0</v>
      </c>
      <c r="L1466" s="16">
        <f>IF(CurrentMtgRatesDataTable8[[#This Row],[Servicing Spread]]&lt;=0,L1465,CurrentMtgRatesDataTable8[[#This Row],[Servicing Spread]])</f>
        <v>0.79861940554259947</v>
      </c>
      <c r="M1466" s="16">
        <f>CurrentMtgRatesDataTable8[[#This Row],[Servicing Spread Non-Zero]]-L1465</f>
        <v>0</v>
      </c>
      <c r="N1466" s="16">
        <f>IF(J1465&lt;&gt;0,CurrentMtgRatesDataTable8[[#This Row],[Rate]]-C1465,N1465)</f>
        <v>0.12500000000000089</v>
      </c>
    </row>
    <row r="1467" spans="1:14">
      <c r="A1467" s="39" t="s">
        <v>1519</v>
      </c>
      <c r="B1467" s="40">
        <v>3.4755654585623601</v>
      </c>
      <c r="C1467" s="11">
        <v>4.2200000000000006</v>
      </c>
      <c r="D1467" s="16">
        <f t="shared" si="154"/>
        <v>7</v>
      </c>
      <c r="E1467" s="16">
        <f t="shared" si="155"/>
        <v>0.2</v>
      </c>
      <c r="F1467" s="16">
        <f t="shared" si="156"/>
        <v>5</v>
      </c>
      <c r="G1467" s="16">
        <f t="shared" si="157"/>
        <v>3.4327838019537622</v>
      </c>
      <c r="H1467" s="16">
        <f t="shared" si="158"/>
        <v>1</v>
      </c>
      <c r="I1467" s="16">
        <f t="shared" si="159"/>
        <v>1</v>
      </c>
      <c r="J1467" s="16">
        <f t="shared" si="160"/>
        <v>3.4327838019537622</v>
      </c>
      <c r="K1467" s="16">
        <f>IF(CurrentMtgRatesDataTable8[[#This Row],[WA CC]]&lt;&gt;0,C1466-CurrentMtgRatesDataTable8[[#This Row],[WA CC]],0)</f>
        <v>0.78721619804623844</v>
      </c>
      <c r="L1467" s="16">
        <f>IF(CurrentMtgRatesDataTable8[[#This Row],[Servicing Spread]]&lt;=0,L1466,CurrentMtgRatesDataTable8[[#This Row],[Servicing Spread]])</f>
        <v>0.78721619804623844</v>
      </c>
      <c r="M1467" s="16">
        <f>CurrentMtgRatesDataTable8[[#This Row],[Servicing Spread Non-Zero]]-L1466</f>
        <v>-1.1403207496361034E-2</v>
      </c>
      <c r="N1467" s="16">
        <f>IF(J1466&lt;&gt;0,CurrentMtgRatesDataTable8[[#This Row],[Rate]]-C1466,N1466)</f>
        <v>0.12500000000000089</v>
      </c>
    </row>
    <row r="1468" spans="1:14">
      <c r="A1468" s="39" t="s">
        <v>1520</v>
      </c>
      <c r="B1468" s="40">
        <v>3.5041245941432702</v>
      </c>
      <c r="C1468" s="11">
        <v>4.28</v>
      </c>
      <c r="D1468" s="16">
        <f t="shared" si="154"/>
        <v>1</v>
      </c>
      <c r="E1468" s="16">
        <f t="shared" si="155"/>
        <v>0.2</v>
      </c>
      <c r="F1468" s="16">
        <f t="shared" si="156"/>
        <v>1</v>
      </c>
      <c r="G1468" s="16">
        <f t="shared" si="157"/>
        <v>0.70082491882865405</v>
      </c>
      <c r="H1468" s="16">
        <f t="shared" si="158"/>
        <v>0.2</v>
      </c>
      <c r="I1468" s="16">
        <f t="shared" si="159"/>
        <v>0</v>
      </c>
      <c r="J1468" s="16">
        <f t="shared" si="160"/>
        <v>0</v>
      </c>
      <c r="K1468" s="16">
        <f>IF(CurrentMtgRatesDataTable8[[#This Row],[WA CC]]&lt;&gt;0,C1467-CurrentMtgRatesDataTable8[[#This Row],[WA CC]],0)</f>
        <v>0</v>
      </c>
      <c r="L1468" s="16">
        <f>IF(CurrentMtgRatesDataTable8[[#This Row],[Servicing Spread]]&lt;=0,L1467,CurrentMtgRatesDataTable8[[#This Row],[Servicing Spread]])</f>
        <v>0.78721619804623844</v>
      </c>
      <c r="M1468" s="16">
        <f>CurrentMtgRatesDataTable8[[#This Row],[Servicing Spread Non-Zero]]-L1467</f>
        <v>0</v>
      </c>
      <c r="N1468" s="16">
        <f>IF(J1467&lt;&gt;0,CurrentMtgRatesDataTable8[[#This Row],[Rate]]-C1467,N1467)</f>
        <v>5.9999999999999609E-2</v>
      </c>
    </row>
    <row r="1469" spans="1:14">
      <c r="A1469" s="39" t="s">
        <v>1521</v>
      </c>
      <c r="B1469" s="40">
        <v>3.4845493992221099</v>
      </c>
      <c r="C1469" s="11">
        <v>4.28</v>
      </c>
      <c r="D1469" s="16">
        <f t="shared" si="154"/>
        <v>2</v>
      </c>
      <c r="E1469" s="16">
        <f t="shared" si="155"/>
        <v>0.2</v>
      </c>
      <c r="F1469" s="16">
        <f t="shared" si="156"/>
        <v>2</v>
      </c>
      <c r="G1469" s="16">
        <f t="shared" si="157"/>
        <v>1.3977347986730759</v>
      </c>
      <c r="H1469" s="16">
        <f t="shared" si="158"/>
        <v>0.4</v>
      </c>
      <c r="I1469" s="16">
        <f t="shared" si="159"/>
        <v>0</v>
      </c>
      <c r="J1469" s="16">
        <f t="shared" si="160"/>
        <v>0</v>
      </c>
      <c r="K1469" s="16">
        <f>IF(CurrentMtgRatesDataTable8[[#This Row],[WA CC]]&lt;&gt;0,C1468-CurrentMtgRatesDataTable8[[#This Row],[WA CC]],0)</f>
        <v>0</v>
      </c>
      <c r="L1469" s="16">
        <f>IF(CurrentMtgRatesDataTable8[[#This Row],[Servicing Spread]]&lt;=0,L1468,CurrentMtgRatesDataTable8[[#This Row],[Servicing Spread]])</f>
        <v>0.78721619804623844</v>
      </c>
      <c r="M1469" s="16">
        <f>CurrentMtgRatesDataTable8[[#This Row],[Servicing Spread Non-Zero]]-L1468</f>
        <v>0</v>
      </c>
      <c r="N1469" s="16">
        <f>IF(J1468&lt;&gt;0,CurrentMtgRatesDataTable8[[#This Row],[Rate]]-C1468,N1468)</f>
        <v>5.9999999999999609E-2</v>
      </c>
    </row>
    <row r="1470" spans="1:14">
      <c r="A1470" s="39" t="s">
        <v>1522</v>
      </c>
      <c r="B1470" s="40">
        <v>3.5222989121343602</v>
      </c>
      <c r="C1470" s="11">
        <v>4.28</v>
      </c>
      <c r="D1470" s="16">
        <f t="shared" si="154"/>
        <v>5</v>
      </c>
      <c r="E1470" s="16">
        <f t="shared" si="155"/>
        <v>0.2</v>
      </c>
      <c r="F1470" s="16">
        <f t="shared" si="156"/>
        <v>3</v>
      </c>
      <c r="G1470" s="16">
        <f t="shared" si="157"/>
        <v>2.1021945810999481</v>
      </c>
      <c r="H1470" s="16">
        <f t="shared" si="158"/>
        <v>0.60000000000000009</v>
      </c>
      <c r="I1470" s="16">
        <f t="shared" si="159"/>
        <v>0</v>
      </c>
      <c r="J1470" s="16">
        <f t="shared" si="160"/>
        <v>0</v>
      </c>
      <c r="K1470" s="16">
        <f>IF(CurrentMtgRatesDataTable8[[#This Row],[WA CC]]&lt;&gt;0,C1469-CurrentMtgRatesDataTable8[[#This Row],[WA CC]],0)</f>
        <v>0</v>
      </c>
      <c r="L1470" s="16">
        <f>IF(CurrentMtgRatesDataTable8[[#This Row],[Servicing Spread]]&lt;=0,L1469,CurrentMtgRatesDataTable8[[#This Row],[Servicing Spread]])</f>
        <v>0.78721619804623844</v>
      </c>
      <c r="M1470" s="16">
        <f>CurrentMtgRatesDataTable8[[#This Row],[Servicing Spread Non-Zero]]-L1469</f>
        <v>0</v>
      </c>
      <c r="N1470" s="16">
        <f>IF(J1469&lt;&gt;0,CurrentMtgRatesDataTable8[[#This Row],[Rate]]-C1469,N1469)</f>
        <v>5.9999999999999609E-2</v>
      </c>
    </row>
    <row r="1471" spans="1:14">
      <c r="A1471" s="39" t="s">
        <v>1523</v>
      </c>
      <c r="B1471" s="40">
        <v>3.4877550324697602</v>
      </c>
      <c r="C1471" s="11">
        <v>4.28</v>
      </c>
      <c r="D1471" s="16">
        <f t="shared" si="154"/>
        <v>6</v>
      </c>
      <c r="E1471" s="16">
        <f t="shared" si="155"/>
        <v>0.2</v>
      </c>
      <c r="F1471" s="16">
        <f t="shared" si="156"/>
        <v>4</v>
      </c>
      <c r="G1471" s="16">
        <f t="shared" si="157"/>
        <v>2.7997455875939004</v>
      </c>
      <c r="H1471" s="16">
        <f t="shared" si="158"/>
        <v>0.8</v>
      </c>
      <c r="I1471" s="16">
        <f t="shared" si="159"/>
        <v>0</v>
      </c>
      <c r="J1471" s="16">
        <f t="shared" si="160"/>
        <v>0</v>
      </c>
      <c r="K1471" s="16">
        <f>IF(CurrentMtgRatesDataTable8[[#This Row],[WA CC]]&lt;&gt;0,C1470-CurrentMtgRatesDataTable8[[#This Row],[WA CC]],0)</f>
        <v>0</v>
      </c>
      <c r="L1471" s="16">
        <f>IF(CurrentMtgRatesDataTable8[[#This Row],[Servicing Spread]]&lt;=0,L1470,CurrentMtgRatesDataTable8[[#This Row],[Servicing Spread]])</f>
        <v>0.78721619804623844</v>
      </c>
      <c r="M1471" s="16">
        <f>CurrentMtgRatesDataTable8[[#This Row],[Servicing Spread Non-Zero]]-L1470</f>
        <v>0</v>
      </c>
      <c r="N1471" s="16">
        <f>IF(J1470&lt;&gt;0,CurrentMtgRatesDataTable8[[#This Row],[Rate]]-C1470,N1470)</f>
        <v>5.9999999999999609E-2</v>
      </c>
    </row>
    <row r="1472" spans="1:14">
      <c r="A1472" s="39" t="s">
        <v>1524</v>
      </c>
      <c r="B1472" s="40">
        <v>3.5912901025373101</v>
      </c>
      <c r="C1472" s="11">
        <v>4.28</v>
      </c>
      <c r="D1472" s="16">
        <f t="shared" si="154"/>
        <v>7</v>
      </c>
      <c r="E1472" s="16">
        <f t="shared" si="155"/>
        <v>0.2</v>
      </c>
      <c r="F1472" s="16">
        <f t="shared" si="156"/>
        <v>5</v>
      </c>
      <c r="G1472" s="16">
        <f t="shared" si="157"/>
        <v>3.5180036081013624</v>
      </c>
      <c r="H1472" s="16">
        <f t="shared" si="158"/>
        <v>1</v>
      </c>
      <c r="I1472" s="16">
        <f t="shared" si="159"/>
        <v>1</v>
      </c>
      <c r="J1472" s="16">
        <f t="shared" si="160"/>
        <v>3.5180036081013624</v>
      </c>
      <c r="K1472" s="16">
        <f>IF(CurrentMtgRatesDataTable8[[#This Row],[WA CC]]&lt;&gt;0,C1471-CurrentMtgRatesDataTable8[[#This Row],[WA CC]],0)</f>
        <v>0.76199639189863788</v>
      </c>
      <c r="L1472" s="16">
        <f>IF(CurrentMtgRatesDataTable8[[#This Row],[Servicing Spread]]&lt;=0,L1471,CurrentMtgRatesDataTable8[[#This Row],[Servicing Spread]])</f>
        <v>0.76199639189863788</v>
      </c>
      <c r="M1472" s="16">
        <f>CurrentMtgRatesDataTable8[[#This Row],[Servicing Spread Non-Zero]]-L1471</f>
        <v>-2.5219806147600554E-2</v>
      </c>
      <c r="N1472" s="16">
        <f>IF(J1471&lt;&gt;0,CurrentMtgRatesDataTable8[[#This Row],[Rate]]-C1471,N1471)</f>
        <v>5.9999999999999609E-2</v>
      </c>
    </row>
    <row r="1473" spans="1:14">
      <c r="A1473" s="39" t="s">
        <v>1525</v>
      </c>
      <c r="B1473" s="40">
        <v>3.55793583676309</v>
      </c>
      <c r="C1473" s="11">
        <v>4.2750000000000004</v>
      </c>
      <c r="D1473" s="16">
        <f t="shared" si="154"/>
        <v>1</v>
      </c>
      <c r="E1473" s="16">
        <f t="shared" si="155"/>
        <v>0.2</v>
      </c>
      <c r="F1473" s="16">
        <f t="shared" si="156"/>
        <v>1</v>
      </c>
      <c r="G1473" s="16">
        <f t="shared" si="157"/>
        <v>0.71158716735261807</v>
      </c>
      <c r="H1473" s="16">
        <f t="shared" si="158"/>
        <v>0.2</v>
      </c>
      <c r="I1473" s="16">
        <f t="shared" si="159"/>
        <v>0</v>
      </c>
      <c r="J1473" s="16">
        <f t="shared" si="160"/>
        <v>0</v>
      </c>
      <c r="K1473" s="16">
        <f>IF(CurrentMtgRatesDataTable8[[#This Row],[WA CC]]&lt;&gt;0,C1472-CurrentMtgRatesDataTable8[[#This Row],[WA CC]],0)</f>
        <v>0</v>
      </c>
      <c r="L1473" s="16">
        <f>IF(CurrentMtgRatesDataTable8[[#This Row],[Servicing Spread]]&lt;=0,L1472,CurrentMtgRatesDataTable8[[#This Row],[Servicing Spread]])</f>
        <v>0.76199639189863788</v>
      </c>
      <c r="M1473" s="16">
        <f>CurrentMtgRatesDataTable8[[#This Row],[Servicing Spread Non-Zero]]-L1472</f>
        <v>0</v>
      </c>
      <c r="N1473" s="16">
        <f>IF(J1472&lt;&gt;0,CurrentMtgRatesDataTable8[[#This Row],[Rate]]-C1472,N1472)</f>
        <v>-4.9999999999998934E-3</v>
      </c>
    </row>
    <row r="1474" spans="1:14">
      <c r="A1474" s="39" t="s">
        <v>1526</v>
      </c>
      <c r="B1474" s="40">
        <v>3.5258165177202798</v>
      </c>
      <c r="C1474" s="11">
        <v>4.2750000000000004</v>
      </c>
      <c r="D1474" s="16">
        <f t="shared" si="154"/>
        <v>2</v>
      </c>
      <c r="E1474" s="16">
        <f t="shared" si="155"/>
        <v>0.2</v>
      </c>
      <c r="F1474" s="16">
        <f t="shared" si="156"/>
        <v>2</v>
      </c>
      <c r="G1474" s="16">
        <f t="shared" si="157"/>
        <v>1.4167504708966741</v>
      </c>
      <c r="H1474" s="16">
        <f t="shared" si="158"/>
        <v>0.4</v>
      </c>
      <c r="I1474" s="16">
        <f t="shared" si="159"/>
        <v>0</v>
      </c>
      <c r="J1474" s="16">
        <f t="shared" si="160"/>
        <v>0</v>
      </c>
      <c r="K1474" s="16">
        <f>IF(CurrentMtgRatesDataTable8[[#This Row],[WA CC]]&lt;&gt;0,C1473-CurrentMtgRatesDataTable8[[#This Row],[WA CC]],0)</f>
        <v>0</v>
      </c>
      <c r="L1474" s="16">
        <f>IF(CurrentMtgRatesDataTable8[[#This Row],[Servicing Spread]]&lt;=0,L1473,CurrentMtgRatesDataTable8[[#This Row],[Servicing Spread]])</f>
        <v>0.76199639189863788</v>
      </c>
      <c r="M1474" s="16">
        <f>CurrentMtgRatesDataTable8[[#This Row],[Servicing Spread Non-Zero]]-L1473</f>
        <v>0</v>
      </c>
      <c r="N1474" s="16">
        <f>IF(J1473&lt;&gt;0,CurrentMtgRatesDataTable8[[#This Row],[Rate]]-C1473,N1473)</f>
        <v>-4.9999999999998934E-3</v>
      </c>
    </row>
    <row r="1475" spans="1:14">
      <c r="A1475" s="39" t="s">
        <v>1527</v>
      </c>
      <c r="B1475" s="40">
        <v>3.5367464122005199</v>
      </c>
      <c r="C1475" s="11">
        <v>4.2750000000000004</v>
      </c>
      <c r="D1475" s="16">
        <f t="shared" si="154"/>
        <v>6</v>
      </c>
      <c r="E1475" s="16">
        <f t="shared" si="155"/>
        <v>0.2</v>
      </c>
      <c r="F1475" s="16">
        <f t="shared" si="156"/>
        <v>3</v>
      </c>
      <c r="G1475" s="16">
        <f t="shared" si="157"/>
        <v>2.124099753336778</v>
      </c>
      <c r="H1475" s="16">
        <f t="shared" si="158"/>
        <v>0.60000000000000009</v>
      </c>
      <c r="I1475" s="16">
        <f t="shared" si="159"/>
        <v>0</v>
      </c>
      <c r="J1475" s="16">
        <f t="shared" si="160"/>
        <v>0</v>
      </c>
      <c r="K1475" s="16">
        <f>IF(CurrentMtgRatesDataTable8[[#This Row],[WA CC]]&lt;&gt;0,C1474-CurrentMtgRatesDataTable8[[#This Row],[WA CC]],0)</f>
        <v>0</v>
      </c>
      <c r="L1475" s="16">
        <f>IF(CurrentMtgRatesDataTable8[[#This Row],[Servicing Spread]]&lt;=0,L1474,CurrentMtgRatesDataTable8[[#This Row],[Servicing Spread]])</f>
        <v>0.76199639189863788</v>
      </c>
      <c r="M1475" s="16">
        <f>CurrentMtgRatesDataTable8[[#This Row],[Servicing Spread Non-Zero]]-L1474</f>
        <v>0</v>
      </c>
      <c r="N1475" s="16">
        <f>IF(J1474&lt;&gt;0,CurrentMtgRatesDataTable8[[#This Row],[Rate]]-C1474,N1474)</f>
        <v>-4.9999999999998934E-3</v>
      </c>
    </row>
    <row r="1476" spans="1:14">
      <c r="A1476" s="39" t="s">
        <v>1528</v>
      </c>
      <c r="B1476" s="40">
        <v>3.58120699852011</v>
      </c>
      <c r="C1476" s="11">
        <v>4.2750000000000004</v>
      </c>
      <c r="D1476" s="16">
        <f t="shared" si="154"/>
        <v>7</v>
      </c>
      <c r="E1476" s="16">
        <f t="shared" si="155"/>
        <v>0.2</v>
      </c>
      <c r="F1476" s="16">
        <f t="shared" si="156"/>
        <v>4</v>
      </c>
      <c r="G1476" s="16">
        <f t="shared" si="157"/>
        <v>2.8403411530408</v>
      </c>
      <c r="H1476" s="16">
        <f t="shared" si="158"/>
        <v>0.8</v>
      </c>
      <c r="I1476" s="16">
        <f t="shared" si="159"/>
        <v>1</v>
      </c>
      <c r="J1476" s="16">
        <f t="shared" si="160"/>
        <v>3.550426441301</v>
      </c>
      <c r="K1476" s="16">
        <f>IF(CurrentMtgRatesDataTable8[[#This Row],[WA CC]]&lt;&gt;0,C1475-CurrentMtgRatesDataTable8[[#This Row],[WA CC]],0)</f>
        <v>0.72457355869900031</v>
      </c>
      <c r="L1476" s="16">
        <f>IF(CurrentMtgRatesDataTable8[[#This Row],[Servicing Spread]]&lt;=0,L1475,CurrentMtgRatesDataTable8[[#This Row],[Servicing Spread]])</f>
        <v>0.72457355869900031</v>
      </c>
      <c r="M1476" s="16">
        <f>CurrentMtgRatesDataTable8[[#This Row],[Servicing Spread Non-Zero]]-L1475</f>
        <v>-3.7422833199637573E-2</v>
      </c>
      <c r="N1476" s="16">
        <f>IF(J1475&lt;&gt;0,CurrentMtgRatesDataTable8[[#This Row],[Rate]]-C1475,N1475)</f>
        <v>-4.9999999999998934E-3</v>
      </c>
    </row>
    <row r="1477" spans="1:14">
      <c r="A1477" s="39" t="s">
        <v>1529</v>
      </c>
      <c r="B1477" s="40">
        <v>3.5670929966370202</v>
      </c>
      <c r="C1477" s="11">
        <v>4.3049999999999997</v>
      </c>
      <c r="D1477" s="16">
        <f t="shared" ref="D1477:D1540" si="161">WEEKDAY(A1477,14)</f>
        <v>1</v>
      </c>
      <c r="E1477" s="16">
        <f t="shared" ref="E1477:E1540" si="162">VLOOKUP(D1477,Q$5:R$11,2,FALSE)</f>
        <v>0.2</v>
      </c>
      <c r="F1477" s="16">
        <f t="shared" ref="F1477:F1540" si="163">IF(AND(D1477&gt;D1476,F1476&lt;6),F1476+1,1)</f>
        <v>1</v>
      </c>
      <c r="G1477" s="16">
        <f t="shared" ref="G1477:G1540" si="164">IF(F1477&gt;F1476,G1476+B1477*E1477,B1477*E1477)</f>
        <v>0.71341859932740403</v>
      </c>
      <c r="H1477" s="16">
        <f t="shared" ref="H1477:H1540" si="165">IF(AND(F1477&lt;6,F1477&gt;F1476),E1477+H1476,E1477)</f>
        <v>0.2</v>
      </c>
      <c r="I1477" s="16">
        <f t="shared" ref="I1477:I1540" si="166">IF(F1477&gt;F1478,1,0)</f>
        <v>0</v>
      </c>
      <c r="J1477" s="16">
        <f t="shared" ref="J1477:J1540" si="167">IF(F1477&gt;F1478,G1477/H1477,0)</f>
        <v>0</v>
      </c>
      <c r="K1477" s="16">
        <f>IF(CurrentMtgRatesDataTable8[[#This Row],[WA CC]]&lt;&gt;0,C1476-CurrentMtgRatesDataTable8[[#This Row],[WA CC]],0)</f>
        <v>0</v>
      </c>
      <c r="L1477" s="16">
        <f>IF(CurrentMtgRatesDataTable8[[#This Row],[Servicing Spread]]&lt;=0,L1476,CurrentMtgRatesDataTable8[[#This Row],[Servicing Spread]])</f>
        <v>0.72457355869900031</v>
      </c>
      <c r="M1477" s="16">
        <f>CurrentMtgRatesDataTable8[[#This Row],[Servicing Spread Non-Zero]]-L1476</f>
        <v>0</v>
      </c>
      <c r="N1477" s="16">
        <f>IF(J1476&lt;&gt;0,CurrentMtgRatesDataTable8[[#This Row],[Rate]]-C1476,N1476)</f>
        <v>2.9999999999999361E-2</v>
      </c>
    </row>
    <row r="1478" spans="1:14">
      <c r="A1478" s="39" t="s">
        <v>1530</v>
      </c>
      <c r="B1478" s="40">
        <v>3.5264127759066199</v>
      </c>
      <c r="C1478" s="11">
        <v>4.3049999999999997</v>
      </c>
      <c r="D1478" s="16">
        <f t="shared" si="161"/>
        <v>2</v>
      </c>
      <c r="E1478" s="16">
        <f t="shared" si="162"/>
        <v>0.2</v>
      </c>
      <c r="F1478" s="16">
        <f t="shared" si="163"/>
        <v>2</v>
      </c>
      <c r="G1478" s="16">
        <f t="shared" si="164"/>
        <v>1.418701154508728</v>
      </c>
      <c r="H1478" s="16">
        <f t="shared" si="165"/>
        <v>0.4</v>
      </c>
      <c r="I1478" s="16">
        <f t="shared" si="166"/>
        <v>0</v>
      </c>
      <c r="J1478" s="16">
        <f t="shared" si="167"/>
        <v>0</v>
      </c>
      <c r="K1478" s="16">
        <f>IF(CurrentMtgRatesDataTable8[[#This Row],[WA CC]]&lt;&gt;0,C1477-CurrentMtgRatesDataTable8[[#This Row],[WA CC]],0)</f>
        <v>0</v>
      </c>
      <c r="L1478" s="16">
        <f>IF(CurrentMtgRatesDataTable8[[#This Row],[Servicing Spread]]&lt;=0,L1477,CurrentMtgRatesDataTable8[[#This Row],[Servicing Spread]])</f>
        <v>0.72457355869900031</v>
      </c>
      <c r="M1478" s="16">
        <f>CurrentMtgRatesDataTable8[[#This Row],[Servicing Spread Non-Zero]]-L1477</f>
        <v>0</v>
      </c>
      <c r="N1478" s="16">
        <f>IF(J1477&lt;&gt;0,CurrentMtgRatesDataTable8[[#This Row],[Rate]]-C1477,N1477)</f>
        <v>2.9999999999999361E-2</v>
      </c>
    </row>
    <row r="1479" spans="1:14">
      <c r="A1479" s="39" t="s">
        <v>1531</v>
      </c>
      <c r="B1479" s="40">
        <v>3.52469812203275</v>
      </c>
      <c r="C1479" s="11">
        <v>4.3049999999999997</v>
      </c>
      <c r="D1479" s="16">
        <f t="shared" si="161"/>
        <v>5</v>
      </c>
      <c r="E1479" s="16">
        <f t="shared" si="162"/>
        <v>0.2</v>
      </c>
      <c r="F1479" s="16">
        <f t="shared" si="163"/>
        <v>3</v>
      </c>
      <c r="G1479" s="16">
        <f t="shared" si="164"/>
        <v>2.123640778915278</v>
      </c>
      <c r="H1479" s="16">
        <f t="shared" si="165"/>
        <v>0.60000000000000009</v>
      </c>
      <c r="I1479" s="16">
        <f t="shared" si="166"/>
        <v>0</v>
      </c>
      <c r="J1479" s="16">
        <f t="shared" si="167"/>
        <v>0</v>
      </c>
      <c r="K1479" s="16">
        <f>IF(CurrentMtgRatesDataTable8[[#This Row],[WA CC]]&lt;&gt;0,C1478-CurrentMtgRatesDataTable8[[#This Row],[WA CC]],0)</f>
        <v>0</v>
      </c>
      <c r="L1479" s="16">
        <f>IF(CurrentMtgRatesDataTable8[[#This Row],[Servicing Spread]]&lt;=0,L1478,CurrentMtgRatesDataTable8[[#This Row],[Servicing Spread]])</f>
        <v>0.72457355869900031</v>
      </c>
      <c r="M1479" s="16">
        <f>CurrentMtgRatesDataTable8[[#This Row],[Servicing Spread Non-Zero]]-L1478</f>
        <v>0</v>
      </c>
      <c r="N1479" s="16">
        <f>IF(J1478&lt;&gt;0,CurrentMtgRatesDataTable8[[#This Row],[Rate]]-C1478,N1478)</f>
        <v>2.9999999999999361E-2</v>
      </c>
    </row>
    <row r="1480" spans="1:14">
      <c r="A1480" s="39" t="s">
        <v>1532</v>
      </c>
      <c r="B1480" s="40">
        <v>3.57603275250074</v>
      </c>
      <c r="C1480" s="11">
        <v>4.3049999999999997</v>
      </c>
      <c r="D1480" s="16">
        <f t="shared" si="161"/>
        <v>6</v>
      </c>
      <c r="E1480" s="16">
        <f t="shared" si="162"/>
        <v>0.2</v>
      </c>
      <c r="F1480" s="16">
        <f t="shared" si="163"/>
        <v>4</v>
      </c>
      <c r="G1480" s="16">
        <f t="shared" si="164"/>
        <v>2.8388473294154259</v>
      </c>
      <c r="H1480" s="16">
        <f t="shared" si="165"/>
        <v>0.8</v>
      </c>
      <c r="I1480" s="16">
        <f t="shared" si="166"/>
        <v>0</v>
      </c>
      <c r="J1480" s="16">
        <f t="shared" si="167"/>
        <v>0</v>
      </c>
      <c r="K1480" s="16">
        <f>IF(CurrentMtgRatesDataTable8[[#This Row],[WA CC]]&lt;&gt;0,C1479-CurrentMtgRatesDataTable8[[#This Row],[WA CC]],0)</f>
        <v>0</v>
      </c>
      <c r="L1480" s="16">
        <f>IF(CurrentMtgRatesDataTable8[[#This Row],[Servicing Spread]]&lt;=0,L1479,CurrentMtgRatesDataTable8[[#This Row],[Servicing Spread]])</f>
        <v>0.72457355869900031</v>
      </c>
      <c r="M1480" s="16">
        <f>CurrentMtgRatesDataTable8[[#This Row],[Servicing Spread Non-Zero]]-L1479</f>
        <v>0</v>
      </c>
      <c r="N1480" s="16">
        <f>IF(J1479&lt;&gt;0,CurrentMtgRatesDataTable8[[#This Row],[Rate]]-C1479,N1479)</f>
        <v>2.9999999999999361E-2</v>
      </c>
    </row>
    <row r="1481" spans="1:14">
      <c r="A1481" s="39" t="s">
        <v>1533</v>
      </c>
      <c r="B1481" s="40">
        <v>3.53366498993153</v>
      </c>
      <c r="C1481" s="11">
        <v>4.3049999999999997</v>
      </c>
      <c r="D1481" s="16">
        <f t="shared" si="161"/>
        <v>7</v>
      </c>
      <c r="E1481" s="16">
        <f t="shared" si="162"/>
        <v>0.2</v>
      </c>
      <c r="F1481" s="16">
        <f t="shared" si="163"/>
        <v>5</v>
      </c>
      <c r="G1481" s="16">
        <f t="shared" si="164"/>
        <v>3.5455803274017321</v>
      </c>
      <c r="H1481" s="16">
        <f t="shared" si="165"/>
        <v>1</v>
      </c>
      <c r="I1481" s="16">
        <f t="shared" si="166"/>
        <v>1</v>
      </c>
      <c r="J1481" s="16">
        <f t="shared" si="167"/>
        <v>3.5455803274017321</v>
      </c>
      <c r="K1481" s="16">
        <f>IF(CurrentMtgRatesDataTable8[[#This Row],[WA CC]]&lt;&gt;0,C1480-CurrentMtgRatesDataTable8[[#This Row],[WA CC]],0)</f>
        <v>0.75941967259826759</v>
      </c>
      <c r="L1481" s="16">
        <f>IF(CurrentMtgRatesDataTable8[[#This Row],[Servicing Spread]]&lt;=0,L1480,CurrentMtgRatesDataTable8[[#This Row],[Servicing Spread]])</f>
        <v>0.75941967259826759</v>
      </c>
      <c r="M1481" s="16">
        <f>CurrentMtgRatesDataTable8[[#This Row],[Servicing Spread Non-Zero]]-L1480</f>
        <v>3.4846113899267284E-2</v>
      </c>
      <c r="N1481" s="16">
        <f>IF(J1480&lt;&gt;0,CurrentMtgRatesDataTable8[[#This Row],[Rate]]-C1480,N1480)</f>
        <v>2.9999999999999361E-2</v>
      </c>
    </row>
    <row r="1482" spans="1:14">
      <c r="A1482" s="39" t="s">
        <v>1534</v>
      </c>
      <c r="B1482" s="40">
        <v>3.4719907313551799</v>
      </c>
      <c r="C1482" s="11">
        <v>4.335</v>
      </c>
      <c r="D1482" s="16">
        <f t="shared" si="161"/>
        <v>1</v>
      </c>
      <c r="E1482" s="16">
        <f t="shared" si="162"/>
        <v>0.2</v>
      </c>
      <c r="F1482" s="16">
        <f t="shared" si="163"/>
        <v>1</v>
      </c>
      <c r="G1482" s="16">
        <f t="shared" si="164"/>
        <v>0.69439814627103602</v>
      </c>
      <c r="H1482" s="16">
        <f t="shared" si="165"/>
        <v>0.2</v>
      </c>
      <c r="I1482" s="16">
        <f t="shared" si="166"/>
        <v>0</v>
      </c>
      <c r="J1482" s="16">
        <f t="shared" si="167"/>
        <v>0</v>
      </c>
      <c r="K1482" s="16">
        <f>IF(CurrentMtgRatesDataTable8[[#This Row],[WA CC]]&lt;&gt;0,C1481-CurrentMtgRatesDataTable8[[#This Row],[WA CC]],0)</f>
        <v>0</v>
      </c>
      <c r="L1482" s="16">
        <f>IF(CurrentMtgRatesDataTable8[[#This Row],[Servicing Spread]]&lt;=0,L1481,CurrentMtgRatesDataTable8[[#This Row],[Servicing Spread]])</f>
        <v>0.75941967259826759</v>
      </c>
      <c r="M1482" s="16">
        <f>CurrentMtgRatesDataTable8[[#This Row],[Servicing Spread Non-Zero]]-L1481</f>
        <v>0</v>
      </c>
      <c r="N1482" s="16">
        <f>IF(J1481&lt;&gt;0,CurrentMtgRatesDataTable8[[#This Row],[Rate]]-C1481,N1481)</f>
        <v>3.0000000000000249E-2</v>
      </c>
    </row>
    <row r="1483" spans="1:14">
      <c r="A1483" s="39" t="s">
        <v>1535</v>
      </c>
      <c r="B1483" s="40">
        <v>3.52897357349757</v>
      </c>
      <c r="C1483" s="11">
        <v>4.335</v>
      </c>
      <c r="D1483" s="16">
        <f t="shared" si="161"/>
        <v>2</v>
      </c>
      <c r="E1483" s="16">
        <f t="shared" si="162"/>
        <v>0.2</v>
      </c>
      <c r="F1483" s="16">
        <f t="shared" si="163"/>
        <v>2</v>
      </c>
      <c r="G1483" s="16">
        <f t="shared" si="164"/>
        <v>1.4001928609705501</v>
      </c>
      <c r="H1483" s="16">
        <f t="shared" si="165"/>
        <v>0.4</v>
      </c>
      <c r="I1483" s="16">
        <f t="shared" si="166"/>
        <v>0</v>
      </c>
      <c r="J1483" s="16">
        <f t="shared" si="167"/>
        <v>0</v>
      </c>
      <c r="K1483" s="16">
        <f>IF(CurrentMtgRatesDataTable8[[#This Row],[WA CC]]&lt;&gt;0,C1482-CurrentMtgRatesDataTable8[[#This Row],[WA CC]],0)</f>
        <v>0</v>
      </c>
      <c r="L1483" s="16">
        <f>IF(CurrentMtgRatesDataTable8[[#This Row],[Servicing Spread]]&lt;=0,L1482,CurrentMtgRatesDataTable8[[#This Row],[Servicing Spread]])</f>
        <v>0.75941967259826759</v>
      </c>
      <c r="M1483" s="16">
        <f>CurrentMtgRatesDataTable8[[#This Row],[Servicing Spread Non-Zero]]-L1482</f>
        <v>0</v>
      </c>
      <c r="N1483" s="16">
        <f>IF(J1482&lt;&gt;0,CurrentMtgRatesDataTable8[[#This Row],[Rate]]-C1482,N1482)</f>
        <v>3.0000000000000249E-2</v>
      </c>
    </row>
    <row r="1484" spans="1:14">
      <c r="A1484" s="39" t="s">
        <v>1536</v>
      </c>
      <c r="B1484" s="40">
        <v>3.5689660499670999</v>
      </c>
      <c r="C1484" s="11">
        <v>4.335</v>
      </c>
      <c r="D1484" s="16">
        <f t="shared" si="161"/>
        <v>5</v>
      </c>
      <c r="E1484" s="16">
        <f t="shared" si="162"/>
        <v>0.2</v>
      </c>
      <c r="F1484" s="16">
        <f t="shared" si="163"/>
        <v>3</v>
      </c>
      <c r="G1484" s="16">
        <f t="shared" si="164"/>
        <v>2.11398607096397</v>
      </c>
      <c r="H1484" s="16">
        <f t="shared" si="165"/>
        <v>0.60000000000000009</v>
      </c>
      <c r="I1484" s="16">
        <f t="shared" si="166"/>
        <v>0</v>
      </c>
      <c r="J1484" s="16">
        <f t="shared" si="167"/>
        <v>0</v>
      </c>
      <c r="K1484" s="16">
        <f>IF(CurrentMtgRatesDataTable8[[#This Row],[WA CC]]&lt;&gt;0,C1483-CurrentMtgRatesDataTable8[[#This Row],[WA CC]],0)</f>
        <v>0</v>
      </c>
      <c r="L1484" s="16">
        <f>IF(CurrentMtgRatesDataTable8[[#This Row],[Servicing Spread]]&lt;=0,L1483,CurrentMtgRatesDataTable8[[#This Row],[Servicing Spread]])</f>
        <v>0.75941967259826759</v>
      </c>
      <c r="M1484" s="16">
        <f>CurrentMtgRatesDataTable8[[#This Row],[Servicing Spread Non-Zero]]-L1483</f>
        <v>0</v>
      </c>
      <c r="N1484" s="16">
        <f>IF(J1483&lt;&gt;0,CurrentMtgRatesDataTable8[[#This Row],[Rate]]-C1483,N1483)</f>
        <v>3.0000000000000249E-2</v>
      </c>
    </row>
    <row r="1485" spans="1:14">
      <c r="A1485" s="39" t="s">
        <v>1537</v>
      </c>
      <c r="B1485" s="40">
        <v>3.5723633622628999</v>
      </c>
      <c r="C1485" s="11">
        <v>4.335</v>
      </c>
      <c r="D1485" s="16">
        <f t="shared" si="161"/>
        <v>6</v>
      </c>
      <c r="E1485" s="16">
        <f t="shared" si="162"/>
        <v>0.2</v>
      </c>
      <c r="F1485" s="16">
        <f t="shared" si="163"/>
        <v>4</v>
      </c>
      <c r="G1485" s="16">
        <f t="shared" si="164"/>
        <v>2.82845874341655</v>
      </c>
      <c r="H1485" s="16">
        <f t="shared" si="165"/>
        <v>0.8</v>
      </c>
      <c r="I1485" s="16">
        <f t="shared" si="166"/>
        <v>0</v>
      </c>
      <c r="J1485" s="16">
        <f t="shared" si="167"/>
        <v>0</v>
      </c>
      <c r="K1485" s="16">
        <f>IF(CurrentMtgRatesDataTable8[[#This Row],[WA CC]]&lt;&gt;0,C1484-CurrentMtgRatesDataTable8[[#This Row],[WA CC]],0)</f>
        <v>0</v>
      </c>
      <c r="L1485" s="16">
        <f>IF(CurrentMtgRatesDataTable8[[#This Row],[Servicing Spread]]&lt;=0,L1484,CurrentMtgRatesDataTable8[[#This Row],[Servicing Spread]])</f>
        <v>0.75941967259826759</v>
      </c>
      <c r="M1485" s="16">
        <f>CurrentMtgRatesDataTable8[[#This Row],[Servicing Spread Non-Zero]]-L1484</f>
        <v>0</v>
      </c>
      <c r="N1485" s="16">
        <f>IF(J1484&lt;&gt;0,CurrentMtgRatesDataTable8[[#This Row],[Rate]]-C1484,N1484)</f>
        <v>3.0000000000000249E-2</v>
      </c>
    </row>
    <row r="1486" spans="1:14">
      <c r="A1486" s="39" t="s">
        <v>1538</v>
      </c>
      <c r="B1486" s="40">
        <v>3.5797788518731699</v>
      </c>
      <c r="C1486" s="11">
        <v>4.335</v>
      </c>
      <c r="D1486" s="16">
        <f t="shared" si="161"/>
        <v>7</v>
      </c>
      <c r="E1486" s="16">
        <f t="shared" si="162"/>
        <v>0.2</v>
      </c>
      <c r="F1486" s="16">
        <f t="shared" si="163"/>
        <v>5</v>
      </c>
      <c r="G1486" s="16">
        <f t="shared" si="164"/>
        <v>3.544414513791184</v>
      </c>
      <c r="H1486" s="16">
        <f t="shared" si="165"/>
        <v>1</v>
      </c>
      <c r="I1486" s="16">
        <f t="shared" si="166"/>
        <v>1</v>
      </c>
      <c r="J1486" s="16">
        <f t="shared" si="167"/>
        <v>3.544414513791184</v>
      </c>
      <c r="K1486" s="16">
        <f>IF(CurrentMtgRatesDataTable8[[#This Row],[WA CC]]&lt;&gt;0,C1485-CurrentMtgRatesDataTable8[[#This Row],[WA CC]],0)</f>
        <v>0.79058548620881597</v>
      </c>
      <c r="L1486" s="16">
        <f>IF(CurrentMtgRatesDataTable8[[#This Row],[Servicing Spread]]&lt;=0,L1485,CurrentMtgRatesDataTable8[[#This Row],[Servicing Spread]])</f>
        <v>0.79058548620881597</v>
      </c>
      <c r="M1486" s="16">
        <f>CurrentMtgRatesDataTable8[[#This Row],[Servicing Spread Non-Zero]]-L1485</f>
        <v>3.1165813610548376E-2</v>
      </c>
      <c r="N1486" s="16">
        <f>IF(J1485&lt;&gt;0,CurrentMtgRatesDataTable8[[#This Row],[Rate]]-C1485,N1485)</f>
        <v>3.0000000000000249E-2</v>
      </c>
    </row>
    <row r="1487" spans="1:14">
      <c r="A1487" s="39" t="s">
        <v>1539</v>
      </c>
      <c r="B1487" s="40">
        <v>3.5507366902833</v>
      </c>
      <c r="C1487" s="11">
        <v>4.3150000000000004</v>
      </c>
      <c r="D1487" s="16">
        <f t="shared" si="161"/>
        <v>1</v>
      </c>
      <c r="E1487" s="16">
        <f t="shared" si="162"/>
        <v>0.2</v>
      </c>
      <c r="F1487" s="16">
        <f t="shared" si="163"/>
        <v>1</v>
      </c>
      <c r="G1487" s="16">
        <f t="shared" si="164"/>
        <v>0.71014733805666008</v>
      </c>
      <c r="H1487" s="16">
        <f t="shared" si="165"/>
        <v>0.2</v>
      </c>
      <c r="I1487" s="16">
        <f t="shared" si="166"/>
        <v>0</v>
      </c>
      <c r="J1487" s="16">
        <f t="shared" si="167"/>
        <v>0</v>
      </c>
      <c r="K1487" s="16">
        <f>IF(CurrentMtgRatesDataTable8[[#This Row],[WA CC]]&lt;&gt;0,C1486-CurrentMtgRatesDataTable8[[#This Row],[WA CC]],0)</f>
        <v>0</v>
      </c>
      <c r="L1487" s="16">
        <f>IF(CurrentMtgRatesDataTable8[[#This Row],[Servicing Spread]]&lt;=0,L1486,CurrentMtgRatesDataTable8[[#This Row],[Servicing Spread]])</f>
        <v>0.79058548620881597</v>
      </c>
      <c r="M1487" s="16">
        <f>CurrentMtgRatesDataTable8[[#This Row],[Servicing Spread Non-Zero]]-L1486</f>
        <v>0</v>
      </c>
      <c r="N1487" s="16">
        <f>IF(J1486&lt;&gt;0,CurrentMtgRatesDataTable8[[#This Row],[Rate]]-C1486,N1486)</f>
        <v>-1.9999999999999574E-2</v>
      </c>
    </row>
    <row r="1488" spans="1:14">
      <c r="A1488" s="39" t="s">
        <v>1540</v>
      </c>
      <c r="B1488" s="40">
        <v>3.56041652676535</v>
      </c>
      <c r="C1488" s="11">
        <v>4.3150000000000004</v>
      </c>
      <c r="D1488" s="16">
        <f t="shared" si="161"/>
        <v>2</v>
      </c>
      <c r="E1488" s="16">
        <f t="shared" si="162"/>
        <v>0.2</v>
      </c>
      <c r="F1488" s="16">
        <f t="shared" si="163"/>
        <v>2</v>
      </c>
      <c r="G1488" s="16">
        <f t="shared" si="164"/>
        <v>1.4222306434097303</v>
      </c>
      <c r="H1488" s="16">
        <f t="shared" si="165"/>
        <v>0.4</v>
      </c>
      <c r="I1488" s="16">
        <f t="shared" si="166"/>
        <v>0</v>
      </c>
      <c r="J1488" s="16">
        <f t="shared" si="167"/>
        <v>0</v>
      </c>
      <c r="K1488" s="16">
        <f>IF(CurrentMtgRatesDataTable8[[#This Row],[WA CC]]&lt;&gt;0,C1487-CurrentMtgRatesDataTable8[[#This Row],[WA CC]],0)</f>
        <v>0</v>
      </c>
      <c r="L1488" s="16">
        <f>IF(CurrentMtgRatesDataTable8[[#This Row],[Servicing Spread]]&lt;=0,L1487,CurrentMtgRatesDataTable8[[#This Row],[Servicing Spread]])</f>
        <v>0.79058548620881597</v>
      </c>
      <c r="M1488" s="16">
        <f>CurrentMtgRatesDataTable8[[#This Row],[Servicing Spread Non-Zero]]-L1487</f>
        <v>0</v>
      </c>
      <c r="N1488" s="16">
        <f>IF(J1487&lt;&gt;0,CurrentMtgRatesDataTable8[[#This Row],[Rate]]-C1487,N1487)</f>
        <v>-1.9999999999999574E-2</v>
      </c>
    </row>
    <row r="1489" spans="1:14">
      <c r="A1489" s="39" t="s">
        <v>1541</v>
      </c>
      <c r="B1489" s="40">
        <v>3.5382606285163201</v>
      </c>
      <c r="C1489" s="11">
        <v>4.3150000000000004</v>
      </c>
      <c r="D1489" s="16">
        <f t="shared" si="161"/>
        <v>5</v>
      </c>
      <c r="E1489" s="16">
        <f t="shared" si="162"/>
        <v>0.2</v>
      </c>
      <c r="F1489" s="16">
        <f t="shared" si="163"/>
        <v>3</v>
      </c>
      <c r="G1489" s="16">
        <f t="shared" si="164"/>
        <v>2.1298827691129945</v>
      </c>
      <c r="H1489" s="16">
        <f t="shared" si="165"/>
        <v>0.60000000000000009</v>
      </c>
      <c r="I1489" s="16">
        <f t="shared" si="166"/>
        <v>0</v>
      </c>
      <c r="J1489" s="16">
        <f t="shared" si="167"/>
        <v>0</v>
      </c>
      <c r="K1489" s="16">
        <f>IF(CurrentMtgRatesDataTable8[[#This Row],[WA CC]]&lt;&gt;0,C1488-CurrentMtgRatesDataTable8[[#This Row],[WA CC]],0)</f>
        <v>0</v>
      </c>
      <c r="L1489" s="16">
        <f>IF(CurrentMtgRatesDataTable8[[#This Row],[Servicing Spread]]&lt;=0,L1488,CurrentMtgRatesDataTable8[[#This Row],[Servicing Spread]])</f>
        <v>0.79058548620881597</v>
      </c>
      <c r="M1489" s="16">
        <f>CurrentMtgRatesDataTable8[[#This Row],[Servicing Spread Non-Zero]]-L1488</f>
        <v>0</v>
      </c>
      <c r="N1489" s="16">
        <f>IF(J1488&lt;&gt;0,CurrentMtgRatesDataTable8[[#This Row],[Rate]]-C1488,N1488)</f>
        <v>-1.9999999999999574E-2</v>
      </c>
    </row>
    <row r="1490" spans="1:14">
      <c r="A1490" s="39" t="s">
        <v>1542</v>
      </c>
      <c r="B1490" s="40">
        <v>3.5273201796000002</v>
      </c>
      <c r="C1490" s="11">
        <v>4.3150000000000004</v>
      </c>
      <c r="D1490" s="16">
        <f t="shared" si="161"/>
        <v>6</v>
      </c>
      <c r="E1490" s="16">
        <f t="shared" si="162"/>
        <v>0.2</v>
      </c>
      <c r="F1490" s="16">
        <f t="shared" si="163"/>
        <v>4</v>
      </c>
      <c r="G1490" s="16">
        <f t="shared" si="164"/>
        <v>2.8353468050329944</v>
      </c>
      <c r="H1490" s="16">
        <f t="shared" si="165"/>
        <v>0.8</v>
      </c>
      <c r="I1490" s="16">
        <f t="shared" si="166"/>
        <v>0</v>
      </c>
      <c r="J1490" s="16">
        <f t="shared" si="167"/>
        <v>0</v>
      </c>
      <c r="K1490" s="16">
        <f>IF(CurrentMtgRatesDataTable8[[#This Row],[WA CC]]&lt;&gt;0,C1489-CurrentMtgRatesDataTable8[[#This Row],[WA CC]],0)</f>
        <v>0</v>
      </c>
      <c r="L1490" s="16">
        <f>IF(CurrentMtgRatesDataTable8[[#This Row],[Servicing Spread]]&lt;=0,L1489,CurrentMtgRatesDataTable8[[#This Row],[Servicing Spread]])</f>
        <v>0.79058548620881597</v>
      </c>
      <c r="M1490" s="16">
        <f>CurrentMtgRatesDataTable8[[#This Row],[Servicing Spread Non-Zero]]-L1489</f>
        <v>0</v>
      </c>
      <c r="N1490" s="16">
        <f>IF(J1489&lt;&gt;0,CurrentMtgRatesDataTable8[[#This Row],[Rate]]-C1489,N1489)</f>
        <v>-1.9999999999999574E-2</v>
      </c>
    </row>
    <row r="1491" spans="1:14">
      <c r="A1491" s="39" t="s">
        <v>1543</v>
      </c>
      <c r="B1491" s="40">
        <v>3.5055716171442399</v>
      </c>
      <c r="C1491" s="11">
        <v>4.3150000000000004</v>
      </c>
      <c r="D1491" s="16">
        <f t="shared" si="161"/>
        <v>7</v>
      </c>
      <c r="E1491" s="16">
        <f t="shared" si="162"/>
        <v>0.2</v>
      </c>
      <c r="F1491" s="16">
        <f t="shared" si="163"/>
        <v>5</v>
      </c>
      <c r="G1491" s="16">
        <f t="shared" si="164"/>
        <v>3.5364611284618426</v>
      </c>
      <c r="H1491" s="16">
        <f t="shared" si="165"/>
        <v>1</v>
      </c>
      <c r="I1491" s="16">
        <f t="shared" si="166"/>
        <v>1</v>
      </c>
      <c r="J1491" s="16">
        <f t="shared" si="167"/>
        <v>3.5364611284618426</v>
      </c>
      <c r="K1491" s="16">
        <f>IF(CurrentMtgRatesDataTable8[[#This Row],[WA CC]]&lt;&gt;0,C1490-CurrentMtgRatesDataTable8[[#This Row],[WA CC]],0)</f>
        <v>0.77853887153815782</v>
      </c>
      <c r="L1491" s="16">
        <f>IF(CurrentMtgRatesDataTable8[[#This Row],[Servicing Spread]]&lt;=0,L1490,CurrentMtgRatesDataTable8[[#This Row],[Servicing Spread]])</f>
        <v>0.77853887153815782</v>
      </c>
      <c r="M1491" s="16">
        <f>CurrentMtgRatesDataTable8[[#This Row],[Servicing Spread Non-Zero]]-L1490</f>
        <v>-1.2046614670658151E-2</v>
      </c>
      <c r="N1491" s="16">
        <f>IF(J1490&lt;&gt;0,CurrentMtgRatesDataTable8[[#This Row],[Rate]]-C1490,N1490)</f>
        <v>-1.9999999999999574E-2</v>
      </c>
    </row>
    <row r="1492" spans="1:14">
      <c r="A1492" s="39" t="s">
        <v>1544</v>
      </c>
      <c r="B1492" s="40">
        <v>3.51167174642812</v>
      </c>
      <c r="C1492" s="11">
        <v>4.3250000000000002</v>
      </c>
      <c r="D1492" s="16">
        <f t="shared" si="161"/>
        <v>1</v>
      </c>
      <c r="E1492" s="16">
        <f t="shared" si="162"/>
        <v>0.2</v>
      </c>
      <c r="F1492" s="16">
        <f t="shared" si="163"/>
        <v>1</v>
      </c>
      <c r="G1492" s="16">
        <f t="shared" si="164"/>
        <v>0.70233434928562399</v>
      </c>
      <c r="H1492" s="16">
        <f t="shared" si="165"/>
        <v>0.2</v>
      </c>
      <c r="I1492" s="16">
        <f t="shared" si="166"/>
        <v>0</v>
      </c>
      <c r="J1492" s="16">
        <f t="shared" si="167"/>
        <v>0</v>
      </c>
      <c r="K1492" s="16">
        <f>IF(CurrentMtgRatesDataTable8[[#This Row],[WA CC]]&lt;&gt;0,C1491-CurrentMtgRatesDataTable8[[#This Row],[WA CC]],0)</f>
        <v>0</v>
      </c>
      <c r="L1492" s="16">
        <f>IF(CurrentMtgRatesDataTable8[[#This Row],[Servicing Spread]]&lt;=0,L1491,CurrentMtgRatesDataTable8[[#This Row],[Servicing Spread]])</f>
        <v>0.77853887153815782</v>
      </c>
      <c r="M1492" s="16">
        <f>CurrentMtgRatesDataTable8[[#This Row],[Servicing Spread Non-Zero]]-L1491</f>
        <v>0</v>
      </c>
      <c r="N1492" s="16">
        <f>IF(J1491&lt;&gt;0,CurrentMtgRatesDataTable8[[#This Row],[Rate]]-C1491,N1491)</f>
        <v>9.9999999999997868E-3</v>
      </c>
    </row>
    <row r="1493" spans="1:14">
      <c r="A1493" s="39" t="s">
        <v>1545</v>
      </c>
      <c r="B1493" s="40">
        <v>3.5317091582472302</v>
      </c>
      <c r="C1493" s="11">
        <v>4.3250000000000002</v>
      </c>
      <c r="D1493" s="16">
        <f t="shared" si="161"/>
        <v>2</v>
      </c>
      <c r="E1493" s="16">
        <f t="shared" si="162"/>
        <v>0.2</v>
      </c>
      <c r="F1493" s="16">
        <f t="shared" si="163"/>
        <v>2</v>
      </c>
      <c r="G1493" s="16">
        <f t="shared" si="164"/>
        <v>1.4086761809350701</v>
      </c>
      <c r="H1493" s="16">
        <f t="shared" si="165"/>
        <v>0.4</v>
      </c>
      <c r="I1493" s="16">
        <f t="shared" si="166"/>
        <v>0</v>
      </c>
      <c r="J1493" s="16">
        <f t="shared" si="167"/>
        <v>0</v>
      </c>
      <c r="K1493" s="16">
        <f>IF(CurrentMtgRatesDataTable8[[#This Row],[WA CC]]&lt;&gt;0,C1492-CurrentMtgRatesDataTable8[[#This Row],[WA CC]],0)</f>
        <v>0</v>
      </c>
      <c r="L1493" s="16">
        <f>IF(CurrentMtgRatesDataTable8[[#This Row],[Servicing Spread]]&lt;=0,L1492,CurrentMtgRatesDataTable8[[#This Row],[Servicing Spread]])</f>
        <v>0.77853887153815782</v>
      </c>
      <c r="M1493" s="16">
        <f>CurrentMtgRatesDataTable8[[#This Row],[Servicing Spread Non-Zero]]-L1492</f>
        <v>0</v>
      </c>
      <c r="N1493" s="16">
        <f>IF(J1492&lt;&gt;0,CurrentMtgRatesDataTable8[[#This Row],[Rate]]-C1492,N1492)</f>
        <v>9.9999999999997868E-3</v>
      </c>
    </row>
    <row r="1494" spans="1:14">
      <c r="A1494" s="39" t="s">
        <v>1546</v>
      </c>
      <c r="B1494" s="40">
        <v>3.5269673777605699</v>
      </c>
      <c r="C1494" s="11">
        <v>4.3250000000000002</v>
      </c>
      <c r="D1494" s="16">
        <f t="shared" si="161"/>
        <v>5</v>
      </c>
      <c r="E1494" s="16">
        <f t="shared" si="162"/>
        <v>0.2</v>
      </c>
      <c r="F1494" s="16">
        <f t="shared" si="163"/>
        <v>3</v>
      </c>
      <c r="G1494" s="16">
        <f t="shared" si="164"/>
        <v>2.1140696564871844</v>
      </c>
      <c r="H1494" s="16">
        <f t="shared" si="165"/>
        <v>0.60000000000000009</v>
      </c>
      <c r="I1494" s="16">
        <f t="shared" si="166"/>
        <v>0</v>
      </c>
      <c r="J1494" s="16">
        <f t="shared" si="167"/>
        <v>0</v>
      </c>
      <c r="K1494" s="16">
        <f>IF(CurrentMtgRatesDataTable8[[#This Row],[WA CC]]&lt;&gt;0,C1493-CurrentMtgRatesDataTable8[[#This Row],[WA CC]],0)</f>
        <v>0</v>
      </c>
      <c r="L1494" s="16">
        <f>IF(CurrentMtgRatesDataTable8[[#This Row],[Servicing Spread]]&lt;=0,L1493,CurrentMtgRatesDataTable8[[#This Row],[Servicing Spread]])</f>
        <v>0.77853887153815782</v>
      </c>
      <c r="M1494" s="16">
        <f>CurrentMtgRatesDataTable8[[#This Row],[Servicing Spread Non-Zero]]-L1493</f>
        <v>0</v>
      </c>
      <c r="N1494" s="16">
        <f>IF(J1493&lt;&gt;0,CurrentMtgRatesDataTable8[[#This Row],[Rate]]-C1493,N1493)</f>
        <v>9.9999999999997868E-3</v>
      </c>
    </row>
    <row r="1495" spans="1:14">
      <c r="A1495" s="39" t="s">
        <v>1547</v>
      </c>
      <c r="B1495" s="40">
        <v>3.5628939188655302</v>
      </c>
      <c r="C1495" s="11">
        <v>4.3250000000000002</v>
      </c>
      <c r="D1495" s="16">
        <f t="shared" si="161"/>
        <v>6</v>
      </c>
      <c r="E1495" s="16">
        <f t="shared" si="162"/>
        <v>0.2</v>
      </c>
      <c r="F1495" s="16">
        <f t="shared" si="163"/>
        <v>4</v>
      </c>
      <c r="G1495" s="16">
        <f t="shared" si="164"/>
        <v>2.8266484402602905</v>
      </c>
      <c r="H1495" s="16">
        <f t="shared" si="165"/>
        <v>0.8</v>
      </c>
      <c r="I1495" s="16">
        <f t="shared" si="166"/>
        <v>0</v>
      </c>
      <c r="J1495" s="16">
        <f t="shared" si="167"/>
        <v>0</v>
      </c>
      <c r="K1495" s="16">
        <f>IF(CurrentMtgRatesDataTable8[[#This Row],[WA CC]]&lt;&gt;0,C1494-CurrentMtgRatesDataTable8[[#This Row],[WA CC]],0)</f>
        <v>0</v>
      </c>
      <c r="L1495" s="16">
        <f>IF(CurrentMtgRatesDataTable8[[#This Row],[Servicing Spread]]&lt;=0,L1494,CurrentMtgRatesDataTable8[[#This Row],[Servicing Spread]])</f>
        <v>0.77853887153815782</v>
      </c>
      <c r="M1495" s="16">
        <f>CurrentMtgRatesDataTable8[[#This Row],[Servicing Spread Non-Zero]]-L1494</f>
        <v>0</v>
      </c>
      <c r="N1495" s="16">
        <f>IF(J1494&lt;&gt;0,CurrentMtgRatesDataTable8[[#This Row],[Rate]]-C1494,N1494)</f>
        <v>9.9999999999997868E-3</v>
      </c>
    </row>
    <row r="1496" spans="1:14">
      <c r="A1496" s="39" t="s">
        <v>1548</v>
      </c>
      <c r="B1496" s="40">
        <v>3.59236327995704</v>
      </c>
      <c r="C1496" s="11">
        <v>4.3250000000000002</v>
      </c>
      <c r="D1496" s="16">
        <f t="shared" si="161"/>
        <v>7</v>
      </c>
      <c r="E1496" s="16">
        <f t="shared" si="162"/>
        <v>0.2</v>
      </c>
      <c r="F1496" s="16">
        <f t="shared" si="163"/>
        <v>5</v>
      </c>
      <c r="G1496" s="16">
        <f t="shared" si="164"/>
        <v>3.5451210962516986</v>
      </c>
      <c r="H1496" s="16">
        <f t="shared" si="165"/>
        <v>1</v>
      </c>
      <c r="I1496" s="16">
        <f t="shared" si="166"/>
        <v>1</v>
      </c>
      <c r="J1496" s="16">
        <f t="shared" si="167"/>
        <v>3.5451210962516986</v>
      </c>
      <c r="K1496" s="16">
        <f>IF(CurrentMtgRatesDataTable8[[#This Row],[WA CC]]&lt;&gt;0,C1495-CurrentMtgRatesDataTable8[[#This Row],[WA CC]],0)</f>
        <v>0.7798789037483016</v>
      </c>
      <c r="L1496" s="16">
        <f>IF(CurrentMtgRatesDataTable8[[#This Row],[Servicing Spread]]&lt;=0,L1495,CurrentMtgRatesDataTable8[[#This Row],[Servicing Spread]])</f>
        <v>0.7798789037483016</v>
      </c>
      <c r="M1496" s="16">
        <f>CurrentMtgRatesDataTable8[[#This Row],[Servicing Spread Non-Zero]]-L1495</f>
        <v>1.3400322101437823E-3</v>
      </c>
      <c r="N1496" s="16">
        <f>IF(J1495&lt;&gt;0,CurrentMtgRatesDataTable8[[#This Row],[Rate]]-C1495,N1495)</f>
        <v>9.9999999999997868E-3</v>
      </c>
    </row>
    <row r="1497" spans="1:14">
      <c r="A1497" s="39" t="s">
        <v>1549</v>
      </c>
      <c r="B1497" s="40">
        <v>3.5172295094235499</v>
      </c>
      <c r="C1497" s="11">
        <v>4.3150000000000004</v>
      </c>
      <c r="D1497" s="16">
        <f t="shared" si="161"/>
        <v>1</v>
      </c>
      <c r="E1497" s="16">
        <f t="shared" si="162"/>
        <v>0.2</v>
      </c>
      <c r="F1497" s="16">
        <f t="shared" si="163"/>
        <v>1</v>
      </c>
      <c r="G1497" s="16">
        <f t="shared" si="164"/>
        <v>0.70344590188471001</v>
      </c>
      <c r="H1497" s="16">
        <f t="shared" si="165"/>
        <v>0.2</v>
      </c>
      <c r="I1497" s="16">
        <f t="shared" si="166"/>
        <v>0</v>
      </c>
      <c r="J1497" s="16">
        <f t="shared" si="167"/>
        <v>0</v>
      </c>
      <c r="K1497" s="16">
        <f>IF(CurrentMtgRatesDataTable8[[#This Row],[WA CC]]&lt;&gt;0,C1496-CurrentMtgRatesDataTable8[[#This Row],[WA CC]],0)</f>
        <v>0</v>
      </c>
      <c r="L1497" s="16">
        <f>IF(CurrentMtgRatesDataTable8[[#This Row],[Servicing Spread]]&lt;=0,L1496,CurrentMtgRatesDataTable8[[#This Row],[Servicing Spread]])</f>
        <v>0.7798789037483016</v>
      </c>
      <c r="M1497" s="16">
        <f>CurrentMtgRatesDataTable8[[#This Row],[Servicing Spread Non-Zero]]-L1496</f>
        <v>0</v>
      </c>
      <c r="N1497" s="16">
        <f>IF(J1496&lt;&gt;0,CurrentMtgRatesDataTable8[[#This Row],[Rate]]-C1496,N1496)</f>
        <v>-9.9999999999997868E-3</v>
      </c>
    </row>
    <row r="1498" spans="1:14">
      <c r="A1498" s="39" t="s">
        <v>1550</v>
      </c>
      <c r="B1498" s="40">
        <v>3.5246562396133601</v>
      </c>
      <c r="C1498" s="11">
        <v>4.3150000000000004</v>
      </c>
      <c r="D1498" s="16">
        <f t="shared" si="161"/>
        <v>2</v>
      </c>
      <c r="E1498" s="16">
        <f t="shared" si="162"/>
        <v>0.2</v>
      </c>
      <c r="F1498" s="16">
        <f t="shared" si="163"/>
        <v>2</v>
      </c>
      <c r="G1498" s="16">
        <f t="shared" si="164"/>
        <v>1.408377149807382</v>
      </c>
      <c r="H1498" s="16">
        <f t="shared" si="165"/>
        <v>0.4</v>
      </c>
      <c r="I1498" s="16">
        <f t="shared" si="166"/>
        <v>0</v>
      </c>
      <c r="J1498" s="16">
        <f t="shared" si="167"/>
        <v>0</v>
      </c>
      <c r="K1498" s="16">
        <f>IF(CurrentMtgRatesDataTable8[[#This Row],[WA CC]]&lt;&gt;0,C1497-CurrentMtgRatesDataTable8[[#This Row],[WA CC]],0)</f>
        <v>0</v>
      </c>
      <c r="L1498" s="16">
        <f>IF(CurrentMtgRatesDataTable8[[#This Row],[Servicing Spread]]&lt;=0,L1497,CurrentMtgRatesDataTable8[[#This Row],[Servicing Spread]])</f>
        <v>0.7798789037483016</v>
      </c>
      <c r="M1498" s="16">
        <f>CurrentMtgRatesDataTable8[[#This Row],[Servicing Spread Non-Zero]]-L1497</f>
        <v>0</v>
      </c>
      <c r="N1498" s="16">
        <f>IF(J1497&lt;&gt;0,CurrentMtgRatesDataTable8[[#This Row],[Rate]]-C1497,N1497)</f>
        <v>-9.9999999999997868E-3</v>
      </c>
    </row>
    <row r="1499" spans="1:14">
      <c r="A1499" s="39" t="s">
        <v>1551</v>
      </c>
      <c r="B1499" s="40">
        <v>3.5369596172053699</v>
      </c>
      <c r="C1499" s="11">
        <v>4.3150000000000004</v>
      </c>
      <c r="D1499" s="16">
        <f t="shared" si="161"/>
        <v>5</v>
      </c>
      <c r="E1499" s="16">
        <f t="shared" si="162"/>
        <v>0.2</v>
      </c>
      <c r="F1499" s="16">
        <f t="shared" si="163"/>
        <v>3</v>
      </c>
      <c r="G1499" s="16">
        <f t="shared" si="164"/>
        <v>2.115769073248456</v>
      </c>
      <c r="H1499" s="16">
        <f t="shared" si="165"/>
        <v>0.60000000000000009</v>
      </c>
      <c r="I1499" s="16">
        <f t="shared" si="166"/>
        <v>0</v>
      </c>
      <c r="J1499" s="16">
        <f t="shared" si="167"/>
        <v>0</v>
      </c>
      <c r="K1499" s="16">
        <f>IF(CurrentMtgRatesDataTable8[[#This Row],[WA CC]]&lt;&gt;0,C1498-CurrentMtgRatesDataTable8[[#This Row],[WA CC]],0)</f>
        <v>0</v>
      </c>
      <c r="L1499" s="16">
        <f>IF(CurrentMtgRatesDataTable8[[#This Row],[Servicing Spread]]&lt;=0,L1498,CurrentMtgRatesDataTable8[[#This Row],[Servicing Spread]])</f>
        <v>0.7798789037483016</v>
      </c>
      <c r="M1499" s="16">
        <f>CurrentMtgRatesDataTable8[[#This Row],[Servicing Spread Non-Zero]]-L1498</f>
        <v>0</v>
      </c>
      <c r="N1499" s="16">
        <f>IF(J1498&lt;&gt;0,CurrentMtgRatesDataTable8[[#This Row],[Rate]]-C1498,N1498)</f>
        <v>-9.9999999999997868E-3</v>
      </c>
    </row>
    <row r="1500" spans="1:14">
      <c r="A1500" s="39" t="s">
        <v>1552</v>
      </c>
      <c r="B1500" s="40">
        <v>3.4893089230960701</v>
      </c>
      <c r="C1500" s="11">
        <v>4.3150000000000004</v>
      </c>
      <c r="D1500" s="16">
        <f t="shared" si="161"/>
        <v>6</v>
      </c>
      <c r="E1500" s="16">
        <f t="shared" si="162"/>
        <v>0.2</v>
      </c>
      <c r="F1500" s="16">
        <f t="shared" si="163"/>
        <v>4</v>
      </c>
      <c r="G1500" s="16">
        <f t="shared" si="164"/>
        <v>2.8136308578676701</v>
      </c>
      <c r="H1500" s="16">
        <f t="shared" si="165"/>
        <v>0.8</v>
      </c>
      <c r="I1500" s="16">
        <f t="shared" si="166"/>
        <v>0</v>
      </c>
      <c r="J1500" s="16">
        <f t="shared" si="167"/>
        <v>0</v>
      </c>
      <c r="K1500" s="16">
        <f>IF(CurrentMtgRatesDataTable8[[#This Row],[WA CC]]&lt;&gt;0,C1499-CurrentMtgRatesDataTable8[[#This Row],[WA CC]],0)</f>
        <v>0</v>
      </c>
      <c r="L1500" s="16">
        <f>IF(CurrentMtgRatesDataTable8[[#This Row],[Servicing Spread]]&lt;=0,L1499,CurrentMtgRatesDataTable8[[#This Row],[Servicing Spread]])</f>
        <v>0.7798789037483016</v>
      </c>
      <c r="M1500" s="16">
        <f>CurrentMtgRatesDataTable8[[#This Row],[Servicing Spread Non-Zero]]-L1499</f>
        <v>0</v>
      </c>
      <c r="N1500" s="16">
        <f>IF(J1499&lt;&gt;0,CurrentMtgRatesDataTable8[[#This Row],[Rate]]-C1499,N1499)</f>
        <v>-9.9999999999997868E-3</v>
      </c>
    </row>
    <row r="1501" spans="1:14">
      <c r="A1501" s="39" t="s">
        <v>1553</v>
      </c>
      <c r="B1501" s="40">
        <v>3.4869782671275402</v>
      </c>
      <c r="C1501" s="11">
        <v>4.3150000000000004</v>
      </c>
      <c r="D1501" s="16">
        <f t="shared" si="161"/>
        <v>7</v>
      </c>
      <c r="E1501" s="16">
        <f t="shared" si="162"/>
        <v>0.2</v>
      </c>
      <c r="F1501" s="16">
        <f t="shared" si="163"/>
        <v>5</v>
      </c>
      <c r="G1501" s="16">
        <f t="shared" si="164"/>
        <v>3.5110265112931782</v>
      </c>
      <c r="H1501" s="16">
        <f t="shared" si="165"/>
        <v>1</v>
      </c>
      <c r="I1501" s="16">
        <f t="shared" si="166"/>
        <v>1</v>
      </c>
      <c r="J1501" s="16">
        <f t="shared" si="167"/>
        <v>3.5110265112931782</v>
      </c>
      <c r="K1501" s="16">
        <f>IF(CurrentMtgRatesDataTable8[[#This Row],[WA CC]]&lt;&gt;0,C1500-CurrentMtgRatesDataTable8[[#This Row],[WA CC]],0)</f>
        <v>0.80397348870682217</v>
      </c>
      <c r="L1501" s="16">
        <f>IF(CurrentMtgRatesDataTable8[[#This Row],[Servicing Spread]]&lt;=0,L1500,CurrentMtgRatesDataTable8[[#This Row],[Servicing Spread]])</f>
        <v>0.80397348870682217</v>
      </c>
      <c r="M1501" s="16">
        <f>CurrentMtgRatesDataTable8[[#This Row],[Servicing Spread Non-Zero]]-L1500</f>
        <v>2.4094584958520571E-2</v>
      </c>
      <c r="N1501" s="16">
        <f>IF(J1500&lt;&gt;0,CurrentMtgRatesDataTable8[[#This Row],[Rate]]-C1500,N1500)</f>
        <v>-9.9999999999997868E-3</v>
      </c>
    </row>
    <row r="1502" spans="1:14">
      <c r="A1502" s="39" t="s">
        <v>1554</v>
      </c>
      <c r="B1502" s="40">
        <v>3.4548254829851501</v>
      </c>
      <c r="C1502" s="11">
        <v>4.2750000000000004</v>
      </c>
      <c r="D1502" s="16">
        <f t="shared" si="161"/>
        <v>1</v>
      </c>
      <c r="E1502" s="16">
        <f t="shared" si="162"/>
        <v>0.2</v>
      </c>
      <c r="F1502" s="16">
        <f t="shared" si="163"/>
        <v>1</v>
      </c>
      <c r="G1502" s="16">
        <f t="shared" si="164"/>
        <v>0.69096509659703009</v>
      </c>
      <c r="H1502" s="16">
        <f t="shared" si="165"/>
        <v>0.2</v>
      </c>
      <c r="I1502" s="16">
        <f t="shared" si="166"/>
        <v>0</v>
      </c>
      <c r="J1502" s="16">
        <f t="shared" si="167"/>
        <v>0</v>
      </c>
      <c r="K1502" s="16">
        <f>IF(CurrentMtgRatesDataTable8[[#This Row],[WA CC]]&lt;&gt;0,C1501-CurrentMtgRatesDataTable8[[#This Row],[WA CC]],0)</f>
        <v>0</v>
      </c>
      <c r="L1502" s="16">
        <f>IF(CurrentMtgRatesDataTable8[[#This Row],[Servicing Spread]]&lt;=0,L1501,CurrentMtgRatesDataTable8[[#This Row],[Servicing Spread]])</f>
        <v>0.80397348870682217</v>
      </c>
      <c r="M1502" s="16">
        <f>CurrentMtgRatesDataTable8[[#This Row],[Servicing Spread Non-Zero]]-L1501</f>
        <v>0</v>
      </c>
      <c r="N1502" s="16">
        <f>IF(J1501&lt;&gt;0,CurrentMtgRatesDataTable8[[#This Row],[Rate]]-C1501,N1501)</f>
        <v>-4.0000000000000036E-2</v>
      </c>
    </row>
    <row r="1503" spans="1:14">
      <c r="A1503" s="39" t="s">
        <v>1555</v>
      </c>
      <c r="B1503" s="40">
        <v>3.45942644841069</v>
      </c>
      <c r="C1503" s="11">
        <v>4.2750000000000004</v>
      </c>
      <c r="D1503" s="16">
        <f t="shared" si="161"/>
        <v>5</v>
      </c>
      <c r="E1503" s="16">
        <f t="shared" si="162"/>
        <v>0.2</v>
      </c>
      <c r="F1503" s="16">
        <f t="shared" si="163"/>
        <v>2</v>
      </c>
      <c r="G1503" s="16">
        <f t="shared" si="164"/>
        <v>1.3828503862791681</v>
      </c>
      <c r="H1503" s="16">
        <f t="shared" si="165"/>
        <v>0.4</v>
      </c>
      <c r="I1503" s="16">
        <f t="shared" si="166"/>
        <v>0</v>
      </c>
      <c r="J1503" s="16">
        <f t="shared" si="167"/>
        <v>0</v>
      </c>
      <c r="K1503" s="16">
        <f>IF(CurrentMtgRatesDataTable8[[#This Row],[WA CC]]&lt;&gt;0,C1502-CurrentMtgRatesDataTable8[[#This Row],[WA CC]],0)</f>
        <v>0</v>
      </c>
      <c r="L1503" s="16">
        <f>IF(CurrentMtgRatesDataTable8[[#This Row],[Servicing Spread]]&lt;=0,L1502,CurrentMtgRatesDataTable8[[#This Row],[Servicing Spread]])</f>
        <v>0.80397348870682217</v>
      </c>
      <c r="M1503" s="16">
        <f>CurrentMtgRatesDataTable8[[#This Row],[Servicing Spread Non-Zero]]-L1502</f>
        <v>0</v>
      </c>
      <c r="N1503" s="16">
        <f>IF(J1502&lt;&gt;0,CurrentMtgRatesDataTable8[[#This Row],[Rate]]-C1502,N1502)</f>
        <v>-4.0000000000000036E-2</v>
      </c>
    </row>
    <row r="1504" spans="1:14">
      <c r="A1504" s="39" t="s">
        <v>1556</v>
      </c>
      <c r="B1504" s="40">
        <v>3.4920189409098699</v>
      </c>
      <c r="C1504" s="11">
        <v>4.2750000000000004</v>
      </c>
      <c r="D1504" s="16">
        <f t="shared" si="161"/>
        <v>6</v>
      </c>
      <c r="E1504" s="16">
        <f t="shared" si="162"/>
        <v>0.2</v>
      </c>
      <c r="F1504" s="16">
        <f t="shared" si="163"/>
        <v>3</v>
      </c>
      <c r="G1504" s="16">
        <f t="shared" si="164"/>
        <v>2.0812541744611419</v>
      </c>
      <c r="H1504" s="16">
        <f t="shared" si="165"/>
        <v>0.60000000000000009</v>
      </c>
      <c r="I1504" s="16">
        <f t="shared" si="166"/>
        <v>0</v>
      </c>
      <c r="J1504" s="16">
        <f t="shared" si="167"/>
        <v>0</v>
      </c>
      <c r="K1504" s="16">
        <f>IF(CurrentMtgRatesDataTable8[[#This Row],[WA CC]]&lt;&gt;0,C1503-CurrentMtgRatesDataTable8[[#This Row],[WA CC]],0)</f>
        <v>0</v>
      </c>
      <c r="L1504" s="16">
        <f>IF(CurrentMtgRatesDataTable8[[#This Row],[Servicing Spread]]&lt;=0,L1503,CurrentMtgRatesDataTable8[[#This Row],[Servicing Spread]])</f>
        <v>0.80397348870682217</v>
      </c>
      <c r="M1504" s="16">
        <f>CurrentMtgRatesDataTable8[[#This Row],[Servicing Spread Non-Zero]]-L1503</f>
        <v>0</v>
      </c>
      <c r="N1504" s="16">
        <f>IF(J1503&lt;&gt;0,CurrentMtgRatesDataTable8[[#This Row],[Rate]]-C1503,N1503)</f>
        <v>-4.0000000000000036E-2</v>
      </c>
    </row>
    <row r="1505" spans="1:14">
      <c r="A1505" s="39" t="s">
        <v>1557</v>
      </c>
      <c r="B1505" s="40">
        <v>3.4867371167007999</v>
      </c>
      <c r="C1505" s="11">
        <v>4.2750000000000004</v>
      </c>
      <c r="D1505" s="16">
        <f t="shared" si="161"/>
        <v>7</v>
      </c>
      <c r="E1505" s="16">
        <f t="shared" si="162"/>
        <v>0.2</v>
      </c>
      <c r="F1505" s="16">
        <f t="shared" si="163"/>
        <v>4</v>
      </c>
      <c r="G1505" s="16">
        <f t="shared" si="164"/>
        <v>2.7786015978013019</v>
      </c>
      <c r="H1505" s="16">
        <f t="shared" si="165"/>
        <v>0.8</v>
      </c>
      <c r="I1505" s="16">
        <f t="shared" si="166"/>
        <v>1</v>
      </c>
      <c r="J1505" s="16">
        <f t="shared" si="167"/>
        <v>3.4732519972516274</v>
      </c>
      <c r="K1505" s="16">
        <f>IF(CurrentMtgRatesDataTable8[[#This Row],[WA CC]]&lt;&gt;0,C1504-CurrentMtgRatesDataTable8[[#This Row],[WA CC]],0)</f>
        <v>0.80174800274837299</v>
      </c>
      <c r="L1505" s="16">
        <f>IF(CurrentMtgRatesDataTable8[[#This Row],[Servicing Spread]]&lt;=0,L1504,CurrentMtgRatesDataTable8[[#This Row],[Servicing Spread]])</f>
        <v>0.80174800274837299</v>
      </c>
      <c r="M1505" s="16">
        <f>CurrentMtgRatesDataTable8[[#This Row],[Servicing Spread Non-Zero]]-L1504</f>
        <v>-2.2254859584491804E-3</v>
      </c>
      <c r="N1505" s="16">
        <f>IF(J1504&lt;&gt;0,CurrentMtgRatesDataTable8[[#This Row],[Rate]]-C1504,N1504)</f>
        <v>-4.0000000000000036E-2</v>
      </c>
    </row>
    <row r="1506" spans="1:14">
      <c r="A1506" s="39" t="s">
        <v>1558</v>
      </c>
      <c r="B1506" s="40">
        <v>3.5070823160486202</v>
      </c>
      <c r="C1506" s="11">
        <v>4.2699999999999996</v>
      </c>
      <c r="D1506" s="16">
        <f t="shared" si="161"/>
        <v>1</v>
      </c>
      <c r="E1506" s="16">
        <f t="shared" si="162"/>
        <v>0.2</v>
      </c>
      <c r="F1506" s="16">
        <f t="shared" si="163"/>
        <v>1</v>
      </c>
      <c r="G1506" s="16">
        <f t="shared" si="164"/>
        <v>0.70141646320972406</v>
      </c>
      <c r="H1506" s="16">
        <f t="shared" si="165"/>
        <v>0.2</v>
      </c>
      <c r="I1506" s="16">
        <f t="shared" si="166"/>
        <v>0</v>
      </c>
      <c r="J1506" s="16">
        <f t="shared" si="167"/>
        <v>0</v>
      </c>
      <c r="K1506" s="16">
        <f>IF(CurrentMtgRatesDataTable8[[#This Row],[WA CC]]&lt;&gt;0,C1505-CurrentMtgRatesDataTable8[[#This Row],[WA CC]],0)</f>
        <v>0</v>
      </c>
      <c r="L1506" s="16">
        <f>IF(CurrentMtgRatesDataTable8[[#This Row],[Servicing Spread]]&lt;=0,L1505,CurrentMtgRatesDataTable8[[#This Row],[Servicing Spread]])</f>
        <v>0.80174800274837299</v>
      </c>
      <c r="M1506" s="16">
        <f>CurrentMtgRatesDataTable8[[#This Row],[Servicing Spread Non-Zero]]-L1505</f>
        <v>0</v>
      </c>
      <c r="N1506" s="16">
        <f>IF(J1505&lt;&gt;0,CurrentMtgRatesDataTable8[[#This Row],[Rate]]-C1505,N1505)</f>
        <v>-5.0000000000007816E-3</v>
      </c>
    </row>
    <row r="1507" spans="1:14">
      <c r="A1507" s="39" t="s">
        <v>1559</v>
      </c>
      <c r="B1507" s="40">
        <v>3.46895589474601</v>
      </c>
      <c r="C1507" s="11">
        <v>4.2699999999999996</v>
      </c>
      <c r="D1507" s="16">
        <f t="shared" si="161"/>
        <v>2</v>
      </c>
      <c r="E1507" s="16">
        <f t="shared" si="162"/>
        <v>0.2</v>
      </c>
      <c r="F1507" s="16">
        <f t="shared" si="163"/>
        <v>2</v>
      </c>
      <c r="G1507" s="16">
        <f t="shared" si="164"/>
        <v>1.3952076421589261</v>
      </c>
      <c r="H1507" s="16">
        <f t="shared" si="165"/>
        <v>0.4</v>
      </c>
      <c r="I1507" s="16">
        <f t="shared" si="166"/>
        <v>0</v>
      </c>
      <c r="J1507" s="16">
        <f t="shared" si="167"/>
        <v>0</v>
      </c>
      <c r="K1507" s="16">
        <f>IF(CurrentMtgRatesDataTable8[[#This Row],[WA CC]]&lt;&gt;0,C1506-CurrentMtgRatesDataTable8[[#This Row],[WA CC]],0)</f>
        <v>0</v>
      </c>
      <c r="L1507" s="16">
        <f>IF(CurrentMtgRatesDataTable8[[#This Row],[Servicing Spread]]&lt;=0,L1506,CurrentMtgRatesDataTable8[[#This Row],[Servicing Spread]])</f>
        <v>0.80174800274837299</v>
      </c>
      <c r="M1507" s="16">
        <f>CurrentMtgRatesDataTable8[[#This Row],[Servicing Spread Non-Zero]]-L1506</f>
        <v>0</v>
      </c>
      <c r="N1507" s="16">
        <f>IF(J1506&lt;&gt;0,CurrentMtgRatesDataTable8[[#This Row],[Rate]]-C1506,N1506)</f>
        <v>-5.0000000000007816E-3</v>
      </c>
    </row>
    <row r="1508" spans="1:14">
      <c r="A1508" s="39" t="s">
        <v>1560</v>
      </c>
      <c r="B1508" s="40">
        <v>3.4781948254524901</v>
      </c>
      <c r="C1508" s="11">
        <v>4.2699999999999996</v>
      </c>
      <c r="D1508" s="16">
        <f t="shared" si="161"/>
        <v>5</v>
      </c>
      <c r="E1508" s="16">
        <f t="shared" si="162"/>
        <v>0.2</v>
      </c>
      <c r="F1508" s="16">
        <f t="shared" si="163"/>
        <v>3</v>
      </c>
      <c r="G1508" s="16">
        <f t="shared" si="164"/>
        <v>2.0908466072494241</v>
      </c>
      <c r="H1508" s="16">
        <f t="shared" si="165"/>
        <v>0.60000000000000009</v>
      </c>
      <c r="I1508" s="16">
        <f t="shared" si="166"/>
        <v>0</v>
      </c>
      <c r="J1508" s="16">
        <f t="shared" si="167"/>
        <v>0</v>
      </c>
      <c r="K1508" s="16">
        <f>IF(CurrentMtgRatesDataTable8[[#This Row],[WA CC]]&lt;&gt;0,C1507-CurrentMtgRatesDataTable8[[#This Row],[WA CC]],0)</f>
        <v>0</v>
      </c>
      <c r="L1508" s="16">
        <f>IF(CurrentMtgRatesDataTable8[[#This Row],[Servicing Spread]]&lt;=0,L1507,CurrentMtgRatesDataTable8[[#This Row],[Servicing Spread]])</f>
        <v>0.80174800274837299</v>
      </c>
      <c r="M1508" s="16">
        <f>CurrentMtgRatesDataTable8[[#This Row],[Servicing Spread Non-Zero]]-L1507</f>
        <v>0</v>
      </c>
      <c r="N1508" s="16">
        <f>IF(J1507&lt;&gt;0,CurrentMtgRatesDataTable8[[#This Row],[Rate]]-C1507,N1507)</f>
        <v>-5.0000000000007816E-3</v>
      </c>
    </row>
    <row r="1509" spans="1:14">
      <c r="A1509" s="39" t="s">
        <v>1561</v>
      </c>
      <c r="B1509" s="40">
        <v>3.4963252770027902</v>
      </c>
      <c r="C1509" s="11">
        <v>4.2699999999999996</v>
      </c>
      <c r="D1509" s="16">
        <f t="shared" si="161"/>
        <v>6</v>
      </c>
      <c r="E1509" s="16">
        <f t="shared" si="162"/>
        <v>0.2</v>
      </c>
      <c r="F1509" s="16">
        <f t="shared" si="163"/>
        <v>4</v>
      </c>
      <c r="G1509" s="16">
        <f t="shared" si="164"/>
        <v>2.790111662649982</v>
      </c>
      <c r="H1509" s="16">
        <f t="shared" si="165"/>
        <v>0.8</v>
      </c>
      <c r="I1509" s="16">
        <f t="shared" si="166"/>
        <v>0</v>
      </c>
      <c r="J1509" s="16">
        <f t="shared" si="167"/>
        <v>0</v>
      </c>
      <c r="K1509" s="16">
        <f>IF(CurrentMtgRatesDataTable8[[#This Row],[WA CC]]&lt;&gt;0,C1508-CurrentMtgRatesDataTable8[[#This Row],[WA CC]],0)</f>
        <v>0</v>
      </c>
      <c r="L1509" s="16">
        <f>IF(CurrentMtgRatesDataTable8[[#This Row],[Servicing Spread]]&lt;=0,L1508,CurrentMtgRatesDataTable8[[#This Row],[Servicing Spread]])</f>
        <v>0.80174800274837299</v>
      </c>
      <c r="M1509" s="16">
        <f>CurrentMtgRatesDataTable8[[#This Row],[Servicing Spread Non-Zero]]-L1508</f>
        <v>0</v>
      </c>
      <c r="N1509" s="16">
        <f>IF(J1508&lt;&gt;0,CurrentMtgRatesDataTable8[[#This Row],[Rate]]-C1508,N1508)</f>
        <v>-5.0000000000007816E-3</v>
      </c>
    </row>
    <row r="1510" spans="1:14">
      <c r="A1510" s="39" t="s">
        <v>1562</v>
      </c>
      <c r="B1510" s="40">
        <v>3.4796838081033101</v>
      </c>
      <c r="C1510" s="11">
        <v>4.2699999999999996</v>
      </c>
      <c r="D1510" s="16">
        <f t="shared" si="161"/>
        <v>7</v>
      </c>
      <c r="E1510" s="16">
        <f t="shared" si="162"/>
        <v>0.2</v>
      </c>
      <c r="F1510" s="16">
        <f t="shared" si="163"/>
        <v>5</v>
      </c>
      <c r="G1510" s="16">
        <f t="shared" si="164"/>
        <v>3.4860484242706442</v>
      </c>
      <c r="H1510" s="16">
        <f t="shared" si="165"/>
        <v>1</v>
      </c>
      <c r="I1510" s="16">
        <f t="shared" si="166"/>
        <v>1</v>
      </c>
      <c r="J1510" s="16">
        <f t="shared" si="167"/>
        <v>3.4860484242706442</v>
      </c>
      <c r="K1510" s="16">
        <f>IF(CurrentMtgRatesDataTable8[[#This Row],[WA CC]]&lt;&gt;0,C1509-CurrentMtgRatesDataTable8[[#This Row],[WA CC]],0)</f>
        <v>0.78395157572935537</v>
      </c>
      <c r="L1510" s="16">
        <f>IF(CurrentMtgRatesDataTable8[[#This Row],[Servicing Spread]]&lt;=0,L1509,CurrentMtgRatesDataTable8[[#This Row],[Servicing Spread]])</f>
        <v>0.78395157572935537</v>
      </c>
      <c r="M1510" s="16">
        <f>CurrentMtgRatesDataTable8[[#This Row],[Servicing Spread Non-Zero]]-L1509</f>
        <v>-1.7796427019017624E-2</v>
      </c>
      <c r="N1510" s="16">
        <f>IF(J1509&lt;&gt;0,CurrentMtgRatesDataTable8[[#This Row],[Rate]]-C1509,N1509)</f>
        <v>-5.0000000000007816E-3</v>
      </c>
    </row>
    <row r="1511" spans="1:14">
      <c r="A1511" s="39" t="s">
        <v>1563</v>
      </c>
      <c r="B1511" s="40">
        <v>3.5240848548702401</v>
      </c>
      <c r="C1511" s="11">
        <v>4.3449999999999998</v>
      </c>
      <c r="D1511" s="16">
        <f t="shared" si="161"/>
        <v>1</v>
      </c>
      <c r="E1511" s="16">
        <f t="shared" si="162"/>
        <v>0.2</v>
      </c>
      <c r="F1511" s="16">
        <f t="shared" si="163"/>
        <v>1</v>
      </c>
      <c r="G1511" s="16">
        <f t="shared" si="164"/>
        <v>0.70481697097404805</v>
      </c>
      <c r="H1511" s="16">
        <f t="shared" si="165"/>
        <v>0.2</v>
      </c>
      <c r="I1511" s="16">
        <f t="shared" si="166"/>
        <v>0</v>
      </c>
      <c r="J1511" s="16">
        <f t="shared" si="167"/>
        <v>0</v>
      </c>
      <c r="K1511" s="16">
        <f>IF(CurrentMtgRatesDataTable8[[#This Row],[WA CC]]&lt;&gt;0,C1510-CurrentMtgRatesDataTable8[[#This Row],[WA CC]],0)</f>
        <v>0</v>
      </c>
      <c r="L1511" s="16">
        <f>IF(CurrentMtgRatesDataTable8[[#This Row],[Servicing Spread]]&lt;=0,L1510,CurrentMtgRatesDataTable8[[#This Row],[Servicing Spread]])</f>
        <v>0.78395157572935537</v>
      </c>
      <c r="M1511" s="16">
        <f>CurrentMtgRatesDataTable8[[#This Row],[Servicing Spread Non-Zero]]-L1510</f>
        <v>0</v>
      </c>
      <c r="N1511" s="16">
        <f>IF(J1510&lt;&gt;0,CurrentMtgRatesDataTable8[[#This Row],[Rate]]-C1510,N1510)</f>
        <v>7.5000000000000178E-2</v>
      </c>
    </row>
    <row r="1512" spans="1:14">
      <c r="A1512" s="39" t="s">
        <v>1564</v>
      </c>
      <c r="B1512" s="40">
        <v>3.5185369678071501</v>
      </c>
      <c r="C1512" s="11">
        <v>4.3449999999999998</v>
      </c>
      <c r="D1512" s="16">
        <f t="shared" si="161"/>
        <v>2</v>
      </c>
      <c r="E1512" s="16">
        <f t="shared" si="162"/>
        <v>0.2</v>
      </c>
      <c r="F1512" s="16">
        <f t="shared" si="163"/>
        <v>2</v>
      </c>
      <c r="G1512" s="16">
        <f t="shared" si="164"/>
        <v>1.4085243645354781</v>
      </c>
      <c r="H1512" s="16">
        <f t="shared" si="165"/>
        <v>0.4</v>
      </c>
      <c r="I1512" s="16">
        <f t="shared" si="166"/>
        <v>0</v>
      </c>
      <c r="J1512" s="16">
        <f t="shared" si="167"/>
        <v>0</v>
      </c>
      <c r="K1512" s="16">
        <f>IF(CurrentMtgRatesDataTable8[[#This Row],[WA CC]]&lt;&gt;0,C1511-CurrentMtgRatesDataTable8[[#This Row],[WA CC]],0)</f>
        <v>0</v>
      </c>
      <c r="L1512" s="16">
        <f>IF(CurrentMtgRatesDataTable8[[#This Row],[Servicing Spread]]&lt;=0,L1511,CurrentMtgRatesDataTable8[[#This Row],[Servicing Spread]])</f>
        <v>0.78395157572935537</v>
      </c>
      <c r="M1512" s="16">
        <f>CurrentMtgRatesDataTable8[[#This Row],[Servicing Spread Non-Zero]]-L1511</f>
        <v>0</v>
      </c>
      <c r="N1512" s="16">
        <f>IF(J1511&lt;&gt;0,CurrentMtgRatesDataTable8[[#This Row],[Rate]]-C1511,N1511)</f>
        <v>7.5000000000000178E-2</v>
      </c>
    </row>
    <row r="1513" spans="1:14">
      <c r="A1513" s="39" t="s">
        <v>1565</v>
      </c>
      <c r="B1513" s="40">
        <v>3.5091966978670501</v>
      </c>
      <c r="C1513" s="11">
        <v>4.3449999999999998</v>
      </c>
      <c r="D1513" s="16">
        <f t="shared" si="161"/>
        <v>5</v>
      </c>
      <c r="E1513" s="16">
        <f t="shared" si="162"/>
        <v>0.2</v>
      </c>
      <c r="F1513" s="16">
        <f t="shared" si="163"/>
        <v>3</v>
      </c>
      <c r="G1513" s="16">
        <f t="shared" si="164"/>
        <v>2.1103637041088881</v>
      </c>
      <c r="H1513" s="16">
        <f t="shared" si="165"/>
        <v>0.60000000000000009</v>
      </c>
      <c r="I1513" s="16">
        <f t="shared" si="166"/>
        <v>0</v>
      </c>
      <c r="J1513" s="16">
        <f t="shared" si="167"/>
        <v>0</v>
      </c>
      <c r="K1513" s="16">
        <f>IF(CurrentMtgRatesDataTable8[[#This Row],[WA CC]]&lt;&gt;0,C1512-CurrentMtgRatesDataTable8[[#This Row],[WA CC]],0)</f>
        <v>0</v>
      </c>
      <c r="L1513" s="16">
        <f>IF(CurrentMtgRatesDataTable8[[#This Row],[Servicing Spread]]&lt;=0,L1512,CurrentMtgRatesDataTable8[[#This Row],[Servicing Spread]])</f>
        <v>0.78395157572935537</v>
      </c>
      <c r="M1513" s="16">
        <f>CurrentMtgRatesDataTable8[[#This Row],[Servicing Spread Non-Zero]]-L1512</f>
        <v>0</v>
      </c>
      <c r="N1513" s="16">
        <f>IF(J1512&lt;&gt;0,CurrentMtgRatesDataTable8[[#This Row],[Rate]]-C1512,N1512)</f>
        <v>7.5000000000000178E-2</v>
      </c>
    </row>
    <row r="1514" spans="1:14">
      <c r="A1514" s="39" t="s">
        <v>1566</v>
      </c>
      <c r="B1514" s="40">
        <v>3.4970484240187401</v>
      </c>
      <c r="C1514" s="11">
        <v>4.3449999999999998</v>
      </c>
      <c r="D1514" s="16">
        <f t="shared" si="161"/>
        <v>6</v>
      </c>
      <c r="E1514" s="16">
        <f t="shared" si="162"/>
        <v>0.2</v>
      </c>
      <c r="F1514" s="16">
        <f t="shared" si="163"/>
        <v>4</v>
      </c>
      <c r="G1514" s="16">
        <f t="shared" si="164"/>
        <v>2.8097733889126362</v>
      </c>
      <c r="H1514" s="16">
        <f t="shared" si="165"/>
        <v>0.8</v>
      </c>
      <c r="I1514" s="16">
        <f t="shared" si="166"/>
        <v>0</v>
      </c>
      <c r="J1514" s="16">
        <f t="shared" si="167"/>
        <v>0</v>
      </c>
      <c r="K1514" s="16">
        <f>IF(CurrentMtgRatesDataTable8[[#This Row],[WA CC]]&lt;&gt;0,C1513-CurrentMtgRatesDataTable8[[#This Row],[WA CC]],0)</f>
        <v>0</v>
      </c>
      <c r="L1514" s="16">
        <f>IF(CurrentMtgRatesDataTable8[[#This Row],[Servicing Spread]]&lt;=0,L1513,CurrentMtgRatesDataTable8[[#This Row],[Servicing Spread]])</f>
        <v>0.78395157572935537</v>
      </c>
      <c r="M1514" s="16">
        <f>CurrentMtgRatesDataTable8[[#This Row],[Servicing Spread Non-Zero]]-L1513</f>
        <v>0</v>
      </c>
      <c r="N1514" s="16">
        <f>IF(J1513&lt;&gt;0,CurrentMtgRatesDataTable8[[#This Row],[Rate]]-C1513,N1513)</f>
        <v>7.5000000000000178E-2</v>
      </c>
    </row>
    <row r="1515" spans="1:14">
      <c r="A1515" s="39" t="s">
        <v>1567</v>
      </c>
      <c r="B1515" s="40">
        <v>3.5499313727394499</v>
      </c>
      <c r="C1515" s="11">
        <v>4.3449999999999998</v>
      </c>
      <c r="D1515" s="16">
        <f t="shared" si="161"/>
        <v>7</v>
      </c>
      <c r="E1515" s="16">
        <f t="shared" si="162"/>
        <v>0.2</v>
      </c>
      <c r="F1515" s="16">
        <f t="shared" si="163"/>
        <v>5</v>
      </c>
      <c r="G1515" s="16">
        <f t="shared" si="164"/>
        <v>3.5197596634605262</v>
      </c>
      <c r="H1515" s="16">
        <f t="shared" si="165"/>
        <v>1</v>
      </c>
      <c r="I1515" s="16">
        <f t="shared" si="166"/>
        <v>1</v>
      </c>
      <c r="J1515" s="16">
        <f t="shared" si="167"/>
        <v>3.5197596634605262</v>
      </c>
      <c r="K1515" s="16">
        <f>IF(CurrentMtgRatesDataTable8[[#This Row],[WA CC]]&lt;&gt;0,C1514-CurrentMtgRatesDataTable8[[#This Row],[WA CC]],0)</f>
        <v>0.8252403365394736</v>
      </c>
      <c r="L1515" s="16">
        <f>IF(CurrentMtgRatesDataTable8[[#This Row],[Servicing Spread]]&lt;=0,L1514,CurrentMtgRatesDataTable8[[#This Row],[Servicing Spread]])</f>
        <v>0.8252403365394736</v>
      </c>
      <c r="M1515" s="16">
        <f>CurrentMtgRatesDataTable8[[#This Row],[Servicing Spread Non-Zero]]-L1514</f>
        <v>4.128876081011823E-2</v>
      </c>
      <c r="N1515" s="16">
        <f>IF(J1514&lt;&gt;0,CurrentMtgRatesDataTable8[[#This Row],[Rate]]-C1514,N1514)</f>
        <v>7.5000000000000178E-2</v>
      </c>
    </row>
    <row r="1516" spans="1:14">
      <c r="A1516" s="39" t="s">
        <v>1568</v>
      </c>
      <c r="B1516" s="40">
        <v>3.5902592040672601</v>
      </c>
      <c r="C1516" s="11">
        <v>4.4550000000000001</v>
      </c>
      <c r="D1516" s="16">
        <f t="shared" si="161"/>
        <v>1</v>
      </c>
      <c r="E1516" s="16">
        <f t="shared" si="162"/>
        <v>0.2</v>
      </c>
      <c r="F1516" s="16">
        <f t="shared" si="163"/>
        <v>1</v>
      </c>
      <c r="G1516" s="16">
        <f t="shared" si="164"/>
        <v>0.71805184081345208</v>
      </c>
      <c r="H1516" s="16">
        <f t="shared" si="165"/>
        <v>0.2</v>
      </c>
      <c r="I1516" s="16">
        <f t="shared" si="166"/>
        <v>0</v>
      </c>
      <c r="J1516" s="16">
        <f t="shared" si="167"/>
        <v>0</v>
      </c>
      <c r="K1516" s="16">
        <f>IF(CurrentMtgRatesDataTable8[[#This Row],[WA CC]]&lt;&gt;0,C1515-CurrentMtgRatesDataTable8[[#This Row],[WA CC]],0)</f>
        <v>0</v>
      </c>
      <c r="L1516" s="16">
        <f>IF(CurrentMtgRatesDataTable8[[#This Row],[Servicing Spread]]&lt;=0,L1515,CurrentMtgRatesDataTable8[[#This Row],[Servicing Spread]])</f>
        <v>0.8252403365394736</v>
      </c>
      <c r="M1516" s="16">
        <f>CurrentMtgRatesDataTable8[[#This Row],[Servicing Spread Non-Zero]]-L1515</f>
        <v>0</v>
      </c>
      <c r="N1516" s="16">
        <f>IF(J1515&lt;&gt;0,CurrentMtgRatesDataTable8[[#This Row],[Rate]]-C1515,N1515)</f>
        <v>0.11000000000000032</v>
      </c>
    </row>
    <row r="1517" spans="1:14">
      <c r="A1517" s="39" t="s">
        <v>1569</v>
      </c>
      <c r="B1517" s="40">
        <v>3.63477313779397</v>
      </c>
      <c r="C1517" s="11">
        <v>4.4550000000000001</v>
      </c>
      <c r="D1517" s="16">
        <f t="shared" si="161"/>
        <v>2</v>
      </c>
      <c r="E1517" s="16">
        <f t="shared" si="162"/>
        <v>0.2</v>
      </c>
      <c r="F1517" s="16">
        <f t="shared" si="163"/>
        <v>2</v>
      </c>
      <c r="G1517" s="16">
        <f t="shared" si="164"/>
        <v>1.4450064683722461</v>
      </c>
      <c r="H1517" s="16">
        <f t="shared" si="165"/>
        <v>0.4</v>
      </c>
      <c r="I1517" s="16">
        <f t="shared" si="166"/>
        <v>0</v>
      </c>
      <c r="J1517" s="16">
        <f t="shared" si="167"/>
        <v>0</v>
      </c>
      <c r="K1517" s="16">
        <f>IF(CurrentMtgRatesDataTable8[[#This Row],[WA CC]]&lt;&gt;0,C1516-CurrentMtgRatesDataTable8[[#This Row],[WA CC]],0)</f>
        <v>0</v>
      </c>
      <c r="L1517" s="16">
        <f>IF(CurrentMtgRatesDataTable8[[#This Row],[Servicing Spread]]&lt;=0,L1516,CurrentMtgRatesDataTable8[[#This Row],[Servicing Spread]])</f>
        <v>0.8252403365394736</v>
      </c>
      <c r="M1517" s="16">
        <f>CurrentMtgRatesDataTable8[[#This Row],[Servicing Spread Non-Zero]]-L1516</f>
        <v>0</v>
      </c>
      <c r="N1517" s="16">
        <f>IF(J1516&lt;&gt;0,CurrentMtgRatesDataTable8[[#This Row],[Rate]]-C1516,N1516)</f>
        <v>0.11000000000000032</v>
      </c>
    </row>
    <row r="1518" spans="1:14">
      <c r="A1518" s="39" t="s">
        <v>1570</v>
      </c>
      <c r="B1518" s="40">
        <v>3.6735667016873901</v>
      </c>
      <c r="C1518" s="11">
        <v>4.4550000000000001</v>
      </c>
      <c r="D1518" s="16">
        <f t="shared" si="161"/>
        <v>5</v>
      </c>
      <c r="E1518" s="16">
        <f t="shared" si="162"/>
        <v>0.2</v>
      </c>
      <c r="F1518" s="16">
        <f t="shared" si="163"/>
        <v>3</v>
      </c>
      <c r="G1518" s="16">
        <f t="shared" si="164"/>
        <v>2.179719808709724</v>
      </c>
      <c r="H1518" s="16">
        <f t="shared" si="165"/>
        <v>0.60000000000000009</v>
      </c>
      <c r="I1518" s="16">
        <f t="shared" si="166"/>
        <v>0</v>
      </c>
      <c r="J1518" s="16">
        <f t="shared" si="167"/>
        <v>0</v>
      </c>
      <c r="K1518" s="16">
        <f>IF(CurrentMtgRatesDataTable8[[#This Row],[WA CC]]&lt;&gt;0,C1517-CurrentMtgRatesDataTable8[[#This Row],[WA CC]],0)</f>
        <v>0</v>
      </c>
      <c r="L1518" s="16">
        <f>IF(CurrentMtgRatesDataTable8[[#This Row],[Servicing Spread]]&lt;=0,L1517,CurrentMtgRatesDataTable8[[#This Row],[Servicing Spread]])</f>
        <v>0.8252403365394736</v>
      </c>
      <c r="M1518" s="16">
        <f>CurrentMtgRatesDataTable8[[#This Row],[Servicing Spread Non-Zero]]-L1517</f>
        <v>0</v>
      </c>
      <c r="N1518" s="16">
        <f>IF(J1517&lt;&gt;0,CurrentMtgRatesDataTable8[[#This Row],[Rate]]-C1517,N1517)</f>
        <v>0.11000000000000032</v>
      </c>
    </row>
    <row r="1519" spans="1:14">
      <c r="A1519" s="39" t="s">
        <v>1571</v>
      </c>
      <c r="B1519" s="40">
        <v>3.6945212291017899</v>
      </c>
      <c r="C1519" s="11">
        <v>4.4550000000000001</v>
      </c>
      <c r="D1519" s="16">
        <f t="shared" si="161"/>
        <v>6</v>
      </c>
      <c r="E1519" s="16">
        <f t="shared" si="162"/>
        <v>0.2</v>
      </c>
      <c r="F1519" s="16">
        <f t="shared" si="163"/>
        <v>4</v>
      </c>
      <c r="G1519" s="16">
        <f t="shared" si="164"/>
        <v>2.9186240545300821</v>
      </c>
      <c r="H1519" s="16">
        <f t="shared" si="165"/>
        <v>0.8</v>
      </c>
      <c r="I1519" s="16">
        <f t="shared" si="166"/>
        <v>0</v>
      </c>
      <c r="J1519" s="16">
        <f t="shared" si="167"/>
        <v>0</v>
      </c>
      <c r="K1519" s="16">
        <f>IF(CurrentMtgRatesDataTable8[[#This Row],[WA CC]]&lt;&gt;0,C1518-CurrentMtgRatesDataTable8[[#This Row],[WA CC]],0)</f>
        <v>0</v>
      </c>
      <c r="L1519" s="16">
        <f>IF(CurrentMtgRatesDataTable8[[#This Row],[Servicing Spread]]&lt;=0,L1518,CurrentMtgRatesDataTable8[[#This Row],[Servicing Spread]])</f>
        <v>0.8252403365394736</v>
      </c>
      <c r="M1519" s="16">
        <f>CurrentMtgRatesDataTable8[[#This Row],[Servicing Spread Non-Zero]]-L1518</f>
        <v>0</v>
      </c>
      <c r="N1519" s="16">
        <f>IF(J1518&lt;&gt;0,CurrentMtgRatesDataTable8[[#This Row],[Rate]]-C1518,N1518)</f>
        <v>0.11000000000000032</v>
      </c>
    </row>
    <row r="1520" spans="1:14">
      <c r="A1520" s="39" t="s">
        <v>1572</v>
      </c>
      <c r="B1520" s="40">
        <v>3.73135555543525</v>
      </c>
      <c r="C1520" s="11">
        <v>4.4550000000000001</v>
      </c>
      <c r="D1520" s="16">
        <f t="shared" si="161"/>
        <v>7</v>
      </c>
      <c r="E1520" s="16">
        <f t="shared" si="162"/>
        <v>0.2</v>
      </c>
      <c r="F1520" s="16">
        <f t="shared" si="163"/>
        <v>5</v>
      </c>
      <c r="G1520" s="16">
        <f t="shared" si="164"/>
        <v>3.664895165617132</v>
      </c>
      <c r="H1520" s="16">
        <f t="shared" si="165"/>
        <v>1</v>
      </c>
      <c r="I1520" s="16">
        <f t="shared" si="166"/>
        <v>1</v>
      </c>
      <c r="J1520" s="16">
        <f t="shared" si="167"/>
        <v>3.664895165617132</v>
      </c>
      <c r="K1520" s="16">
        <f>IF(CurrentMtgRatesDataTable8[[#This Row],[WA CC]]&lt;&gt;0,C1519-CurrentMtgRatesDataTable8[[#This Row],[WA CC]],0)</f>
        <v>0.79010483438286805</v>
      </c>
      <c r="L1520" s="16">
        <f>IF(CurrentMtgRatesDataTable8[[#This Row],[Servicing Spread]]&lt;=0,L1519,CurrentMtgRatesDataTable8[[#This Row],[Servicing Spread]])</f>
        <v>0.79010483438286805</v>
      </c>
      <c r="M1520" s="16">
        <f>CurrentMtgRatesDataTable8[[#This Row],[Servicing Spread Non-Zero]]-L1519</f>
        <v>-3.5135502156605547E-2</v>
      </c>
      <c r="N1520" s="16">
        <f>IF(J1519&lt;&gt;0,CurrentMtgRatesDataTable8[[#This Row],[Rate]]-C1519,N1519)</f>
        <v>0.11000000000000032</v>
      </c>
    </row>
    <row r="1521" spans="1:14">
      <c r="A1521" s="39" t="s">
        <v>1573</v>
      </c>
      <c r="B1521" s="40">
        <v>3.68299836519701</v>
      </c>
      <c r="C1521" s="11">
        <v>4.4249999999999998</v>
      </c>
      <c r="D1521" s="16">
        <f t="shared" si="161"/>
        <v>1</v>
      </c>
      <c r="E1521" s="16">
        <f t="shared" si="162"/>
        <v>0.2</v>
      </c>
      <c r="F1521" s="16">
        <f t="shared" si="163"/>
        <v>1</v>
      </c>
      <c r="G1521" s="16">
        <f t="shared" si="164"/>
        <v>0.73659967303940199</v>
      </c>
      <c r="H1521" s="16">
        <f t="shared" si="165"/>
        <v>0.2</v>
      </c>
      <c r="I1521" s="16">
        <f t="shared" si="166"/>
        <v>0</v>
      </c>
      <c r="J1521" s="16">
        <f t="shared" si="167"/>
        <v>0</v>
      </c>
      <c r="K1521" s="16">
        <f>IF(CurrentMtgRatesDataTable8[[#This Row],[WA CC]]&lt;&gt;0,C1520-CurrentMtgRatesDataTable8[[#This Row],[WA CC]],0)</f>
        <v>0</v>
      </c>
      <c r="L1521" s="16">
        <f>IF(CurrentMtgRatesDataTable8[[#This Row],[Servicing Spread]]&lt;=0,L1520,CurrentMtgRatesDataTable8[[#This Row],[Servicing Spread]])</f>
        <v>0.79010483438286805</v>
      </c>
      <c r="M1521" s="16">
        <f>CurrentMtgRatesDataTable8[[#This Row],[Servicing Spread Non-Zero]]-L1520</f>
        <v>0</v>
      </c>
      <c r="N1521" s="16">
        <f>IF(J1520&lt;&gt;0,CurrentMtgRatesDataTable8[[#This Row],[Rate]]-C1520,N1520)</f>
        <v>-3.0000000000000249E-2</v>
      </c>
    </row>
    <row r="1522" spans="1:14">
      <c r="A1522" s="39" t="s">
        <v>1574</v>
      </c>
      <c r="B1522" s="40">
        <v>3.6380832458802601</v>
      </c>
      <c r="C1522" s="11">
        <v>4.4249999999999998</v>
      </c>
      <c r="D1522" s="16">
        <f t="shared" si="161"/>
        <v>2</v>
      </c>
      <c r="E1522" s="16">
        <f t="shared" si="162"/>
        <v>0.2</v>
      </c>
      <c r="F1522" s="16">
        <f t="shared" si="163"/>
        <v>2</v>
      </c>
      <c r="G1522" s="16">
        <f t="shared" si="164"/>
        <v>1.4642163222154541</v>
      </c>
      <c r="H1522" s="16">
        <f t="shared" si="165"/>
        <v>0.4</v>
      </c>
      <c r="I1522" s="16">
        <f t="shared" si="166"/>
        <v>0</v>
      </c>
      <c r="J1522" s="16">
        <f t="shared" si="167"/>
        <v>0</v>
      </c>
      <c r="K1522" s="16">
        <f>IF(CurrentMtgRatesDataTable8[[#This Row],[WA CC]]&lt;&gt;0,C1521-CurrentMtgRatesDataTable8[[#This Row],[WA CC]],0)</f>
        <v>0</v>
      </c>
      <c r="L1522" s="16">
        <f>IF(CurrentMtgRatesDataTable8[[#This Row],[Servicing Spread]]&lt;=0,L1521,CurrentMtgRatesDataTable8[[#This Row],[Servicing Spread]])</f>
        <v>0.79010483438286805</v>
      </c>
      <c r="M1522" s="16">
        <f>CurrentMtgRatesDataTable8[[#This Row],[Servicing Spread Non-Zero]]-L1521</f>
        <v>0</v>
      </c>
      <c r="N1522" s="16">
        <f>IF(J1521&lt;&gt;0,CurrentMtgRatesDataTable8[[#This Row],[Rate]]-C1521,N1521)</f>
        <v>-3.0000000000000249E-2</v>
      </c>
    </row>
    <row r="1523" spans="1:14">
      <c r="A1523" s="39" t="s">
        <v>1575</v>
      </c>
      <c r="B1523" s="40">
        <v>3.63164434724577</v>
      </c>
      <c r="C1523" s="11">
        <v>4.4249999999999998</v>
      </c>
      <c r="D1523" s="16">
        <f t="shared" si="161"/>
        <v>5</v>
      </c>
      <c r="E1523" s="16">
        <f t="shared" si="162"/>
        <v>0.2</v>
      </c>
      <c r="F1523" s="16">
        <f t="shared" si="163"/>
        <v>3</v>
      </c>
      <c r="G1523" s="16">
        <f t="shared" si="164"/>
        <v>2.1905451916646079</v>
      </c>
      <c r="H1523" s="16">
        <f t="shared" si="165"/>
        <v>0.60000000000000009</v>
      </c>
      <c r="I1523" s="16">
        <f t="shared" si="166"/>
        <v>0</v>
      </c>
      <c r="J1523" s="16">
        <f t="shared" si="167"/>
        <v>0</v>
      </c>
      <c r="K1523" s="16">
        <f>IF(CurrentMtgRatesDataTable8[[#This Row],[WA CC]]&lt;&gt;0,C1522-CurrentMtgRatesDataTable8[[#This Row],[WA CC]],0)</f>
        <v>0</v>
      </c>
      <c r="L1523" s="16">
        <f>IF(CurrentMtgRatesDataTable8[[#This Row],[Servicing Spread]]&lt;=0,L1522,CurrentMtgRatesDataTable8[[#This Row],[Servicing Spread]])</f>
        <v>0.79010483438286805</v>
      </c>
      <c r="M1523" s="16">
        <f>CurrentMtgRatesDataTable8[[#This Row],[Servicing Spread Non-Zero]]-L1522</f>
        <v>0</v>
      </c>
      <c r="N1523" s="16">
        <f>IF(J1522&lt;&gt;0,CurrentMtgRatesDataTable8[[#This Row],[Rate]]-C1522,N1522)</f>
        <v>-3.0000000000000249E-2</v>
      </c>
    </row>
    <row r="1524" spans="1:14">
      <c r="A1524" s="39" t="s">
        <v>1576</v>
      </c>
      <c r="B1524" s="40">
        <v>3.6710838552373999</v>
      </c>
      <c r="C1524" s="11">
        <v>4.4249999999999998</v>
      </c>
      <c r="D1524" s="16">
        <f t="shared" si="161"/>
        <v>6</v>
      </c>
      <c r="E1524" s="16">
        <f t="shared" si="162"/>
        <v>0.2</v>
      </c>
      <c r="F1524" s="16">
        <f t="shared" si="163"/>
        <v>4</v>
      </c>
      <c r="G1524" s="16">
        <f t="shared" si="164"/>
        <v>2.924761962712088</v>
      </c>
      <c r="H1524" s="16">
        <f t="shared" si="165"/>
        <v>0.8</v>
      </c>
      <c r="I1524" s="16">
        <f t="shared" si="166"/>
        <v>0</v>
      </c>
      <c r="J1524" s="16">
        <f t="shared" si="167"/>
        <v>0</v>
      </c>
      <c r="K1524" s="16">
        <f>IF(CurrentMtgRatesDataTable8[[#This Row],[WA CC]]&lt;&gt;0,C1523-CurrentMtgRatesDataTable8[[#This Row],[WA CC]],0)</f>
        <v>0</v>
      </c>
      <c r="L1524" s="16">
        <f>IF(CurrentMtgRatesDataTable8[[#This Row],[Servicing Spread]]&lt;=0,L1523,CurrentMtgRatesDataTable8[[#This Row],[Servicing Spread]])</f>
        <v>0.79010483438286805</v>
      </c>
      <c r="M1524" s="16">
        <f>CurrentMtgRatesDataTable8[[#This Row],[Servicing Spread Non-Zero]]-L1523</f>
        <v>0</v>
      </c>
      <c r="N1524" s="16">
        <f>IF(J1523&lt;&gt;0,CurrentMtgRatesDataTable8[[#This Row],[Rate]]-C1523,N1523)</f>
        <v>-3.0000000000000249E-2</v>
      </c>
    </row>
    <row r="1525" spans="1:14">
      <c r="A1525" s="39" t="s">
        <v>1577</v>
      </c>
      <c r="B1525" s="40">
        <v>3.6572504925777198</v>
      </c>
      <c r="C1525" s="11">
        <v>4.4249999999999998</v>
      </c>
      <c r="D1525" s="16">
        <f t="shared" si="161"/>
        <v>7</v>
      </c>
      <c r="E1525" s="16">
        <f t="shared" si="162"/>
        <v>0.2</v>
      </c>
      <c r="F1525" s="16">
        <f t="shared" si="163"/>
        <v>5</v>
      </c>
      <c r="G1525" s="16">
        <f t="shared" si="164"/>
        <v>3.6562120612276319</v>
      </c>
      <c r="H1525" s="16">
        <f t="shared" si="165"/>
        <v>1</v>
      </c>
      <c r="I1525" s="16">
        <f t="shared" si="166"/>
        <v>1</v>
      </c>
      <c r="J1525" s="16">
        <f t="shared" si="167"/>
        <v>3.6562120612276319</v>
      </c>
      <c r="K1525" s="16">
        <f>IF(CurrentMtgRatesDataTable8[[#This Row],[WA CC]]&lt;&gt;0,C1524-CurrentMtgRatesDataTable8[[#This Row],[WA CC]],0)</f>
        <v>0.76878793877236795</v>
      </c>
      <c r="L1525" s="16">
        <f>IF(CurrentMtgRatesDataTable8[[#This Row],[Servicing Spread]]&lt;=0,L1524,CurrentMtgRatesDataTable8[[#This Row],[Servicing Spread]])</f>
        <v>0.76878793877236795</v>
      </c>
      <c r="M1525" s="16">
        <f>CurrentMtgRatesDataTable8[[#This Row],[Servicing Spread Non-Zero]]-L1524</f>
        <v>-2.1316895610500097E-2</v>
      </c>
      <c r="N1525" s="16">
        <f>IF(J1524&lt;&gt;0,CurrentMtgRatesDataTable8[[#This Row],[Rate]]-C1524,N1524)</f>
        <v>-3.0000000000000249E-2</v>
      </c>
    </row>
    <row r="1526" spans="1:14">
      <c r="A1526" s="39" t="s">
        <v>1578</v>
      </c>
      <c r="B1526" s="40">
        <v>3.6416318172673998</v>
      </c>
      <c r="C1526" s="11">
        <v>4.4249999999999998</v>
      </c>
      <c r="D1526" s="16">
        <f t="shared" si="161"/>
        <v>1</v>
      </c>
      <c r="E1526" s="16">
        <f t="shared" si="162"/>
        <v>0.2</v>
      </c>
      <c r="F1526" s="16">
        <f t="shared" si="163"/>
        <v>1</v>
      </c>
      <c r="G1526" s="16">
        <f t="shared" si="164"/>
        <v>0.72832636345348001</v>
      </c>
      <c r="H1526" s="16">
        <f t="shared" si="165"/>
        <v>0.2</v>
      </c>
      <c r="I1526" s="16">
        <f t="shared" si="166"/>
        <v>0</v>
      </c>
      <c r="J1526" s="16">
        <f t="shared" si="167"/>
        <v>0</v>
      </c>
      <c r="K1526" s="16">
        <f>IF(CurrentMtgRatesDataTable8[[#This Row],[WA CC]]&lt;&gt;0,C1525-CurrentMtgRatesDataTable8[[#This Row],[WA CC]],0)</f>
        <v>0</v>
      </c>
      <c r="L1526" s="16">
        <f>IF(CurrentMtgRatesDataTable8[[#This Row],[Servicing Spread]]&lt;=0,L1525,CurrentMtgRatesDataTable8[[#This Row],[Servicing Spread]])</f>
        <v>0.76878793877236795</v>
      </c>
      <c r="M1526" s="16">
        <f>CurrentMtgRatesDataTable8[[#This Row],[Servicing Spread Non-Zero]]-L1525</f>
        <v>0</v>
      </c>
      <c r="N1526" s="16">
        <f>IF(J1525&lt;&gt;0,CurrentMtgRatesDataTable8[[#This Row],[Rate]]-C1525,N1525)</f>
        <v>0</v>
      </c>
    </row>
    <row r="1527" spans="1:14">
      <c r="A1527" s="39" t="s">
        <v>1579</v>
      </c>
      <c r="B1527" s="40">
        <v>3.63031286608377</v>
      </c>
      <c r="C1527" s="11">
        <v>4.4249999999999998</v>
      </c>
      <c r="D1527" s="16">
        <f t="shared" si="161"/>
        <v>2</v>
      </c>
      <c r="E1527" s="16">
        <f t="shared" si="162"/>
        <v>0.2</v>
      </c>
      <c r="F1527" s="16">
        <f t="shared" si="163"/>
        <v>2</v>
      </c>
      <c r="G1527" s="16">
        <f t="shared" si="164"/>
        <v>1.4543889366702341</v>
      </c>
      <c r="H1527" s="16">
        <f t="shared" si="165"/>
        <v>0.4</v>
      </c>
      <c r="I1527" s="16">
        <f t="shared" si="166"/>
        <v>0</v>
      </c>
      <c r="J1527" s="16">
        <f t="shared" si="167"/>
        <v>0</v>
      </c>
      <c r="K1527" s="16">
        <f>IF(CurrentMtgRatesDataTable8[[#This Row],[WA CC]]&lt;&gt;0,C1526-CurrentMtgRatesDataTable8[[#This Row],[WA CC]],0)</f>
        <v>0</v>
      </c>
      <c r="L1527" s="16">
        <f>IF(CurrentMtgRatesDataTable8[[#This Row],[Servicing Spread]]&lt;=0,L1526,CurrentMtgRatesDataTable8[[#This Row],[Servicing Spread]])</f>
        <v>0.76878793877236795</v>
      </c>
      <c r="M1527" s="16">
        <f>CurrentMtgRatesDataTable8[[#This Row],[Servicing Spread Non-Zero]]-L1526</f>
        <v>0</v>
      </c>
      <c r="N1527" s="16">
        <f>IF(J1526&lt;&gt;0,CurrentMtgRatesDataTable8[[#This Row],[Rate]]-C1526,N1526)</f>
        <v>0</v>
      </c>
    </row>
    <row r="1528" spans="1:14">
      <c r="A1528" s="39" t="s">
        <v>1580</v>
      </c>
      <c r="B1528" s="40">
        <v>3.63388103806881</v>
      </c>
      <c r="C1528" s="11">
        <v>4.4249999999999998</v>
      </c>
      <c r="D1528" s="16">
        <f t="shared" si="161"/>
        <v>5</v>
      </c>
      <c r="E1528" s="16">
        <f t="shared" si="162"/>
        <v>0.2</v>
      </c>
      <c r="F1528" s="16">
        <f t="shared" si="163"/>
        <v>3</v>
      </c>
      <c r="G1528" s="16">
        <f t="shared" si="164"/>
        <v>2.1811651442839963</v>
      </c>
      <c r="H1528" s="16">
        <f t="shared" si="165"/>
        <v>0.60000000000000009</v>
      </c>
      <c r="I1528" s="16">
        <f t="shared" si="166"/>
        <v>0</v>
      </c>
      <c r="J1528" s="16">
        <f t="shared" si="167"/>
        <v>0</v>
      </c>
      <c r="K1528" s="16">
        <f>IF(CurrentMtgRatesDataTable8[[#This Row],[WA CC]]&lt;&gt;0,C1527-CurrentMtgRatesDataTable8[[#This Row],[WA CC]],0)</f>
        <v>0</v>
      </c>
      <c r="L1528" s="16">
        <f>IF(CurrentMtgRatesDataTable8[[#This Row],[Servicing Spread]]&lt;=0,L1527,CurrentMtgRatesDataTable8[[#This Row],[Servicing Spread]])</f>
        <v>0.76878793877236795</v>
      </c>
      <c r="M1528" s="16">
        <f>CurrentMtgRatesDataTable8[[#This Row],[Servicing Spread Non-Zero]]-L1527</f>
        <v>0</v>
      </c>
      <c r="N1528" s="16">
        <f>IF(J1527&lt;&gt;0,CurrentMtgRatesDataTable8[[#This Row],[Rate]]-C1527,N1527)</f>
        <v>0</v>
      </c>
    </row>
    <row r="1529" spans="1:14">
      <c r="A1529" s="39" t="s">
        <v>1581</v>
      </c>
      <c r="B1529" s="40">
        <v>3.66861052585823</v>
      </c>
      <c r="C1529" s="11">
        <v>4.4249999999999998</v>
      </c>
      <c r="D1529" s="16">
        <f t="shared" si="161"/>
        <v>6</v>
      </c>
      <c r="E1529" s="16">
        <f t="shared" si="162"/>
        <v>0.2</v>
      </c>
      <c r="F1529" s="16">
        <f t="shared" si="163"/>
        <v>4</v>
      </c>
      <c r="G1529" s="16">
        <f t="shared" si="164"/>
        <v>2.9148872494556421</v>
      </c>
      <c r="H1529" s="16">
        <f t="shared" si="165"/>
        <v>0.8</v>
      </c>
      <c r="I1529" s="16">
        <f t="shared" si="166"/>
        <v>0</v>
      </c>
      <c r="J1529" s="16">
        <f t="shared" si="167"/>
        <v>0</v>
      </c>
      <c r="K1529" s="16">
        <f>IF(CurrentMtgRatesDataTable8[[#This Row],[WA CC]]&lt;&gt;0,C1528-CurrentMtgRatesDataTable8[[#This Row],[WA CC]],0)</f>
        <v>0</v>
      </c>
      <c r="L1529" s="16">
        <f>IF(CurrentMtgRatesDataTable8[[#This Row],[Servicing Spread]]&lt;=0,L1528,CurrentMtgRatesDataTable8[[#This Row],[Servicing Spread]])</f>
        <v>0.76878793877236795</v>
      </c>
      <c r="M1529" s="16">
        <f>CurrentMtgRatesDataTable8[[#This Row],[Servicing Spread Non-Zero]]-L1528</f>
        <v>0</v>
      </c>
      <c r="N1529" s="16">
        <f>IF(J1528&lt;&gt;0,CurrentMtgRatesDataTable8[[#This Row],[Rate]]-C1528,N1528)</f>
        <v>0</v>
      </c>
    </row>
    <row r="1530" spans="1:14">
      <c r="A1530" s="39" t="s">
        <v>1582</v>
      </c>
      <c r="B1530" s="40">
        <v>3.7057182088359402</v>
      </c>
      <c r="C1530" s="11">
        <v>4.4249999999999998</v>
      </c>
      <c r="D1530" s="16">
        <f t="shared" si="161"/>
        <v>7</v>
      </c>
      <c r="E1530" s="16">
        <f t="shared" si="162"/>
        <v>0.2</v>
      </c>
      <c r="F1530" s="16">
        <f t="shared" si="163"/>
        <v>5</v>
      </c>
      <c r="G1530" s="16">
        <f t="shared" si="164"/>
        <v>3.6560308912228301</v>
      </c>
      <c r="H1530" s="16">
        <f t="shared" si="165"/>
        <v>1</v>
      </c>
      <c r="I1530" s="16">
        <f t="shared" si="166"/>
        <v>1</v>
      </c>
      <c r="J1530" s="16">
        <f t="shared" si="167"/>
        <v>3.6560308912228301</v>
      </c>
      <c r="K1530" s="16">
        <f>IF(CurrentMtgRatesDataTable8[[#This Row],[WA CC]]&lt;&gt;0,C1529-CurrentMtgRatesDataTable8[[#This Row],[WA CC]],0)</f>
        <v>0.76896910877716973</v>
      </c>
      <c r="L1530" s="16">
        <f>IF(CurrentMtgRatesDataTable8[[#This Row],[Servicing Spread]]&lt;=0,L1529,CurrentMtgRatesDataTable8[[#This Row],[Servicing Spread]])</f>
        <v>0.76896910877716973</v>
      </c>
      <c r="M1530" s="16">
        <f>CurrentMtgRatesDataTable8[[#This Row],[Servicing Spread Non-Zero]]-L1529</f>
        <v>1.8117000480177836E-4</v>
      </c>
      <c r="N1530" s="16">
        <f>IF(J1529&lt;&gt;0,CurrentMtgRatesDataTable8[[#This Row],[Rate]]-C1529,N1529)</f>
        <v>0</v>
      </c>
    </row>
    <row r="1531" spans="1:14">
      <c r="A1531" s="39" t="s">
        <v>1583</v>
      </c>
      <c r="B1531" s="40">
        <v>3.66929905020976</v>
      </c>
      <c r="C1531" s="11">
        <v>4.46</v>
      </c>
      <c r="D1531" s="16">
        <f t="shared" si="161"/>
        <v>1</v>
      </c>
      <c r="E1531" s="16">
        <f t="shared" si="162"/>
        <v>0.2</v>
      </c>
      <c r="F1531" s="16">
        <f t="shared" si="163"/>
        <v>1</v>
      </c>
      <c r="G1531" s="16">
        <f t="shared" si="164"/>
        <v>0.733859810041952</v>
      </c>
      <c r="H1531" s="16">
        <f t="shared" si="165"/>
        <v>0.2</v>
      </c>
      <c r="I1531" s="16">
        <f t="shared" si="166"/>
        <v>0</v>
      </c>
      <c r="J1531" s="16">
        <f t="shared" si="167"/>
        <v>0</v>
      </c>
      <c r="K1531" s="16">
        <f>IF(CurrentMtgRatesDataTable8[[#This Row],[WA CC]]&lt;&gt;0,C1530-CurrentMtgRatesDataTable8[[#This Row],[WA CC]],0)</f>
        <v>0</v>
      </c>
      <c r="L1531" s="16">
        <f>IF(CurrentMtgRatesDataTable8[[#This Row],[Servicing Spread]]&lt;=0,L1530,CurrentMtgRatesDataTable8[[#This Row],[Servicing Spread]])</f>
        <v>0.76896910877716973</v>
      </c>
      <c r="M1531" s="16">
        <f>CurrentMtgRatesDataTable8[[#This Row],[Servicing Spread Non-Zero]]-L1530</f>
        <v>0</v>
      </c>
      <c r="N1531" s="16">
        <f>IF(J1530&lt;&gt;0,CurrentMtgRatesDataTable8[[#This Row],[Rate]]-C1530,N1530)</f>
        <v>3.5000000000000142E-2</v>
      </c>
    </row>
    <row r="1532" spans="1:14">
      <c r="A1532" s="39" t="s">
        <v>1584</v>
      </c>
      <c r="B1532" s="40">
        <v>3.6585087268416099</v>
      </c>
      <c r="C1532" s="11">
        <v>4.46</v>
      </c>
      <c r="D1532" s="16">
        <f t="shared" si="161"/>
        <v>2</v>
      </c>
      <c r="E1532" s="16">
        <f t="shared" si="162"/>
        <v>0.2</v>
      </c>
      <c r="F1532" s="16">
        <f t="shared" si="163"/>
        <v>2</v>
      </c>
      <c r="G1532" s="16">
        <f t="shared" si="164"/>
        <v>1.4655615554102739</v>
      </c>
      <c r="H1532" s="16">
        <f t="shared" si="165"/>
        <v>0.4</v>
      </c>
      <c r="I1532" s="16">
        <f t="shared" si="166"/>
        <v>0</v>
      </c>
      <c r="J1532" s="16">
        <f t="shared" si="167"/>
        <v>0</v>
      </c>
      <c r="K1532" s="16">
        <f>IF(CurrentMtgRatesDataTable8[[#This Row],[WA CC]]&lt;&gt;0,C1531-CurrentMtgRatesDataTable8[[#This Row],[WA CC]],0)</f>
        <v>0</v>
      </c>
      <c r="L1532" s="16">
        <f>IF(CurrentMtgRatesDataTable8[[#This Row],[Servicing Spread]]&lt;=0,L1531,CurrentMtgRatesDataTable8[[#This Row],[Servicing Spread]])</f>
        <v>0.76896910877716973</v>
      </c>
      <c r="M1532" s="16">
        <f>CurrentMtgRatesDataTable8[[#This Row],[Servicing Spread Non-Zero]]-L1531</f>
        <v>0</v>
      </c>
      <c r="N1532" s="16">
        <f>IF(J1531&lt;&gt;0,CurrentMtgRatesDataTable8[[#This Row],[Rate]]-C1531,N1531)</f>
        <v>3.5000000000000142E-2</v>
      </c>
    </row>
    <row r="1533" spans="1:14">
      <c r="A1533" s="39" t="s">
        <v>1585</v>
      </c>
      <c r="B1533" s="40">
        <v>3.6820813540217001</v>
      </c>
      <c r="C1533" s="11">
        <v>4.46</v>
      </c>
      <c r="D1533" s="16">
        <f t="shared" si="161"/>
        <v>5</v>
      </c>
      <c r="E1533" s="16">
        <f t="shared" si="162"/>
        <v>0.2</v>
      </c>
      <c r="F1533" s="16">
        <f t="shared" si="163"/>
        <v>3</v>
      </c>
      <c r="G1533" s="16">
        <f t="shared" si="164"/>
        <v>2.2019778262146139</v>
      </c>
      <c r="H1533" s="16">
        <f t="shared" si="165"/>
        <v>0.60000000000000009</v>
      </c>
      <c r="I1533" s="16">
        <f t="shared" si="166"/>
        <v>0</v>
      </c>
      <c r="J1533" s="16">
        <f t="shared" si="167"/>
        <v>0</v>
      </c>
      <c r="K1533" s="16">
        <f>IF(CurrentMtgRatesDataTable8[[#This Row],[WA CC]]&lt;&gt;0,C1532-CurrentMtgRatesDataTable8[[#This Row],[WA CC]],0)</f>
        <v>0</v>
      </c>
      <c r="L1533" s="16">
        <f>IF(CurrentMtgRatesDataTable8[[#This Row],[Servicing Spread]]&lt;=0,L1532,CurrentMtgRatesDataTable8[[#This Row],[Servicing Spread]])</f>
        <v>0.76896910877716973</v>
      </c>
      <c r="M1533" s="16">
        <f>CurrentMtgRatesDataTable8[[#This Row],[Servicing Spread Non-Zero]]-L1532</f>
        <v>0</v>
      </c>
      <c r="N1533" s="16">
        <f>IF(J1532&lt;&gt;0,CurrentMtgRatesDataTable8[[#This Row],[Rate]]-C1532,N1532)</f>
        <v>3.5000000000000142E-2</v>
      </c>
    </row>
    <row r="1534" spans="1:14">
      <c r="A1534" s="39" t="s">
        <v>1586</v>
      </c>
      <c r="B1534" s="40">
        <v>3.7777318378385201</v>
      </c>
      <c r="C1534" s="11">
        <v>4.46</v>
      </c>
      <c r="D1534" s="16">
        <f t="shared" si="161"/>
        <v>6</v>
      </c>
      <c r="E1534" s="16">
        <f t="shared" si="162"/>
        <v>0.2</v>
      </c>
      <c r="F1534" s="16">
        <f t="shared" si="163"/>
        <v>4</v>
      </c>
      <c r="G1534" s="16">
        <f t="shared" si="164"/>
        <v>2.957524193782318</v>
      </c>
      <c r="H1534" s="16">
        <f t="shared" si="165"/>
        <v>0.8</v>
      </c>
      <c r="I1534" s="16">
        <f t="shared" si="166"/>
        <v>0</v>
      </c>
      <c r="J1534" s="16">
        <f t="shared" si="167"/>
        <v>0</v>
      </c>
      <c r="K1534" s="16">
        <f>IF(CurrentMtgRatesDataTable8[[#This Row],[WA CC]]&lt;&gt;0,C1533-CurrentMtgRatesDataTable8[[#This Row],[WA CC]],0)</f>
        <v>0</v>
      </c>
      <c r="L1534" s="16">
        <f>IF(CurrentMtgRatesDataTable8[[#This Row],[Servicing Spread]]&lt;=0,L1533,CurrentMtgRatesDataTable8[[#This Row],[Servicing Spread]])</f>
        <v>0.76896910877716973</v>
      </c>
      <c r="M1534" s="16">
        <f>CurrentMtgRatesDataTable8[[#This Row],[Servicing Spread Non-Zero]]-L1533</f>
        <v>0</v>
      </c>
      <c r="N1534" s="16">
        <f>IF(J1533&lt;&gt;0,CurrentMtgRatesDataTable8[[#This Row],[Rate]]-C1533,N1533)</f>
        <v>3.5000000000000142E-2</v>
      </c>
    </row>
    <row r="1535" spans="1:14">
      <c r="A1535" s="39" t="s">
        <v>1587</v>
      </c>
      <c r="B1535" s="40">
        <v>3.7938856637865102</v>
      </c>
      <c r="C1535" s="11">
        <v>4.46</v>
      </c>
      <c r="D1535" s="16">
        <f t="shared" si="161"/>
        <v>7</v>
      </c>
      <c r="E1535" s="16">
        <f t="shared" si="162"/>
        <v>0.2</v>
      </c>
      <c r="F1535" s="16">
        <f t="shared" si="163"/>
        <v>5</v>
      </c>
      <c r="G1535" s="16">
        <f t="shared" si="164"/>
        <v>3.7163013265396199</v>
      </c>
      <c r="H1535" s="16">
        <f t="shared" si="165"/>
        <v>1</v>
      </c>
      <c r="I1535" s="16">
        <f t="shared" si="166"/>
        <v>1</v>
      </c>
      <c r="J1535" s="16">
        <f t="shared" si="167"/>
        <v>3.7163013265396199</v>
      </c>
      <c r="K1535" s="16">
        <f>IF(CurrentMtgRatesDataTable8[[#This Row],[WA CC]]&lt;&gt;0,C1534-CurrentMtgRatesDataTable8[[#This Row],[WA CC]],0)</f>
        <v>0.7436986734603801</v>
      </c>
      <c r="L1535" s="16">
        <f>IF(CurrentMtgRatesDataTable8[[#This Row],[Servicing Spread]]&lt;=0,L1534,CurrentMtgRatesDataTable8[[#This Row],[Servicing Spread]])</f>
        <v>0.7436986734603801</v>
      </c>
      <c r="M1535" s="16">
        <f>CurrentMtgRatesDataTable8[[#This Row],[Servicing Spread Non-Zero]]-L1534</f>
        <v>-2.527043531678963E-2</v>
      </c>
      <c r="N1535" s="16">
        <f>IF(J1534&lt;&gt;0,CurrentMtgRatesDataTable8[[#This Row],[Rate]]-C1534,N1534)</f>
        <v>3.5000000000000142E-2</v>
      </c>
    </row>
    <row r="1536" spans="1:14">
      <c r="A1536" s="39" t="s">
        <v>1588</v>
      </c>
      <c r="B1536" s="40">
        <v>3.8022991192017099</v>
      </c>
      <c r="C1536" s="11">
        <v>4.51</v>
      </c>
      <c r="D1536" s="16">
        <f t="shared" si="161"/>
        <v>1</v>
      </c>
      <c r="E1536" s="16">
        <f t="shared" si="162"/>
        <v>0.2</v>
      </c>
      <c r="F1536" s="16">
        <f t="shared" si="163"/>
        <v>1</v>
      </c>
      <c r="G1536" s="16">
        <f t="shared" si="164"/>
        <v>0.76045982384034205</v>
      </c>
      <c r="H1536" s="16">
        <f t="shared" si="165"/>
        <v>0.2</v>
      </c>
      <c r="I1536" s="16">
        <f t="shared" si="166"/>
        <v>0</v>
      </c>
      <c r="J1536" s="16">
        <f t="shared" si="167"/>
        <v>0</v>
      </c>
      <c r="K1536" s="16">
        <f>IF(CurrentMtgRatesDataTable8[[#This Row],[WA CC]]&lt;&gt;0,C1535-CurrentMtgRatesDataTable8[[#This Row],[WA CC]],0)</f>
        <v>0</v>
      </c>
      <c r="L1536" s="16">
        <f>IF(CurrentMtgRatesDataTable8[[#This Row],[Servicing Spread]]&lt;=0,L1535,CurrentMtgRatesDataTable8[[#This Row],[Servicing Spread]])</f>
        <v>0.7436986734603801</v>
      </c>
      <c r="M1536" s="16">
        <f>CurrentMtgRatesDataTable8[[#This Row],[Servicing Spread Non-Zero]]-L1535</f>
        <v>0</v>
      </c>
      <c r="N1536" s="16">
        <f>IF(J1535&lt;&gt;0,CurrentMtgRatesDataTable8[[#This Row],[Rate]]-C1535,N1535)</f>
        <v>4.9999999999999822E-2</v>
      </c>
    </row>
    <row r="1537" spans="1:14">
      <c r="A1537" s="39" t="s">
        <v>1589</v>
      </c>
      <c r="B1537" s="40">
        <v>3.7570616623054498</v>
      </c>
      <c r="C1537" s="11">
        <v>4.51</v>
      </c>
      <c r="D1537" s="16">
        <f t="shared" si="161"/>
        <v>2</v>
      </c>
      <c r="E1537" s="16">
        <f t="shared" si="162"/>
        <v>0.2</v>
      </c>
      <c r="F1537" s="16">
        <f t="shared" si="163"/>
        <v>2</v>
      </c>
      <c r="G1537" s="16">
        <f t="shared" si="164"/>
        <v>1.5118721563014321</v>
      </c>
      <c r="H1537" s="16">
        <f t="shared" si="165"/>
        <v>0.4</v>
      </c>
      <c r="I1537" s="16">
        <f t="shared" si="166"/>
        <v>0</v>
      </c>
      <c r="J1537" s="16">
        <f t="shared" si="167"/>
        <v>0</v>
      </c>
      <c r="K1537" s="16">
        <f>IF(CurrentMtgRatesDataTable8[[#This Row],[WA CC]]&lt;&gt;0,C1536-CurrentMtgRatesDataTable8[[#This Row],[WA CC]],0)</f>
        <v>0</v>
      </c>
      <c r="L1537" s="16">
        <f>IF(CurrentMtgRatesDataTable8[[#This Row],[Servicing Spread]]&lt;=0,L1536,CurrentMtgRatesDataTable8[[#This Row],[Servicing Spread]])</f>
        <v>0.7436986734603801</v>
      </c>
      <c r="M1537" s="16">
        <f>CurrentMtgRatesDataTable8[[#This Row],[Servicing Spread Non-Zero]]-L1536</f>
        <v>0</v>
      </c>
      <c r="N1537" s="16">
        <f>IF(J1536&lt;&gt;0,CurrentMtgRatesDataTable8[[#This Row],[Rate]]-C1536,N1536)</f>
        <v>4.9999999999999822E-2</v>
      </c>
    </row>
    <row r="1538" spans="1:14">
      <c r="A1538" s="39" t="s">
        <v>1590</v>
      </c>
      <c r="B1538" s="40">
        <v>3.7604127530148199</v>
      </c>
      <c r="C1538" s="11">
        <v>4.51</v>
      </c>
      <c r="D1538" s="16">
        <f t="shared" si="161"/>
        <v>5</v>
      </c>
      <c r="E1538" s="16">
        <f t="shared" si="162"/>
        <v>0.2</v>
      </c>
      <c r="F1538" s="16">
        <f t="shared" si="163"/>
        <v>3</v>
      </c>
      <c r="G1538" s="16">
        <f t="shared" si="164"/>
        <v>2.2639547069043964</v>
      </c>
      <c r="H1538" s="16">
        <f t="shared" si="165"/>
        <v>0.60000000000000009</v>
      </c>
      <c r="I1538" s="16">
        <f t="shared" si="166"/>
        <v>0</v>
      </c>
      <c r="J1538" s="16">
        <f t="shared" si="167"/>
        <v>0</v>
      </c>
      <c r="K1538" s="16">
        <f>IF(CurrentMtgRatesDataTable8[[#This Row],[WA CC]]&lt;&gt;0,C1537-CurrentMtgRatesDataTable8[[#This Row],[WA CC]],0)</f>
        <v>0</v>
      </c>
      <c r="L1538" s="16">
        <f>IF(CurrentMtgRatesDataTable8[[#This Row],[Servicing Spread]]&lt;=0,L1537,CurrentMtgRatesDataTable8[[#This Row],[Servicing Spread]])</f>
        <v>0.7436986734603801</v>
      </c>
      <c r="M1538" s="16">
        <f>CurrentMtgRatesDataTable8[[#This Row],[Servicing Spread Non-Zero]]-L1537</f>
        <v>0</v>
      </c>
      <c r="N1538" s="16">
        <f>IF(J1537&lt;&gt;0,CurrentMtgRatesDataTable8[[#This Row],[Rate]]-C1537,N1537)</f>
        <v>4.9999999999999822E-2</v>
      </c>
    </row>
    <row r="1539" spans="1:14">
      <c r="A1539" s="39" t="s">
        <v>1591</v>
      </c>
      <c r="B1539" s="40">
        <v>3.76318219124978</v>
      </c>
      <c r="C1539" s="11">
        <v>4.51</v>
      </c>
      <c r="D1539" s="16">
        <f t="shared" si="161"/>
        <v>6</v>
      </c>
      <c r="E1539" s="16">
        <f t="shared" si="162"/>
        <v>0.2</v>
      </c>
      <c r="F1539" s="16">
        <f t="shared" si="163"/>
        <v>4</v>
      </c>
      <c r="G1539" s="16">
        <f t="shared" si="164"/>
        <v>3.0165911451543526</v>
      </c>
      <c r="H1539" s="16">
        <f t="shared" si="165"/>
        <v>0.8</v>
      </c>
      <c r="I1539" s="16">
        <f t="shared" si="166"/>
        <v>0</v>
      </c>
      <c r="J1539" s="16">
        <f t="shared" si="167"/>
        <v>0</v>
      </c>
      <c r="K1539" s="16">
        <f>IF(CurrentMtgRatesDataTable8[[#This Row],[WA CC]]&lt;&gt;0,C1538-CurrentMtgRatesDataTable8[[#This Row],[WA CC]],0)</f>
        <v>0</v>
      </c>
      <c r="L1539" s="16">
        <f>IF(CurrentMtgRatesDataTable8[[#This Row],[Servicing Spread]]&lt;=0,L1538,CurrentMtgRatesDataTable8[[#This Row],[Servicing Spread]])</f>
        <v>0.7436986734603801</v>
      </c>
      <c r="M1539" s="16">
        <f>CurrentMtgRatesDataTable8[[#This Row],[Servicing Spread Non-Zero]]-L1538</f>
        <v>0</v>
      </c>
      <c r="N1539" s="16">
        <f>IF(J1538&lt;&gt;0,CurrentMtgRatesDataTable8[[#This Row],[Rate]]-C1538,N1538)</f>
        <v>4.9999999999999822E-2</v>
      </c>
    </row>
    <row r="1540" spans="1:14">
      <c r="A1540" s="39" t="s">
        <v>1592</v>
      </c>
      <c r="B1540" s="40">
        <v>3.69575683962693</v>
      </c>
      <c r="C1540" s="11">
        <v>4.51</v>
      </c>
      <c r="D1540" s="16">
        <f t="shared" si="161"/>
        <v>7</v>
      </c>
      <c r="E1540" s="16">
        <f t="shared" si="162"/>
        <v>0.2</v>
      </c>
      <c r="F1540" s="16">
        <f t="shared" si="163"/>
        <v>5</v>
      </c>
      <c r="G1540" s="16">
        <f t="shared" si="164"/>
        <v>3.7557425130797384</v>
      </c>
      <c r="H1540" s="16">
        <f t="shared" si="165"/>
        <v>1</v>
      </c>
      <c r="I1540" s="16">
        <f t="shared" si="166"/>
        <v>1</v>
      </c>
      <c r="J1540" s="16">
        <f t="shared" si="167"/>
        <v>3.7557425130797384</v>
      </c>
      <c r="K1540" s="16">
        <f>IF(CurrentMtgRatesDataTable8[[#This Row],[WA CC]]&lt;&gt;0,C1539-CurrentMtgRatesDataTable8[[#This Row],[WA CC]],0)</f>
        <v>0.7542574869202614</v>
      </c>
      <c r="L1540" s="16">
        <f>IF(CurrentMtgRatesDataTable8[[#This Row],[Servicing Spread]]&lt;=0,L1539,CurrentMtgRatesDataTable8[[#This Row],[Servicing Spread]])</f>
        <v>0.7542574869202614</v>
      </c>
      <c r="M1540" s="16">
        <f>CurrentMtgRatesDataTable8[[#This Row],[Servicing Spread Non-Zero]]-L1539</f>
        <v>1.05588134598813E-2</v>
      </c>
      <c r="N1540" s="16">
        <f>IF(J1539&lt;&gt;0,CurrentMtgRatesDataTable8[[#This Row],[Rate]]-C1539,N1539)</f>
        <v>4.9999999999999822E-2</v>
      </c>
    </row>
    <row r="1541" spans="1:14">
      <c r="A1541" s="39" t="s">
        <v>1593</v>
      </c>
      <c r="B1541" s="40">
        <v>3.6770201628450101</v>
      </c>
      <c r="C1541" s="11">
        <v>4.4099999999999993</v>
      </c>
      <c r="D1541" s="16">
        <f t="shared" ref="D1541:D1568" si="168">WEEKDAY(A1541,14)</f>
        <v>1</v>
      </c>
      <c r="E1541" s="16">
        <f t="shared" ref="E1541:E1568" si="169">VLOOKUP(D1541,Q$5:R$11,2,FALSE)</f>
        <v>0.2</v>
      </c>
      <c r="F1541" s="16">
        <f t="shared" ref="F1541:F1568" si="170">IF(AND(D1541&gt;D1540,F1540&lt;6),F1540+1,1)</f>
        <v>1</v>
      </c>
      <c r="G1541" s="16">
        <f t="shared" ref="G1541:G1568" si="171">IF(F1541&gt;F1540,G1540+B1541*E1541,B1541*E1541)</f>
        <v>0.73540403256900211</v>
      </c>
      <c r="H1541" s="16">
        <f t="shared" ref="H1541:H1568" si="172">IF(AND(F1541&lt;6,F1541&gt;F1540),E1541+H1540,E1541)</f>
        <v>0.2</v>
      </c>
      <c r="I1541" s="16">
        <f t="shared" ref="I1541:I1568" si="173">IF(F1541&gt;F1542,1,0)</f>
        <v>0</v>
      </c>
      <c r="J1541" s="16">
        <f t="shared" ref="J1541:J1568" si="174">IF(F1541&gt;F1542,G1541/H1541,0)</f>
        <v>0</v>
      </c>
      <c r="K1541" s="16">
        <f>IF(CurrentMtgRatesDataTable8[[#This Row],[WA CC]]&lt;&gt;0,C1540-CurrentMtgRatesDataTable8[[#This Row],[WA CC]],0)</f>
        <v>0</v>
      </c>
      <c r="L1541" s="16">
        <f>IF(CurrentMtgRatesDataTable8[[#This Row],[Servicing Spread]]&lt;=0,L1540,CurrentMtgRatesDataTable8[[#This Row],[Servicing Spread]])</f>
        <v>0.7542574869202614</v>
      </c>
      <c r="M1541" s="16">
        <f>CurrentMtgRatesDataTable8[[#This Row],[Servicing Spread Non-Zero]]-L1540</f>
        <v>0</v>
      </c>
      <c r="N1541" s="16">
        <f>IF(J1540&lt;&gt;0,CurrentMtgRatesDataTable8[[#This Row],[Rate]]-C1540,N1540)</f>
        <v>-0.10000000000000053</v>
      </c>
    </row>
    <row r="1542" spans="1:14">
      <c r="A1542" s="39" t="s">
        <v>1594</v>
      </c>
      <c r="B1542" s="40">
        <v>3.6305016806760002</v>
      </c>
      <c r="C1542" s="11">
        <v>4.4099999999999993</v>
      </c>
      <c r="D1542" s="16">
        <f t="shared" si="168"/>
        <v>2</v>
      </c>
      <c r="E1542" s="16">
        <f t="shared" si="169"/>
        <v>0.2</v>
      </c>
      <c r="F1542" s="16">
        <f t="shared" si="170"/>
        <v>2</v>
      </c>
      <c r="G1542" s="16">
        <f t="shared" si="171"/>
        <v>1.4615043687042022</v>
      </c>
      <c r="H1542" s="16">
        <f t="shared" si="172"/>
        <v>0.4</v>
      </c>
      <c r="I1542" s="16">
        <f t="shared" si="173"/>
        <v>0</v>
      </c>
      <c r="J1542" s="16">
        <f t="shared" si="174"/>
        <v>0</v>
      </c>
      <c r="K1542" s="16">
        <f>IF(CurrentMtgRatesDataTable8[[#This Row],[WA CC]]&lt;&gt;0,C1541-CurrentMtgRatesDataTable8[[#This Row],[WA CC]],0)</f>
        <v>0</v>
      </c>
      <c r="L1542" s="16">
        <f>IF(CurrentMtgRatesDataTable8[[#This Row],[Servicing Spread]]&lt;=0,L1541,CurrentMtgRatesDataTable8[[#This Row],[Servicing Spread]])</f>
        <v>0.7542574869202614</v>
      </c>
      <c r="M1542" s="16">
        <f>CurrentMtgRatesDataTable8[[#This Row],[Servicing Spread Non-Zero]]-L1541</f>
        <v>0</v>
      </c>
      <c r="N1542" s="16">
        <f>IF(J1541&lt;&gt;0,CurrentMtgRatesDataTable8[[#This Row],[Rate]]-C1541,N1541)</f>
        <v>-0.10000000000000053</v>
      </c>
    </row>
    <row r="1543" spans="1:14">
      <c r="A1543" s="39" t="s">
        <v>1595</v>
      </c>
      <c r="B1543" s="40">
        <v>3.47849542009673</v>
      </c>
      <c r="C1543" s="11">
        <v>4.4099999999999993</v>
      </c>
      <c r="D1543" s="16">
        <f t="shared" si="168"/>
        <v>6</v>
      </c>
      <c r="E1543" s="16">
        <f t="shared" si="169"/>
        <v>0.2</v>
      </c>
      <c r="F1543" s="16">
        <f t="shared" si="170"/>
        <v>3</v>
      </c>
      <c r="G1543" s="16">
        <f t="shared" si="171"/>
        <v>2.1572034527235484</v>
      </c>
      <c r="H1543" s="16">
        <f t="shared" si="172"/>
        <v>0.60000000000000009</v>
      </c>
      <c r="I1543" s="16">
        <f t="shared" si="173"/>
        <v>0</v>
      </c>
      <c r="J1543" s="16">
        <f t="shared" si="174"/>
        <v>0</v>
      </c>
      <c r="K1543" s="16">
        <f>IF(CurrentMtgRatesDataTable8[[#This Row],[WA CC]]&lt;&gt;0,C1542-CurrentMtgRatesDataTable8[[#This Row],[WA CC]],0)</f>
        <v>0</v>
      </c>
      <c r="L1543" s="16">
        <f>IF(CurrentMtgRatesDataTable8[[#This Row],[Servicing Spread]]&lt;=0,L1542,CurrentMtgRatesDataTable8[[#This Row],[Servicing Spread]])</f>
        <v>0.7542574869202614</v>
      </c>
      <c r="M1543" s="16">
        <f>CurrentMtgRatesDataTable8[[#This Row],[Servicing Spread Non-Zero]]-L1542</f>
        <v>0</v>
      </c>
      <c r="N1543" s="16">
        <f>IF(J1542&lt;&gt;0,CurrentMtgRatesDataTable8[[#This Row],[Rate]]-C1542,N1542)</f>
        <v>-0.10000000000000053</v>
      </c>
    </row>
    <row r="1544" spans="1:14">
      <c r="A1544" s="39" t="s">
        <v>1596</v>
      </c>
      <c r="B1544" s="40">
        <v>3.5457252902276499</v>
      </c>
      <c r="C1544" s="11">
        <v>4.4099999999999993</v>
      </c>
      <c r="D1544" s="16">
        <f t="shared" si="168"/>
        <v>7</v>
      </c>
      <c r="E1544" s="16">
        <f t="shared" si="169"/>
        <v>0.2</v>
      </c>
      <c r="F1544" s="16">
        <f t="shared" si="170"/>
        <v>4</v>
      </c>
      <c r="G1544" s="16">
        <f t="shared" si="171"/>
        <v>2.8663485107690785</v>
      </c>
      <c r="H1544" s="16">
        <f t="shared" si="172"/>
        <v>0.8</v>
      </c>
      <c r="I1544" s="16">
        <f t="shared" si="173"/>
        <v>1</v>
      </c>
      <c r="J1544" s="16">
        <f t="shared" si="174"/>
        <v>3.5829356384613478</v>
      </c>
      <c r="K1544" s="16">
        <f>IF(CurrentMtgRatesDataTable8[[#This Row],[WA CC]]&lt;&gt;0,C1543-CurrentMtgRatesDataTable8[[#This Row],[WA CC]],0)</f>
        <v>0.82706436153865148</v>
      </c>
      <c r="L1544" s="16">
        <f>IF(CurrentMtgRatesDataTable8[[#This Row],[Servicing Spread]]&lt;=0,L1543,CurrentMtgRatesDataTable8[[#This Row],[Servicing Spread]])</f>
        <v>0.82706436153865148</v>
      </c>
      <c r="M1544" s="16">
        <f>CurrentMtgRatesDataTable8[[#This Row],[Servicing Spread Non-Zero]]-L1543</f>
        <v>7.2806874618390083E-2</v>
      </c>
      <c r="N1544" s="16">
        <f>IF(J1543&lt;&gt;0,CurrentMtgRatesDataTable8[[#This Row],[Rate]]-C1543,N1543)</f>
        <v>-0.10000000000000053</v>
      </c>
    </row>
    <row r="1545" spans="1:14">
      <c r="A1545" s="39" t="s">
        <v>1597</v>
      </c>
      <c r="B1545" s="40">
        <v>3.53392674996633</v>
      </c>
      <c r="C1545" s="11">
        <v>4.415</v>
      </c>
      <c r="D1545" s="16">
        <f t="shared" si="168"/>
        <v>1</v>
      </c>
      <c r="E1545" s="16">
        <f t="shared" si="169"/>
        <v>0.2</v>
      </c>
      <c r="F1545" s="16">
        <f t="shared" si="170"/>
        <v>1</v>
      </c>
      <c r="G1545" s="16">
        <f t="shared" si="171"/>
        <v>0.70678534999326603</v>
      </c>
      <c r="H1545" s="16">
        <f t="shared" si="172"/>
        <v>0.2</v>
      </c>
      <c r="I1545" s="16">
        <f t="shared" si="173"/>
        <v>0</v>
      </c>
      <c r="J1545" s="16">
        <f t="shared" si="174"/>
        <v>0</v>
      </c>
      <c r="K1545" s="16">
        <f>IF(CurrentMtgRatesDataTable8[[#This Row],[WA CC]]&lt;&gt;0,C1544-CurrentMtgRatesDataTable8[[#This Row],[WA CC]],0)</f>
        <v>0</v>
      </c>
      <c r="L1545" s="16">
        <f>IF(CurrentMtgRatesDataTable8[[#This Row],[Servicing Spread]]&lt;=0,L1544,CurrentMtgRatesDataTable8[[#This Row],[Servicing Spread]])</f>
        <v>0.82706436153865148</v>
      </c>
      <c r="M1545" s="16">
        <f>CurrentMtgRatesDataTable8[[#This Row],[Servicing Spread Non-Zero]]-L1544</f>
        <v>0</v>
      </c>
      <c r="N1545" s="16">
        <f>IF(J1544&lt;&gt;0,CurrentMtgRatesDataTable8[[#This Row],[Rate]]-C1544,N1544)</f>
        <v>5.0000000000007816E-3</v>
      </c>
    </row>
    <row r="1546" spans="1:14">
      <c r="A1546" s="39" t="s">
        <v>1598</v>
      </c>
      <c r="B1546" s="40">
        <v>3.6075522658731298</v>
      </c>
      <c r="C1546" s="11">
        <v>4.415</v>
      </c>
      <c r="D1546" s="16">
        <f t="shared" si="168"/>
        <v>2</v>
      </c>
      <c r="E1546" s="16">
        <f t="shared" si="169"/>
        <v>0.2</v>
      </c>
      <c r="F1546" s="16">
        <f t="shared" si="170"/>
        <v>2</v>
      </c>
      <c r="G1546" s="16">
        <f t="shared" si="171"/>
        <v>1.4282958031678921</v>
      </c>
      <c r="H1546" s="16">
        <f t="shared" si="172"/>
        <v>0.4</v>
      </c>
      <c r="I1546" s="16">
        <f t="shared" si="173"/>
        <v>0</v>
      </c>
      <c r="J1546" s="16">
        <f t="shared" si="174"/>
        <v>0</v>
      </c>
      <c r="K1546" s="16">
        <f>IF(CurrentMtgRatesDataTable8[[#This Row],[WA CC]]&lt;&gt;0,C1545-CurrentMtgRatesDataTable8[[#This Row],[WA CC]],0)</f>
        <v>0</v>
      </c>
      <c r="L1546" s="16">
        <f>IF(CurrentMtgRatesDataTable8[[#This Row],[Servicing Spread]]&lt;=0,L1545,CurrentMtgRatesDataTable8[[#This Row],[Servicing Spread]])</f>
        <v>0.82706436153865148</v>
      </c>
      <c r="M1546" s="16">
        <f>CurrentMtgRatesDataTable8[[#This Row],[Servicing Spread Non-Zero]]-L1545</f>
        <v>0</v>
      </c>
      <c r="N1546" s="16">
        <f>IF(J1545&lt;&gt;0,CurrentMtgRatesDataTable8[[#This Row],[Rate]]-C1545,N1545)</f>
        <v>5.0000000000007816E-3</v>
      </c>
    </row>
    <row r="1547" spans="1:14">
      <c r="A1547" s="39" t="s">
        <v>1599</v>
      </c>
      <c r="B1547" s="40">
        <v>3.6457666426145798</v>
      </c>
      <c r="C1547" s="11">
        <v>4.415</v>
      </c>
      <c r="D1547" s="16">
        <f t="shared" si="168"/>
        <v>5</v>
      </c>
      <c r="E1547" s="16">
        <f t="shared" si="169"/>
        <v>0.2</v>
      </c>
      <c r="F1547" s="16">
        <f t="shared" si="170"/>
        <v>3</v>
      </c>
      <c r="G1547" s="16">
        <f t="shared" si="171"/>
        <v>2.1574491316908082</v>
      </c>
      <c r="H1547" s="16">
        <f t="shared" si="172"/>
        <v>0.60000000000000009</v>
      </c>
      <c r="I1547" s="16">
        <f t="shared" si="173"/>
        <v>0</v>
      </c>
      <c r="J1547" s="16">
        <f t="shared" si="174"/>
        <v>0</v>
      </c>
      <c r="K1547" s="16">
        <f>IF(CurrentMtgRatesDataTable8[[#This Row],[WA CC]]&lt;&gt;0,C1546-CurrentMtgRatesDataTable8[[#This Row],[WA CC]],0)</f>
        <v>0</v>
      </c>
      <c r="L1547" s="16">
        <f>IF(CurrentMtgRatesDataTable8[[#This Row],[Servicing Spread]]&lt;=0,L1546,CurrentMtgRatesDataTable8[[#This Row],[Servicing Spread]])</f>
        <v>0.82706436153865148</v>
      </c>
      <c r="M1547" s="16">
        <f>CurrentMtgRatesDataTable8[[#This Row],[Servicing Spread Non-Zero]]-L1546</f>
        <v>0</v>
      </c>
      <c r="N1547" s="16">
        <f>IF(J1546&lt;&gt;0,CurrentMtgRatesDataTable8[[#This Row],[Rate]]-C1546,N1546)</f>
        <v>5.0000000000007816E-3</v>
      </c>
    </row>
    <row r="1548" spans="1:14">
      <c r="A1548" s="39" t="s">
        <v>1600</v>
      </c>
      <c r="B1548" s="40">
        <v>3.64118028970872</v>
      </c>
      <c r="C1548" s="11">
        <v>4.415</v>
      </c>
      <c r="D1548" s="16">
        <f t="shared" si="168"/>
        <v>6</v>
      </c>
      <c r="E1548" s="16">
        <f t="shared" si="169"/>
        <v>0.2</v>
      </c>
      <c r="F1548" s="16">
        <f t="shared" si="170"/>
        <v>4</v>
      </c>
      <c r="G1548" s="16">
        <f t="shared" si="171"/>
        <v>2.8856851896325524</v>
      </c>
      <c r="H1548" s="16">
        <f t="shared" si="172"/>
        <v>0.8</v>
      </c>
      <c r="I1548" s="16">
        <f t="shared" si="173"/>
        <v>0</v>
      </c>
      <c r="J1548" s="16">
        <f t="shared" si="174"/>
        <v>0</v>
      </c>
      <c r="K1548" s="16">
        <f>IF(CurrentMtgRatesDataTable8[[#This Row],[WA CC]]&lt;&gt;0,C1547-CurrentMtgRatesDataTable8[[#This Row],[WA CC]],0)</f>
        <v>0</v>
      </c>
      <c r="L1548" s="16">
        <f>IF(CurrentMtgRatesDataTable8[[#This Row],[Servicing Spread]]&lt;=0,L1547,CurrentMtgRatesDataTable8[[#This Row],[Servicing Spread]])</f>
        <v>0.82706436153865148</v>
      </c>
      <c r="M1548" s="16">
        <f>CurrentMtgRatesDataTable8[[#This Row],[Servicing Spread Non-Zero]]-L1547</f>
        <v>0</v>
      </c>
      <c r="N1548" s="16">
        <f>IF(J1547&lt;&gt;0,CurrentMtgRatesDataTable8[[#This Row],[Rate]]-C1547,N1547)</f>
        <v>5.0000000000007816E-3</v>
      </c>
    </row>
    <row r="1549" spans="1:14">
      <c r="A1549" s="39" t="s">
        <v>1601</v>
      </c>
      <c r="B1549" s="40">
        <v>3.69779849104486</v>
      </c>
      <c r="C1549" s="11">
        <v>4.415</v>
      </c>
      <c r="D1549" s="16">
        <f t="shared" si="168"/>
        <v>7</v>
      </c>
      <c r="E1549" s="16">
        <f t="shared" si="169"/>
        <v>0.2</v>
      </c>
      <c r="F1549" s="16">
        <f t="shared" si="170"/>
        <v>5</v>
      </c>
      <c r="G1549" s="16">
        <f t="shared" si="171"/>
        <v>3.6252448878415242</v>
      </c>
      <c r="H1549" s="16">
        <f t="shared" si="172"/>
        <v>1</v>
      </c>
      <c r="I1549" s="16">
        <f t="shared" si="173"/>
        <v>1</v>
      </c>
      <c r="J1549" s="16">
        <f t="shared" si="174"/>
        <v>3.6252448878415242</v>
      </c>
      <c r="K1549" s="16">
        <f>IF(CurrentMtgRatesDataTable8[[#This Row],[WA CC]]&lt;&gt;0,C1548-CurrentMtgRatesDataTable8[[#This Row],[WA CC]],0)</f>
        <v>0.78975511215847582</v>
      </c>
      <c r="L1549" s="16">
        <f>IF(CurrentMtgRatesDataTable8[[#This Row],[Servicing Spread]]&lt;=0,L1548,CurrentMtgRatesDataTable8[[#This Row],[Servicing Spread]])</f>
        <v>0.78975511215847582</v>
      </c>
      <c r="M1549" s="16">
        <f>CurrentMtgRatesDataTable8[[#This Row],[Servicing Spread Non-Zero]]-L1548</f>
        <v>-3.7309249380175658E-2</v>
      </c>
      <c r="N1549" s="16">
        <f>IF(J1548&lt;&gt;0,CurrentMtgRatesDataTable8[[#This Row],[Rate]]-C1548,N1548)</f>
        <v>5.0000000000007816E-3</v>
      </c>
    </row>
    <row r="1550" spans="1:14">
      <c r="A1550" s="39" t="s">
        <v>1602</v>
      </c>
      <c r="B1550" s="40">
        <v>3.66522520994672</v>
      </c>
      <c r="C1550" s="11">
        <v>4.47</v>
      </c>
      <c r="D1550" s="16">
        <f t="shared" si="168"/>
        <v>1</v>
      </c>
      <c r="E1550" s="16">
        <f t="shared" si="169"/>
        <v>0.2</v>
      </c>
      <c r="F1550" s="16">
        <f t="shared" si="170"/>
        <v>1</v>
      </c>
      <c r="G1550" s="16">
        <f t="shared" si="171"/>
        <v>0.73304504198934406</v>
      </c>
      <c r="H1550" s="16">
        <f t="shared" si="172"/>
        <v>0.2</v>
      </c>
      <c r="I1550" s="16">
        <f t="shared" si="173"/>
        <v>0</v>
      </c>
      <c r="J1550" s="16">
        <f t="shared" si="174"/>
        <v>0</v>
      </c>
      <c r="K1550" s="16">
        <f>IF(CurrentMtgRatesDataTable8[[#This Row],[WA CC]]&lt;&gt;0,C1549-CurrentMtgRatesDataTable8[[#This Row],[WA CC]],0)</f>
        <v>0</v>
      </c>
      <c r="L1550" s="16">
        <f>IF(CurrentMtgRatesDataTable8[[#This Row],[Servicing Spread]]&lt;=0,L1549,CurrentMtgRatesDataTable8[[#This Row],[Servicing Spread]])</f>
        <v>0.78975511215847582</v>
      </c>
      <c r="M1550" s="16">
        <f>CurrentMtgRatesDataTable8[[#This Row],[Servicing Spread Non-Zero]]-L1549</f>
        <v>0</v>
      </c>
      <c r="N1550" s="16">
        <f>IF(J1549&lt;&gt;0,CurrentMtgRatesDataTable8[[#This Row],[Rate]]-C1549,N1549)</f>
        <v>5.4999999999999716E-2</v>
      </c>
    </row>
    <row r="1551" spans="1:14">
      <c r="A1551" s="39" t="s">
        <v>1603</v>
      </c>
      <c r="B1551" s="40">
        <v>3.6817021231482898</v>
      </c>
      <c r="C1551" s="11">
        <v>4.47</v>
      </c>
      <c r="D1551" s="16">
        <f t="shared" si="168"/>
        <v>2</v>
      </c>
      <c r="E1551" s="16">
        <f t="shared" si="169"/>
        <v>0.2</v>
      </c>
      <c r="F1551" s="16">
        <f t="shared" si="170"/>
        <v>2</v>
      </c>
      <c r="G1551" s="16">
        <f t="shared" si="171"/>
        <v>1.469385466619002</v>
      </c>
      <c r="H1551" s="16">
        <f t="shared" si="172"/>
        <v>0.4</v>
      </c>
      <c r="I1551" s="16">
        <f t="shared" si="173"/>
        <v>0</v>
      </c>
      <c r="J1551" s="16">
        <f t="shared" si="174"/>
        <v>0</v>
      </c>
      <c r="K1551" s="16">
        <f>IF(CurrentMtgRatesDataTable8[[#This Row],[WA CC]]&lt;&gt;0,C1550-CurrentMtgRatesDataTable8[[#This Row],[WA CC]],0)</f>
        <v>0</v>
      </c>
      <c r="L1551" s="16">
        <f>IF(CurrentMtgRatesDataTable8[[#This Row],[Servicing Spread]]&lt;=0,L1550,CurrentMtgRatesDataTable8[[#This Row],[Servicing Spread]])</f>
        <v>0.78975511215847582</v>
      </c>
      <c r="M1551" s="16">
        <f>CurrentMtgRatesDataTable8[[#This Row],[Servicing Spread Non-Zero]]-L1550</f>
        <v>0</v>
      </c>
      <c r="N1551" s="16">
        <f>IF(J1550&lt;&gt;0,CurrentMtgRatesDataTable8[[#This Row],[Rate]]-C1550,N1550)</f>
        <v>5.4999999999999716E-2</v>
      </c>
    </row>
    <row r="1552" spans="1:14">
      <c r="A1552" s="39" t="s">
        <v>1604</v>
      </c>
      <c r="B1552" s="40">
        <v>3.70300854574208</v>
      </c>
      <c r="C1552" s="11">
        <v>4.47</v>
      </c>
      <c r="D1552" s="16">
        <f t="shared" si="168"/>
        <v>5</v>
      </c>
      <c r="E1552" s="16">
        <f t="shared" si="169"/>
        <v>0.2</v>
      </c>
      <c r="F1552" s="16">
        <f t="shared" si="170"/>
        <v>3</v>
      </c>
      <c r="G1552" s="16">
        <f t="shared" si="171"/>
        <v>2.2099871757674183</v>
      </c>
      <c r="H1552" s="16">
        <f t="shared" si="172"/>
        <v>0.60000000000000009</v>
      </c>
      <c r="I1552" s="16">
        <f t="shared" si="173"/>
        <v>0</v>
      </c>
      <c r="J1552" s="16">
        <f t="shared" si="174"/>
        <v>0</v>
      </c>
      <c r="K1552" s="16">
        <f>IF(CurrentMtgRatesDataTable8[[#This Row],[WA CC]]&lt;&gt;0,C1551-CurrentMtgRatesDataTable8[[#This Row],[WA CC]],0)</f>
        <v>0</v>
      </c>
      <c r="L1552" s="16">
        <f>IF(CurrentMtgRatesDataTable8[[#This Row],[Servicing Spread]]&lt;=0,L1551,CurrentMtgRatesDataTable8[[#This Row],[Servicing Spread]])</f>
        <v>0.78975511215847582</v>
      </c>
      <c r="M1552" s="16">
        <f>CurrentMtgRatesDataTable8[[#This Row],[Servicing Spread Non-Zero]]-L1551</f>
        <v>0</v>
      </c>
      <c r="N1552" s="16">
        <f>IF(J1551&lt;&gt;0,CurrentMtgRatesDataTable8[[#This Row],[Rate]]-C1551,N1551)</f>
        <v>5.4999999999999716E-2</v>
      </c>
    </row>
    <row r="1553" spans="1:14">
      <c r="A1553" s="39" t="s">
        <v>1605</v>
      </c>
      <c r="B1553" s="40">
        <v>3.68730856259161</v>
      </c>
      <c r="C1553" s="11">
        <v>4.47</v>
      </c>
      <c r="D1553" s="16">
        <f t="shared" si="168"/>
        <v>6</v>
      </c>
      <c r="E1553" s="16">
        <f t="shared" si="169"/>
        <v>0.2</v>
      </c>
      <c r="F1553" s="16">
        <f t="shared" si="170"/>
        <v>4</v>
      </c>
      <c r="G1553" s="16">
        <f t="shared" si="171"/>
        <v>2.9474488882857406</v>
      </c>
      <c r="H1553" s="16">
        <f t="shared" si="172"/>
        <v>0.8</v>
      </c>
      <c r="I1553" s="16">
        <f t="shared" si="173"/>
        <v>0</v>
      </c>
      <c r="J1553" s="16">
        <f t="shared" si="174"/>
        <v>0</v>
      </c>
      <c r="K1553" s="16">
        <f>IF(CurrentMtgRatesDataTable8[[#This Row],[WA CC]]&lt;&gt;0,C1552-CurrentMtgRatesDataTable8[[#This Row],[WA CC]],0)</f>
        <v>0</v>
      </c>
      <c r="L1553" s="16">
        <f>IF(CurrentMtgRatesDataTable8[[#This Row],[Servicing Spread]]&lt;=0,L1552,CurrentMtgRatesDataTable8[[#This Row],[Servicing Spread]])</f>
        <v>0.78975511215847582</v>
      </c>
      <c r="M1553" s="16">
        <f>CurrentMtgRatesDataTable8[[#This Row],[Servicing Spread Non-Zero]]-L1552</f>
        <v>0</v>
      </c>
      <c r="N1553" s="16">
        <f>IF(J1552&lt;&gt;0,CurrentMtgRatesDataTable8[[#This Row],[Rate]]-C1552,N1552)</f>
        <v>5.4999999999999716E-2</v>
      </c>
    </row>
    <row r="1554" spans="1:14">
      <c r="A1554" s="39" t="s">
        <v>1606</v>
      </c>
      <c r="B1554" s="40">
        <v>3.7089468099420499</v>
      </c>
      <c r="C1554" s="11">
        <v>4.47</v>
      </c>
      <c r="D1554" s="16">
        <f t="shared" si="168"/>
        <v>7</v>
      </c>
      <c r="E1554" s="16">
        <f t="shared" si="169"/>
        <v>0.2</v>
      </c>
      <c r="F1554" s="16">
        <f t="shared" si="170"/>
        <v>5</v>
      </c>
      <c r="G1554" s="16">
        <f t="shared" si="171"/>
        <v>3.6892382502741508</v>
      </c>
      <c r="H1554" s="16">
        <f t="shared" si="172"/>
        <v>1</v>
      </c>
      <c r="I1554" s="16">
        <f t="shared" si="173"/>
        <v>1</v>
      </c>
      <c r="J1554" s="16">
        <f t="shared" si="174"/>
        <v>3.6892382502741508</v>
      </c>
      <c r="K1554" s="16">
        <f>IF(CurrentMtgRatesDataTable8[[#This Row],[WA CC]]&lt;&gt;0,C1553-CurrentMtgRatesDataTable8[[#This Row],[WA CC]],0)</f>
        <v>0.780761749725849</v>
      </c>
      <c r="L1554" s="16">
        <f>IF(CurrentMtgRatesDataTable8[[#This Row],[Servicing Spread]]&lt;=0,L1553,CurrentMtgRatesDataTable8[[#This Row],[Servicing Spread]])</f>
        <v>0.780761749725849</v>
      </c>
      <c r="M1554" s="16">
        <f>CurrentMtgRatesDataTable8[[#This Row],[Servicing Spread Non-Zero]]-L1553</f>
        <v>-8.993362432626828E-3</v>
      </c>
      <c r="N1554" s="16">
        <f>IF(J1553&lt;&gt;0,CurrentMtgRatesDataTable8[[#This Row],[Rate]]-C1553,N1553)</f>
        <v>5.4999999999999716E-2</v>
      </c>
    </row>
    <row r="1555" spans="1:14">
      <c r="A1555" s="39" t="s">
        <v>1607</v>
      </c>
      <c r="B1555" s="40">
        <v>3.6654731838552799</v>
      </c>
      <c r="C1555" s="11">
        <v>4.4450000000000003</v>
      </c>
      <c r="D1555" s="16">
        <f t="shared" si="168"/>
        <v>1</v>
      </c>
      <c r="E1555" s="16">
        <f t="shared" si="169"/>
        <v>0.2</v>
      </c>
      <c r="F1555" s="16">
        <f t="shared" si="170"/>
        <v>1</v>
      </c>
      <c r="G1555" s="16">
        <f t="shared" si="171"/>
        <v>0.73309463677105602</v>
      </c>
      <c r="H1555" s="16">
        <f t="shared" si="172"/>
        <v>0.2</v>
      </c>
      <c r="I1555" s="16">
        <f t="shared" si="173"/>
        <v>0</v>
      </c>
      <c r="J1555" s="16">
        <f t="shared" si="174"/>
        <v>0</v>
      </c>
      <c r="K1555" s="16">
        <f>IF(CurrentMtgRatesDataTable8[[#This Row],[WA CC]]&lt;&gt;0,C1554-CurrentMtgRatesDataTable8[[#This Row],[WA CC]],0)</f>
        <v>0</v>
      </c>
      <c r="L1555" s="16">
        <f>IF(CurrentMtgRatesDataTable8[[#This Row],[Servicing Spread]]&lt;=0,L1554,CurrentMtgRatesDataTable8[[#This Row],[Servicing Spread]])</f>
        <v>0.780761749725849</v>
      </c>
      <c r="M1555" s="16">
        <f>CurrentMtgRatesDataTable8[[#This Row],[Servicing Spread Non-Zero]]-L1554</f>
        <v>0</v>
      </c>
      <c r="N1555" s="16">
        <f>IF(J1554&lt;&gt;0,CurrentMtgRatesDataTable8[[#This Row],[Rate]]-C1554,N1554)</f>
        <v>-2.4999999999999467E-2</v>
      </c>
    </row>
    <row r="1556" spans="1:14">
      <c r="A1556" s="39" t="s">
        <v>1608</v>
      </c>
      <c r="B1556" s="40">
        <v>3.6526262180028599</v>
      </c>
      <c r="C1556" s="11">
        <v>4.4450000000000003</v>
      </c>
      <c r="D1556" s="16">
        <f t="shared" si="168"/>
        <v>2</v>
      </c>
      <c r="E1556" s="16">
        <f t="shared" si="169"/>
        <v>0.2</v>
      </c>
      <c r="F1556" s="16">
        <f t="shared" si="170"/>
        <v>2</v>
      </c>
      <c r="G1556" s="16">
        <f t="shared" si="171"/>
        <v>1.463619880371628</v>
      </c>
      <c r="H1556" s="16">
        <f t="shared" si="172"/>
        <v>0.4</v>
      </c>
      <c r="I1556" s="16">
        <f t="shared" si="173"/>
        <v>0</v>
      </c>
      <c r="J1556" s="16">
        <f t="shared" si="174"/>
        <v>0</v>
      </c>
      <c r="K1556" s="16">
        <f>IF(CurrentMtgRatesDataTable8[[#This Row],[WA CC]]&lt;&gt;0,C1555-CurrentMtgRatesDataTable8[[#This Row],[WA CC]],0)</f>
        <v>0</v>
      </c>
      <c r="L1556" s="16">
        <f>IF(CurrentMtgRatesDataTable8[[#This Row],[Servicing Spread]]&lt;=0,L1555,CurrentMtgRatesDataTable8[[#This Row],[Servicing Spread]])</f>
        <v>0.780761749725849</v>
      </c>
      <c r="M1556" s="16">
        <f>CurrentMtgRatesDataTable8[[#This Row],[Servicing Spread Non-Zero]]-L1555</f>
        <v>0</v>
      </c>
      <c r="N1556" s="16">
        <f>IF(J1555&lt;&gt;0,CurrentMtgRatesDataTable8[[#This Row],[Rate]]-C1555,N1555)</f>
        <v>-2.4999999999999467E-2</v>
      </c>
    </row>
    <row r="1557" spans="1:14">
      <c r="A1557" s="39" t="s">
        <v>1609</v>
      </c>
      <c r="B1557" s="40">
        <v>3.6592252729507302</v>
      </c>
      <c r="C1557" s="11">
        <v>4.4450000000000003</v>
      </c>
      <c r="D1557" s="16">
        <f t="shared" si="168"/>
        <v>5</v>
      </c>
      <c r="E1557" s="16">
        <f t="shared" si="169"/>
        <v>0.2</v>
      </c>
      <c r="F1557" s="16">
        <f t="shared" si="170"/>
        <v>3</v>
      </c>
      <c r="G1557" s="16">
        <f t="shared" si="171"/>
        <v>2.1954649349617741</v>
      </c>
      <c r="H1557" s="16">
        <f t="shared" si="172"/>
        <v>0.60000000000000009</v>
      </c>
      <c r="I1557" s="16">
        <f t="shared" si="173"/>
        <v>0</v>
      </c>
      <c r="J1557" s="16">
        <f t="shared" si="174"/>
        <v>0</v>
      </c>
      <c r="K1557" s="16">
        <f>IF(CurrentMtgRatesDataTable8[[#This Row],[WA CC]]&lt;&gt;0,C1556-CurrentMtgRatesDataTable8[[#This Row],[WA CC]],0)</f>
        <v>0</v>
      </c>
      <c r="L1557" s="16">
        <f>IF(CurrentMtgRatesDataTable8[[#This Row],[Servicing Spread]]&lt;=0,L1556,CurrentMtgRatesDataTable8[[#This Row],[Servicing Spread]])</f>
        <v>0.780761749725849</v>
      </c>
      <c r="M1557" s="16">
        <f>CurrentMtgRatesDataTable8[[#This Row],[Servicing Spread Non-Zero]]-L1556</f>
        <v>0</v>
      </c>
      <c r="N1557" s="16">
        <f>IF(J1556&lt;&gt;0,CurrentMtgRatesDataTable8[[#This Row],[Rate]]-C1556,N1556)</f>
        <v>-2.4999999999999467E-2</v>
      </c>
    </row>
    <row r="1558" spans="1:14">
      <c r="A1558" s="39" t="s">
        <v>1610</v>
      </c>
      <c r="B1558" s="40">
        <v>3.6310140741232302</v>
      </c>
      <c r="C1558" s="11">
        <v>4.4450000000000003</v>
      </c>
      <c r="D1558" s="16">
        <f t="shared" si="168"/>
        <v>6</v>
      </c>
      <c r="E1558" s="16">
        <f t="shared" si="169"/>
        <v>0.2</v>
      </c>
      <c r="F1558" s="16">
        <f t="shared" si="170"/>
        <v>4</v>
      </c>
      <c r="G1558" s="16">
        <f t="shared" si="171"/>
        <v>2.9216677497864203</v>
      </c>
      <c r="H1558" s="16">
        <f t="shared" si="172"/>
        <v>0.8</v>
      </c>
      <c r="I1558" s="16">
        <f t="shared" si="173"/>
        <v>0</v>
      </c>
      <c r="J1558" s="16">
        <f t="shared" si="174"/>
        <v>0</v>
      </c>
      <c r="K1558" s="16">
        <f>IF(CurrentMtgRatesDataTable8[[#This Row],[WA CC]]&lt;&gt;0,C1557-CurrentMtgRatesDataTable8[[#This Row],[WA CC]],0)</f>
        <v>0</v>
      </c>
      <c r="L1558" s="16">
        <f>IF(CurrentMtgRatesDataTable8[[#This Row],[Servicing Spread]]&lt;=0,L1557,CurrentMtgRatesDataTable8[[#This Row],[Servicing Spread]])</f>
        <v>0.780761749725849</v>
      </c>
      <c r="M1558" s="16">
        <f>CurrentMtgRatesDataTable8[[#This Row],[Servicing Spread Non-Zero]]-L1557</f>
        <v>0</v>
      </c>
      <c r="N1558" s="16">
        <f>IF(J1557&lt;&gt;0,CurrentMtgRatesDataTable8[[#This Row],[Rate]]-C1557,N1557)</f>
        <v>-2.4999999999999467E-2</v>
      </c>
    </row>
    <row r="1559" spans="1:14">
      <c r="A1559" s="39" t="s">
        <v>1611</v>
      </c>
      <c r="B1559" s="40">
        <v>3.6581115593316702</v>
      </c>
      <c r="C1559" s="11">
        <v>4.4450000000000003</v>
      </c>
      <c r="D1559" s="16">
        <f t="shared" si="168"/>
        <v>7</v>
      </c>
      <c r="E1559" s="16">
        <f t="shared" si="169"/>
        <v>0.2</v>
      </c>
      <c r="F1559" s="16">
        <f t="shared" si="170"/>
        <v>5</v>
      </c>
      <c r="G1559" s="16">
        <f t="shared" si="171"/>
        <v>3.6532900616527542</v>
      </c>
      <c r="H1559" s="16">
        <f t="shared" si="172"/>
        <v>1</v>
      </c>
      <c r="I1559" s="16">
        <f t="shared" si="173"/>
        <v>1</v>
      </c>
      <c r="J1559" s="16">
        <f t="shared" si="174"/>
        <v>3.6532900616527542</v>
      </c>
      <c r="K1559" s="16">
        <f>IF(CurrentMtgRatesDataTable8[[#This Row],[WA CC]]&lt;&gt;0,C1558-CurrentMtgRatesDataTable8[[#This Row],[WA CC]],0)</f>
        <v>0.79170993834724612</v>
      </c>
      <c r="L1559" s="16">
        <f>IF(CurrentMtgRatesDataTable8[[#This Row],[Servicing Spread]]&lt;=0,L1558,CurrentMtgRatesDataTable8[[#This Row],[Servicing Spread]])</f>
        <v>0.79170993834724612</v>
      </c>
      <c r="M1559" s="16">
        <f>CurrentMtgRatesDataTable8[[#This Row],[Servicing Spread Non-Zero]]-L1558</f>
        <v>1.0948188621397126E-2</v>
      </c>
      <c r="N1559" s="16">
        <f>IF(J1558&lt;&gt;0,CurrentMtgRatesDataTable8[[#This Row],[Rate]]-C1558,N1558)</f>
        <v>-2.4999999999999467E-2</v>
      </c>
    </row>
    <row r="1560" spans="1:14">
      <c r="A1560" s="39" t="s">
        <v>1612</v>
      </c>
      <c r="B1560" s="40">
        <v>3.63386900265423</v>
      </c>
      <c r="C1560" s="11">
        <v>4.4249999999999998</v>
      </c>
      <c r="D1560" s="16">
        <f t="shared" si="168"/>
        <v>1</v>
      </c>
      <c r="E1560" s="16">
        <f t="shared" si="169"/>
        <v>0.2</v>
      </c>
      <c r="F1560" s="16">
        <f t="shared" si="170"/>
        <v>1</v>
      </c>
      <c r="G1560" s="16">
        <f t="shared" si="171"/>
        <v>0.72677380053084606</v>
      </c>
      <c r="H1560" s="16">
        <f t="shared" si="172"/>
        <v>0.2</v>
      </c>
      <c r="I1560" s="16">
        <f t="shared" si="173"/>
        <v>0</v>
      </c>
      <c r="J1560" s="16">
        <f t="shared" si="174"/>
        <v>0</v>
      </c>
      <c r="K1560" s="16">
        <f>IF(CurrentMtgRatesDataTable8[[#This Row],[WA CC]]&lt;&gt;0,C1559-CurrentMtgRatesDataTable8[[#This Row],[WA CC]],0)</f>
        <v>0</v>
      </c>
      <c r="L1560" s="16">
        <f>IF(CurrentMtgRatesDataTable8[[#This Row],[Servicing Spread]]&lt;=0,L1559,CurrentMtgRatesDataTable8[[#This Row],[Servicing Spread]])</f>
        <v>0.79170993834724612</v>
      </c>
      <c r="M1560" s="16">
        <f>CurrentMtgRatesDataTable8[[#This Row],[Servicing Spread Non-Zero]]-L1559</f>
        <v>0</v>
      </c>
      <c r="N1560" s="16">
        <f>IF(J1559&lt;&gt;0,CurrentMtgRatesDataTable8[[#This Row],[Rate]]-C1559,N1559)</f>
        <v>-2.0000000000000462E-2</v>
      </c>
    </row>
    <row r="1561" spans="1:14">
      <c r="A1561" s="39" t="s">
        <v>1613</v>
      </c>
      <c r="B1561" s="40">
        <v>3.6444968717003898</v>
      </c>
      <c r="C1561" s="11">
        <v>4.4249999999999998</v>
      </c>
      <c r="D1561" s="16">
        <f t="shared" si="168"/>
        <v>2</v>
      </c>
      <c r="E1561" s="16">
        <f t="shared" si="169"/>
        <v>0.2</v>
      </c>
      <c r="F1561" s="16">
        <f t="shared" si="170"/>
        <v>2</v>
      </c>
      <c r="G1561" s="16">
        <f t="shared" si="171"/>
        <v>1.455673174870924</v>
      </c>
      <c r="H1561" s="16">
        <f t="shared" si="172"/>
        <v>0.4</v>
      </c>
      <c r="I1561" s="16">
        <f t="shared" si="173"/>
        <v>0</v>
      </c>
      <c r="J1561" s="16">
        <f t="shared" si="174"/>
        <v>0</v>
      </c>
      <c r="K1561" s="16">
        <f>IF(CurrentMtgRatesDataTable8[[#This Row],[WA CC]]&lt;&gt;0,C1560-CurrentMtgRatesDataTable8[[#This Row],[WA CC]],0)</f>
        <v>0</v>
      </c>
      <c r="L1561" s="16">
        <f>IF(CurrentMtgRatesDataTable8[[#This Row],[Servicing Spread]]&lt;=0,L1560,CurrentMtgRatesDataTable8[[#This Row],[Servicing Spread]])</f>
        <v>0.79170993834724612</v>
      </c>
      <c r="M1561" s="16">
        <f>CurrentMtgRatesDataTable8[[#This Row],[Servicing Spread Non-Zero]]-L1560</f>
        <v>0</v>
      </c>
      <c r="N1561" s="16">
        <f>IF(J1560&lt;&gt;0,CurrentMtgRatesDataTable8[[#This Row],[Rate]]-C1560,N1560)</f>
        <v>-2.0000000000000462E-2</v>
      </c>
    </row>
    <row r="1562" spans="1:14">
      <c r="A1562" s="39" t="s">
        <v>1614</v>
      </c>
      <c r="B1562" s="40">
        <v>3.63257020785941</v>
      </c>
      <c r="C1562" s="11">
        <v>4.4249999999999998</v>
      </c>
      <c r="D1562" s="16">
        <f t="shared" si="168"/>
        <v>5</v>
      </c>
      <c r="E1562" s="16">
        <f t="shared" si="169"/>
        <v>0.2</v>
      </c>
      <c r="F1562" s="16">
        <f t="shared" si="170"/>
        <v>3</v>
      </c>
      <c r="G1562" s="16">
        <f t="shared" si="171"/>
        <v>2.1821872164428058</v>
      </c>
      <c r="H1562" s="16">
        <f t="shared" si="172"/>
        <v>0.60000000000000009</v>
      </c>
      <c r="I1562" s="16">
        <f t="shared" si="173"/>
        <v>0</v>
      </c>
      <c r="J1562" s="16">
        <f t="shared" si="174"/>
        <v>0</v>
      </c>
      <c r="K1562" s="16">
        <f>IF(CurrentMtgRatesDataTable8[[#This Row],[WA CC]]&lt;&gt;0,C1561-CurrentMtgRatesDataTable8[[#This Row],[WA CC]],0)</f>
        <v>0</v>
      </c>
      <c r="L1562" s="16">
        <f>IF(CurrentMtgRatesDataTable8[[#This Row],[Servicing Spread]]&lt;=0,L1561,CurrentMtgRatesDataTable8[[#This Row],[Servicing Spread]])</f>
        <v>0.79170993834724612</v>
      </c>
      <c r="M1562" s="16">
        <f>CurrentMtgRatesDataTable8[[#This Row],[Servicing Spread Non-Zero]]-L1561</f>
        <v>0</v>
      </c>
      <c r="N1562" s="16">
        <f>IF(J1561&lt;&gt;0,CurrentMtgRatesDataTable8[[#This Row],[Rate]]-C1561,N1561)</f>
        <v>-2.0000000000000462E-2</v>
      </c>
    </row>
    <row r="1563" spans="1:14">
      <c r="A1563" s="39" t="s">
        <v>1615</v>
      </c>
      <c r="B1563" s="40">
        <v>3.62608092453898</v>
      </c>
      <c r="C1563" s="11">
        <v>4.4249999999999998</v>
      </c>
      <c r="D1563" s="16">
        <f t="shared" si="168"/>
        <v>6</v>
      </c>
      <c r="E1563" s="16">
        <f t="shared" si="169"/>
        <v>0.2</v>
      </c>
      <c r="F1563" s="16">
        <f t="shared" si="170"/>
        <v>4</v>
      </c>
      <c r="G1563" s="16">
        <f t="shared" si="171"/>
        <v>2.907403401350602</v>
      </c>
      <c r="H1563" s="16">
        <f t="shared" si="172"/>
        <v>0.8</v>
      </c>
      <c r="I1563" s="16">
        <f t="shared" si="173"/>
        <v>0</v>
      </c>
      <c r="J1563" s="16">
        <f t="shared" si="174"/>
        <v>0</v>
      </c>
      <c r="K1563" s="16">
        <f>IF(CurrentMtgRatesDataTable8[[#This Row],[WA CC]]&lt;&gt;0,C1562-CurrentMtgRatesDataTable8[[#This Row],[WA CC]],0)</f>
        <v>0</v>
      </c>
      <c r="L1563" s="16">
        <f>IF(CurrentMtgRatesDataTable8[[#This Row],[Servicing Spread]]&lt;=0,L1562,CurrentMtgRatesDataTable8[[#This Row],[Servicing Spread]])</f>
        <v>0.79170993834724612</v>
      </c>
      <c r="M1563" s="16">
        <f>CurrentMtgRatesDataTable8[[#This Row],[Servicing Spread Non-Zero]]-L1562</f>
        <v>0</v>
      </c>
      <c r="N1563" s="16">
        <f>IF(J1562&lt;&gt;0,CurrentMtgRatesDataTable8[[#This Row],[Rate]]-C1562,N1562)</f>
        <v>-2.0000000000000462E-2</v>
      </c>
    </row>
    <row r="1564" spans="1:14">
      <c r="A1564" s="39" t="s">
        <v>1616</v>
      </c>
      <c r="B1564" s="40">
        <v>3.5845179710778798</v>
      </c>
      <c r="C1564" s="11">
        <v>4.4249999999999998</v>
      </c>
      <c r="D1564" s="16">
        <f t="shared" si="168"/>
        <v>7</v>
      </c>
      <c r="E1564" s="16">
        <f t="shared" si="169"/>
        <v>0.2</v>
      </c>
      <c r="F1564" s="16">
        <f t="shared" si="170"/>
        <v>5</v>
      </c>
      <c r="G1564" s="16">
        <f t="shared" si="171"/>
        <v>3.6243069955661782</v>
      </c>
      <c r="H1564" s="16">
        <f t="shared" si="172"/>
        <v>1</v>
      </c>
      <c r="I1564" s="16">
        <f t="shared" si="173"/>
        <v>1</v>
      </c>
      <c r="J1564" s="16">
        <f t="shared" si="174"/>
        <v>3.6243069955661782</v>
      </c>
      <c r="K1564" s="16">
        <f>IF(CurrentMtgRatesDataTable8[[#This Row],[WA CC]]&lt;&gt;0,C1563-CurrentMtgRatesDataTable8[[#This Row],[WA CC]],0)</f>
        <v>0.80069300443382163</v>
      </c>
      <c r="L1564" s="16">
        <f>IF(CurrentMtgRatesDataTable8[[#This Row],[Servicing Spread]]&lt;=0,L1563,CurrentMtgRatesDataTable8[[#This Row],[Servicing Spread]])</f>
        <v>0.80069300443382163</v>
      </c>
      <c r="M1564" s="16">
        <f>CurrentMtgRatesDataTable8[[#This Row],[Servicing Spread Non-Zero]]-L1563</f>
        <v>8.9830660865755085E-3</v>
      </c>
      <c r="N1564" s="16">
        <f>IF(J1563&lt;&gt;0,CurrentMtgRatesDataTable8[[#This Row],[Rate]]-C1563,N1563)</f>
        <v>-2.0000000000000462E-2</v>
      </c>
    </row>
    <row r="1565" spans="1:14">
      <c r="A1565" s="39" t="s">
        <v>1617</v>
      </c>
      <c r="B1565" s="40">
        <v>3.5956794187142802</v>
      </c>
      <c r="C1565" s="11">
        <v>4.3949999999999996</v>
      </c>
      <c r="D1565" s="16">
        <f t="shared" si="168"/>
        <v>1</v>
      </c>
      <c r="E1565" s="16">
        <f t="shared" si="169"/>
        <v>0.2</v>
      </c>
      <c r="F1565" s="16">
        <f t="shared" si="170"/>
        <v>1</v>
      </c>
      <c r="G1565" s="16">
        <f t="shared" si="171"/>
        <v>0.71913588374285609</v>
      </c>
      <c r="H1565" s="16">
        <f t="shared" si="172"/>
        <v>0.2</v>
      </c>
      <c r="I1565" s="16">
        <f t="shared" si="173"/>
        <v>0</v>
      </c>
      <c r="J1565" s="16">
        <f t="shared" si="174"/>
        <v>0</v>
      </c>
      <c r="K1565" s="16">
        <f>IF(CurrentMtgRatesDataTable8[[#This Row],[WA CC]]&lt;&gt;0,C1564-CurrentMtgRatesDataTable8[[#This Row],[WA CC]],0)</f>
        <v>0</v>
      </c>
      <c r="L1565" s="16">
        <f>IF(CurrentMtgRatesDataTable8[[#This Row],[Servicing Spread]]&lt;=0,L1564,CurrentMtgRatesDataTable8[[#This Row],[Servicing Spread]])</f>
        <v>0.80069300443382163</v>
      </c>
      <c r="M1565" s="16">
        <f>CurrentMtgRatesDataTable8[[#This Row],[Servicing Spread Non-Zero]]-L1564</f>
        <v>0</v>
      </c>
      <c r="N1565" s="16">
        <f>IF(J1564&lt;&gt;0,CurrentMtgRatesDataTable8[[#This Row],[Rate]]-C1564,N1564)</f>
        <v>-3.0000000000000249E-2</v>
      </c>
    </row>
    <row r="1566" spans="1:14">
      <c r="A1566" s="39" t="s">
        <v>1618</v>
      </c>
      <c r="B1566" s="40">
        <v>3.58781846229643</v>
      </c>
      <c r="C1566" s="11">
        <v>4.3949999999999996</v>
      </c>
      <c r="D1566" s="16">
        <f t="shared" si="168"/>
        <v>2</v>
      </c>
      <c r="E1566" s="16">
        <f t="shared" si="169"/>
        <v>0.2</v>
      </c>
      <c r="F1566" s="16">
        <f t="shared" si="170"/>
        <v>2</v>
      </c>
      <c r="G1566" s="16">
        <f t="shared" si="171"/>
        <v>1.4366995762021422</v>
      </c>
      <c r="H1566" s="16">
        <f t="shared" si="172"/>
        <v>0.4</v>
      </c>
      <c r="I1566" s="16">
        <f t="shared" si="173"/>
        <v>0</v>
      </c>
      <c r="J1566" s="16">
        <f t="shared" si="174"/>
        <v>0</v>
      </c>
      <c r="K1566" s="16">
        <f>IF(CurrentMtgRatesDataTable8[[#This Row],[WA CC]]&lt;&gt;0,C1565-CurrentMtgRatesDataTable8[[#This Row],[WA CC]],0)</f>
        <v>0</v>
      </c>
      <c r="L1566" s="16">
        <f>IF(CurrentMtgRatesDataTable8[[#This Row],[Servicing Spread]]&lt;=0,L1565,CurrentMtgRatesDataTable8[[#This Row],[Servicing Spread]])</f>
        <v>0.80069300443382163</v>
      </c>
      <c r="M1566" s="16">
        <f>CurrentMtgRatesDataTable8[[#This Row],[Servicing Spread Non-Zero]]-L1565</f>
        <v>0</v>
      </c>
      <c r="N1566" s="16">
        <f>IF(J1565&lt;&gt;0,CurrentMtgRatesDataTable8[[#This Row],[Rate]]-C1565,N1565)</f>
        <v>-3.0000000000000249E-2</v>
      </c>
    </row>
    <row r="1567" spans="1:14">
      <c r="A1567" s="39" t="s">
        <v>1619</v>
      </c>
      <c r="B1567" s="40">
        <v>3.61940093827369</v>
      </c>
      <c r="C1567" s="11">
        <v>4.3949999999999996</v>
      </c>
      <c r="D1567" s="16">
        <f t="shared" si="168"/>
        <v>5</v>
      </c>
      <c r="E1567" s="16">
        <f t="shared" si="169"/>
        <v>0.2</v>
      </c>
      <c r="F1567" s="16">
        <f t="shared" si="170"/>
        <v>3</v>
      </c>
      <c r="G1567" s="16">
        <f t="shared" si="171"/>
        <v>2.1605797638568802</v>
      </c>
      <c r="H1567" s="16">
        <f t="shared" si="172"/>
        <v>0.60000000000000009</v>
      </c>
      <c r="I1567" s="16">
        <f t="shared" si="173"/>
        <v>0</v>
      </c>
      <c r="J1567" s="16">
        <f t="shared" si="174"/>
        <v>0</v>
      </c>
      <c r="K1567" s="16">
        <f>IF(CurrentMtgRatesDataTable8[[#This Row],[WA CC]]&lt;&gt;0,C1566-CurrentMtgRatesDataTable8[[#This Row],[WA CC]],0)</f>
        <v>0</v>
      </c>
      <c r="L1567" s="16">
        <f>IF(CurrentMtgRatesDataTable8[[#This Row],[Servicing Spread]]&lt;=0,L1566,CurrentMtgRatesDataTable8[[#This Row],[Servicing Spread]])</f>
        <v>0.80069300443382163</v>
      </c>
      <c r="M1567" s="16">
        <f>CurrentMtgRatesDataTable8[[#This Row],[Servicing Spread Non-Zero]]-L1566</f>
        <v>0</v>
      </c>
      <c r="N1567" s="16">
        <f>IF(J1566&lt;&gt;0,CurrentMtgRatesDataTable8[[#This Row],[Rate]]-C1566,N1566)</f>
        <v>-3.0000000000000249E-2</v>
      </c>
    </row>
    <row r="1568" spans="1:14">
      <c r="A1568" s="39" t="s">
        <v>1620</v>
      </c>
      <c r="B1568" s="40">
        <v>3.5895202150333398</v>
      </c>
      <c r="C1568" s="11">
        <v>4.3949999999999996</v>
      </c>
      <c r="D1568" s="16">
        <f t="shared" si="168"/>
        <v>6</v>
      </c>
      <c r="E1568" s="16">
        <f t="shared" si="169"/>
        <v>0.2</v>
      </c>
      <c r="F1568" s="16">
        <f t="shared" si="170"/>
        <v>4</v>
      </c>
      <c r="G1568" s="16">
        <f t="shared" si="171"/>
        <v>2.8784838068635481</v>
      </c>
      <c r="H1568" s="16">
        <f t="shared" si="172"/>
        <v>0.8</v>
      </c>
      <c r="I1568" s="16">
        <f t="shared" si="173"/>
        <v>1</v>
      </c>
      <c r="J1568" s="16">
        <f t="shared" si="174"/>
        <v>3.598104758579435</v>
      </c>
      <c r="K1568" s="16">
        <f>IF(CurrentMtgRatesDataTable8[[#This Row],[WA CC]]&lt;&gt;0,C1567-CurrentMtgRatesDataTable8[[#This Row],[WA CC]],0)</f>
        <v>0.79689524142056456</v>
      </c>
      <c r="L1568" s="16">
        <f>IF(CurrentMtgRatesDataTable8[[#This Row],[Servicing Spread]]&lt;=0,L1567,CurrentMtgRatesDataTable8[[#This Row],[Servicing Spread]])</f>
        <v>0.79689524142056456</v>
      </c>
      <c r="M1568" s="16">
        <f>CurrentMtgRatesDataTable8[[#This Row],[Servicing Spread Non-Zero]]-L1567</f>
        <v>-3.7977630132570717E-3</v>
      </c>
      <c r="N1568" s="16">
        <f>IF(J1567&lt;&gt;0,CurrentMtgRatesDataTable8[[#This Row],[Rate]]-C1567,N1567)</f>
        <v>-3.0000000000000249E-2</v>
      </c>
    </row>
    <row r="1569" spans="1:4">
      <c r="A1569" s="7"/>
      <c r="B1569" s="7"/>
      <c r="C1569" s="7"/>
      <c r="D1569" s="7"/>
    </row>
    <row r="1570" spans="1:4">
      <c r="A1570" s="7"/>
      <c r="B1570" s="7"/>
      <c r="C1570" s="7"/>
      <c r="D1570" s="7"/>
    </row>
    <row r="1571" spans="1:4">
      <c r="A1571" s="7"/>
      <c r="B1571" s="7"/>
      <c r="C1571" s="7"/>
      <c r="D1571" s="7"/>
    </row>
    <row r="1572" spans="1:4">
      <c r="A1572" s="7"/>
      <c r="B1572" s="7"/>
      <c r="C1572" s="7"/>
      <c r="D1572" s="7"/>
    </row>
    <row r="1573" spans="1:4">
      <c r="A1573" s="7"/>
      <c r="B1573" s="7"/>
      <c r="C1573" s="7"/>
      <c r="D1573" s="7"/>
    </row>
    <row r="1574" spans="1:4">
      <c r="A1574" s="7"/>
      <c r="B1574" s="7"/>
      <c r="C1574" s="7"/>
      <c r="D1574" s="7"/>
    </row>
    <row r="1575" spans="1:4">
      <c r="A1575" s="7"/>
      <c r="B1575" s="7"/>
      <c r="C1575" s="7"/>
      <c r="D1575" s="7"/>
    </row>
    <row r="1576" spans="1:4">
      <c r="A1576" s="7"/>
      <c r="B1576" s="7"/>
      <c r="C1576" s="7"/>
      <c r="D1576" s="7"/>
    </row>
    <row r="1577" spans="1:4">
      <c r="A1577" s="7"/>
      <c r="B1577" s="7"/>
      <c r="C1577" s="7"/>
      <c r="D1577" s="7"/>
    </row>
    <row r="1578" spans="1:4">
      <c r="A1578" s="7"/>
      <c r="B1578" s="7"/>
      <c r="C1578" s="7"/>
      <c r="D1578" s="7"/>
    </row>
    <row r="1579" spans="1:4">
      <c r="A1579" s="7"/>
      <c r="B1579" s="7"/>
      <c r="C1579" s="7"/>
      <c r="D1579" s="7"/>
    </row>
    <row r="1580" spans="1:4">
      <c r="A1580" s="7"/>
      <c r="B1580" s="7"/>
      <c r="C1580" s="7"/>
      <c r="D1580" s="7"/>
    </row>
    <row r="1581" spans="1:4">
      <c r="A1581" s="7"/>
      <c r="B1581" s="7"/>
      <c r="C1581" s="7"/>
      <c r="D1581" s="7"/>
    </row>
    <row r="1582" spans="1:4">
      <c r="A1582" s="7"/>
      <c r="B1582" s="7"/>
      <c r="C1582" s="7"/>
      <c r="D1582" s="7"/>
    </row>
    <row r="1583" spans="1:4">
      <c r="A1583" s="7"/>
      <c r="B1583" s="7"/>
      <c r="C1583" s="7"/>
      <c r="D1583" s="7"/>
    </row>
    <row r="1584" spans="1:4">
      <c r="A1584" s="7"/>
      <c r="B1584" s="7"/>
      <c r="C1584" s="7"/>
      <c r="D1584" s="7"/>
    </row>
    <row r="1585" spans="1:4">
      <c r="A1585" s="7"/>
      <c r="B1585" s="7"/>
      <c r="C1585" s="7"/>
      <c r="D1585" s="7"/>
    </row>
    <row r="1586" spans="1:4">
      <c r="A1586" s="7"/>
      <c r="B1586" s="7"/>
      <c r="C1586" s="7"/>
      <c r="D1586" s="7"/>
    </row>
    <row r="1587" spans="1:4">
      <c r="A1587" s="7"/>
      <c r="B1587" s="7"/>
      <c r="C1587" s="7"/>
      <c r="D1587" s="7"/>
    </row>
    <row r="1588" spans="1:4">
      <c r="A1588" s="7"/>
      <c r="B1588" s="7"/>
      <c r="C1588" s="7"/>
      <c r="D1588" s="7"/>
    </row>
    <row r="1589" spans="1:4">
      <c r="A1589" s="7"/>
      <c r="B1589" s="7"/>
      <c r="C1589" s="7"/>
      <c r="D1589" s="7"/>
    </row>
    <row r="1590" spans="1:4">
      <c r="A1590" s="7"/>
      <c r="B1590" s="7"/>
      <c r="C1590" s="7"/>
      <c r="D1590" s="7"/>
    </row>
    <row r="1591" spans="1:4">
      <c r="A1591" s="7"/>
      <c r="B1591" s="7"/>
      <c r="C1591" s="7"/>
      <c r="D1591" s="7"/>
    </row>
    <row r="1592" spans="1:4">
      <c r="A1592" s="7"/>
      <c r="B1592" s="7"/>
      <c r="C1592" s="7"/>
      <c r="D1592" s="7"/>
    </row>
    <row r="1593" spans="1:4">
      <c r="A1593" s="7"/>
      <c r="B1593" s="7"/>
      <c r="C1593" s="7"/>
      <c r="D1593" s="7"/>
    </row>
    <row r="1594" spans="1:4">
      <c r="A1594" s="7"/>
      <c r="B1594" s="7"/>
      <c r="C1594" s="7"/>
      <c r="D1594" s="7"/>
    </row>
    <row r="1595" spans="1:4">
      <c r="A1595" s="7"/>
      <c r="B1595" s="7"/>
      <c r="C1595" s="7"/>
      <c r="D1595" s="7"/>
    </row>
    <row r="1596" spans="1:4">
      <c r="A1596" s="7"/>
      <c r="B1596" s="7"/>
      <c r="C1596" s="7"/>
      <c r="D1596" s="7"/>
    </row>
    <row r="1597" spans="1:4">
      <c r="A1597" s="7"/>
      <c r="B1597" s="7"/>
      <c r="C1597" s="7"/>
      <c r="D1597" s="7"/>
    </row>
    <row r="1598" spans="1:4">
      <c r="A1598" s="7"/>
      <c r="B1598" s="7"/>
      <c r="C1598" s="7"/>
      <c r="D1598" s="7"/>
    </row>
    <row r="1599" spans="1:4">
      <c r="A1599" s="7"/>
      <c r="B1599" s="7"/>
      <c r="C1599" s="7"/>
      <c r="D1599" s="7"/>
    </row>
    <row r="1600" spans="1:4">
      <c r="A1600" s="7"/>
      <c r="B1600" s="7"/>
      <c r="C1600" s="7"/>
      <c r="D1600" s="7"/>
    </row>
    <row r="1601" spans="1:4">
      <c r="A1601" s="7"/>
      <c r="B1601" s="7"/>
      <c r="C1601" s="7"/>
      <c r="D1601" s="7"/>
    </row>
    <row r="1602" spans="1:4">
      <c r="A1602" s="7"/>
      <c r="B1602" s="7"/>
      <c r="C1602" s="7"/>
      <c r="D1602" s="7"/>
    </row>
    <row r="1603" spans="1:4">
      <c r="A1603" s="7"/>
      <c r="B1603" s="7"/>
      <c r="C1603" s="7"/>
      <c r="D1603" s="7"/>
    </row>
    <row r="1604" spans="1:4">
      <c r="A1604" s="7"/>
      <c r="B1604" s="7"/>
      <c r="C1604" s="7"/>
      <c r="D1604" s="7"/>
    </row>
    <row r="1605" spans="1:4">
      <c r="A1605" s="7"/>
      <c r="B1605" s="7"/>
      <c r="C1605" s="7"/>
      <c r="D1605" s="7"/>
    </row>
    <row r="1606" spans="1:4">
      <c r="A1606" s="7"/>
      <c r="B1606" s="7"/>
      <c r="C1606" s="7"/>
      <c r="D1606" s="7"/>
    </row>
    <row r="1607" spans="1:4">
      <c r="A1607" s="7"/>
      <c r="B1607" s="7"/>
      <c r="C1607" s="7"/>
      <c r="D1607" s="7"/>
    </row>
    <row r="1608" spans="1:4">
      <c r="A1608" s="7"/>
      <c r="B1608" s="7"/>
      <c r="C1608" s="7"/>
      <c r="D1608" s="7"/>
    </row>
    <row r="1609" spans="1:4">
      <c r="A1609" s="7"/>
      <c r="B1609" s="7"/>
      <c r="C1609" s="7"/>
      <c r="D1609" s="9"/>
    </row>
    <row r="1610" spans="1:4">
      <c r="A1610" s="9"/>
      <c r="B1610" s="9"/>
      <c r="C1610" s="9"/>
      <c r="D1610" s="9"/>
    </row>
    <row r="1611" spans="1:4">
      <c r="A1611" s="9"/>
      <c r="B1611" s="9"/>
      <c r="C1611" s="9"/>
      <c r="D1611" s="9"/>
    </row>
    <row r="1612" spans="1:4">
      <c r="A1612" s="9"/>
      <c r="B1612" s="9"/>
      <c r="C1612" s="9"/>
      <c r="D1612" s="9"/>
    </row>
    <row r="1613" spans="1:4">
      <c r="A1613" s="9"/>
      <c r="B1613" s="9"/>
      <c r="C1613" s="9"/>
      <c r="D1613" s="9"/>
    </row>
    <row r="1614" spans="1:4">
      <c r="A1614" s="9"/>
      <c r="B1614" s="9"/>
      <c r="C1614" s="9"/>
      <c r="D1614" s="9"/>
    </row>
    <row r="1615" spans="1:4">
      <c r="A1615" s="9"/>
      <c r="B1615" s="9"/>
      <c r="C1615" s="9"/>
      <c r="D1615" s="9"/>
    </row>
    <row r="1616" spans="1:4">
      <c r="A1616" s="9"/>
      <c r="B1616" s="9"/>
      <c r="C1616" s="9"/>
      <c r="D1616" s="9"/>
    </row>
    <row r="1617" spans="1:4">
      <c r="A1617" s="9"/>
      <c r="B1617" s="9"/>
      <c r="C1617" s="9"/>
      <c r="D1617" s="9"/>
    </row>
    <row r="1618" spans="1:4">
      <c r="A1618" s="9"/>
      <c r="B1618" s="9"/>
      <c r="C1618" s="9"/>
      <c r="D1618" s="9"/>
    </row>
    <row r="1619" spans="1:4">
      <c r="A1619" s="9"/>
      <c r="B1619" s="9"/>
      <c r="C1619" s="9"/>
      <c r="D1619" s="9"/>
    </row>
    <row r="1620" spans="1:4">
      <c r="A1620" s="9"/>
      <c r="B1620" s="9"/>
      <c r="C1620" s="9"/>
      <c r="D1620" s="9"/>
    </row>
    <row r="1621" spans="1:4">
      <c r="A1621" s="9"/>
      <c r="B1621" s="9"/>
      <c r="C1621" s="9"/>
      <c r="D1621" s="9"/>
    </row>
    <row r="1622" spans="1:4">
      <c r="A1622" s="9"/>
      <c r="B1622" s="9"/>
      <c r="C1622" s="9"/>
      <c r="D1622" s="9"/>
    </row>
    <row r="1623" spans="1:4">
      <c r="A1623" s="9"/>
      <c r="B1623" s="9"/>
      <c r="C1623" s="9"/>
      <c r="D1623" s="9"/>
    </row>
    <row r="1624" spans="1:4">
      <c r="A1624" s="9"/>
      <c r="B1624" s="9"/>
      <c r="C1624" s="9"/>
      <c r="D1624" s="9"/>
    </row>
    <row r="1625" spans="1:4">
      <c r="A1625" s="9"/>
      <c r="B1625" s="9"/>
      <c r="C1625" s="9"/>
      <c r="D1625" s="9"/>
    </row>
    <row r="1626" spans="1:4">
      <c r="A1626" s="9"/>
      <c r="B1626" s="9"/>
      <c r="C1626" s="9"/>
      <c r="D1626" s="9"/>
    </row>
    <row r="1627" spans="1:4">
      <c r="A1627" s="9"/>
      <c r="B1627" s="9"/>
      <c r="C1627" s="9"/>
      <c r="D1627" s="9"/>
    </row>
    <row r="1628" spans="1:4">
      <c r="A1628" s="9"/>
      <c r="B1628" s="9"/>
      <c r="C1628" s="9"/>
      <c r="D1628" s="9"/>
    </row>
    <row r="1629" spans="1:4">
      <c r="A1629" s="9"/>
      <c r="B1629" s="9"/>
      <c r="C1629" s="9"/>
      <c r="D1629" s="9"/>
    </row>
    <row r="1630" spans="1:4">
      <c r="A1630" s="9"/>
      <c r="B1630" s="9"/>
      <c r="C1630" s="9"/>
      <c r="D1630" s="9"/>
    </row>
    <row r="1631" spans="1:4">
      <c r="A1631" s="9"/>
      <c r="B1631" s="9"/>
      <c r="C1631" s="9"/>
      <c r="D1631" s="9"/>
    </row>
    <row r="1632" spans="1:4">
      <c r="A1632" s="9"/>
      <c r="B1632" s="9"/>
      <c r="C1632" s="9"/>
      <c r="D1632" s="9"/>
    </row>
    <row r="1633" spans="1:4">
      <c r="A1633" s="9"/>
      <c r="B1633" s="9"/>
      <c r="C1633" s="9"/>
      <c r="D1633" s="9"/>
    </row>
    <row r="1634" spans="1:4">
      <c r="A1634" s="9"/>
      <c r="B1634" s="9"/>
      <c r="C1634" s="9"/>
      <c r="D1634" s="9"/>
    </row>
    <row r="1635" spans="1:4">
      <c r="A1635" s="9"/>
      <c r="B1635" s="9"/>
      <c r="C1635" s="9"/>
      <c r="D1635" s="9"/>
    </row>
    <row r="1636" spans="1:4">
      <c r="A1636" s="9"/>
      <c r="B1636" s="9"/>
      <c r="C1636" s="9"/>
      <c r="D1636" s="9"/>
    </row>
    <row r="1637" spans="1:4">
      <c r="A1637" s="9"/>
      <c r="B1637" s="9"/>
      <c r="C1637" s="9"/>
      <c r="D1637" s="9"/>
    </row>
    <row r="1638" spans="1:4">
      <c r="A1638" s="9"/>
      <c r="B1638" s="9"/>
      <c r="C1638" s="9"/>
      <c r="D1638" s="9"/>
    </row>
    <row r="1639" spans="1:4">
      <c r="A1639" s="9"/>
      <c r="B1639" s="9"/>
      <c r="C1639" s="9"/>
      <c r="D1639" s="9"/>
    </row>
    <row r="1640" spans="1:4">
      <c r="A1640" s="9"/>
      <c r="B1640" s="9"/>
      <c r="C1640" s="9"/>
      <c r="D1640" s="9"/>
    </row>
    <row r="1641" spans="1:4">
      <c r="A1641" s="9"/>
      <c r="B1641" s="9"/>
      <c r="C1641" s="9"/>
      <c r="D1641" s="9"/>
    </row>
    <row r="1642" spans="1:4">
      <c r="A1642" s="9"/>
      <c r="B1642" s="9"/>
      <c r="C1642" s="9"/>
      <c r="D1642" s="9"/>
    </row>
    <row r="1643" spans="1:4">
      <c r="A1643" s="9"/>
      <c r="B1643" s="9"/>
      <c r="C1643" s="9"/>
      <c r="D1643" s="9"/>
    </row>
    <row r="1644" spans="1:4">
      <c r="A1644" s="9"/>
      <c r="B1644" s="9"/>
      <c r="C1644" s="9"/>
      <c r="D1644" s="9"/>
    </row>
    <row r="1645" spans="1:4">
      <c r="A1645" s="9"/>
      <c r="B1645" s="9"/>
      <c r="C1645" s="9"/>
      <c r="D1645" s="9"/>
    </row>
    <row r="1646" spans="1:4">
      <c r="A1646" s="9"/>
      <c r="B1646" s="9"/>
      <c r="C1646" s="9"/>
      <c r="D1646" s="9"/>
    </row>
    <row r="1647" spans="1:4">
      <c r="A1647" s="9"/>
      <c r="B1647" s="9"/>
      <c r="C1647" s="9"/>
      <c r="D1647" s="9"/>
    </row>
    <row r="1648" spans="1:4">
      <c r="A1648" s="9"/>
      <c r="B1648" s="9"/>
      <c r="C1648" s="9"/>
      <c r="D1648" s="9"/>
    </row>
    <row r="1649" spans="1:4">
      <c r="A1649" s="9"/>
      <c r="B1649" s="9"/>
      <c r="C1649" s="9"/>
      <c r="D1649" s="9"/>
    </row>
    <row r="1650" spans="1:4">
      <c r="A1650" s="9"/>
      <c r="B1650" s="9"/>
      <c r="C1650" s="9"/>
      <c r="D1650" s="9"/>
    </row>
    <row r="1651" spans="1:4">
      <c r="A1651" s="9"/>
      <c r="B1651" s="9"/>
      <c r="C1651" s="9"/>
      <c r="D1651" s="9"/>
    </row>
    <row r="1652" spans="1:4">
      <c r="A1652" s="9"/>
      <c r="B1652" s="9"/>
      <c r="C1652" s="9"/>
      <c r="D1652" s="9"/>
    </row>
    <row r="1653" spans="1:4">
      <c r="A1653" s="9"/>
      <c r="B1653" s="9"/>
      <c r="C1653" s="9"/>
      <c r="D1653" s="9"/>
    </row>
    <row r="1654" spans="1:4">
      <c r="A1654" s="9"/>
      <c r="B1654" s="9"/>
      <c r="C1654" s="9"/>
      <c r="D1654" s="9"/>
    </row>
    <row r="1655" spans="1:4">
      <c r="A1655" s="9"/>
      <c r="B1655" s="9"/>
      <c r="C1655" s="9"/>
      <c r="D1655" s="9"/>
    </row>
    <row r="1656" spans="1:4">
      <c r="A1656" s="9"/>
      <c r="B1656" s="9"/>
      <c r="C1656" s="9"/>
      <c r="D1656" s="9"/>
    </row>
    <row r="1657" spans="1:4">
      <c r="A1657" s="9"/>
      <c r="B1657" s="9"/>
      <c r="C1657" s="9"/>
      <c r="D1657" s="9"/>
    </row>
    <row r="1658" spans="1:4">
      <c r="A1658" s="9"/>
      <c r="B1658" s="9"/>
      <c r="C1658" s="9"/>
      <c r="D1658" s="9"/>
    </row>
    <row r="1659" spans="1:4">
      <c r="A1659" s="9"/>
      <c r="B1659" s="9"/>
      <c r="C1659" s="9"/>
      <c r="D1659" s="9"/>
    </row>
    <row r="1660" spans="1:4">
      <c r="A1660" s="9"/>
      <c r="B1660" s="9"/>
      <c r="C1660" s="9"/>
      <c r="D1660" s="9"/>
    </row>
    <row r="1661" spans="1:4">
      <c r="A1661" s="9"/>
      <c r="B1661" s="9"/>
      <c r="C1661" s="9"/>
      <c r="D1661" s="9"/>
    </row>
    <row r="1662" spans="1:4">
      <c r="A1662" s="9"/>
      <c r="B1662" s="9"/>
      <c r="C1662" s="9"/>
      <c r="D1662" s="9"/>
    </row>
    <row r="1663" spans="1:4">
      <c r="A1663" s="9"/>
      <c r="B1663" s="9"/>
      <c r="C1663" s="9"/>
      <c r="D1663" s="9"/>
    </row>
    <row r="1664" spans="1:4">
      <c r="A1664" s="9"/>
      <c r="B1664" s="9"/>
      <c r="C1664" s="9"/>
      <c r="D1664" s="9"/>
    </row>
    <row r="1665" spans="1:4">
      <c r="A1665" s="9"/>
      <c r="B1665" s="9"/>
      <c r="C1665" s="9"/>
      <c r="D1665" s="9"/>
    </row>
    <row r="1666" spans="1:4">
      <c r="A1666" s="9"/>
      <c r="B1666" s="9"/>
      <c r="C1666" s="9"/>
      <c r="D1666" s="9"/>
    </row>
    <row r="1667" spans="1:4">
      <c r="A1667" s="9"/>
      <c r="B1667" s="9"/>
      <c r="C1667" s="9"/>
      <c r="D1667" s="9"/>
    </row>
    <row r="1668" spans="1:4">
      <c r="A1668" s="9"/>
      <c r="B1668" s="9"/>
      <c r="C1668" s="9"/>
      <c r="D1668" s="9"/>
    </row>
    <row r="1669" spans="1:4">
      <c r="A1669" s="9"/>
      <c r="B1669" s="9"/>
      <c r="C1669" s="9"/>
      <c r="D1669" s="9"/>
    </row>
    <row r="1670" spans="1:4">
      <c r="A1670" s="9"/>
      <c r="B1670" s="9"/>
      <c r="C1670" s="9"/>
      <c r="D1670" s="9"/>
    </row>
    <row r="1671" spans="1:4">
      <c r="A1671" s="9"/>
      <c r="B1671" s="9"/>
      <c r="C1671" s="9"/>
      <c r="D1671" s="9"/>
    </row>
    <row r="1672" spans="1:4">
      <c r="A1672" s="9"/>
      <c r="B1672" s="9"/>
      <c r="C1672" s="9"/>
      <c r="D1672" s="9"/>
    </row>
    <row r="1673" spans="1:4">
      <c r="A1673" s="9"/>
      <c r="B1673" s="9"/>
      <c r="C1673" s="9"/>
      <c r="D1673" s="9"/>
    </row>
    <row r="1674" spans="1:4">
      <c r="A1674" s="9"/>
      <c r="B1674" s="9"/>
      <c r="C1674" s="9"/>
      <c r="D1674" s="9"/>
    </row>
    <row r="1675" spans="1:4">
      <c r="A1675" s="9"/>
      <c r="B1675" s="9"/>
      <c r="C1675" s="9"/>
      <c r="D1675" s="9"/>
    </row>
    <row r="1676" spans="1:4">
      <c r="A1676" s="9"/>
      <c r="B1676" s="9"/>
      <c r="C1676" s="9"/>
      <c r="D1676" s="9"/>
    </row>
    <row r="1677" spans="1:4">
      <c r="A1677" s="9"/>
      <c r="B1677" s="9"/>
      <c r="C1677" s="9"/>
      <c r="D1677" s="9"/>
    </row>
    <row r="1678" spans="1:4">
      <c r="A1678" s="9"/>
      <c r="B1678" s="9"/>
      <c r="C1678" s="9"/>
      <c r="D1678" s="9"/>
    </row>
    <row r="1679" spans="1:4">
      <c r="A1679" s="9"/>
      <c r="B1679" s="9"/>
      <c r="C1679" s="9"/>
      <c r="D1679" s="9"/>
    </row>
    <row r="1680" spans="1:4">
      <c r="A1680" s="9"/>
      <c r="B1680" s="9"/>
      <c r="C1680" s="9"/>
      <c r="D1680" s="9"/>
    </row>
    <row r="1681" spans="1:4">
      <c r="A1681" s="9"/>
      <c r="B1681" s="9"/>
      <c r="C1681" s="9"/>
      <c r="D1681" s="9"/>
    </row>
    <row r="1682" spans="1:4">
      <c r="A1682" s="9"/>
      <c r="B1682" s="9"/>
      <c r="C1682" s="9"/>
    </row>
  </sheetData>
  <conditionalFormatting sqref="G51:G61 K62:M92">
    <cfRule type="cellIs" dxfId="16" priority="1" operator="between">
      <formula>30</formula>
      <formula>60</formula>
    </cfRule>
    <cfRule type="cellIs" priority="2" operator="between">
      <formula>30</formula>
      <formula>60</formula>
    </cfRule>
  </conditionalFormatting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330"/>
  <sheetViews>
    <sheetView topLeftCell="A7" workbookViewId="0">
      <selection activeCell="P3" sqref="P3"/>
    </sheetView>
  </sheetViews>
  <sheetFormatPr defaultRowHeight="15"/>
  <cols>
    <col min="1" max="1" width="11.28515625" customWidth="1"/>
    <col min="2" max="2" width="18.28515625" bestFit="1" customWidth="1"/>
    <col min="3" max="3" width="23.7109375" bestFit="1" customWidth="1"/>
    <col min="4" max="4" width="17.28515625" bestFit="1" customWidth="1"/>
    <col min="5" max="5" width="6" bestFit="1" customWidth="1"/>
    <col min="6" max="6" width="13.140625" bestFit="1" customWidth="1"/>
    <col min="7" max="7" width="15" customWidth="1"/>
    <col min="8" max="8" width="19.28515625" bestFit="1" customWidth="1"/>
    <col min="9" max="9" width="4" bestFit="1" customWidth="1"/>
    <col min="10" max="13" width="6" bestFit="1" customWidth="1"/>
    <col min="14" max="14" width="9.5703125" bestFit="1" customWidth="1"/>
    <col min="15" max="15" width="10.42578125" bestFit="1" customWidth="1"/>
    <col min="16" max="16" width="5.5703125" bestFit="1" customWidth="1"/>
    <col min="17" max="17" width="5" bestFit="1" customWidth="1"/>
    <col min="18" max="20" width="6" bestFit="1" customWidth="1"/>
    <col min="21" max="21" width="5" bestFit="1" customWidth="1"/>
    <col min="22" max="22" width="6" bestFit="1" customWidth="1"/>
    <col min="23" max="23" width="5" bestFit="1" customWidth="1"/>
    <col min="24" max="24" width="6" bestFit="1" customWidth="1"/>
    <col min="25" max="25" width="5" bestFit="1" customWidth="1"/>
    <col min="26" max="26" width="6" bestFit="1" customWidth="1"/>
    <col min="27" max="29" width="5" bestFit="1" customWidth="1"/>
    <col min="30" max="30" width="6" bestFit="1" customWidth="1"/>
    <col min="31" max="33" width="5" bestFit="1" customWidth="1"/>
    <col min="34" max="36" width="6" bestFit="1" customWidth="1"/>
    <col min="37" max="37" width="4" bestFit="1" customWidth="1"/>
    <col min="38" max="38" width="6" bestFit="1" customWidth="1"/>
    <col min="39" max="39" width="5" bestFit="1" customWidth="1"/>
    <col min="40" max="40" width="6" bestFit="1" customWidth="1"/>
    <col min="41" max="42" width="5" bestFit="1" customWidth="1"/>
    <col min="43" max="44" width="6" bestFit="1" customWidth="1"/>
    <col min="45" max="46" width="5" bestFit="1" customWidth="1"/>
    <col min="47" max="48" width="6" bestFit="1" customWidth="1"/>
    <col min="49" max="50" width="5" bestFit="1" customWidth="1"/>
    <col min="51" max="55" width="6" bestFit="1" customWidth="1"/>
    <col min="56" max="56" width="5" bestFit="1" customWidth="1"/>
    <col min="57" max="64" width="6" bestFit="1" customWidth="1"/>
    <col min="65" max="65" width="5" bestFit="1" customWidth="1"/>
    <col min="66" max="67" width="6" bestFit="1" customWidth="1"/>
    <col min="68" max="69" width="5" bestFit="1" customWidth="1"/>
    <col min="70" max="70" width="6" bestFit="1" customWidth="1"/>
    <col min="71" max="72" width="5" bestFit="1" customWidth="1"/>
    <col min="73" max="73" width="11.28515625" bestFit="1" customWidth="1"/>
  </cols>
  <sheetData>
    <row r="1" spans="1:16">
      <c r="A1" s="17" t="s">
        <v>1199</v>
      </c>
      <c r="B1" s="18">
        <v>1</v>
      </c>
      <c r="F1" s="17" t="s">
        <v>1199</v>
      </c>
      <c r="G1" s="18">
        <v>1</v>
      </c>
    </row>
    <row r="3" spans="1:16">
      <c r="B3" t="s">
        <v>731</v>
      </c>
      <c r="C3" t="s">
        <v>786</v>
      </c>
      <c r="F3" s="17" t="s">
        <v>776</v>
      </c>
      <c r="G3" t="s">
        <v>781</v>
      </c>
      <c r="H3" t="s">
        <v>777</v>
      </c>
      <c r="N3" t="s">
        <v>862</v>
      </c>
      <c r="O3" s="10" t="str">
        <f>TEXT(LastAvailableDate,"yyyy-mm-dd")</f>
        <v>2018-12-05</v>
      </c>
      <c r="P3" t="e">
        <f>VLOOKUP(O3,'Time Series Query'!A:K,10,0)</f>
        <v>#N/A</v>
      </c>
    </row>
    <row r="4" spans="1:16">
      <c r="A4" s="18" t="s">
        <v>20</v>
      </c>
      <c r="B4" s="19">
        <v>3.8049999999999997</v>
      </c>
      <c r="C4" s="19">
        <v>0.85740605792428326</v>
      </c>
      <c r="F4" s="18" t="s">
        <v>1620</v>
      </c>
      <c r="G4" s="19">
        <v>-3.0000000000000249E-2</v>
      </c>
      <c r="H4" s="19">
        <v>-3.7977630132570717E-3</v>
      </c>
    </row>
    <row r="5" spans="1:16">
      <c r="A5" s="18" t="s">
        <v>21</v>
      </c>
      <c r="B5" s="19">
        <v>3.85</v>
      </c>
      <c r="C5" s="19">
        <v>0.90892898726938398</v>
      </c>
      <c r="F5" s="18" t="s">
        <v>1616</v>
      </c>
      <c r="G5" s="19">
        <v>-2.0000000000000462E-2</v>
      </c>
      <c r="H5" s="19">
        <v>8.9830660865755085E-3</v>
      </c>
    </row>
    <row r="6" spans="1:16">
      <c r="A6" s="18" t="s">
        <v>22</v>
      </c>
      <c r="B6" s="19">
        <v>3.8049999999999997</v>
      </c>
      <c r="C6" s="19">
        <v>0.90800277596573187</v>
      </c>
      <c r="F6" s="18" t="s">
        <v>1611</v>
      </c>
      <c r="G6" s="19">
        <v>-2.4999999999999467E-2</v>
      </c>
      <c r="H6" s="19">
        <v>1.0948188621397126E-2</v>
      </c>
    </row>
    <row r="7" spans="1:16">
      <c r="A7" s="18" t="s">
        <v>23</v>
      </c>
      <c r="B7" s="19">
        <v>3.79</v>
      </c>
      <c r="C7" s="19">
        <v>0.91262067011153603</v>
      </c>
      <c r="F7" s="18" t="s">
        <v>1606</v>
      </c>
      <c r="G7" s="19">
        <v>5.4999999999999716E-2</v>
      </c>
      <c r="H7" s="19">
        <v>-8.993362432626828E-3</v>
      </c>
    </row>
    <row r="8" spans="1:16">
      <c r="A8" s="18" t="s">
        <v>24</v>
      </c>
      <c r="B8" s="19">
        <v>3.7549999999999999</v>
      </c>
      <c r="C8" s="19">
        <v>0.90097138481057204</v>
      </c>
      <c r="F8" s="18" t="s">
        <v>1601</v>
      </c>
      <c r="G8" s="19">
        <v>5.0000000000007816E-3</v>
      </c>
      <c r="H8" s="19">
        <v>-3.7309249380175658E-2</v>
      </c>
    </row>
    <row r="9" spans="1:16">
      <c r="A9" s="18" t="s">
        <v>25</v>
      </c>
      <c r="B9" s="19">
        <v>3.7149999999999999</v>
      </c>
      <c r="C9" s="19">
        <v>0.93226042608146331</v>
      </c>
      <c r="F9" s="18" t="s">
        <v>1596</v>
      </c>
      <c r="G9" s="19">
        <v>-0.10000000000000053</v>
      </c>
      <c r="H9" s="19">
        <v>7.2806874618390083E-2</v>
      </c>
    </row>
    <row r="10" spans="1:16">
      <c r="A10" s="18" t="s">
        <v>26</v>
      </c>
      <c r="B10" s="19">
        <v>3.73</v>
      </c>
      <c r="C10" s="19">
        <v>1.0123684617614601</v>
      </c>
      <c r="F10" s="18" t="s">
        <v>1592</v>
      </c>
      <c r="G10" s="19">
        <v>4.9999999999999822E-2</v>
      </c>
      <c r="H10" s="19">
        <v>1.05588134598813E-2</v>
      </c>
    </row>
    <row r="11" spans="1:16">
      <c r="A11" s="18" t="s">
        <v>27</v>
      </c>
      <c r="B11" s="19">
        <v>3.7</v>
      </c>
      <c r="C11" s="19">
        <v>0.9549130523202578</v>
      </c>
      <c r="F11" s="18" t="s">
        <v>1587</v>
      </c>
      <c r="G11" s="19">
        <v>3.5000000000000142E-2</v>
      </c>
      <c r="H11" s="19">
        <v>-2.527043531678963E-2</v>
      </c>
    </row>
    <row r="12" spans="1:16">
      <c r="A12" s="18" t="s">
        <v>28</v>
      </c>
      <c r="B12" s="19">
        <v>3.5949999999999998</v>
      </c>
      <c r="C12" s="19">
        <v>0.95912365236317143</v>
      </c>
      <c r="F12" s="18" t="s">
        <v>1582</v>
      </c>
      <c r="G12" s="19">
        <v>0</v>
      </c>
      <c r="H12" s="19">
        <v>1.8117000480177836E-4</v>
      </c>
    </row>
    <row r="13" spans="1:16">
      <c r="A13" s="18" t="s">
        <v>29</v>
      </c>
      <c r="B13" s="19">
        <v>3.6349999999999998</v>
      </c>
      <c r="C13" s="19">
        <v>0.96597913618116982</v>
      </c>
      <c r="F13" s="18" t="s">
        <v>1577</v>
      </c>
      <c r="G13" s="19">
        <v>-3.0000000000000249E-2</v>
      </c>
      <c r="H13" s="19">
        <v>-2.1316895610500097E-2</v>
      </c>
    </row>
    <row r="14" spans="1:16">
      <c r="A14" s="18" t="s">
        <v>30</v>
      </c>
      <c r="B14" s="19">
        <v>3.585</v>
      </c>
      <c r="C14" s="19">
        <v>0.96884999094910818</v>
      </c>
      <c r="F14" s="18" t="s">
        <v>1572</v>
      </c>
      <c r="G14" s="19">
        <v>0.11000000000000032</v>
      </c>
      <c r="H14" s="19">
        <v>-3.5135502156605547E-2</v>
      </c>
    </row>
    <row r="15" spans="1:16">
      <c r="A15" s="18" t="s">
        <v>31</v>
      </c>
      <c r="B15" s="19">
        <v>3.585</v>
      </c>
      <c r="C15" s="19">
        <v>0.97184038648178994</v>
      </c>
      <c r="F15" s="18" t="s">
        <v>1567</v>
      </c>
      <c r="G15" s="19">
        <v>7.5000000000000178E-2</v>
      </c>
      <c r="H15" s="19">
        <v>4.128876081011823E-2</v>
      </c>
    </row>
    <row r="16" spans="1:16">
      <c r="A16" s="18" t="s">
        <v>177</v>
      </c>
      <c r="B16" s="19">
        <v>3.5700000000000003</v>
      </c>
      <c r="C16" s="19">
        <v>0.99417922391653057</v>
      </c>
      <c r="F16" s="18" t="s">
        <v>1562</v>
      </c>
      <c r="G16" s="19">
        <v>-5.0000000000007816E-3</v>
      </c>
      <c r="H16" s="19">
        <v>-1.7796427019017624E-2</v>
      </c>
    </row>
    <row r="17" spans="1:8">
      <c r="A17" s="18" t="s">
        <v>32</v>
      </c>
      <c r="B17" s="19">
        <v>3.4849999999999999</v>
      </c>
      <c r="C17" s="19">
        <v>1.0216256281574356</v>
      </c>
      <c r="F17" s="18" t="s">
        <v>1557</v>
      </c>
      <c r="G17" s="19">
        <v>-4.0000000000000036E-2</v>
      </c>
      <c r="H17" s="19">
        <v>-2.2254859584491804E-3</v>
      </c>
    </row>
    <row r="18" spans="1:8">
      <c r="A18" s="18" t="s">
        <v>33</v>
      </c>
      <c r="B18" s="19">
        <v>3.4549999999999996</v>
      </c>
      <c r="C18" s="19">
        <v>1.0408564220641514</v>
      </c>
      <c r="F18" s="18" t="s">
        <v>1553</v>
      </c>
      <c r="G18" s="19">
        <v>-9.9999999999997868E-3</v>
      </c>
      <c r="H18" s="19">
        <v>2.4094584958520571E-2</v>
      </c>
    </row>
    <row r="19" spans="1:8">
      <c r="A19" s="18" t="s">
        <v>34</v>
      </c>
      <c r="B19" s="19">
        <v>3.415</v>
      </c>
      <c r="C19" s="19">
        <v>1.113828001384062</v>
      </c>
      <c r="F19" s="18" t="s">
        <v>1548</v>
      </c>
      <c r="G19" s="19">
        <v>9.9999999999997868E-3</v>
      </c>
      <c r="H19" s="19">
        <v>1.3400322101437823E-3</v>
      </c>
    </row>
    <row r="20" spans="1:8">
      <c r="A20" s="18" t="s">
        <v>35</v>
      </c>
      <c r="B20" s="19">
        <v>3.4749999999999996</v>
      </c>
      <c r="C20" s="19">
        <v>1.1203370163762019</v>
      </c>
      <c r="F20" s="18" t="s">
        <v>1543</v>
      </c>
      <c r="G20" s="19">
        <v>-1.9999999999999574E-2</v>
      </c>
      <c r="H20" s="19">
        <v>-1.2046614670658151E-2</v>
      </c>
    </row>
    <row r="21" spans="1:8">
      <c r="A21" s="18" t="s">
        <v>36</v>
      </c>
      <c r="B21" s="19">
        <v>3.4899999999999998</v>
      </c>
      <c r="C21" s="19">
        <v>1.0715425606276678</v>
      </c>
      <c r="F21" s="18" t="s">
        <v>1538</v>
      </c>
      <c r="G21" s="19">
        <v>3.0000000000000249E-2</v>
      </c>
      <c r="H21" s="19">
        <v>3.1165813610548376E-2</v>
      </c>
    </row>
    <row r="22" spans="1:8">
      <c r="A22" s="18" t="s">
        <v>37</v>
      </c>
      <c r="B22" s="19">
        <v>3.52</v>
      </c>
      <c r="C22" s="19">
        <v>1.0263037120360501</v>
      </c>
      <c r="F22" s="18" t="s">
        <v>1533</v>
      </c>
      <c r="G22" s="19">
        <v>2.9999999999999361E-2</v>
      </c>
      <c r="H22" s="19">
        <v>3.4846113899267284E-2</v>
      </c>
    </row>
    <row r="23" spans="1:8">
      <c r="A23" s="18" t="s">
        <v>38</v>
      </c>
      <c r="B23" s="19">
        <v>3.585</v>
      </c>
      <c r="C23" s="19">
        <v>0.97182588093212185</v>
      </c>
      <c r="F23" s="18" t="s">
        <v>1528</v>
      </c>
      <c r="G23" s="19">
        <v>-4.9999999999998934E-3</v>
      </c>
      <c r="H23" s="19">
        <v>-3.7422833199637573E-2</v>
      </c>
    </row>
    <row r="24" spans="1:8">
      <c r="A24" s="18" t="s">
        <v>39</v>
      </c>
      <c r="B24" s="19">
        <v>3.4899999999999998</v>
      </c>
      <c r="C24" s="19">
        <v>1.0417252559202934</v>
      </c>
      <c r="F24" s="18" t="s">
        <v>1524</v>
      </c>
      <c r="G24" s="19">
        <v>5.9999999999999609E-2</v>
      </c>
      <c r="H24" s="19">
        <v>-2.5219806147600554E-2</v>
      </c>
    </row>
    <row r="25" spans="1:8">
      <c r="A25" s="18" t="s">
        <v>40</v>
      </c>
      <c r="B25" s="19">
        <v>3.4749999999999996</v>
      </c>
      <c r="C25" s="19">
        <v>1.0794750119876446</v>
      </c>
      <c r="F25" s="18" t="s">
        <v>1519</v>
      </c>
      <c r="G25" s="19">
        <v>0.12500000000000089</v>
      </c>
      <c r="H25" s="19">
        <v>-1.1403207496361034E-2</v>
      </c>
    </row>
    <row r="26" spans="1:8">
      <c r="A26" s="18" t="s">
        <v>41</v>
      </c>
      <c r="B26" s="19">
        <v>3.4499999999999997</v>
      </c>
      <c r="C26" s="19">
        <v>1.0438632001782735</v>
      </c>
      <c r="F26" s="18" t="s">
        <v>1514</v>
      </c>
      <c r="G26" s="19">
        <v>6.9999999999999396E-2</v>
      </c>
      <c r="H26" s="19">
        <v>1.5941582361869155E-2</v>
      </c>
    </row>
    <row r="27" spans="1:8">
      <c r="A27" s="18" t="s">
        <v>42</v>
      </c>
      <c r="B27" s="19">
        <v>3.39</v>
      </c>
      <c r="C27" s="19">
        <v>1.14290341735098</v>
      </c>
      <c r="F27" s="18" t="s">
        <v>1509</v>
      </c>
      <c r="G27" s="19">
        <v>8.5000000000000409E-2</v>
      </c>
      <c r="H27" s="19">
        <v>-2.6179719021136805E-2</v>
      </c>
    </row>
    <row r="28" spans="1:8">
      <c r="A28" s="18" t="s">
        <v>43</v>
      </c>
      <c r="B28" s="19">
        <v>3.3</v>
      </c>
      <c r="C28" s="19">
        <v>1.2473596910048554</v>
      </c>
      <c r="F28" s="18" t="s">
        <v>1504</v>
      </c>
      <c r="G28" s="19">
        <v>7.4999999999999734E-2</v>
      </c>
      <c r="H28" s="19">
        <v>2.0580099837411048E-2</v>
      </c>
    </row>
    <row r="29" spans="1:8">
      <c r="A29" s="18" t="s">
        <v>44</v>
      </c>
      <c r="B29" s="19">
        <v>3.26</v>
      </c>
      <c r="C29" s="19">
        <v>1.2712583065251897</v>
      </c>
      <c r="F29" s="18" t="s">
        <v>1500</v>
      </c>
      <c r="G29" s="19">
        <v>4.0000000000000036E-2</v>
      </c>
      <c r="H29" s="19">
        <v>-2.3351856763168755E-2</v>
      </c>
    </row>
    <row r="30" spans="1:8">
      <c r="A30" s="18" t="s">
        <v>45</v>
      </c>
      <c r="B30" s="19">
        <v>3.3149999999999999</v>
      </c>
      <c r="C30" s="19">
        <v>1.2313259281931122</v>
      </c>
      <c r="F30" s="18" t="s">
        <v>1495</v>
      </c>
      <c r="G30" s="19">
        <v>-4.0000000000000036E-2</v>
      </c>
      <c r="H30" s="19">
        <v>3.0249197366649661E-3</v>
      </c>
    </row>
    <row r="31" spans="1:8">
      <c r="A31" s="18" t="s">
        <v>46</v>
      </c>
      <c r="B31" s="19">
        <v>3.2949999999999999</v>
      </c>
      <c r="C31" s="19">
        <v>1.221532633132588</v>
      </c>
      <c r="F31" s="18" t="s">
        <v>1491</v>
      </c>
      <c r="G31" s="19">
        <v>5.0000000000000266E-2</v>
      </c>
      <c r="H31" s="19">
        <v>7.8242596957358579E-3</v>
      </c>
    </row>
    <row r="32" spans="1:8">
      <c r="A32" s="18" t="s">
        <v>47</v>
      </c>
      <c r="B32" s="19">
        <v>3.335</v>
      </c>
      <c r="C32" s="19">
        <v>1.1294682073968798</v>
      </c>
      <c r="F32" s="18" t="s">
        <v>1487</v>
      </c>
      <c r="G32" s="19">
        <v>9.9999999999997868E-3</v>
      </c>
      <c r="H32" s="19">
        <v>6.5350376136139587E-3</v>
      </c>
    </row>
    <row r="33" spans="1:8">
      <c r="A33" s="18" t="s">
        <v>48</v>
      </c>
      <c r="B33" s="19">
        <v>3.3149999999999999</v>
      </c>
      <c r="C33" s="19">
        <v>1.1145028618487873</v>
      </c>
      <c r="F33" s="18" t="s">
        <v>1482</v>
      </c>
      <c r="G33" s="19">
        <v>-9.9999999999997868E-3</v>
      </c>
      <c r="H33" s="19">
        <v>-1.5147208656245414E-2</v>
      </c>
    </row>
    <row r="34" spans="1:8">
      <c r="A34" s="18" t="s">
        <v>49</v>
      </c>
      <c r="B34" s="19">
        <v>3.3249999999999997</v>
      </c>
      <c r="C34" s="19">
        <v>1.1417668460790016</v>
      </c>
      <c r="F34" s="18" t="s">
        <v>1477</v>
      </c>
      <c r="G34" s="19">
        <v>4.0000000000000036E-2</v>
      </c>
      <c r="H34" s="19">
        <v>1.3068390428722765E-2</v>
      </c>
    </row>
    <row r="35" spans="1:8">
      <c r="A35" s="18" t="s">
        <v>50</v>
      </c>
      <c r="B35" s="19">
        <v>3.2649999999999997</v>
      </c>
      <c r="C35" s="19">
        <v>1.1833770087833524</v>
      </c>
      <c r="F35" s="18" t="s">
        <v>1472</v>
      </c>
      <c r="G35" s="19">
        <v>-2.0000000000000018E-2</v>
      </c>
      <c r="H35" s="19">
        <v>-6.6205876098308636E-3</v>
      </c>
    </row>
    <row r="36" spans="1:8">
      <c r="A36" s="18" t="s">
        <v>981</v>
      </c>
      <c r="B36" s="19">
        <v>3.2349999999999999</v>
      </c>
      <c r="C36" s="19">
        <v>1.1284005640703798</v>
      </c>
      <c r="F36" s="18" t="s">
        <v>1468</v>
      </c>
      <c r="G36" s="19">
        <v>-3.0000000000000249E-2</v>
      </c>
      <c r="H36" s="19">
        <v>-9.8776593950464786E-3</v>
      </c>
    </row>
    <row r="37" spans="1:8">
      <c r="A37" s="18" t="s">
        <v>52</v>
      </c>
      <c r="B37" s="19">
        <v>3.27</v>
      </c>
      <c r="C37" s="19">
        <v>1.1627033991714875</v>
      </c>
      <c r="F37" s="18" t="s">
        <v>1463</v>
      </c>
      <c r="G37" s="19">
        <v>7.5000000000000178E-2</v>
      </c>
      <c r="H37" s="19">
        <v>2.0408758497940216E-2</v>
      </c>
    </row>
    <row r="38" spans="1:8">
      <c r="A38" s="18" t="s">
        <v>53</v>
      </c>
      <c r="B38" s="19">
        <v>3.2649999999999997</v>
      </c>
      <c r="C38" s="19">
        <v>1.1892056578850116</v>
      </c>
      <c r="F38" s="18" t="s">
        <v>1458</v>
      </c>
      <c r="G38" s="19">
        <v>-6.4999999999999947E-2</v>
      </c>
      <c r="H38" s="19">
        <v>1.3390172938998468E-3</v>
      </c>
    </row>
    <row r="39" spans="1:8">
      <c r="A39" s="18" t="s">
        <v>54</v>
      </c>
      <c r="B39" s="19">
        <v>3.2449999999999997</v>
      </c>
      <c r="C39" s="19">
        <v>1.1057047425687876</v>
      </c>
      <c r="F39" s="18" t="s">
        <v>1453</v>
      </c>
      <c r="G39" s="19">
        <v>0</v>
      </c>
      <c r="H39" s="19">
        <v>-6.6900021703140133E-3</v>
      </c>
    </row>
    <row r="40" spans="1:8">
      <c r="A40" s="18" t="s">
        <v>55</v>
      </c>
      <c r="B40" s="19">
        <v>3.2949999999999999</v>
      </c>
      <c r="C40" s="19">
        <v>1.0942885560516555</v>
      </c>
      <c r="F40" s="18" t="s">
        <v>1448</v>
      </c>
      <c r="G40" s="19">
        <v>6.0000000000000053E-2</v>
      </c>
      <c r="H40" s="19">
        <v>-1.4990566361089641E-2</v>
      </c>
    </row>
    <row r="41" spans="1:8">
      <c r="A41" s="18" t="s">
        <v>56</v>
      </c>
      <c r="B41" s="19">
        <v>3.2749999999999999</v>
      </c>
      <c r="C41" s="19">
        <v>1.1063680189480301</v>
      </c>
      <c r="F41" s="18" t="s">
        <v>1443</v>
      </c>
      <c r="G41" s="19">
        <v>-3.0000000000000249E-2</v>
      </c>
      <c r="H41" s="19">
        <v>1.1680081064050718E-2</v>
      </c>
    </row>
    <row r="42" spans="1:8">
      <c r="A42" s="18" t="s">
        <v>57</v>
      </c>
      <c r="B42" s="19">
        <v>3.2649999999999997</v>
      </c>
      <c r="C42" s="19">
        <v>1.1069595168310897</v>
      </c>
      <c r="F42" s="18" t="s">
        <v>1438</v>
      </c>
      <c r="G42" s="19">
        <v>6.0000000000000053E-2</v>
      </c>
      <c r="H42" s="19">
        <v>2.7529384490315056E-2</v>
      </c>
    </row>
    <row r="43" spans="1:8">
      <c r="A43" s="18" t="s">
        <v>58</v>
      </c>
      <c r="B43" s="19">
        <v>3.3249999999999997</v>
      </c>
      <c r="C43" s="19">
        <v>1.0145948608518434</v>
      </c>
      <c r="F43" s="18" t="s">
        <v>1434</v>
      </c>
      <c r="G43" s="19">
        <v>-4.9999999999998934E-3</v>
      </c>
      <c r="H43" s="19">
        <v>-3.8947986959784409E-2</v>
      </c>
    </row>
    <row r="44" spans="1:8">
      <c r="A44" s="18" t="s">
        <v>59</v>
      </c>
      <c r="B44" s="19">
        <v>3.3049999999999997</v>
      </c>
      <c r="C44" s="19">
        <v>1.0141710064866696</v>
      </c>
      <c r="F44" s="18" t="s">
        <v>1429</v>
      </c>
      <c r="G44" s="19">
        <v>2.4999999999999911E-2</v>
      </c>
      <c r="H44" s="19">
        <v>8.6571476243344492E-3</v>
      </c>
    </row>
    <row r="45" spans="1:8">
      <c r="A45" s="18" t="s">
        <v>60</v>
      </c>
      <c r="B45" s="19">
        <v>3.3449999999999998</v>
      </c>
      <c r="C45" s="19">
        <v>0.99132234894860982</v>
      </c>
      <c r="F45" s="18" t="s">
        <v>1424</v>
      </c>
      <c r="G45" s="19">
        <v>5.0000000000000266E-2</v>
      </c>
      <c r="H45" s="19">
        <v>-3.0654068403031864E-2</v>
      </c>
    </row>
    <row r="46" spans="1:8">
      <c r="A46" s="18" t="s">
        <v>61</v>
      </c>
      <c r="B46" s="19">
        <v>3.4549999999999996</v>
      </c>
      <c r="C46" s="19">
        <v>0.94516652064090945</v>
      </c>
      <c r="F46" s="18" t="s">
        <v>1419</v>
      </c>
      <c r="G46" s="19">
        <v>0</v>
      </c>
      <c r="H46" s="19">
        <v>-7.9615014847300714E-3</v>
      </c>
    </row>
    <row r="47" spans="1:8">
      <c r="A47" s="18" t="s">
        <v>62</v>
      </c>
      <c r="B47" s="19">
        <v>3.48</v>
      </c>
      <c r="C47" s="19">
        <v>0.90384962704580385</v>
      </c>
      <c r="F47" s="18" t="s">
        <v>1414</v>
      </c>
      <c r="G47" s="19">
        <v>-4.0000000000000036E-2</v>
      </c>
      <c r="H47" s="19">
        <v>-1.609083901916275E-3</v>
      </c>
    </row>
    <row r="48" spans="1:8">
      <c r="A48" s="18" t="s">
        <v>63</v>
      </c>
      <c r="B48" s="19">
        <v>3.48</v>
      </c>
      <c r="C48" s="19">
        <v>0.88988438351751764</v>
      </c>
      <c r="F48" s="18" t="s">
        <v>1410</v>
      </c>
      <c r="G48" s="19">
        <v>-4.0000000000000036E-2</v>
      </c>
      <c r="H48" s="19">
        <v>-7.6995309360095021E-3</v>
      </c>
    </row>
    <row r="49" spans="1:8">
      <c r="A49" s="18" t="s">
        <v>64</v>
      </c>
      <c r="B49" s="19">
        <v>3.5100000000000002</v>
      </c>
      <c r="C49" s="19">
        <v>0.8836686136567824</v>
      </c>
      <c r="F49" s="18" t="s">
        <v>1405</v>
      </c>
      <c r="G49" s="19">
        <v>-5.0000000000003375E-3</v>
      </c>
      <c r="H49" s="19">
        <v>1.863663631762158E-2</v>
      </c>
    </row>
    <row r="50" spans="1:8">
      <c r="A50" s="18" t="s">
        <v>65</v>
      </c>
      <c r="B50" s="19">
        <v>3.46</v>
      </c>
      <c r="C50" s="19">
        <v>0.87581677834386751</v>
      </c>
      <c r="F50" s="18" t="s">
        <v>1400</v>
      </c>
      <c r="G50" s="19">
        <v>-3.4999999999999698E-2</v>
      </c>
      <c r="H50" s="19">
        <v>-8.3041305106119623E-3</v>
      </c>
    </row>
    <row r="51" spans="1:8">
      <c r="A51" s="18" t="s">
        <v>66</v>
      </c>
      <c r="B51" s="19">
        <v>3.4449999999999998</v>
      </c>
      <c r="C51" s="19">
        <v>0.88622952847936753</v>
      </c>
      <c r="F51" s="18" t="s">
        <v>1395</v>
      </c>
      <c r="G51" s="19">
        <v>-3.0000000000000249E-2</v>
      </c>
      <c r="H51" s="19">
        <v>2.9156604112077211E-3</v>
      </c>
    </row>
    <row r="52" spans="1:8">
      <c r="A52" s="18" t="s">
        <v>67</v>
      </c>
      <c r="B52" s="19">
        <v>3.58</v>
      </c>
      <c r="C52" s="19">
        <v>0.86557968848864597</v>
      </c>
      <c r="F52" s="18" t="s">
        <v>1390</v>
      </c>
      <c r="G52" s="19">
        <v>1.0000000000000231E-2</v>
      </c>
      <c r="H52" s="19">
        <v>1.5891633365644697E-2</v>
      </c>
    </row>
    <row r="53" spans="1:8">
      <c r="A53" s="18" t="s">
        <v>68</v>
      </c>
      <c r="B53" s="19">
        <v>3.49</v>
      </c>
      <c r="C53" s="19">
        <v>0.8393464554548542</v>
      </c>
      <c r="F53" s="18" t="s">
        <v>1385</v>
      </c>
      <c r="G53" s="19">
        <v>-6.4999999999999947E-2</v>
      </c>
      <c r="H53" s="19">
        <v>-3.8164723071318019E-2</v>
      </c>
    </row>
    <row r="54" spans="1:8">
      <c r="A54" s="18" t="s">
        <v>69</v>
      </c>
      <c r="B54" s="19">
        <v>3.52</v>
      </c>
      <c r="C54" s="19">
        <v>0.87842756337797567</v>
      </c>
      <c r="F54" s="18" t="s">
        <v>1380</v>
      </c>
      <c r="G54" s="19">
        <v>-4.5000000000000373E-2</v>
      </c>
      <c r="H54" s="19">
        <v>2.7180929610555182E-2</v>
      </c>
    </row>
    <row r="55" spans="1:8">
      <c r="A55" s="18" t="s">
        <v>70</v>
      </c>
      <c r="B55" s="19">
        <v>3.49</v>
      </c>
      <c r="C55" s="19">
        <v>0.89390476749033487</v>
      </c>
      <c r="F55" s="18" t="s">
        <v>1375</v>
      </c>
      <c r="G55" s="19">
        <v>4.5000000000000373E-2</v>
      </c>
      <c r="H55" s="19">
        <v>6.295200434943915E-3</v>
      </c>
    </row>
    <row r="56" spans="1:8">
      <c r="A56" s="18" t="s">
        <v>71</v>
      </c>
      <c r="B56" s="19">
        <v>3.3800000000000003</v>
      </c>
      <c r="C56" s="19">
        <v>0.89712483729844417</v>
      </c>
      <c r="F56" s="18" t="s">
        <v>1370</v>
      </c>
      <c r="G56" s="19">
        <v>0.10499999999999998</v>
      </c>
      <c r="H56" s="19">
        <v>-2.1040664501383421E-2</v>
      </c>
    </row>
    <row r="57" spans="1:8">
      <c r="A57" s="18" t="s">
        <v>72</v>
      </c>
      <c r="B57" s="19">
        <v>3.335</v>
      </c>
      <c r="C57" s="19">
        <v>0.87366480645118783</v>
      </c>
      <c r="F57" s="18" t="s">
        <v>1366</v>
      </c>
      <c r="G57" s="19">
        <v>-2.0000000000000018E-2</v>
      </c>
      <c r="H57" s="19">
        <v>-2.5183443042199993E-2</v>
      </c>
    </row>
    <row r="58" spans="1:8">
      <c r="A58" s="18" t="s">
        <v>73</v>
      </c>
      <c r="B58" s="19">
        <v>3.35</v>
      </c>
      <c r="C58" s="19">
        <v>0.91084602973204198</v>
      </c>
      <c r="F58" s="18" t="s">
        <v>1361</v>
      </c>
      <c r="G58" s="19">
        <v>-1.0000000000000231E-2</v>
      </c>
      <c r="H58" s="19">
        <v>6.7605641967136698E-3</v>
      </c>
    </row>
    <row r="59" spans="1:8">
      <c r="A59" s="18" t="s">
        <v>74</v>
      </c>
      <c r="B59" s="19">
        <v>3.2749999999999999</v>
      </c>
      <c r="C59" s="19">
        <v>0.90495480779242188</v>
      </c>
      <c r="F59" s="18" t="s">
        <v>1356</v>
      </c>
      <c r="G59" s="19">
        <v>2.0000000000000018E-2</v>
      </c>
      <c r="H59" s="19">
        <v>9.999078806562256E-3</v>
      </c>
    </row>
    <row r="60" spans="1:8">
      <c r="A60" s="18" t="s">
        <v>75</v>
      </c>
      <c r="B60" s="19">
        <v>3.3449999999999998</v>
      </c>
      <c r="C60" s="19">
        <v>0.89859093907637577</v>
      </c>
      <c r="F60" s="18" t="s">
        <v>1351</v>
      </c>
      <c r="G60" s="19">
        <v>-4.9999999999999822E-2</v>
      </c>
      <c r="H60" s="19">
        <v>-9.8732793000699814E-3</v>
      </c>
    </row>
    <row r="61" spans="1:8">
      <c r="A61" s="18" t="s">
        <v>76</v>
      </c>
      <c r="B61" s="19">
        <v>3.4349999999999996</v>
      </c>
      <c r="C61" s="19">
        <v>0.82917950097367354</v>
      </c>
      <c r="F61" s="18" t="s">
        <v>1346</v>
      </c>
      <c r="G61" s="19">
        <v>-1.0000000000000231E-2</v>
      </c>
      <c r="H61" s="19">
        <v>2.3926556185139614E-2</v>
      </c>
    </row>
    <row r="62" spans="1:8">
      <c r="A62" s="18" t="s">
        <v>77</v>
      </c>
      <c r="B62" s="19">
        <v>3.5149999999999997</v>
      </c>
      <c r="C62" s="19">
        <v>0.83189190189967199</v>
      </c>
      <c r="F62" s="18" t="s">
        <v>1342</v>
      </c>
      <c r="G62" s="19">
        <v>-6.9999999999999396E-2</v>
      </c>
      <c r="H62" s="19">
        <v>-1.2216088284067173E-2</v>
      </c>
    </row>
    <row r="63" spans="1:8">
      <c r="A63" s="18" t="s">
        <v>78</v>
      </c>
      <c r="B63" s="19">
        <v>3.7600000000000002</v>
      </c>
      <c r="C63" s="19">
        <v>0.88486679864157303</v>
      </c>
      <c r="F63" s="18" t="s">
        <v>1337</v>
      </c>
      <c r="G63" s="19">
        <v>-3.0000000000000249E-2</v>
      </c>
      <c r="H63" s="19">
        <v>3.2463317655321955E-2</v>
      </c>
    </row>
    <row r="64" spans="1:8">
      <c r="A64" s="18" t="s">
        <v>79</v>
      </c>
      <c r="B64" s="19">
        <v>3.835</v>
      </c>
      <c r="C64" s="19">
        <v>0.87785175594484377</v>
      </c>
      <c r="F64" s="18" t="s">
        <v>1332</v>
      </c>
      <c r="G64" s="19">
        <v>3.0000000000000249E-2</v>
      </c>
      <c r="H64" s="19">
        <v>-3.6909168983644047E-2</v>
      </c>
    </row>
    <row r="65" spans="1:8">
      <c r="A65" s="18" t="s">
        <v>80</v>
      </c>
      <c r="B65" s="19">
        <v>3.9049999999999998</v>
      </c>
      <c r="C65" s="19">
        <v>0.91416362066455337</v>
      </c>
      <c r="F65" s="18" t="s">
        <v>1327</v>
      </c>
      <c r="G65" s="19">
        <v>-1.0000000000000675E-2</v>
      </c>
      <c r="H65" s="19">
        <v>-1.8857327044368599E-2</v>
      </c>
    </row>
    <row r="66" spans="1:8">
      <c r="A66" s="18" t="s">
        <v>81</v>
      </c>
      <c r="B66" s="19">
        <v>3.8800000000000003</v>
      </c>
      <c r="C66" s="19">
        <v>0.88065906412418204</v>
      </c>
      <c r="F66" s="18" t="s">
        <v>1322</v>
      </c>
      <c r="G66" s="19">
        <v>6.0000000000000053E-2</v>
      </c>
      <c r="H66" s="19">
        <v>-8.3464679083649074E-3</v>
      </c>
    </row>
    <row r="67" spans="1:8">
      <c r="A67" s="18" t="s">
        <v>82</v>
      </c>
      <c r="B67" s="19">
        <v>4.41</v>
      </c>
      <c r="C67" s="19">
        <v>0.98456375260017603</v>
      </c>
      <c r="F67" s="18" t="s">
        <v>1317</v>
      </c>
      <c r="G67" s="19">
        <v>-0.10999999999999988</v>
      </c>
      <c r="H67" s="19">
        <v>9.9714750619410708E-3</v>
      </c>
    </row>
    <row r="68" spans="1:8">
      <c r="A68" s="18" t="s">
        <v>982</v>
      </c>
      <c r="B68" s="19">
        <v>4.2149999999999999</v>
      </c>
      <c r="C68" s="19">
        <v>0.89324065283713949</v>
      </c>
      <c r="F68" s="18" t="s">
        <v>1313</v>
      </c>
      <c r="G68" s="19">
        <v>-1.9999999999999574E-2</v>
      </c>
      <c r="H68" s="19">
        <v>1.9584839859243086E-2</v>
      </c>
    </row>
    <row r="69" spans="1:8">
      <c r="A69" s="18" t="s">
        <v>84</v>
      </c>
      <c r="B69" s="19">
        <v>4.46</v>
      </c>
      <c r="C69" s="19">
        <v>0.88718035738519019</v>
      </c>
      <c r="F69" s="18" t="s">
        <v>1308</v>
      </c>
      <c r="G69" s="19">
        <v>-4.0000000000000036E-2</v>
      </c>
      <c r="H69" s="19">
        <v>-5.0617587357724148E-3</v>
      </c>
    </row>
    <row r="70" spans="1:8">
      <c r="A70" s="18" t="s">
        <v>85</v>
      </c>
      <c r="B70" s="19">
        <v>4.2949999999999999</v>
      </c>
      <c r="C70" s="19">
        <v>0.87836810718017366</v>
      </c>
      <c r="F70" s="18" t="s">
        <v>1303</v>
      </c>
      <c r="G70" s="19">
        <v>-9.0000000000000746E-2</v>
      </c>
      <c r="H70" s="19">
        <v>-3.915305255139101E-2</v>
      </c>
    </row>
    <row r="71" spans="1:8">
      <c r="A71" s="18" t="s">
        <v>86</v>
      </c>
      <c r="B71" s="19">
        <v>4.26</v>
      </c>
      <c r="C71" s="19">
        <v>0.8928195291848855</v>
      </c>
      <c r="F71" s="18" t="s">
        <v>1298</v>
      </c>
      <c r="G71" s="19">
        <v>-6.9999999999999396E-2</v>
      </c>
      <c r="H71" s="19">
        <v>4.8644036322390782E-2</v>
      </c>
    </row>
    <row r="72" spans="1:8">
      <c r="A72" s="18" t="s">
        <v>87</v>
      </c>
      <c r="B72" s="19">
        <v>4.3149999999999995</v>
      </c>
      <c r="C72" s="19">
        <v>0.8989221091593893</v>
      </c>
      <c r="F72" s="18" t="s">
        <v>1293</v>
      </c>
      <c r="G72" s="19">
        <v>8.9999999999999858E-2</v>
      </c>
      <c r="H72" s="19">
        <v>1.0933422400750015E-2</v>
      </c>
    </row>
    <row r="73" spans="1:8">
      <c r="A73" s="18" t="s">
        <v>88</v>
      </c>
      <c r="B73" s="19">
        <v>4.3250000000000002</v>
      </c>
      <c r="C73" s="19">
        <v>0.88362698207436008</v>
      </c>
      <c r="F73" s="18" t="s">
        <v>1288</v>
      </c>
      <c r="G73" s="19">
        <v>0.11000000000000032</v>
      </c>
      <c r="H73" s="19">
        <v>-1.5683186328386167E-2</v>
      </c>
    </row>
    <row r="74" spans="1:8">
      <c r="A74" s="18" t="s">
        <v>89</v>
      </c>
      <c r="B74" s="19">
        <v>4.3250000000000002</v>
      </c>
      <c r="C74" s="19">
        <v>0.90499821940306191</v>
      </c>
      <c r="F74" s="18" t="s">
        <v>1283</v>
      </c>
      <c r="G74" s="19">
        <v>-6.0000000000000497E-2</v>
      </c>
      <c r="H74" s="19">
        <v>-2.3724919936257471E-2</v>
      </c>
    </row>
    <row r="75" spans="1:8">
      <c r="A75" s="18" t="s">
        <v>90</v>
      </c>
      <c r="B75" s="19">
        <v>4.53</v>
      </c>
      <c r="C75" s="19">
        <v>0.89138719541262024</v>
      </c>
      <c r="F75" s="18" t="s">
        <v>1278</v>
      </c>
      <c r="G75" s="19">
        <v>9.9999999999997868E-3</v>
      </c>
      <c r="H75" s="19">
        <v>1.2331215544990837E-2</v>
      </c>
    </row>
    <row r="76" spans="1:8">
      <c r="A76" s="18" t="s">
        <v>91</v>
      </c>
      <c r="B76" s="19">
        <v>4.4349999999999996</v>
      </c>
      <c r="C76" s="19">
        <v>0.84777413248060141</v>
      </c>
      <c r="F76" s="18" t="s">
        <v>1274</v>
      </c>
      <c r="G76" s="19">
        <v>5.0000000000007816E-3</v>
      </c>
      <c r="H76" s="19">
        <v>-1.7762682732349155E-2</v>
      </c>
    </row>
    <row r="77" spans="1:8">
      <c r="A77" s="18" t="s">
        <v>92</v>
      </c>
      <c r="B77" s="19">
        <v>4.4950000000000001</v>
      </c>
      <c r="C77" s="19">
        <v>0.91072084174458956</v>
      </c>
      <c r="F77" s="18" t="s">
        <v>1269</v>
      </c>
      <c r="G77" s="19">
        <v>-4.5000000000000817E-2</v>
      </c>
      <c r="H77" s="19">
        <v>1.0893689140491603E-2</v>
      </c>
    </row>
    <row r="78" spans="1:8">
      <c r="A78" s="18" t="s">
        <v>93</v>
      </c>
      <c r="B78" s="19">
        <v>4.5200000000000005</v>
      </c>
      <c r="C78" s="19">
        <v>0.8145678412256081</v>
      </c>
      <c r="F78" s="18" t="s">
        <v>1264</v>
      </c>
      <c r="G78" s="19">
        <v>2.5000000000000355E-2</v>
      </c>
      <c r="H78" s="19">
        <v>1.5262983829197996E-2</v>
      </c>
    </row>
    <row r="79" spans="1:8">
      <c r="A79" s="18" t="s">
        <v>94</v>
      </c>
      <c r="B79" s="19">
        <v>4.4249999999999998</v>
      </c>
      <c r="C79" s="19">
        <v>0.84250774755549518</v>
      </c>
      <c r="F79" s="18" t="s">
        <v>1259</v>
      </c>
      <c r="G79" s="19">
        <v>7.5000000000000178E-2</v>
      </c>
      <c r="H79" s="19">
        <v>-3.1622830551468972E-2</v>
      </c>
    </row>
    <row r="80" spans="1:8">
      <c r="A80" s="18" t="s">
        <v>95</v>
      </c>
      <c r="B80" s="19">
        <v>4.2450000000000001</v>
      </c>
      <c r="C80" s="19">
        <v>0.86603183508412407</v>
      </c>
      <c r="F80" s="18" t="s">
        <v>1254</v>
      </c>
      <c r="G80" s="19">
        <v>-3.0000000000000249E-2</v>
      </c>
      <c r="H80" s="19">
        <v>-3.2881481024741088E-2</v>
      </c>
    </row>
    <row r="81" spans="1:8">
      <c r="A81" s="18" t="s">
        <v>96</v>
      </c>
      <c r="B81" s="19">
        <v>4.1449999999999996</v>
      </c>
      <c r="C81" s="19">
        <v>0.83763999185427762</v>
      </c>
      <c r="F81" s="18" t="s">
        <v>1250</v>
      </c>
      <c r="G81" s="19">
        <v>-8.0000000000000071E-2</v>
      </c>
      <c r="H81" s="19">
        <v>-2.2561621560378775E-2</v>
      </c>
    </row>
    <row r="82" spans="1:8">
      <c r="A82" s="18" t="s">
        <v>97</v>
      </c>
      <c r="B82" s="19">
        <v>4.1550000000000002</v>
      </c>
      <c r="C82" s="19">
        <v>0.84001905618454797</v>
      </c>
      <c r="F82" s="18" t="s">
        <v>1245</v>
      </c>
      <c r="G82" s="19">
        <v>-0.12000000000000011</v>
      </c>
      <c r="H82" s="19">
        <v>1.0864133549493005E-4</v>
      </c>
    </row>
    <row r="83" spans="1:8">
      <c r="A83" s="18" t="s">
        <v>98</v>
      </c>
      <c r="B83" s="19">
        <v>4.2050000000000001</v>
      </c>
      <c r="C83" s="19">
        <v>0.84753171821839191</v>
      </c>
      <c r="F83" s="18" t="s">
        <v>1241</v>
      </c>
      <c r="G83" s="19">
        <v>2.0000000000000462E-2</v>
      </c>
      <c r="H83" s="19">
        <v>6.3599359123875931E-2</v>
      </c>
    </row>
    <row r="84" spans="1:8">
      <c r="A84" s="18" t="s">
        <v>99</v>
      </c>
      <c r="B84" s="19">
        <v>4.08</v>
      </c>
      <c r="C84" s="19">
        <v>0.85360660524252374</v>
      </c>
      <c r="F84" s="18" t="s">
        <v>1237</v>
      </c>
      <c r="G84" s="19">
        <v>0.13999999999999968</v>
      </c>
      <c r="H84" s="19">
        <v>-5.2294375855344022E-3</v>
      </c>
    </row>
    <row r="85" spans="1:8">
      <c r="A85" s="18" t="s">
        <v>100</v>
      </c>
      <c r="B85" s="19">
        <v>4.0249999999999995</v>
      </c>
      <c r="C85" s="19">
        <v>0.86417278846292955</v>
      </c>
      <c r="F85" s="18" t="s">
        <v>1232</v>
      </c>
      <c r="G85" s="19">
        <v>3.0000000000000249E-2</v>
      </c>
      <c r="H85" s="19">
        <v>-3.2915899331543486E-2</v>
      </c>
    </row>
    <row r="86" spans="1:8">
      <c r="A86" s="18" t="s">
        <v>101</v>
      </c>
      <c r="B86" s="19">
        <v>4.1100000000000003</v>
      </c>
      <c r="C86" s="19">
        <v>0.85197165380436024</v>
      </c>
      <c r="F86" s="18" t="s">
        <v>1227</v>
      </c>
      <c r="G86" s="19">
        <v>4.9999999999999822E-2</v>
      </c>
      <c r="H86" s="19">
        <v>1.6605748637262163E-2</v>
      </c>
    </row>
    <row r="87" spans="1:8">
      <c r="A87" s="18" t="s">
        <v>102</v>
      </c>
      <c r="B87" s="19">
        <v>4.2749999999999995</v>
      </c>
      <c r="C87" s="19">
        <v>0.89491633082500721</v>
      </c>
      <c r="F87" s="18" t="s">
        <v>1222</v>
      </c>
      <c r="G87" s="19">
        <v>4.9999999999999822E-2</v>
      </c>
      <c r="H87" s="19">
        <v>2.7935050251221227E-2</v>
      </c>
    </row>
    <row r="88" spans="1:8">
      <c r="A88" s="18" t="s">
        <v>103</v>
      </c>
      <c r="B88" s="19">
        <v>4.1449999999999996</v>
      </c>
      <c r="C88" s="19">
        <v>0.81071558225969742</v>
      </c>
      <c r="F88" s="18" t="s">
        <v>1218</v>
      </c>
      <c r="G88" s="19">
        <v>9.0000000000000302E-2</v>
      </c>
      <c r="H88" s="19">
        <v>-3.042159818704615E-2</v>
      </c>
    </row>
    <row r="89" spans="1:8">
      <c r="A89" s="18" t="s">
        <v>983</v>
      </c>
      <c r="B89" s="19">
        <v>4.2149999999999999</v>
      </c>
      <c r="C89" s="19">
        <v>0.83041220042444985</v>
      </c>
      <c r="F89" s="18" t="s">
        <v>1213</v>
      </c>
      <c r="G89" s="19">
        <v>0.37000000000000011</v>
      </c>
      <c r="H89" s="19">
        <v>4.9260859495858789E-2</v>
      </c>
    </row>
    <row r="90" spans="1:8">
      <c r="A90" s="18" t="s">
        <v>105</v>
      </c>
      <c r="B90" s="19">
        <v>4.335</v>
      </c>
      <c r="C90" s="19">
        <v>0.85550847627348992</v>
      </c>
      <c r="F90" s="18" t="s">
        <v>1209</v>
      </c>
      <c r="G90" s="19">
        <v>2.9999999999999805E-2</v>
      </c>
      <c r="H90" s="19">
        <v>-2.6407242398544639E-2</v>
      </c>
    </row>
    <row r="91" spans="1:8">
      <c r="A91" s="18" t="s">
        <v>106</v>
      </c>
      <c r="B91" s="19">
        <v>4.3449999999999998</v>
      </c>
      <c r="C91" s="19">
        <v>0.83043179444173365</v>
      </c>
      <c r="F91" s="18" t="s">
        <v>1204</v>
      </c>
      <c r="G91" s="19">
        <v>4.4999999999999929E-2</v>
      </c>
      <c r="H91" s="19">
        <v>-2.0238955619433785E-2</v>
      </c>
    </row>
    <row r="92" spans="1:8">
      <c r="A92" s="18" t="s">
        <v>107</v>
      </c>
      <c r="B92" s="19">
        <v>4.3949999999999996</v>
      </c>
      <c r="C92" s="19">
        <v>0.8660511497503891</v>
      </c>
      <c r="F92" s="18" t="s">
        <v>1198</v>
      </c>
      <c r="G92" s="19">
        <v>-2.4999999999999911E-2</v>
      </c>
      <c r="H92" s="19">
        <v>-1.4690125183085989E-2</v>
      </c>
    </row>
    <row r="93" spans="1:8">
      <c r="A93" s="18" t="s">
        <v>251</v>
      </c>
      <c r="B93" s="19">
        <v>4.4050000000000002</v>
      </c>
      <c r="C93" s="19">
        <v>0.83937775459051833</v>
      </c>
      <c r="F93" s="18" t="s">
        <v>1193</v>
      </c>
      <c r="G93" s="19">
        <v>2.4999999999999911E-2</v>
      </c>
      <c r="H93" s="19">
        <v>1.3921832211515106E-2</v>
      </c>
    </row>
    <row r="94" spans="1:8">
      <c r="A94" s="18" t="s">
        <v>252</v>
      </c>
      <c r="B94" s="19">
        <v>4.4800000000000004</v>
      </c>
      <c r="C94" s="19">
        <v>0.88295887871594037</v>
      </c>
      <c r="F94" s="18" t="s">
        <v>1188</v>
      </c>
      <c r="G94" s="19">
        <v>7.5000000000000178E-2</v>
      </c>
      <c r="H94" s="19">
        <v>-2.0317211872340479E-2</v>
      </c>
    </row>
    <row r="95" spans="1:8">
      <c r="A95" s="18" t="s">
        <v>108</v>
      </c>
      <c r="B95" s="19">
        <v>4.4349999999999996</v>
      </c>
      <c r="C95" s="19">
        <v>0.85129572055250113</v>
      </c>
      <c r="F95" s="18" t="s">
        <v>1184</v>
      </c>
      <c r="G95" s="19">
        <v>0</v>
      </c>
      <c r="H95" s="19">
        <v>-2.5036356229242163E-2</v>
      </c>
    </row>
    <row r="96" spans="1:8">
      <c r="A96" s="18" t="s">
        <v>109</v>
      </c>
      <c r="B96" s="19">
        <v>4.335</v>
      </c>
      <c r="C96" s="19">
        <v>0.84471417203169974</v>
      </c>
      <c r="F96" s="18" t="s">
        <v>1179</v>
      </c>
      <c r="G96" s="19">
        <v>-8.4999999999999964E-2</v>
      </c>
      <c r="H96" s="19">
        <v>3.0089812143153427E-2</v>
      </c>
    </row>
    <row r="97" spans="1:8">
      <c r="A97" s="18" t="s">
        <v>110</v>
      </c>
      <c r="B97" s="19">
        <v>4.3149999999999995</v>
      </c>
      <c r="C97" s="19">
        <v>0.86348562078973634</v>
      </c>
      <c r="F97" s="18" t="s">
        <v>1174</v>
      </c>
      <c r="G97" s="19">
        <v>4.9999999999998934E-3</v>
      </c>
      <c r="H97" s="19">
        <v>-1.4716480874641835E-2</v>
      </c>
    </row>
    <row r="98" spans="1:8">
      <c r="A98" s="18" t="s">
        <v>111</v>
      </c>
      <c r="B98" s="19">
        <v>4.2450000000000001</v>
      </c>
      <c r="C98" s="19">
        <v>0.84322503676377236</v>
      </c>
      <c r="F98" s="18" t="s">
        <v>1169</v>
      </c>
      <c r="G98" s="19">
        <v>3.5000000000000142E-2</v>
      </c>
      <c r="H98" s="19">
        <v>-3.6221274709428375E-2</v>
      </c>
    </row>
    <row r="99" spans="1:8">
      <c r="A99" s="18" t="s">
        <v>112</v>
      </c>
      <c r="B99" s="19">
        <v>4.1550000000000002</v>
      </c>
      <c r="C99" s="19">
        <v>0.82452595912363202</v>
      </c>
      <c r="F99" s="18" t="s">
        <v>1164</v>
      </c>
      <c r="G99" s="19">
        <v>4.9999999999998934E-3</v>
      </c>
      <c r="H99" s="19">
        <v>7.0066122986864876E-3</v>
      </c>
    </row>
    <row r="100" spans="1:8">
      <c r="A100" s="18" t="s">
        <v>113</v>
      </c>
      <c r="B100" s="19">
        <v>4.2050000000000001</v>
      </c>
      <c r="C100" s="19">
        <v>0.82605526303721</v>
      </c>
      <c r="F100" s="18" t="s">
        <v>1160</v>
      </c>
      <c r="G100" s="19">
        <v>4.9999999999998934E-3</v>
      </c>
      <c r="H100" s="19">
        <v>-1.6636787715593737E-2</v>
      </c>
    </row>
    <row r="101" spans="1:8">
      <c r="A101" s="18" t="s">
        <v>114</v>
      </c>
      <c r="B101" s="19">
        <v>4.2549999999999999</v>
      </c>
      <c r="C101" s="19">
        <v>0.84411844457305207</v>
      </c>
      <c r="F101" s="18" t="s">
        <v>1155</v>
      </c>
      <c r="G101" s="19">
        <v>2.4999999999999911E-2</v>
      </c>
      <c r="H101" s="19">
        <v>1.967072138654391E-2</v>
      </c>
    </row>
    <row r="102" spans="1:8">
      <c r="A102" s="18" t="s">
        <v>115</v>
      </c>
      <c r="B102" s="19">
        <v>4.2949999999999999</v>
      </c>
      <c r="C102" s="19">
        <v>0.88844338887899754</v>
      </c>
      <c r="F102" s="18" t="s">
        <v>1150</v>
      </c>
      <c r="G102" s="19">
        <v>-2.0000000000000018E-2</v>
      </c>
      <c r="H102" s="19">
        <v>-3.2475528706856327E-2</v>
      </c>
    </row>
    <row r="103" spans="1:8">
      <c r="A103" s="18" t="s">
        <v>116</v>
      </c>
      <c r="B103" s="19">
        <v>4.2050000000000001</v>
      </c>
      <c r="C103" s="19">
        <v>0.84227253204870145</v>
      </c>
      <c r="F103" s="18" t="s">
        <v>1145</v>
      </c>
      <c r="G103" s="19">
        <v>2.0000000000000018E-2</v>
      </c>
      <c r="H103" s="19">
        <v>-2.1257078750700487E-3</v>
      </c>
    </row>
    <row r="104" spans="1:8">
      <c r="A104" s="18" t="s">
        <v>117</v>
      </c>
      <c r="B104" s="19">
        <v>4.2700000000000005</v>
      </c>
      <c r="C104" s="19">
        <v>0.83318476282103004</v>
      </c>
      <c r="F104" s="18" t="s">
        <v>1140</v>
      </c>
      <c r="G104" s="19">
        <v>-4.9999999999999822E-2</v>
      </c>
      <c r="H104" s="19">
        <v>9.4144355389240708E-3</v>
      </c>
    </row>
    <row r="105" spans="1:8">
      <c r="A105" s="18" t="s">
        <v>118</v>
      </c>
      <c r="B105" s="19">
        <v>4.2200000000000006</v>
      </c>
      <c r="C105" s="19">
        <v>0.82079480253288439</v>
      </c>
      <c r="F105" s="18" t="s">
        <v>1135</v>
      </c>
      <c r="G105" s="19">
        <v>2.9999999999999805E-2</v>
      </c>
      <c r="H105" s="19">
        <v>2.5455540614220951E-3</v>
      </c>
    </row>
    <row r="106" spans="1:8">
      <c r="A106" s="18" t="s">
        <v>119</v>
      </c>
      <c r="B106" s="19">
        <v>4.3000000000000007</v>
      </c>
      <c r="C106" s="19">
        <v>0.84709182986651399</v>
      </c>
      <c r="F106" s="18" t="s">
        <v>1130</v>
      </c>
      <c r="G106" s="19">
        <v>3.0000000000000249E-2</v>
      </c>
      <c r="H106" s="19">
        <v>-5.3107288726875979E-2</v>
      </c>
    </row>
    <row r="107" spans="1:8">
      <c r="A107" s="18" t="s">
        <v>120</v>
      </c>
      <c r="B107" s="19">
        <v>4.335</v>
      </c>
      <c r="C107" s="19">
        <v>0.88258708976065581</v>
      </c>
      <c r="F107" s="18" t="s">
        <v>1125</v>
      </c>
      <c r="G107" s="19">
        <v>9.9999999999997868E-3</v>
      </c>
      <c r="H107" s="19">
        <v>-3.5768518476933409E-2</v>
      </c>
    </row>
    <row r="108" spans="1:8">
      <c r="A108" s="18" t="s">
        <v>121</v>
      </c>
      <c r="B108" s="19">
        <v>4.2649999999999997</v>
      </c>
      <c r="C108" s="19">
        <v>0.85360778295215578</v>
      </c>
      <c r="F108" s="18" t="s">
        <v>1120</v>
      </c>
      <c r="G108" s="19">
        <v>-6.999999999999984E-2</v>
      </c>
      <c r="H108" s="19">
        <v>8.3376384287233485E-2</v>
      </c>
    </row>
    <row r="109" spans="1:8">
      <c r="A109" s="18" t="s">
        <v>122</v>
      </c>
      <c r="B109" s="19">
        <v>4.1949999999999994</v>
      </c>
      <c r="C109" s="19">
        <v>0.86274866991849919</v>
      </c>
      <c r="F109" s="18" t="s">
        <v>1116</v>
      </c>
      <c r="G109" s="19">
        <v>-0.10499999999999998</v>
      </c>
      <c r="H109" s="19">
        <v>1.8109108452244005E-2</v>
      </c>
    </row>
    <row r="110" spans="1:8">
      <c r="A110" s="18" t="s">
        <v>123</v>
      </c>
      <c r="B110" s="19">
        <v>4.2300000000000004</v>
      </c>
      <c r="C110" s="19">
        <v>0.82585339815649306</v>
      </c>
      <c r="F110" s="18" t="s">
        <v>1111</v>
      </c>
      <c r="G110" s="19">
        <v>4.4999999999999929E-2</v>
      </c>
      <c r="H110" s="19">
        <v>2.3554676227259819E-2</v>
      </c>
    </row>
    <row r="111" spans="1:8">
      <c r="A111" s="18" t="s">
        <v>124</v>
      </c>
      <c r="B111" s="19">
        <v>4.2149999999999999</v>
      </c>
      <c r="C111" s="19">
        <v>0.86267006166820348</v>
      </c>
      <c r="F111" s="18" t="s">
        <v>1106</v>
      </c>
      <c r="G111" s="19">
        <v>-6.0000000000000053E-2</v>
      </c>
      <c r="H111" s="19">
        <v>-3.6572906718714826E-3</v>
      </c>
    </row>
    <row r="112" spans="1:8">
      <c r="A112" s="18" t="s">
        <v>125</v>
      </c>
      <c r="B112" s="19">
        <v>4.1100000000000003</v>
      </c>
      <c r="C112" s="19">
        <v>0.83878032658738588</v>
      </c>
      <c r="F112" s="18" t="s">
        <v>1101</v>
      </c>
      <c r="G112" s="19">
        <v>-6.0000000000000053E-2</v>
      </c>
      <c r="H112" s="19">
        <v>1.6984431271736877E-2</v>
      </c>
    </row>
    <row r="113" spans="1:8">
      <c r="A113" s="18" t="s">
        <v>126</v>
      </c>
      <c r="B113" s="19">
        <v>4.1000000000000005</v>
      </c>
      <c r="C113" s="19">
        <v>0.84724827691488036</v>
      </c>
      <c r="F113" s="18" t="s">
        <v>1096</v>
      </c>
      <c r="G113" s="19">
        <v>2.0000000000000018E-2</v>
      </c>
      <c r="H113" s="19">
        <v>4.0576309830424595E-2</v>
      </c>
    </row>
    <row r="114" spans="1:8">
      <c r="A114" s="18" t="s">
        <v>127</v>
      </c>
      <c r="B114" s="19">
        <v>4.04</v>
      </c>
      <c r="C114" s="19">
        <v>0.83946977676809009</v>
      </c>
      <c r="F114" s="18" t="s">
        <v>1092</v>
      </c>
      <c r="G114" s="19">
        <v>3.5000000000000142E-2</v>
      </c>
      <c r="H114" s="19">
        <v>-3.6749106149427835E-2</v>
      </c>
    </row>
    <row r="115" spans="1:8">
      <c r="A115" s="18" t="s">
        <v>128</v>
      </c>
      <c r="B115" s="19">
        <v>4.0200000000000005</v>
      </c>
      <c r="C115" s="19">
        <v>0.84409128823692559</v>
      </c>
      <c r="F115" s="18" t="s">
        <v>1087</v>
      </c>
      <c r="G115" s="19">
        <v>3.5000000000000142E-2</v>
      </c>
      <c r="H115" s="19">
        <v>-2.1725990268173234E-5</v>
      </c>
    </row>
    <row r="116" spans="1:8">
      <c r="A116" s="18" t="s">
        <v>129</v>
      </c>
      <c r="B116" s="19">
        <v>4.0149999999999997</v>
      </c>
      <c r="C116" s="19">
        <v>0.81759330053535173</v>
      </c>
      <c r="F116" s="18" t="s">
        <v>1082</v>
      </c>
      <c r="G116" s="19">
        <v>-6.4999999999999947E-2</v>
      </c>
      <c r="H116" s="19">
        <v>-7.6216524280035003E-3</v>
      </c>
    </row>
    <row r="117" spans="1:8">
      <c r="A117" s="18" t="s">
        <v>130</v>
      </c>
      <c r="B117" s="19">
        <v>4.1000000000000005</v>
      </c>
      <c r="C117" s="19">
        <v>0.83559014848221214</v>
      </c>
      <c r="F117" s="18" t="s">
        <v>1077</v>
      </c>
      <c r="G117" s="19">
        <v>-5.0000000000000266E-2</v>
      </c>
      <c r="H117" s="19">
        <v>3.1655458545985837E-2</v>
      </c>
    </row>
    <row r="118" spans="1:8">
      <c r="A118" s="18" t="s">
        <v>131</v>
      </c>
      <c r="B118" s="19">
        <v>4.07</v>
      </c>
      <c r="C118" s="19">
        <v>0.81375933723712812</v>
      </c>
      <c r="F118" s="18" t="s">
        <v>1072</v>
      </c>
      <c r="G118" s="19">
        <v>7.0000000000000284E-2</v>
      </c>
      <c r="H118" s="19">
        <v>-4.0988411671169622E-2</v>
      </c>
    </row>
    <row r="119" spans="1:8">
      <c r="A119" s="18" t="s">
        <v>132</v>
      </c>
      <c r="B119" s="19">
        <v>4.0149999999999997</v>
      </c>
      <c r="C119" s="19">
        <v>0.78812707418207362</v>
      </c>
      <c r="F119" s="18" t="s">
        <v>1067</v>
      </c>
      <c r="G119" s="19">
        <v>3.4999999999999698E-2</v>
      </c>
      <c r="H119" s="19">
        <v>-1.4124747313760455E-2</v>
      </c>
    </row>
    <row r="120" spans="1:8">
      <c r="A120" s="18" t="s">
        <v>133</v>
      </c>
      <c r="B120" s="19">
        <v>3.9950000000000001</v>
      </c>
      <c r="C120" s="19">
        <v>0.80064650220220157</v>
      </c>
      <c r="F120" s="18" t="s">
        <v>1062</v>
      </c>
      <c r="G120" s="19">
        <v>-9.9999999999997868E-3</v>
      </c>
      <c r="H120" s="19">
        <v>2.0170763140892944E-2</v>
      </c>
    </row>
    <row r="121" spans="1:8">
      <c r="A121" s="18" t="s">
        <v>134</v>
      </c>
      <c r="B121" s="19">
        <v>4.0750000000000002</v>
      </c>
      <c r="C121" s="19">
        <v>0.82509417663536055</v>
      </c>
      <c r="F121" s="18" t="s">
        <v>1057</v>
      </c>
      <c r="G121" s="19">
        <v>-0.12000000000000011</v>
      </c>
      <c r="H121" s="19">
        <v>-6.2061715418142427E-3</v>
      </c>
    </row>
    <row r="122" spans="1:8">
      <c r="A122" s="18" t="s">
        <v>135</v>
      </c>
      <c r="B122" s="19">
        <v>4.03</v>
      </c>
      <c r="C122" s="19">
        <v>0.81383103061336382</v>
      </c>
      <c r="F122" s="18" t="s">
        <v>1052</v>
      </c>
      <c r="G122" s="19">
        <v>0</v>
      </c>
      <c r="H122" s="19">
        <v>3.9328483357251365E-2</v>
      </c>
    </row>
    <row r="123" spans="1:8">
      <c r="A123" s="18" t="s">
        <v>136</v>
      </c>
      <c r="B123" s="19">
        <v>4.03</v>
      </c>
      <c r="C123" s="19">
        <v>0.84940851846354981</v>
      </c>
      <c r="F123" s="18" t="s">
        <v>1048</v>
      </c>
      <c r="G123" s="19">
        <v>-2.0000000000000018E-2</v>
      </c>
      <c r="H123" s="19">
        <v>2.9753767963885736E-2</v>
      </c>
    </row>
    <row r="124" spans="1:8">
      <c r="A124" s="18" t="s">
        <v>137</v>
      </c>
      <c r="B124" s="19">
        <v>4.0200000000000005</v>
      </c>
      <c r="C124" s="19">
        <v>0.80388311452594197</v>
      </c>
      <c r="F124" s="18" t="s">
        <v>1043</v>
      </c>
      <c r="G124" s="19">
        <v>4.9999999999999822E-2</v>
      </c>
      <c r="H124" s="19">
        <v>-2.3467995970869904E-2</v>
      </c>
    </row>
    <row r="125" spans="1:8">
      <c r="A125" s="18" t="s">
        <v>138</v>
      </c>
      <c r="B125" s="19">
        <v>4.0649999999999995</v>
      </c>
      <c r="C125" s="19">
        <v>0.8339038922414912</v>
      </c>
      <c r="F125" s="18" t="s">
        <v>1038</v>
      </c>
      <c r="G125" s="19">
        <v>4.0000000000000036E-2</v>
      </c>
      <c r="H125" s="19">
        <v>-4.6092011145236089E-2</v>
      </c>
    </row>
    <row r="126" spans="1:8">
      <c r="A126" s="18" t="s">
        <v>139</v>
      </c>
      <c r="B126" s="19">
        <v>4.0200000000000005</v>
      </c>
      <c r="C126" s="19">
        <v>0.84212003389910217</v>
      </c>
      <c r="F126" s="18" t="s">
        <v>1033</v>
      </c>
      <c r="G126" s="19">
        <v>-4.9999999999998934E-3</v>
      </c>
      <c r="H126" s="19">
        <v>-3.1914616159288034E-2</v>
      </c>
    </row>
    <row r="127" spans="1:8">
      <c r="A127" s="18" t="s">
        <v>140</v>
      </c>
      <c r="B127" s="19">
        <v>3.9749999999999996</v>
      </c>
      <c r="C127" s="19">
        <v>0.8307534730727153</v>
      </c>
      <c r="F127" s="18" t="s">
        <v>1028</v>
      </c>
      <c r="G127" s="19">
        <v>-4.9999999999998934E-3</v>
      </c>
      <c r="H127" s="19">
        <v>-6.58988444099462E-3</v>
      </c>
    </row>
    <row r="128" spans="1:8">
      <c r="A128" s="18" t="s">
        <v>141</v>
      </c>
      <c r="B128" s="19">
        <v>3.9749999999999996</v>
      </c>
      <c r="C128" s="19">
        <v>0.84010646840897341</v>
      </c>
      <c r="F128" s="18" t="s">
        <v>1023</v>
      </c>
      <c r="G128" s="19">
        <v>0</v>
      </c>
      <c r="H128" s="19">
        <v>1.1899808437661363E-2</v>
      </c>
    </row>
    <row r="129" spans="1:8">
      <c r="A129" s="18" t="s">
        <v>142</v>
      </c>
      <c r="B129" s="19">
        <v>3.9749999999999996</v>
      </c>
      <c r="C129" s="19">
        <v>0.87067892107677958</v>
      </c>
      <c r="F129" s="18" t="s">
        <v>1019</v>
      </c>
      <c r="G129" s="19">
        <v>-9.5000000000000195E-2</v>
      </c>
      <c r="H129" s="19">
        <v>1.4598960355743262E-2</v>
      </c>
    </row>
    <row r="130" spans="1:8">
      <c r="A130" s="18" t="s">
        <v>143</v>
      </c>
      <c r="B130" s="19">
        <v>3.9950000000000001</v>
      </c>
      <c r="C130" s="19">
        <v>0.80679490705007595</v>
      </c>
      <c r="F130" s="18" t="s">
        <v>1014</v>
      </c>
      <c r="G130" s="19">
        <v>-6.999999999999984E-2</v>
      </c>
      <c r="H130" s="19">
        <v>2.891113950662616E-2</v>
      </c>
    </row>
    <row r="131" spans="1:8">
      <c r="A131" s="18" t="s">
        <v>144</v>
      </c>
      <c r="B131" s="19">
        <v>4.1050000000000004</v>
      </c>
      <c r="C131" s="19">
        <v>0.82615699913622809</v>
      </c>
      <c r="F131" s="18" t="s">
        <v>1009</v>
      </c>
      <c r="G131" s="19">
        <v>-2.0000000000000018E-2</v>
      </c>
      <c r="H131" s="19">
        <v>6.2329010825190601E-3</v>
      </c>
    </row>
    <row r="132" spans="1:8">
      <c r="A132" s="18" t="s">
        <v>145</v>
      </c>
      <c r="B132" s="19">
        <v>4.0750000000000002</v>
      </c>
      <c r="C132" s="19">
        <v>0.82472958838509403</v>
      </c>
      <c r="F132" s="18" t="s">
        <v>1004</v>
      </c>
      <c r="G132" s="19">
        <v>-0.10999999999999988</v>
      </c>
      <c r="H132" s="19">
        <v>-2.4050748303181102E-2</v>
      </c>
    </row>
    <row r="133" spans="1:8">
      <c r="A133" s="18" t="s">
        <v>146</v>
      </c>
      <c r="B133" s="19">
        <v>4.04</v>
      </c>
      <c r="C133" s="19">
        <v>0.85375816585871789</v>
      </c>
      <c r="F133" s="18" t="s">
        <v>1000</v>
      </c>
      <c r="G133" s="19">
        <v>-5.0000000000000266E-2</v>
      </c>
      <c r="H133" s="19">
        <v>6.174301503707591E-2</v>
      </c>
    </row>
    <row r="134" spans="1:8">
      <c r="A134" s="18" t="s">
        <v>147</v>
      </c>
      <c r="B134" s="19">
        <v>3.9950000000000001</v>
      </c>
      <c r="C134" s="19">
        <v>0.90219902143229191</v>
      </c>
      <c r="F134" s="18" t="s">
        <v>995</v>
      </c>
      <c r="G134" s="19">
        <v>-3.9999999999999591E-2</v>
      </c>
      <c r="H134" s="19">
        <v>1.2252400448296008E-2</v>
      </c>
    </row>
    <row r="135" spans="1:8">
      <c r="A135" s="18" t="s">
        <v>148</v>
      </c>
      <c r="B135" s="19">
        <v>3.8450000000000002</v>
      </c>
      <c r="C135" s="19">
        <v>0.91180688712756508</v>
      </c>
      <c r="F135" s="18" t="s">
        <v>991</v>
      </c>
      <c r="G135" s="19">
        <v>4.9999999999999822E-2</v>
      </c>
      <c r="H135" s="19">
        <v>1.4459608847396055E-2</v>
      </c>
    </row>
    <row r="136" spans="1:8">
      <c r="A136" s="18" t="s">
        <v>149</v>
      </c>
      <c r="B136" s="19">
        <v>3.7949999999999999</v>
      </c>
      <c r="C136" s="19">
        <v>0.89511154996298181</v>
      </c>
      <c r="F136" s="18" t="s">
        <v>987</v>
      </c>
      <c r="G136" s="19">
        <v>-1.0000000000000231E-2</v>
      </c>
      <c r="H136" s="19">
        <v>-1.1543214245306022E-2</v>
      </c>
    </row>
    <row r="137" spans="1:8">
      <c r="A137" s="18" t="s">
        <v>150</v>
      </c>
      <c r="B137" s="19">
        <v>3.855</v>
      </c>
      <c r="C137" s="19">
        <v>0.88359443264210391</v>
      </c>
      <c r="F137" s="18" t="s">
        <v>976</v>
      </c>
      <c r="G137" s="19">
        <v>2.0000000000000018E-2</v>
      </c>
      <c r="H137" s="19">
        <v>9.8564510039258479E-3</v>
      </c>
    </row>
    <row r="138" spans="1:8">
      <c r="A138" s="18" t="s">
        <v>151</v>
      </c>
      <c r="B138" s="19">
        <v>3.8949999999999996</v>
      </c>
      <c r="C138" s="19">
        <v>0.86817520738981724</v>
      </c>
      <c r="F138" s="18" t="s">
        <v>971</v>
      </c>
      <c r="G138" s="19">
        <v>2.0000000000000018E-2</v>
      </c>
      <c r="H138" s="19">
        <v>-3.6481147091743882E-2</v>
      </c>
    </row>
    <row r="139" spans="1:8">
      <c r="A139" s="18" t="s">
        <v>152</v>
      </c>
      <c r="B139" s="19">
        <v>3.8849999999999998</v>
      </c>
      <c r="C139" s="19">
        <v>0.85345182538145181</v>
      </c>
      <c r="F139" s="18" t="s">
        <v>966</v>
      </c>
      <c r="G139" s="19">
        <v>-4.4999999999999929E-2</v>
      </c>
      <c r="H139" s="19">
        <v>-4.266003550703612E-3</v>
      </c>
    </row>
    <row r="140" spans="1:8">
      <c r="A140" s="18" t="s">
        <v>153</v>
      </c>
      <c r="B140" s="19">
        <v>3.8650000000000002</v>
      </c>
      <c r="C140" s="19">
        <v>0.86645888695955975</v>
      </c>
      <c r="F140" s="18" t="s">
        <v>986</v>
      </c>
      <c r="G140" s="19">
        <v>4.9999999999998934E-3</v>
      </c>
      <c r="H140" s="19">
        <v>3.4512366561713304E-2</v>
      </c>
    </row>
    <row r="141" spans="1:8">
      <c r="A141" s="18" t="s">
        <v>984</v>
      </c>
      <c r="B141" s="19">
        <v>3.8450000000000002</v>
      </c>
      <c r="C141" s="19">
        <v>0.90826415378847614</v>
      </c>
      <c r="F141" s="18" t="s">
        <v>958</v>
      </c>
      <c r="G141" s="19">
        <v>-9.9999999999997868E-3</v>
      </c>
      <c r="H141" s="19">
        <v>-6.8703893560102536E-3</v>
      </c>
    </row>
    <row r="142" spans="1:8">
      <c r="A142" s="18" t="s">
        <v>155</v>
      </c>
      <c r="B142" s="19">
        <v>3.7650000000000001</v>
      </c>
      <c r="C142" s="19">
        <v>0.87366934715331013</v>
      </c>
      <c r="F142" s="18" t="s">
        <v>953</v>
      </c>
      <c r="G142" s="19">
        <v>0.10999999999999988</v>
      </c>
      <c r="H142" s="19">
        <v>-1.0191180015131529E-2</v>
      </c>
    </row>
    <row r="143" spans="1:8">
      <c r="A143" s="18" t="s">
        <v>156</v>
      </c>
      <c r="B143" s="19">
        <v>3.8050000000000002</v>
      </c>
      <c r="C143" s="19">
        <v>0.9043131383849321</v>
      </c>
      <c r="F143" s="18" t="s">
        <v>949</v>
      </c>
      <c r="G143" s="19">
        <v>0.11000000000000032</v>
      </c>
      <c r="H143" s="19">
        <v>-2.0715350028827295E-2</v>
      </c>
    </row>
    <row r="144" spans="1:8">
      <c r="A144" s="18" t="s">
        <v>157</v>
      </c>
      <c r="B144" s="19">
        <v>3.6999999999999997</v>
      </c>
      <c r="C144" s="19">
        <v>0.87648274738158749</v>
      </c>
      <c r="F144" s="18" t="s">
        <v>944</v>
      </c>
      <c r="G144" s="19">
        <v>-3.0000000000000249E-2</v>
      </c>
      <c r="H144" s="19">
        <v>-3.9512471786852466E-2</v>
      </c>
    </row>
    <row r="145" spans="1:8">
      <c r="A145" s="18" t="s">
        <v>719</v>
      </c>
      <c r="B145" s="19">
        <v>3.73</v>
      </c>
      <c r="C145" s="19">
        <v>0.86246175683130177</v>
      </c>
      <c r="F145" s="18" t="s">
        <v>939</v>
      </c>
      <c r="G145" s="19">
        <v>-2.9999999999999805E-2</v>
      </c>
      <c r="H145" s="19">
        <v>8.8390587057620706E-3</v>
      </c>
    </row>
    <row r="146" spans="1:8">
      <c r="A146" s="18" t="s">
        <v>985</v>
      </c>
      <c r="B146" s="19">
        <v>3.77</v>
      </c>
      <c r="C146" s="19">
        <v>0.91047831060005491</v>
      </c>
      <c r="F146" s="18" t="s">
        <v>934</v>
      </c>
      <c r="G146" s="19">
        <v>6.0000000000000053E-2</v>
      </c>
      <c r="H146" s="19">
        <v>3.9534847117252081E-2</v>
      </c>
    </row>
    <row r="147" spans="1:8">
      <c r="A147" s="18" t="s">
        <v>160</v>
      </c>
      <c r="B147" s="19">
        <v>3.63</v>
      </c>
      <c r="C147" s="19">
        <v>0.94926924716328553</v>
      </c>
      <c r="F147" s="18" t="s">
        <v>930</v>
      </c>
      <c r="G147" s="19">
        <v>-9.0000000000000302E-2</v>
      </c>
      <c r="H147" s="19">
        <v>-3.9188789963020554E-3</v>
      </c>
    </row>
    <row r="148" spans="1:8">
      <c r="A148" s="18" t="s">
        <v>161</v>
      </c>
      <c r="B148" s="19">
        <v>3.56</v>
      </c>
      <c r="C148" s="19">
        <v>0.96240997316998156</v>
      </c>
      <c r="F148" s="18" t="s">
        <v>925</v>
      </c>
      <c r="G148" s="19">
        <v>-3.4999999999999698E-2</v>
      </c>
      <c r="H148" s="19">
        <v>-7.0604349812959377E-3</v>
      </c>
    </row>
    <row r="149" spans="1:8">
      <c r="A149" s="18" t="s">
        <v>162</v>
      </c>
      <c r="B149" s="19">
        <v>3.5549999999999997</v>
      </c>
      <c r="C149" s="19">
        <v>1.0133311898249322</v>
      </c>
      <c r="F149" s="18" t="s">
        <v>920</v>
      </c>
      <c r="G149" s="19">
        <v>-2.5000000000000355E-2</v>
      </c>
      <c r="H149" s="19">
        <v>4.7272506635689382E-2</v>
      </c>
    </row>
    <row r="150" spans="1:8">
      <c r="A150" s="18" t="s">
        <v>163</v>
      </c>
      <c r="B150" s="19">
        <v>3.56</v>
      </c>
      <c r="C150" s="19">
        <v>0.98490012917051439</v>
      </c>
      <c r="F150" s="18" t="s">
        <v>915</v>
      </c>
      <c r="G150" s="19">
        <v>1.0000000000000231E-2</v>
      </c>
      <c r="H150" s="19">
        <v>-3.6743661025303798E-2</v>
      </c>
    </row>
    <row r="151" spans="1:8">
      <c r="A151" s="18" t="s">
        <v>164</v>
      </c>
      <c r="B151" s="19">
        <v>3.5149999999999997</v>
      </c>
      <c r="C151" s="19">
        <v>1.0111831522740093</v>
      </c>
      <c r="F151" s="18" t="s">
        <v>910</v>
      </c>
      <c r="G151" s="19">
        <v>9.9999999999997868E-3</v>
      </c>
      <c r="H151" s="19">
        <v>2.9059980787692119E-2</v>
      </c>
    </row>
    <row r="152" spans="1:8">
      <c r="A152" s="18" t="s">
        <v>747</v>
      </c>
      <c r="B152" s="19">
        <v>3.59</v>
      </c>
      <c r="C152" s="19">
        <v>0.90928562594270579</v>
      </c>
      <c r="F152" s="18" t="s">
        <v>906</v>
      </c>
      <c r="G152" s="19">
        <v>5.0000000000000266E-2</v>
      </c>
      <c r="H152" s="19">
        <v>-9.476982897301589E-3</v>
      </c>
    </row>
    <row r="153" spans="1:8">
      <c r="A153" s="18" t="s">
        <v>751</v>
      </c>
      <c r="B153" s="19">
        <v>3.6599999999999997</v>
      </c>
      <c r="C153" s="19">
        <v>0.875728818326452</v>
      </c>
      <c r="F153" s="18" t="s">
        <v>901</v>
      </c>
      <c r="G153" s="19">
        <v>-9.0000000000000302E-2</v>
      </c>
      <c r="H153" s="19">
        <v>-1.3028636282660599E-2</v>
      </c>
    </row>
    <row r="154" spans="1:8">
      <c r="A154" s="18" t="s">
        <v>756</v>
      </c>
      <c r="B154" s="19">
        <v>3.6999999999999997</v>
      </c>
      <c r="C154" s="19">
        <v>0.90845864458322145</v>
      </c>
      <c r="F154" s="18" t="s">
        <v>896</v>
      </c>
      <c r="G154" s="19">
        <v>-9.9999999999997868E-3</v>
      </c>
      <c r="H154" s="19">
        <v>-1.8511412775929603E-2</v>
      </c>
    </row>
    <row r="155" spans="1:8">
      <c r="A155" s="18" t="s">
        <v>761</v>
      </c>
      <c r="B155" s="19">
        <v>3.65</v>
      </c>
      <c r="C155" s="19">
        <v>0.85983776942586232</v>
      </c>
      <c r="F155" s="18" t="s">
        <v>891</v>
      </c>
      <c r="G155" s="19">
        <v>2.9999999999999805E-2</v>
      </c>
      <c r="H155" s="19">
        <v>5.3503720163694091E-2</v>
      </c>
    </row>
    <row r="156" spans="1:8">
      <c r="A156" s="18" t="s">
        <v>769</v>
      </c>
      <c r="B156" s="19">
        <v>3.76</v>
      </c>
      <c r="C156" s="19">
        <v>0.89554165009332376</v>
      </c>
      <c r="F156" s="18" t="s">
        <v>886</v>
      </c>
      <c r="G156" s="19">
        <v>-6.999999999999984E-2</v>
      </c>
      <c r="H156" s="19">
        <v>-3.2324584839858339E-2</v>
      </c>
    </row>
    <row r="157" spans="1:8">
      <c r="A157" s="18" t="s">
        <v>774</v>
      </c>
      <c r="B157" s="19">
        <v>3.6799999999999997</v>
      </c>
      <c r="C157" s="19">
        <v>0.88836167527510357</v>
      </c>
      <c r="F157" s="18" t="s">
        <v>881</v>
      </c>
      <c r="G157" s="19">
        <v>-6.0000000000000053E-2</v>
      </c>
      <c r="H157" s="19">
        <v>2.3673689710257406E-4</v>
      </c>
    </row>
    <row r="158" spans="1:8">
      <c r="A158" s="18" t="s">
        <v>792</v>
      </c>
      <c r="B158" s="19">
        <v>3.59</v>
      </c>
      <c r="C158" s="19">
        <v>0.92742898162233178</v>
      </c>
      <c r="F158" s="18" t="s">
        <v>876</v>
      </c>
      <c r="G158" s="19">
        <v>-4.9999999999999822E-2</v>
      </c>
      <c r="H158" s="19">
        <v>2.528125881871901E-3</v>
      </c>
    </row>
    <row r="159" spans="1:8">
      <c r="A159" s="18" t="s">
        <v>797</v>
      </c>
      <c r="B159" s="19">
        <v>3.6</v>
      </c>
      <c r="C159" s="19">
        <v>0.92071906526186842</v>
      </c>
      <c r="F159" s="18" t="s">
        <v>871</v>
      </c>
      <c r="G159" s="19">
        <v>4.9999999999999822E-2</v>
      </c>
      <c r="H159" s="19">
        <v>-1.2530072008425819E-2</v>
      </c>
    </row>
    <row r="160" spans="1:8">
      <c r="A160" s="18" t="s">
        <v>802</v>
      </c>
      <c r="B160" s="19">
        <v>3.56</v>
      </c>
      <c r="C160" s="19">
        <v>0.93496156723867019</v>
      </c>
      <c r="F160" s="18" t="s">
        <v>866</v>
      </c>
      <c r="G160" s="19">
        <v>-4.0000000000000036E-2</v>
      </c>
      <c r="H160" s="19">
        <v>4.7152387135401597E-2</v>
      </c>
    </row>
    <row r="161" spans="1:8">
      <c r="A161" s="18" t="s">
        <v>807</v>
      </c>
      <c r="B161" s="19">
        <v>3.5949999999999998</v>
      </c>
      <c r="C161" s="19">
        <v>0.96741087135837933</v>
      </c>
      <c r="F161" s="18" t="s">
        <v>861</v>
      </c>
      <c r="G161" s="19">
        <v>3.5000000000000586E-2</v>
      </c>
      <c r="H161" s="19">
        <v>-2.9210476155082876E-2</v>
      </c>
    </row>
    <row r="162" spans="1:8">
      <c r="A162" s="18" t="s">
        <v>812</v>
      </c>
      <c r="B162" s="19">
        <v>3.55</v>
      </c>
      <c r="C162" s="19">
        <v>0.94210798536828388</v>
      </c>
      <c r="F162" s="18" t="s">
        <v>856</v>
      </c>
      <c r="G162" s="19">
        <v>1.9999999999999574E-2</v>
      </c>
      <c r="H162" s="19">
        <v>2.4092884957021443E-2</v>
      </c>
    </row>
    <row r="163" spans="1:8">
      <c r="A163" s="18" t="s">
        <v>817</v>
      </c>
      <c r="B163" s="19">
        <v>3.58</v>
      </c>
      <c r="C163" s="19">
        <v>0.90490640481897167</v>
      </c>
      <c r="F163" s="18" t="s">
        <v>851</v>
      </c>
      <c r="G163" s="19">
        <v>-1.5000000000000124E-2</v>
      </c>
      <c r="H163" s="19">
        <v>2.4456070852163059E-2</v>
      </c>
    </row>
    <row r="164" spans="1:8">
      <c r="A164" s="18" t="s">
        <v>822</v>
      </c>
      <c r="B164" s="19">
        <v>3.6999999999999997</v>
      </c>
      <c r="C164" s="19">
        <v>0.8617891383925933</v>
      </c>
      <c r="F164" s="18" t="s">
        <v>846</v>
      </c>
      <c r="G164" s="19">
        <v>0.16999999999999993</v>
      </c>
      <c r="H164" s="19">
        <v>-2.1840425541437725E-2</v>
      </c>
    </row>
    <row r="165" spans="1:8">
      <c r="A165" s="18" t="s">
        <v>827</v>
      </c>
      <c r="B165" s="19">
        <v>3.75</v>
      </c>
      <c r="C165" s="19">
        <v>0.852646747577682</v>
      </c>
      <c r="F165" s="18" t="s">
        <v>841</v>
      </c>
      <c r="G165" s="19">
        <v>0</v>
      </c>
      <c r="H165" s="19">
        <v>-5.3468289754485809E-2</v>
      </c>
    </row>
    <row r="166" spans="1:8">
      <c r="A166" s="18" t="s">
        <v>832</v>
      </c>
      <c r="B166" s="19">
        <v>3.7649999999999997</v>
      </c>
      <c r="C166" s="19">
        <v>0.87408042789640161</v>
      </c>
      <c r="F166" s="18" t="s">
        <v>836</v>
      </c>
      <c r="G166" s="19">
        <v>5.0000000000003375E-3</v>
      </c>
      <c r="H166" s="19">
        <v>3.4011064223236076E-2</v>
      </c>
    </row>
    <row r="167" spans="1:8">
      <c r="A167" s="18" t="s">
        <v>836</v>
      </c>
      <c r="B167" s="19">
        <v>3.77</v>
      </c>
      <c r="C167" s="19">
        <v>0.90809149211963769</v>
      </c>
      <c r="F167" s="18" t="s">
        <v>832</v>
      </c>
      <c r="G167" s="19">
        <v>1.499999999999968E-2</v>
      </c>
      <c r="H167" s="19">
        <v>2.1433680318719617E-2</v>
      </c>
    </row>
    <row r="168" spans="1:8">
      <c r="A168" s="18" t="s">
        <v>841</v>
      </c>
      <c r="B168" s="19">
        <v>3.77</v>
      </c>
      <c r="C168" s="19">
        <v>0.85462320236515188</v>
      </c>
      <c r="F168" s="18" t="s">
        <v>827</v>
      </c>
      <c r="G168" s="19">
        <v>5.0000000000000266E-2</v>
      </c>
      <c r="H168" s="19">
        <v>-9.1423908149113053E-3</v>
      </c>
    </row>
    <row r="169" spans="1:8">
      <c r="A169" s="18" t="s">
        <v>846</v>
      </c>
      <c r="B169" s="19">
        <v>3.94</v>
      </c>
      <c r="C169" s="19">
        <v>0.83278277682371415</v>
      </c>
      <c r="F169" s="18" t="s">
        <v>822</v>
      </c>
      <c r="G169" s="19">
        <v>0.11999999999999966</v>
      </c>
      <c r="H169" s="19">
        <v>-4.3117266426378364E-2</v>
      </c>
    </row>
    <row r="170" spans="1:8">
      <c r="A170" s="18" t="s">
        <v>851</v>
      </c>
      <c r="B170" s="19">
        <v>3.9249999999999998</v>
      </c>
      <c r="C170" s="19">
        <v>0.85723884767587721</v>
      </c>
      <c r="F170" s="18" t="s">
        <v>817</v>
      </c>
      <c r="G170" s="19">
        <v>3.0000000000000249E-2</v>
      </c>
      <c r="H170" s="19">
        <v>-3.7201580549312219E-2</v>
      </c>
    </row>
    <row r="171" spans="1:8">
      <c r="A171" s="18" t="s">
        <v>856</v>
      </c>
      <c r="B171" s="19">
        <v>3.9449999999999994</v>
      </c>
      <c r="C171" s="19">
        <v>0.88133173263289866</v>
      </c>
      <c r="F171" s="18" t="s">
        <v>812</v>
      </c>
      <c r="G171" s="19">
        <v>-4.4999999999999929E-2</v>
      </c>
      <c r="H171" s="19">
        <v>-2.5302885990095447E-2</v>
      </c>
    </row>
    <row r="172" spans="1:8">
      <c r="A172" s="18" t="s">
        <v>861</v>
      </c>
      <c r="B172" s="19">
        <v>3.98</v>
      </c>
      <c r="C172" s="19">
        <v>0.85212125647781578</v>
      </c>
      <c r="F172" s="18" t="s">
        <v>807</v>
      </c>
      <c r="G172" s="19">
        <v>3.4999999999999698E-2</v>
      </c>
      <c r="H172" s="19">
        <v>3.2449304119709144E-2</v>
      </c>
    </row>
    <row r="173" spans="1:8">
      <c r="A173" s="18" t="s">
        <v>866</v>
      </c>
      <c r="B173" s="19">
        <v>3.94</v>
      </c>
      <c r="C173" s="19">
        <v>0.89927364361321738</v>
      </c>
      <c r="F173" s="18" t="s">
        <v>802</v>
      </c>
      <c r="G173" s="19">
        <v>-4.0000000000000036E-2</v>
      </c>
      <c r="H173" s="19">
        <v>1.4242501976801769E-2</v>
      </c>
    </row>
    <row r="174" spans="1:8">
      <c r="A174" s="18" t="s">
        <v>871</v>
      </c>
      <c r="B174" s="19">
        <v>3.9899999999999998</v>
      </c>
      <c r="C174" s="19">
        <v>0.88674357160479156</v>
      </c>
      <c r="F174" s="18" t="s">
        <v>797</v>
      </c>
      <c r="G174" s="19">
        <v>1.0000000000000231E-2</v>
      </c>
      <c r="H174" s="19">
        <v>-6.7099163604633638E-3</v>
      </c>
    </row>
    <row r="175" spans="1:8">
      <c r="A175" s="18" t="s">
        <v>876</v>
      </c>
      <c r="B175" s="19">
        <v>3.94</v>
      </c>
      <c r="C175" s="19">
        <v>0.88927169748666346</v>
      </c>
      <c r="F175" s="18" t="s">
        <v>792</v>
      </c>
      <c r="G175" s="19">
        <v>-8.9999999999999858E-2</v>
      </c>
      <c r="H175" s="19">
        <v>3.9067306347228214E-2</v>
      </c>
    </row>
    <row r="176" spans="1:8">
      <c r="A176" s="18" t="s">
        <v>881</v>
      </c>
      <c r="B176" s="19">
        <v>3.88</v>
      </c>
      <c r="C176" s="19">
        <v>0.88950843438376603</v>
      </c>
      <c r="F176" s="18" t="s">
        <v>774</v>
      </c>
      <c r="G176" s="19">
        <v>-8.0000000000000071E-2</v>
      </c>
      <c r="H176" s="19">
        <v>-7.1799748182201917E-3</v>
      </c>
    </row>
    <row r="177" spans="1:8">
      <c r="A177" s="18" t="s">
        <v>886</v>
      </c>
      <c r="B177" s="19">
        <v>3.81</v>
      </c>
      <c r="C177" s="19">
        <v>0.85718384954390769</v>
      </c>
      <c r="F177" s="18" t="s">
        <v>769</v>
      </c>
      <c r="G177" s="19">
        <v>0.10999999999999988</v>
      </c>
      <c r="H177" s="19">
        <v>3.5703880667461441E-2</v>
      </c>
    </row>
    <row r="178" spans="1:8">
      <c r="A178" s="18" t="s">
        <v>891</v>
      </c>
      <c r="B178" s="19">
        <v>3.84</v>
      </c>
      <c r="C178" s="19">
        <v>0.91068756970760179</v>
      </c>
      <c r="F178" s="18" t="s">
        <v>761</v>
      </c>
      <c r="G178" s="19">
        <v>-4.9999999999999822E-2</v>
      </c>
      <c r="H178" s="19">
        <v>-4.8620875157359134E-2</v>
      </c>
    </row>
    <row r="179" spans="1:8">
      <c r="A179" s="18" t="s">
        <v>896</v>
      </c>
      <c r="B179" s="19">
        <v>3.83</v>
      </c>
      <c r="C179" s="19">
        <v>0.89217615693167218</v>
      </c>
      <c r="F179" s="18" t="s">
        <v>756</v>
      </c>
      <c r="G179" s="19">
        <v>4.0000000000000036E-2</v>
      </c>
      <c r="H179" s="19">
        <v>3.2729826256769456E-2</v>
      </c>
    </row>
    <row r="180" spans="1:8">
      <c r="A180" s="18" t="s">
        <v>901</v>
      </c>
      <c r="B180" s="19">
        <v>3.7399999999999998</v>
      </c>
      <c r="C180" s="19">
        <v>0.87914752064901158</v>
      </c>
      <c r="F180" s="18" t="s">
        <v>751</v>
      </c>
      <c r="G180" s="19">
        <v>6.999999999999984E-2</v>
      </c>
      <c r="H180" s="19">
        <v>-3.3556807616253792E-2</v>
      </c>
    </row>
    <row r="181" spans="1:8">
      <c r="A181" s="18" t="s">
        <v>906</v>
      </c>
      <c r="B181" s="19">
        <v>3.79</v>
      </c>
      <c r="C181" s="19">
        <v>0.86967053775170999</v>
      </c>
      <c r="F181" s="18" t="s">
        <v>747</v>
      </c>
      <c r="G181" s="19">
        <v>7.5000000000000178E-2</v>
      </c>
      <c r="H181" s="19">
        <v>-0.10189752633130356</v>
      </c>
    </row>
    <row r="182" spans="1:8">
      <c r="A182" s="18" t="s">
        <v>910</v>
      </c>
      <c r="B182" s="19">
        <v>3.8</v>
      </c>
      <c r="C182" s="19">
        <v>0.89873051853940211</v>
      </c>
      <c r="F182" s="18" t="s">
        <v>164</v>
      </c>
      <c r="G182" s="19">
        <v>-4.5000000000000373E-2</v>
      </c>
      <c r="H182" s="19">
        <v>2.6283023103494951E-2</v>
      </c>
    </row>
    <row r="183" spans="1:8">
      <c r="A183" s="18" t="s">
        <v>915</v>
      </c>
      <c r="B183" s="19">
        <v>3.81</v>
      </c>
      <c r="C183" s="19">
        <v>0.86198685751409831</v>
      </c>
      <c r="F183" s="18" t="s">
        <v>163</v>
      </c>
      <c r="G183" s="19">
        <v>5.0000000000003375E-3</v>
      </c>
      <c r="H183" s="19">
        <v>-2.8431060654417806E-2</v>
      </c>
    </row>
    <row r="184" spans="1:8">
      <c r="A184" s="18" t="s">
        <v>920</v>
      </c>
      <c r="B184" s="19">
        <v>3.7849999999999997</v>
      </c>
      <c r="C184" s="19">
        <v>0.9092593641497877</v>
      </c>
      <c r="F184" s="18" t="s">
        <v>162</v>
      </c>
      <c r="G184" s="19">
        <v>-5.0000000000003375E-3</v>
      </c>
      <c r="H184" s="19">
        <v>5.0921216654950641E-2</v>
      </c>
    </row>
    <row r="185" spans="1:8">
      <c r="A185" s="18" t="s">
        <v>925</v>
      </c>
      <c r="B185" s="19">
        <v>3.75</v>
      </c>
      <c r="C185" s="19">
        <v>0.90219892916849176</v>
      </c>
      <c r="F185" s="18" t="s">
        <v>161</v>
      </c>
      <c r="G185" s="19">
        <v>-6.999999999999984E-2</v>
      </c>
      <c r="H185" s="19">
        <v>1.3140726006696024E-2</v>
      </c>
    </row>
    <row r="186" spans="1:8">
      <c r="A186" s="18" t="s">
        <v>930</v>
      </c>
      <c r="B186" s="19">
        <v>3.6599999999999997</v>
      </c>
      <c r="C186" s="19">
        <v>0.8982800501721897</v>
      </c>
      <c r="F186" s="18" t="s">
        <v>160</v>
      </c>
      <c r="G186" s="19">
        <v>-0.14000000000000012</v>
      </c>
      <c r="H186" s="19">
        <v>3.8790936563230627E-2</v>
      </c>
    </row>
    <row r="187" spans="1:8">
      <c r="A187" s="18" t="s">
        <v>934</v>
      </c>
      <c r="B187" s="19">
        <v>3.7199999999999998</v>
      </c>
      <c r="C187" s="19">
        <v>0.93781489728944178</v>
      </c>
      <c r="F187" s="18" t="s">
        <v>985</v>
      </c>
      <c r="G187" s="19">
        <v>4.0000000000000036E-2</v>
      </c>
      <c r="H187" s="19">
        <v>4.8016553768753134E-2</v>
      </c>
    </row>
    <row r="188" spans="1:8">
      <c r="A188" s="18" t="s">
        <v>939</v>
      </c>
      <c r="B188" s="19">
        <v>3.69</v>
      </c>
      <c r="C188" s="19">
        <v>0.94665395599520386</v>
      </c>
      <c r="F188" s="18" t="s">
        <v>719</v>
      </c>
      <c r="G188" s="19">
        <v>3.0000000000000249E-2</v>
      </c>
      <c r="H188" s="19">
        <v>-1.4020990550285717E-2</v>
      </c>
    </row>
    <row r="189" spans="1:8">
      <c r="A189" s="18" t="s">
        <v>944</v>
      </c>
      <c r="B189" s="19">
        <v>3.6599999999999997</v>
      </c>
      <c r="C189" s="19">
        <v>0.90714148420835139</v>
      </c>
      <c r="F189" s="18" t="s">
        <v>157</v>
      </c>
      <c r="G189" s="19">
        <v>-0.10500000000000043</v>
      </c>
      <c r="H189" s="19">
        <v>-2.7830391003344612E-2</v>
      </c>
    </row>
    <row r="190" spans="1:8">
      <c r="A190" s="18" t="s">
        <v>949</v>
      </c>
      <c r="B190" s="19">
        <v>3.77</v>
      </c>
      <c r="C190" s="19">
        <v>0.88642613417952409</v>
      </c>
      <c r="F190" s="18" t="s">
        <v>156</v>
      </c>
      <c r="G190" s="19">
        <v>4.0000000000000036E-2</v>
      </c>
      <c r="H190" s="19">
        <v>3.0643791231621975E-2</v>
      </c>
    </row>
    <row r="191" spans="1:8">
      <c r="A191" s="18" t="s">
        <v>953</v>
      </c>
      <c r="B191" s="19">
        <v>3.88</v>
      </c>
      <c r="C191" s="19">
        <v>0.87623495416439257</v>
      </c>
      <c r="F191" s="18" t="s">
        <v>155</v>
      </c>
      <c r="G191" s="19">
        <v>-8.0000000000000071E-2</v>
      </c>
      <c r="H191" s="19">
        <v>-3.4594806635166009E-2</v>
      </c>
    </row>
    <row r="192" spans="1:8">
      <c r="A192" s="18" t="s">
        <v>958</v>
      </c>
      <c r="B192" s="19">
        <v>3.87</v>
      </c>
      <c r="C192" s="19">
        <v>0.86936456480838231</v>
      </c>
      <c r="F192" s="18" t="s">
        <v>984</v>
      </c>
      <c r="G192" s="19">
        <v>-2.0000000000000018E-2</v>
      </c>
      <c r="H192" s="19">
        <v>4.1805266828916388E-2</v>
      </c>
    </row>
    <row r="193" spans="1:8">
      <c r="A193" s="18" t="s">
        <v>986</v>
      </c>
      <c r="B193" s="19">
        <v>3.875</v>
      </c>
      <c r="C193" s="19">
        <v>0.90387693137009562</v>
      </c>
      <c r="F193" s="18" t="s">
        <v>153</v>
      </c>
      <c r="G193" s="19">
        <v>-1.9999999999999574E-2</v>
      </c>
      <c r="H193" s="19">
        <v>1.3007061578107937E-2</v>
      </c>
    </row>
    <row r="194" spans="1:8">
      <c r="A194" s="18" t="s">
        <v>966</v>
      </c>
      <c r="B194" s="19">
        <v>3.83</v>
      </c>
      <c r="C194" s="19">
        <v>0.899610927819392</v>
      </c>
      <c r="F194" s="18" t="s">
        <v>152</v>
      </c>
      <c r="G194" s="19">
        <v>-9.9999999999997868E-3</v>
      </c>
      <c r="H194" s="19">
        <v>-1.4723382008365427E-2</v>
      </c>
    </row>
    <row r="195" spans="1:8">
      <c r="A195" s="18" t="s">
        <v>971</v>
      </c>
      <c r="B195" s="19">
        <v>3.85</v>
      </c>
      <c r="C195" s="19">
        <v>0.86312978072764812</v>
      </c>
      <c r="F195" s="18" t="s">
        <v>151</v>
      </c>
      <c r="G195" s="19">
        <v>3.9999999999999591E-2</v>
      </c>
      <c r="H195" s="19">
        <v>-1.5419225252286672E-2</v>
      </c>
    </row>
    <row r="196" spans="1:8">
      <c r="A196" s="18" t="s">
        <v>976</v>
      </c>
      <c r="B196" s="19">
        <v>3.87</v>
      </c>
      <c r="C196" s="19">
        <v>0.87298623173157397</v>
      </c>
      <c r="F196" s="18" t="s">
        <v>150</v>
      </c>
      <c r="G196" s="19">
        <v>6.0000000000000053E-2</v>
      </c>
      <c r="H196" s="19">
        <v>-1.1517117320877901E-2</v>
      </c>
    </row>
    <row r="197" spans="1:8">
      <c r="A197" s="18" t="s">
        <v>987</v>
      </c>
      <c r="B197" s="19">
        <v>3.86</v>
      </c>
      <c r="C197" s="19">
        <v>0.86144301748626795</v>
      </c>
      <c r="F197" s="18" t="s">
        <v>149</v>
      </c>
      <c r="G197" s="19">
        <v>-5.0000000000000266E-2</v>
      </c>
      <c r="H197" s="19">
        <v>-1.6695337164583268E-2</v>
      </c>
    </row>
    <row r="198" spans="1:8">
      <c r="A198" s="18" t="s">
        <v>991</v>
      </c>
      <c r="B198" s="19">
        <v>3.9099999999999997</v>
      </c>
      <c r="C198" s="19">
        <v>0.875902626333664</v>
      </c>
      <c r="F198" s="18" t="s">
        <v>148</v>
      </c>
      <c r="G198" s="19">
        <v>-0.14999999999999991</v>
      </c>
      <c r="H198" s="19">
        <v>9.6078656952731656E-3</v>
      </c>
    </row>
    <row r="199" spans="1:8">
      <c r="A199" s="18" t="s">
        <v>995</v>
      </c>
      <c r="B199" s="19">
        <v>3.87</v>
      </c>
      <c r="C199" s="19">
        <v>0.88815502678196001</v>
      </c>
      <c r="F199" s="18" t="s">
        <v>147</v>
      </c>
      <c r="G199" s="19">
        <v>-4.4999999999999929E-2</v>
      </c>
      <c r="H199" s="19">
        <v>4.8440855573574026E-2</v>
      </c>
    </row>
    <row r="200" spans="1:8">
      <c r="A200" s="18" t="s">
        <v>1000</v>
      </c>
      <c r="B200" s="19">
        <v>3.82</v>
      </c>
      <c r="C200" s="19">
        <v>0.94989804181903592</v>
      </c>
      <c r="F200" s="18" t="s">
        <v>146</v>
      </c>
      <c r="G200" s="19">
        <v>-3.5000000000000142E-2</v>
      </c>
      <c r="H200" s="19">
        <v>2.9028577473623862E-2</v>
      </c>
    </row>
    <row r="201" spans="1:8">
      <c r="A201" s="18" t="s">
        <v>1004</v>
      </c>
      <c r="B201" s="19">
        <v>3.71</v>
      </c>
      <c r="C201" s="19">
        <v>0.92584729351585482</v>
      </c>
      <c r="F201" s="18" t="s">
        <v>145</v>
      </c>
      <c r="G201" s="19">
        <v>-3.0000000000000249E-2</v>
      </c>
      <c r="H201" s="19">
        <v>-1.4274107511340617E-3</v>
      </c>
    </row>
    <row r="202" spans="1:8">
      <c r="A202" s="18" t="s">
        <v>1009</v>
      </c>
      <c r="B202" s="19">
        <v>3.69</v>
      </c>
      <c r="C202" s="19">
        <v>0.93208019459837388</v>
      </c>
      <c r="F202" s="18" t="s">
        <v>144</v>
      </c>
      <c r="G202" s="19">
        <v>0.11000000000000032</v>
      </c>
      <c r="H202" s="19">
        <v>1.9362092086152138E-2</v>
      </c>
    </row>
    <row r="203" spans="1:8">
      <c r="A203" s="18" t="s">
        <v>1014</v>
      </c>
      <c r="B203" s="19">
        <v>3.62</v>
      </c>
      <c r="C203" s="19">
        <v>0.96099133410500004</v>
      </c>
      <c r="F203" s="18" t="s">
        <v>143</v>
      </c>
      <c r="G203" s="19">
        <v>2.0000000000000462E-2</v>
      </c>
      <c r="H203" s="19">
        <v>-6.3884014026703628E-2</v>
      </c>
    </row>
    <row r="204" spans="1:8">
      <c r="A204" s="18" t="s">
        <v>1019</v>
      </c>
      <c r="B204" s="19">
        <v>3.5249999999999999</v>
      </c>
      <c r="C204" s="19">
        <v>0.9755902944607433</v>
      </c>
      <c r="F204" s="18" t="s">
        <v>142</v>
      </c>
      <c r="G204" s="19">
        <v>0</v>
      </c>
      <c r="H204" s="19">
        <v>3.0572452667806171E-2</v>
      </c>
    </row>
    <row r="205" spans="1:8">
      <c r="A205" s="18" t="s">
        <v>1023</v>
      </c>
      <c r="B205" s="19">
        <v>3.5249999999999999</v>
      </c>
      <c r="C205" s="19">
        <v>0.98749010289840466</v>
      </c>
      <c r="F205" s="18" t="s">
        <v>141</v>
      </c>
      <c r="G205" s="19">
        <v>0</v>
      </c>
      <c r="H205" s="19">
        <v>9.3529953362581075E-3</v>
      </c>
    </row>
    <row r="206" spans="1:8">
      <c r="A206" s="18" t="s">
        <v>1028</v>
      </c>
      <c r="B206" s="19">
        <v>3.52</v>
      </c>
      <c r="C206" s="19">
        <v>0.98090021845741004</v>
      </c>
      <c r="F206" s="18" t="s">
        <v>140</v>
      </c>
      <c r="G206" s="19">
        <v>-4.5000000000000817E-2</v>
      </c>
      <c r="H206" s="19">
        <v>-1.1366560826386873E-2</v>
      </c>
    </row>
    <row r="207" spans="1:8">
      <c r="A207" s="18" t="s">
        <v>1033</v>
      </c>
      <c r="B207" s="19">
        <v>3.5150000000000001</v>
      </c>
      <c r="C207" s="19">
        <v>0.94898560229812201</v>
      </c>
      <c r="F207" s="18" t="s">
        <v>139</v>
      </c>
      <c r="G207" s="19">
        <v>-4.4999999999999041E-2</v>
      </c>
      <c r="H207" s="19">
        <v>8.2161416576109758E-3</v>
      </c>
    </row>
    <row r="208" spans="1:8">
      <c r="A208" s="18" t="s">
        <v>1038</v>
      </c>
      <c r="B208" s="19">
        <v>3.5550000000000002</v>
      </c>
      <c r="C208" s="19">
        <v>0.90289359115288592</v>
      </c>
      <c r="F208" s="18" t="s">
        <v>138</v>
      </c>
      <c r="G208" s="19">
        <v>4.4999999999999041E-2</v>
      </c>
      <c r="H208" s="19">
        <v>3.0020777715549229E-2</v>
      </c>
    </row>
    <row r="209" spans="1:8">
      <c r="A209" s="18" t="s">
        <v>1043</v>
      </c>
      <c r="B209" s="19">
        <v>3.605</v>
      </c>
      <c r="C209" s="19">
        <v>0.87942559518201602</v>
      </c>
      <c r="F209" s="18" t="s">
        <v>137</v>
      </c>
      <c r="G209" s="19">
        <v>-9.9999999999997868E-3</v>
      </c>
      <c r="H209" s="19">
        <v>-4.5525403937607845E-2</v>
      </c>
    </row>
    <row r="210" spans="1:8">
      <c r="A210" s="18" t="s">
        <v>1048</v>
      </c>
      <c r="B210" s="19">
        <v>3.585</v>
      </c>
      <c r="C210" s="19">
        <v>0.90917936314590175</v>
      </c>
      <c r="F210" s="18" t="s">
        <v>136</v>
      </c>
      <c r="G210" s="19">
        <v>0</v>
      </c>
      <c r="H210" s="19">
        <v>3.5577487850185996E-2</v>
      </c>
    </row>
    <row r="211" spans="1:8">
      <c r="A211" s="18" t="s">
        <v>1052</v>
      </c>
      <c r="B211" s="19">
        <v>3.585</v>
      </c>
      <c r="C211" s="19">
        <v>0.94850784650315312</v>
      </c>
      <c r="F211" s="18" t="s">
        <v>135</v>
      </c>
      <c r="G211" s="19">
        <v>-4.4999999999999929E-2</v>
      </c>
      <c r="H211" s="19">
        <v>-1.1263146021996739E-2</v>
      </c>
    </row>
    <row r="212" spans="1:8">
      <c r="A212" s="18" t="s">
        <v>1057</v>
      </c>
      <c r="B212" s="19">
        <v>3.4649999999999999</v>
      </c>
      <c r="C212" s="19">
        <v>0.94230167496133888</v>
      </c>
      <c r="F212" s="18" t="s">
        <v>134</v>
      </c>
      <c r="G212" s="19">
        <v>8.0000000000000071E-2</v>
      </c>
      <c r="H212" s="19">
        <v>2.4447674433158983E-2</v>
      </c>
    </row>
    <row r="213" spans="1:8">
      <c r="A213" s="18" t="s">
        <v>1062</v>
      </c>
      <c r="B213" s="19">
        <v>3.4550000000000001</v>
      </c>
      <c r="C213" s="19">
        <v>0.96247243810223182</v>
      </c>
      <c r="F213" s="18" t="s">
        <v>133</v>
      </c>
      <c r="G213" s="19">
        <v>-1.9999999999999574E-2</v>
      </c>
      <c r="H213" s="19">
        <v>1.2519428020127954E-2</v>
      </c>
    </row>
    <row r="214" spans="1:8">
      <c r="A214" s="18" t="s">
        <v>1067</v>
      </c>
      <c r="B214" s="19">
        <v>3.4899999999999998</v>
      </c>
      <c r="C214" s="19">
        <v>0.94834769078847136</v>
      </c>
      <c r="F214" s="18" t="s">
        <v>132</v>
      </c>
      <c r="G214" s="19">
        <v>-5.5000000000000604E-2</v>
      </c>
      <c r="H214" s="19">
        <v>-2.5632263055054505E-2</v>
      </c>
    </row>
    <row r="215" spans="1:8">
      <c r="A215" s="18" t="s">
        <v>1072</v>
      </c>
      <c r="B215" s="19">
        <v>3.56</v>
      </c>
      <c r="C215" s="19">
        <v>0.90735927911730174</v>
      </c>
      <c r="F215" s="18" t="s">
        <v>131</v>
      </c>
      <c r="G215" s="19">
        <v>-3.0000000000000249E-2</v>
      </c>
      <c r="H215" s="19">
        <v>-2.1830811245084014E-2</v>
      </c>
    </row>
    <row r="216" spans="1:8">
      <c r="A216" s="18" t="s">
        <v>1077</v>
      </c>
      <c r="B216" s="19">
        <v>3.51</v>
      </c>
      <c r="C216" s="19">
        <v>0.93901473766328758</v>
      </c>
      <c r="F216" s="18" t="s">
        <v>130</v>
      </c>
      <c r="G216" s="19">
        <v>8.5000000000000853E-2</v>
      </c>
      <c r="H216" s="19">
        <v>1.7996847946860406E-2</v>
      </c>
    </row>
    <row r="217" spans="1:8">
      <c r="A217" s="18" t="s">
        <v>1082</v>
      </c>
      <c r="B217" s="19">
        <v>3.4449999999999998</v>
      </c>
      <c r="C217" s="19">
        <v>0.93139308523528408</v>
      </c>
      <c r="F217" s="18" t="s">
        <v>129</v>
      </c>
      <c r="G217" s="19">
        <v>-5.0000000000007816E-3</v>
      </c>
      <c r="H217" s="19">
        <v>-2.6497987701573855E-2</v>
      </c>
    </row>
    <row r="218" spans="1:8">
      <c r="A218" s="18" t="s">
        <v>1087</v>
      </c>
      <c r="B218" s="19">
        <v>3.48</v>
      </c>
      <c r="C218" s="19">
        <v>0.93137135924501591</v>
      </c>
      <c r="F218" s="18" t="s">
        <v>128</v>
      </c>
      <c r="G218" s="19">
        <v>-1.9999999999999574E-2</v>
      </c>
      <c r="H218" s="19">
        <v>4.621511468835493E-3</v>
      </c>
    </row>
    <row r="219" spans="1:8">
      <c r="A219" s="18" t="s">
        <v>1092</v>
      </c>
      <c r="B219" s="19">
        <v>3.5150000000000001</v>
      </c>
      <c r="C219" s="19">
        <v>0.89462225309558807</v>
      </c>
      <c r="F219" s="18" t="s">
        <v>127</v>
      </c>
      <c r="G219" s="19">
        <v>-6.0000000000000497E-2</v>
      </c>
      <c r="H219" s="19">
        <v>-7.7785001467902681E-3</v>
      </c>
    </row>
    <row r="220" spans="1:8">
      <c r="A220" s="18" t="s">
        <v>1096</v>
      </c>
      <c r="B220" s="19">
        <v>3.5350000000000001</v>
      </c>
      <c r="C220" s="19">
        <v>0.93519856292601267</v>
      </c>
      <c r="F220" s="18" t="s">
        <v>126</v>
      </c>
      <c r="G220" s="19">
        <v>-9.9999999999997868E-3</v>
      </c>
      <c r="H220" s="19">
        <v>8.4679503274944778E-3</v>
      </c>
    </row>
    <row r="221" spans="1:8">
      <c r="A221" s="18" t="s">
        <v>1101</v>
      </c>
      <c r="B221" s="19">
        <v>3.4750000000000001</v>
      </c>
      <c r="C221" s="19">
        <v>0.95218299419774954</v>
      </c>
      <c r="F221" s="18" t="s">
        <v>125</v>
      </c>
      <c r="G221" s="19">
        <v>-0.10499999999999954</v>
      </c>
      <c r="H221" s="19">
        <v>-2.3889735080817598E-2</v>
      </c>
    </row>
    <row r="222" spans="1:8">
      <c r="A222" s="18" t="s">
        <v>1106</v>
      </c>
      <c r="B222" s="19">
        <v>3.415</v>
      </c>
      <c r="C222" s="19">
        <v>0.94852570352587806</v>
      </c>
      <c r="F222" s="18" t="s">
        <v>124</v>
      </c>
      <c r="G222" s="19">
        <v>-1.5000000000000568E-2</v>
      </c>
      <c r="H222" s="19">
        <v>3.6816663511710424E-2</v>
      </c>
    </row>
    <row r="223" spans="1:8">
      <c r="A223" s="18" t="s">
        <v>1111</v>
      </c>
      <c r="B223" s="19">
        <v>3.46</v>
      </c>
      <c r="C223" s="19">
        <v>0.97208037975313788</v>
      </c>
      <c r="F223" s="18" t="s">
        <v>123</v>
      </c>
      <c r="G223" s="19">
        <v>3.500000000000103E-2</v>
      </c>
      <c r="H223" s="19">
        <v>-3.6895271762006132E-2</v>
      </c>
    </row>
    <row r="224" spans="1:8">
      <c r="A224" s="18" t="s">
        <v>1116</v>
      </c>
      <c r="B224" s="19">
        <v>3.355</v>
      </c>
      <c r="C224" s="19">
        <v>0.99018948820538188</v>
      </c>
      <c r="F224" s="18" t="s">
        <v>122</v>
      </c>
      <c r="G224" s="19">
        <v>-7.0000000000000284E-2</v>
      </c>
      <c r="H224" s="19">
        <v>9.1408869663434089E-3</v>
      </c>
    </row>
    <row r="225" spans="1:8">
      <c r="A225" s="18" t="s">
        <v>1120</v>
      </c>
      <c r="B225" s="19">
        <v>3.2850000000000001</v>
      </c>
      <c r="C225" s="19">
        <v>1.0735658724926154</v>
      </c>
      <c r="F225" s="18" t="s">
        <v>121</v>
      </c>
      <c r="G225" s="19">
        <v>-7.0000000000000284E-2</v>
      </c>
      <c r="H225" s="19">
        <v>-2.8979306808500027E-2</v>
      </c>
    </row>
    <row r="226" spans="1:8">
      <c r="A226" s="18" t="s">
        <v>1125</v>
      </c>
      <c r="B226" s="19">
        <v>3.2949999999999999</v>
      </c>
      <c r="C226" s="19">
        <v>1.037797354015682</v>
      </c>
      <c r="F226" s="18" t="s">
        <v>120</v>
      </c>
      <c r="G226" s="19">
        <v>3.4999999999999254E-2</v>
      </c>
      <c r="H226" s="19">
        <v>3.5495259894141817E-2</v>
      </c>
    </row>
    <row r="227" spans="1:8">
      <c r="A227" s="18" t="s">
        <v>1130</v>
      </c>
      <c r="B227" s="19">
        <v>3.3250000000000002</v>
      </c>
      <c r="C227" s="19">
        <v>0.98469006528880598</v>
      </c>
      <c r="F227" s="18" t="s">
        <v>119</v>
      </c>
      <c r="G227" s="19">
        <v>8.0000000000000071E-2</v>
      </c>
      <c r="H227" s="19">
        <v>2.6297027333629597E-2</v>
      </c>
    </row>
    <row r="228" spans="1:8">
      <c r="A228" s="18" t="s">
        <v>1135</v>
      </c>
      <c r="B228" s="19">
        <v>3.355</v>
      </c>
      <c r="C228" s="19">
        <v>0.98723561935022808</v>
      </c>
      <c r="F228" s="18" t="s">
        <v>118</v>
      </c>
      <c r="G228" s="19">
        <v>-4.9999999999999822E-2</v>
      </c>
      <c r="H228" s="19">
        <v>-1.2389960288145652E-2</v>
      </c>
    </row>
    <row r="229" spans="1:8">
      <c r="A229" s="18" t="s">
        <v>1140</v>
      </c>
      <c r="B229" s="19">
        <v>3.3050000000000002</v>
      </c>
      <c r="C229" s="19">
        <v>0.99665005488915215</v>
      </c>
      <c r="F229" s="18" t="s">
        <v>117</v>
      </c>
      <c r="G229" s="19">
        <v>6.5000000000000391E-2</v>
      </c>
      <c r="H229" s="19">
        <v>-9.087769227671405E-3</v>
      </c>
    </row>
    <row r="230" spans="1:8">
      <c r="A230" s="18" t="s">
        <v>1145</v>
      </c>
      <c r="B230" s="19">
        <v>3.3250000000000002</v>
      </c>
      <c r="C230" s="19">
        <v>0.9945243470140821</v>
      </c>
      <c r="F230" s="18" t="s">
        <v>116</v>
      </c>
      <c r="G230" s="19">
        <v>-8.9999999999999858E-2</v>
      </c>
      <c r="H230" s="19">
        <v>-4.6170856830296092E-2</v>
      </c>
    </row>
    <row r="231" spans="1:8">
      <c r="A231" s="18" t="s">
        <v>1150</v>
      </c>
      <c r="B231" s="19">
        <v>3.3050000000000002</v>
      </c>
      <c r="C231" s="19">
        <v>0.96204881830722577</v>
      </c>
      <c r="F231" s="18" t="s">
        <v>115</v>
      </c>
      <c r="G231" s="19">
        <v>4.0000000000000036E-2</v>
      </c>
      <c r="H231" s="19">
        <v>4.4324944305945468E-2</v>
      </c>
    </row>
    <row r="232" spans="1:8">
      <c r="A232" s="18" t="s">
        <v>1155</v>
      </c>
      <c r="B232" s="19">
        <v>3.33</v>
      </c>
      <c r="C232" s="19">
        <v>0.98171953969376968</v>
      </c>
      <c r="F232" s="18" t="s">
        <v>114</v>
      </c>
      <c r="G232" s="19">
        <v>4.9999999999999822E-2</v>
      </c>
      <c r="H232" s="19">
        <v>1.8063181535842077E-2</v>
      </c>
    </row>
    <row r="233" spans="1:8">
      <c r="A233" s="18" t="s">
        <v>1160</v>
      </c>
      <c r="B233" s="19">
        <v>3.335</v>
      </c>
      <c r="C233" s="19">
        <v>0.96508275197817595</v>
      </c>
      <c r="F233" s="18" t="s">
        <v>113</v>
      </c>
      <c r="G233" s="19">
        <v>4.9999999999999822E-2</v>
      </c>
      <c r="H233" s="19">
        <v>1.5293039135779729E-3</v>
      </c>
    </row>
    <row r="234" spans="1:8">
      <c r="A234" s="18" t="s">
        <v>1164</v>
      </c>
      <c r="B234" s="19">
        <v>3.34</v>
      </c>
      <c r="C234" s="19">
        <v>0.97208936427686243</v>
      </c>
      <c r="F234" s="18" t="s">
        <v>112</v>
      </c>
      <c r="G234" s="19">
        <v>-8.9999999999999858E-2</v>
      </c>
      <c r="H234" s="19">
        <v>-1.8699077640140338E-2</v>
      </c>
    </row>
    <row r="235" spans="1:8">
      <c r="A235" s="18" t="s">
        <v>1169</v>
      </c>
      <c r="B235" s="19">
        <v>3.375</v>
      </c>
      <c r="C235" s="19">
        <v>0.93586808956743406</v>
      </c>
      <c r="F235" s="18" t="s">
        <v>111</v>
      </c>
      <c r="G235" s="19">
        <v>-6.9999999999999396E-2</v>
      </c>
      <c r="H235" s="19">
        <v>-2.0260584025963979E-2</v>
      </c>
    </row>
    <row r="236" spans="1:8">
      <c r="A236" s="18" t="s">
        <v>1174</v>
      </c>
      <c r="B236" s="19">
        <v>3.38</v>
      </c>
      <c r="C236" s="19">
        <v>0.92115160869279222</v>
      </c>
      <c r="F236" s="18" t="s">
        <v>110</v>
      </c>
      <c r="G236" s="19">
        <v>-2.0000000000000462E-2</v>
      </c>
      <c r="H236" s="19">
        <v>1.8771448758036602E-2</v>
      </c>
    </row>
    <row r="237" spans="1:8">
      <c r="A237" s="18" t="s">
        <v>1179</v>
      </c>
      <c r="B237" s="19">
        <v>3.2949999999999999</v>
      </c>
      <c r="C237" s="19">
        <v>0.95124142083594565</v>
      </c>
      <c r="F237" s="18" t="s">
        <v>109</v>
      </c>
      <c r="G237" s="19">
        <v>-9.9999999999999645E-2</v>
      </c>
      <c r="H237" s="19">
        <v>-6.5815485208013946E-3</v>
      </c>
    </row>
    <row r="238" spans="1:8">
      <c r="A238" s="18" t="s">
        <v>1184</v>
      </c>
      <c r="B238" s="19">
        <v>3.2949999999999999</v>
      </c>
      <c r="C238" s="19">
        <v>0.92620506460670349</v>
      </c>
      <c r="F238" s="18" t="s">
        <v>108</v>
      </c>
      <c r="G238" s="19">
        <v>-4.5000000000000817E-2</v>
      </c>
      <c r="H238" s="19">
        <v>-3.1663158163439231E-2</v>
      </c>
    </row>
    <row r="239" spans="1:8">
      <c r="A239" s="18" t="s">
        <v>1188</v>
      </c>
      <c r="B239" s="19">
        <v>3.37</v>
      </c>
      <c r="C239" s="19">
        <v>0.90588785273436301</v>
      </c>
      <c r="F239" s="18" t="s">
        <v>252</v>
      </c>
      <c r="G239" s="19">
        <v>7.5000000000000178E-2</v>
      </c>
      <c r="H239" s="19">
        <v>4.3581124125422033E-2</v>
      </c>
    </row>
    <row r="240" spans="1:8">
      <c r="A240" s="18" t="s">
        <v>1193</v>
      </c>
      <c r="B240" s="19">
        <v>3.395</v>
      </c>
      <c r="C240" s="19">
        <v>0.91980968494587811</v>
      </c>
      <c r="F240" s="18" t="s">
        <v>251</v>
      </c>
      <c r="G240" s="19">
        <v>1.0000000000000675E-2</v>
      </c>
      <c r="H240" s="19">
        <v>-2.6673395159870772E-2</v>
      </c>
    </row>
    <row r="241" spans="1:8">
      <c r="A241" s="18" t="s">
        <v>1198</v>
      </c>
      <c r="B241" s="19">
        <v>3.37</v>
      </c>
      <c r="C241" s="19">
        <v>0.90511955976279213</v>
      </c>
      <c r="F241" s="18" t="s">
        <v>107</v>
      </c>
      <c r="G241" s="19">
        <v>4.9999999999999822E-2</v>
      </c>
      <c r="H241" s="19">
        <v>3.5619355308655454E-2</v>
      </c>
    </row>
    <row r="242" spans="1:8">
      <c r="A242" s="18" t="s">
        <v>1204</v>
      </c>
      <c r="B242" s="19">
        <v>3.415</v>
      </c>
      <c r="C242" s="19">
        <v>0.88488060414335834</v>
      </c>
      <c r="F242" s="18" t="s">
        <v>106</v>
      </c>
      <c r="G242" s="19">
        <v>9.9999999999997868E-3</v>
      </c>
      <c r="H242" s="19">
        <v>-2.5076681831756265E-2</v>
      </c>
    </row>
    <row r="243" spans="1:8">
      <c r="A243" s="18" t="s">
        <v>1209</v>
      </c>
      <c r="B243" s="19">
        <v>3.4449999999999998</v>
      </c>
      <c r="C243" s="19">
        <v>0.8584733617448137</v>
      </c>
      <c r="F243" s="18" t="s">
        <v>105</v>
      </c>
      <c r="G243" s="19">
        <v>0.12000000000000011</v>
      </c>
      <c r="H243" s="19">
        <v>2.5096275849040062E-2</v>
      </c>
    </row>
    <row r="244" spans="1:8">
      <c r="A244" s="18" t="s">
        <v>1213</v>
      </c>
      <c r="B244" s="19">
        <v>3.8149999999999999</v>
      </c>
      <c r="C244" s="19">
        <v>0.90773422124067249</v>
      </c>
      <c r="F244" s="18" t="s">
        <v>983</v>
      </c>
      <c r="G244" s="19">
        <v>7.0000000000000284E-2</v>
      </c>
      <c r="H244" s="19">
        <v>1.9696618164752433E-2</v>
      </c>
    </row>
    <row r="245" spans="1:8">
      <c r="A245" s="18" t="s">
        <v>1218</v>
      </c>
      <c r="B245" s="19">
        <v>3.9050000000000002</v>
      </c>
      <c r="C245" s="19">
        <v>0.87731262305362634</v>
      </c>
      <c r="F245" s="18" t="s">
        <v>103</v>
      </c>
      <c r="G245" s="19">
        <v>-0.12999999999999989</v>
      </c>
      <c r="H245" s="19">
        <v>-8.4200748565309791E-2</v>
      </c>
    </row>
    <row r="246" spans="1:8">
      <c r="A246" s="18" t="s">
        <v>1222</v>
      </c>
      <c r="B246" s="19">
        <v>3.9550000000000001</v>
      </c>
      <c r="C246" s="19">
        <v>0.90524767330484757</v>
      </c>
      <c r="F246" s="18" t="s">
        <v>102</v>
      </c>
      <c r="G246" s="19">
        <v>0.16499999999999915</v>
      </c>
      <c r="H246" s="19">
        <v>4.2944677020646971E-2</v>
      </c>
    </row>
    <row r="247" spans="1:8">
      <c r="A247" s="18" t="s">
        <v>1227</v>
      </c>
      <c r="B247" s="19">
        <v>4.0049999999999999</v>
      </c>
      <c r="C247" s="19">
        <v>0.92185342194210973</v>
      </c>
      <c r="F247" s="18" t="s">
        <v>101</v>
      </c>
      <c r="G247" s="19">
        <v>8.5000000000000853E-2</v>
      </c>
      <c r="H247" s="19">
        <v>-1.2201134658569313E-2</v>
      </c>
    </row>
    <row r="248" spans="1:8">
      <c r="A248" s="18" t="s">
        <v>1232</v>
      </c>
      <c r="B248" s="19">
        <v>4.0350000000000001</v>
      </c>
      <c r="C248" s="19">
        <v>0.88893752261056624</v>
      </c>
      <c r="F248" s="18" t="s">
        <v>100</v>
      </c>
      <c r="G248" s="19">
        <v>-5.5000000000000604E-2</v>
      </c>
      <c r="H248" s="19">
        <v>1.0566183220405811E-2</v>
      </c>
    </row>
    <row r="249" spans="1:8">
      <c r="A249" s="18" t="s">
        <v>1237</v>
      </c>
      <c r="B249" s="19">
        <v>4.1749999999999998</v>
      </c>
      <c r="C249" s="19">
        <v>0.88370808502503184</v>
      </c>
      <c r="F249" s="18" t="s">
        <v>99</v>
      </c>
      <c r="G249" s="19">
        <v>-0.125</v>
      </c>
      <c r="H249" s="19">
        <v>6.0748870241318365E-3</v>
      </c>
    </row>
    <row r="250" spans="1:8">
      <c r="A250" s="18" t="s">
        <v>1241</v>
      </c>
      <c r="B250" s="19">
        <v>4.1950000000000003</v>
      </c>
      <c r="C250" s="19">
        <v>0.94730744414890777</v>
      </c>
      <c r="F250" s="18" t="s">
        <v>98</v>
      </c>
      <c r="G250" s="19">
        <v>4.9999999999999822E-2</v>
      </c>
      <c r="H250" s="19">
        <v>7.5126620338439309E-3</v>
      </c>
    </row>
    <row r="251" spans="1:8">
      <c r="A251" s="18" t="s">
        <v>1245</v>
      </c>
      <c r="B251" s="19">
        <v>4.0750000000000002</v>
      </c>
      <c r="C251" s="19">
        <v>0.9474160854844027</v>
      </c>
      <c r="F251" s="18" t="s">
        <v>97</v>
      </c>
      <c r="G251" s="19">
        <v>1.0000000000000675E-2</v>
      </c>
      <c r="H251" s="19">
        <v>2.3790643302703529E-3</v>
      </c>
    </row>
    <row r="252" spans="1:8">
      <c r="A252" s="18" t="s">
        <v>1250</v>
      </c>
      <c r="B252" s="19">
        <v>3.9950000000000001</v>
      </c>
      <c r="C252" s="19">
        <v>0.92485446392402393</v>
      </c>
      <c r="F252" s="18" t="s">
        <v>96</v>
      </c>
      <c r="G252" s="19">
        <v>-0.10000000000000053</v>
      </c>
      <c r="H252" s="19">
        <v>-2.8391843229846447E-2</v>
      </c>
    </row>
    <row r="253" spans="1:8">
      <c r="A253" s="18" t="s">
        <v>1254</v>
      </c>
      <c r="B253" s="19">
        <v>3.9649999999999999</v>
      </c>
      <c r="C253" s="19">
        <v>0.89197298289928284</v>
      </c>
      <c r="F253" s="18" t="s">
        <v>95</v>
      </c>
      <c r="G253" s="19">
        <v>-0.17999999999999972</v>
      </c>
      <c r="H253" s="19">
        <v>2.352408752862889E-2</v>
      </c>
    </row>
    <row r="254" spans="1:8">
      <c r="A254" s="18" t="s">
        <v>1259</v>
      </c>
      <c r="B254" s="19">
        <v>4.04</v>
      </c>
      <c r="C254" s="19">
        <v>0.86035015234781387</v>
      </c>
      <c r="F254" s="18" t="s">
        <v>94</v>
      </c>
      <c r="G254" s="19">
        <v>-9.5000000000000639E-2</v>
      </c>
      <c r="H254" s="19">
        <v>2.7939906329887076E-2</v>
      </c>
    </row>
    <row r="255" spans="1:8">
      <c r="A255" s="18" t="s">
        <v>1264</v>
      </c>
      <c r="B255" s="19">
        <v>4.0650000000000004</v>
      </c>
      <c r="C255" s="19">
        <v>0.87561313617701186</v>
      </c>
      <c r="F255" s="18" t="s">
        <v>93</v>
      </c>
      <c r="G255" s="19">
        <v>2.5000000000000355E-2</v>
      </c>
      <c r="H255" s="19">
        <v>-9.6153000518981457E-2</v>
      </c>
    </row>
    <row r="256" spans="1:8">
      <c r="A256" s="18" t="s">
        <v>1269</v>
      </c>
      <c r="B256" s="19">
        <v>4.0199999999999996</v>
      </c>
      <c r="C256" s="19">
        <v>0.88650682531750347</v>
      </c>
      <c r="F256" s="18" t="s">
        <v>92</v>
      </c>
      <c r="G256" s="19">
        <v>6.0000000000000497E-2</v>
      </c>
      <c r="H256" s="19">
        <v>6.2946709263988154E-2</v>
      </c>
    </row>
    <row r="257" spans="1:8">
      <c r="A257" s="18" t="s">
        <v>1274</v>
      </c>
      <c r="B257" s="19">
        <v>4.0250000000000004</v>
      </c>
      <c r="C257" s="19">
        <v>0.86874414258515431</v>
      </c>
      <c r="F257" s="18" t="s">
        <v>91</v>
      </c>
      <c r="G257" s="19">
        <v>-9.5000000000000639E-2</v>
      </c>
      <c r="H257" s="19">
        <v>-4.3613062932018831E-2</v>
      </c>
    </row>
    <row r="258" spans="1:8">
      <c r="A258" s="18" t="s">
        <v>1278</v>
      </c>
      <c r="B258" s="19">
        <v>4.0350000000000001</v>
      </c>
      <c r="C258" s="19">
        <v>0.88107535813014515</v>
      </c>
      <c r="F258" s="18" t="s">
        <v>90</v>
      </c>
      <c r="G258" s="19">
        <v>0.20500000000000007</v>
      </c>
      <c r="H258" s="19">
        <v>-1.3611023990441673E-2</v>
      </c>
    </row>
    <row r="259" spans="1:8">
      <c r="A259" s="18" t="s">
        <v>1283</v>
      </c>
      <c r="B259" s="19">
        <v>3.9749999999999996</v>
      </c>
      <c r="C259" s="19">
        <v>0.85735043819388768</v>
      </c>
      <c r="F259" s="18" t="s">
        <v>89</v>
      </c>
      <c r="G259" s="19">
        <v>0</v>
      </c>
      <c r="H259" s="19">
        <v>2.1371237328701831E-2</v>
      </c>
    </row>
    <row r="260" spans="1:8">
      <c r="A260" s="18" t="s">
        <v>1288</v>
      </c>
      <c r="B260" s="19">
        <v>4.085</v>
      </c>
      <c r="C260" s="19">
        <v>0.84166725186550151</v>
      </c>
      <c r="F260" s="18" t="s">
        <v>88</v>
      </c>
      <c r="G260" s="19">
        <v>1.0000000000000675E-2</v>
      </c>
      <c r="H260" s="19">
        <v>-1.5295127085029225E-2</v>
      </c>
    </row>
    <row r="261" spans="1:8">
      <c r="A261" s="18" t="s">
        <v>1293</v>
      </c>
      <c r="B261" s="19">
        <v>4.1749999999999998</v>
      </c>
      <c r="C261" s="19">
        <v>0.85260067426625152</v>
      </c>
      <c r="F261" s="18" t="s">
        <v>87</v>
      </c>
      <c r="G261" s="19">
        <v>5.4999999999999716E-2</v>
      </c>
      <c r="H261" s="19">
        <v>6.1025799745038078E-3</v>
      </c>
    </row>
    <row r="262" spans="1:8">
      <c r="A262" s="18" t="s">
        <v>1298</v>
      </c>
      <c r="B262" s="19">
        <v>4.1050000000000004</v>
      </c>
      <c r="C262" s="19">
        <v>0.90124471058864231</v>
      </c>
      <c r="F262" s="18" t="s">
        <v>86</v>
      </c>
      <c r="G262" s="19">
        <v>-3.5000000000000142E-2</v>
      </c>
      <c r="H262" s="19">
        <v>1.4451422004711834E-2</v>
      </c>
    </row>
    <row r="263" spans="1:8">
      <c r="A263" s="18" t="s">
        <v>1303</v>
      </c>
      <c r="B263" s="19">
        <v>4.0149999999999997</v>
      </c>
      <c r="C263" s="19">
        <v>0.8620916580372513</v>
      </c>
      <c r="F263" s="18" t="s">
        <v>85</v>
      </c>
      <c r="G263" s="19">
        <v>-0.16500000000000004</v>
      </c>
      <c r="H263" s="19">
        <v>-8.8122502050165252E-3</v>
      </c>
    </row>
    <row r="264" spans="1:8">
      <c r="A264" s="18" t="s">
        <v>1308</v>
      </c>
      <c r="B264" s="19">
        <v>3.9749999999999996</v>
      </c>
      <c r="C264" s="19">
        <v>0.85702989930147888</v>
      </c>
      <c r="F264" s="18" t="s">
        <v>84</v>
      </c>
      <c r="G264" s="19">
        <v>0.24500000000000011</v>
      </c>
      <c r="H264" s="19">
        <v>-6.0602954519493046E-3</v>
      </c>
    </row>
    <row r="265" spans="1:8">
      <c r="A265" s="18" t="s">
        <v>1313</v>
      </c>
      <c r="B265" s="19">
        <v>3.9550000000000001</v>
      </c>
      <c r="C265" s="19">
        <v>0.87661473916072197</v>
      </c>
      <c r="F265" s="18" t="s">
        <v>982</v>
      </c>
      <c r="G265" s="19">
        <v>-0.19500000000000028</v>
      </c>
      <c r="H265" s="19">
        <v>-9.1323099763036542E-2</v>
      </c>
    </row>
    <row r="266" spans="1:8">
      <c r="A266" s="18" t="s">
        <v>1317</v>
      </c>
      <c r="B266" s="19">
        <v>3.8450000000000002</v>
      </c>
      <c r="C266" s="19">
        <v>0.88658621422266304</v>
      </c>
      <c r="F266" s="18" t="s">
        <v>82</v>
      </c>
      <c r="G266" s="19">
        <v>0.5299999999999998</v>
      </c>
      <c r="H266" s="19">
        <v>0.10390468847599399</v>
      </c>
    </row>
    <row r="267" spans="1:8">
      <c r="A267" s="18" t="s">
        <v>1322</v>
      </c>
      <c r="B267" s="19">
        <v>3.9050000000000002</v>
      </c>
      <c r="C267" s="19">
        <v>0.87823974631429813</v>
      </c>
      <c r="F267" s="18" t="s">
        <v>81</v>
      </c>
      <c r="G267" s="19">
        <v>-2.4999999999999467E-2</v>
      </c>
      <c r="H267" s="19">
        <v>-3.3504556540371322E-2</v>
      </c>
    </row>
    <row r="268" spans="1:8">
      <c r="A268" s="18" t="s">
        <v>1327</v>
      </c>
      <c r="B268" s="19">
        <v>3.8949999999999996</v>
      </c>
      <c r="C268" s="19">
        <v>0.85938241926992953</v>
      </c>
      <c r="F268" s="18" t="s">
        <v>80</v>
      </c>
      <c r="G268" s="19">
        <v>6.999999999999984E-2</v>
      </c>
      <c r="H268" s="19">
        <v>3.6311864719709597E-2</v>
      </c>
    </row>
    <row r="269" spans="1:8">
      <c r="A269" s="18" t="s">
        <v>1332</v>
      </c>
      <c r="B269" s="19">
        <v>3.9249999999999998</v>
      </c>
      <c r="C269" s="19">
        <v>0.82247325028628548</v>
      </c>
      <c r="F269" s="18" t="s">
        <v>79</v>
      </c>
      <c r="G269" s="19">
        <v>7.4999999999999734E-2</v>
      </c>
      <c r="H269" s="19">
        <v>-7.0150426967292567E-3</v>
      </c>
    </row>
    <row r="270" spans="1:8">
      <c r="A270" s="18" t="s">
        <v>1337</v>
      </c>
      <c r="B270" s="19">
        <v>3.8949999999999996</v>
      </c>
      <c r="C270" s="19">
        <v>0.85493656794160744</v>
      </c>
      <c r="F270" s="18" t="s">
        <v>78</v>
      </c>
      <c r="G270" s="19">
        <v>0.24500000000000055</v>
      </c>
      <c r="H270" s="19">
        <v>5.2974896741901034E-2</v>
      </c>
    </row>
    <row r="271" spans="1:8">
      <c r="A271" s="18" t="s">
        <v>1342</v>
      </c>
      <c r="B271" s="19">
        <v>3.8250000000000002</v>
      </c>
      <c r="C271" s="19">
        <v>0.84272047965754027</v>
      </c>
      <c r="F271" s="18" t="s">
        <v>77</v>
      </c>
      <c r="G271" s="19">
        <v>8.0000000000000071E-2</v>
      </c>
      <c r="H271" s="19">
        <v>2.7124009259984483E-3</v>
      </c>
    </row>
    <row r="272" spans="1:8">
      <c r="A272" s="18" t="s">
        <v>1346</v>
      </c>
      <c r="B272" s="19">
        <v>3.8149999999999999</v>
      </c>
      <c r="C272" s="19">
        <v>0.86664703584267988</v>
      </c>
      <c r="F272" s="18" t="s">
        <v>76</v>
      </c>
      <c r="G272" s="19">
        <v>8.9999999999999858E-2</v>
      </c>
      <c r="H272" s="19">
        <v>-6.9411438102702228E-2</v>
      </c>
    </row>
    <row r="273" spans="1:8">
      <c r="A273" s="18" t="s">
        <v>1351</v>
      </c>
      <c r="B273" s="19">
        <v>3.7650000000000001</v>
      </c>
      <c r="C273" s="19">
        <v>0.8567737565426099</v>
      </c>
      <c r="F273" s="18" t="s">
        <v>75</v>
      </c>
      <c r="G273" s="19">
        <v>6.999999999999984E-2</v>
      </c>
      <c r="H273" s="19">
        <v>-6.363868716046106E-3</v>
      </c>
    </row>
    <row r="274" spans="1:8">
      <c r="A274" s="18" t="s">
        <v>1356</v>
      </c>
      <c r="B274" s="19">
        <v>3.7850000000000001</v>
      </c>
      <c r="C274" s="19">
        <v>0.86677283534917215</v>
      </c>
      <c r="F274" s="18" t="s">
        <v>74</v>
      </c>
      <c r="G274" s="19">
        <v>-7.5000000000000178E-2</v>
      </c>
      <c r="H274" s="19">
        <v>-5.891221939620106E-3</v>
      </c>
    </row>
    <row r="275" spans="1:8">
      <c r="A275" s="18" t="s">
        <v>1361</v>
      </c>
      <c r="B275" s="19">
        <v>3.7749999999999999</v>
      </c>
      <c r="C275" s="19">
        <v>0.87353339954588582</v>
      </c>
      <c r="F275" s="18" t="s">
        <v>73</v>
      </c>
      <c r="G275" s="19">
        <v>1.5000000000000124E-2</v>
      </c>
      <c r="H275" s="19">
        <v>3.7181223280854159E-2</v>
      </c>
    </row>
    <row r="276" spans="1:8">
      <c r="A276" s="18" t="s">
        <v>1366</v>
      </c>
      <c r="B276" s="19">
        <v>3.7549999999999999</v>
      </c>
      <c r="C276" s="19">
        <v>0.84834995650368583</v>
      </c>
      <c r="F276" s="18" t="s">
        <v>72</v>
      </c>
      <c r="G276" s="19">
        <v>-4.5000000000000373E-2</v>
      </c>
      <c r="H276" s="19">
        <v>-2.3460030847256341E-2</v>
      </c>
    </row>
    <row r="277" spans="1:8">
      <c r="A277" s="18" t="s">
        <v>1370</v>
      </c>
      <c r="B277" s="19">
        <v>3.86</v>
      </c>
      <c r="C277" s="19">
        <v>0.82730929200230241</v>
      </c>
      <c r="F277" s="18" t="s">
        <v>71</v>
      </c>
      <c r="G277" s="19">
        <v>-0.10999999999999988</v>
      </c>
      <c r="H277" s="19">
        <v>3.2200698081092938E-3</v>
      </c>
    </row>
    <row r="278" spans="1:8">
      <c r="A278" s="18" t="s">
        <v>1375</v>
      </c>
      <c r="B278" s="19">
        <v>3.9050000000000002</v>
      </c>
      <c r="C278" s="19">
        <v>0.83360449243724632</v>
      </c>
      <c r="F278" s="18" t="s">
        <v>70</v>
      </c>
      <c r="G278" s="19">
        <v>-2.9999999999999805E-2</v>
      </c>
      <c r="H278" s="19">
        <v>1.54772041123592E-2</v>
      </c>
    </row>
    <row r="279" spans="1:8">
      <c r="A279" s="18" t="s">
        <v>1380</v>
      </c>
      <c r="B279" s="19">
        <v>3.86</v>
      </c>
      <c r="C279" s="19">
        <v>0.86078542204780151</v>
      </c>
      <c r="F279" s="18" t="s">
        <v>69</v>
      </c>
      <c r="G279" s="19">
        <v>2.9999999999999805E-2</v>
      </c>
      <c r="H279" s="19">
        <v>3.9081107923121472E-2</v>
      </c>
    </row>
    <row r="280" spans="1:8">
      <c r="A280" s="18" t="s">
        <v>1385</v>
      </c>
      <c r="B280" s="19">
        <v>3.7949999999999999</v>
      </c>
      <c r="C280" s="19">
        <v>0.82262069897648349</v>
      </c>
      <c r="F280" s="18" t="s">
        <v>68</v>
      </c>
      <c r="G280" s="19">
        <v>-8.9999999999999858E-2</v>
      </c>
      <c r="H280" s="19">
        <v>-2.623323303379177E-2</v>
      </c>
    </row>
    <row r="281" spans="1:8">
      <c r="A281" s="18" t="s">
        <v>1390</v>
      </c>
      <c r="B281" s="19">
        <v>3.8050000000000002</v>
      </c>
      <c r="C281" s="19">
        <v>0.83851233234212819</v>
      </c>
      <c r="F281" s="18" t="s">
        <v>67</v>
      </c>
      <c r="G281" s="19">
        <v>0.13500000000000023</v>
      </c>
      <c r="H281" s="19">
        <v>-2.0649839990721564E-2</v>
      </c>
    </row>
    <row r="282" spans="1:8">
      <c r="A282" s="18" t="s">
        <v>1395</v>
      </c>
      <c r="B282" s="19">
        <v>3.7749999999999999</v>
      </c>
      <c r="C282" s="19">
        <v>0.84142799275333591</v>
      </c>
      <c r="F282" s="18" t="s">
        <v>66</v>
      </c>
      <c r="G282" s="19">
        <v>-1.5000000000000124E-2</v>
      </c>
      <c r="H282" s="19">
        <v>1.0412750135500026E-2</v>
      </c>
    </row>
    <row r="283" spans="1:8">
      <c r="A283" s="18" t="s">
        <v>1400</v>
      </c>
      <c r="B283" s="19">
        <v>3.74</v>
      </c>
      <c r="C283" s="19">
        <v>0.83312386224272394</v>
      </c>
      <c r="F283" s="18" t="s">
        <v>65</v>
      </c>
      <c r="G283" s="19">
        <v>-5.0000000000000266E-2</v>
      </c>
      <c r="H283" s="19">
        <v>-7.8518353129148899E-3</v>
      </c>
    </row>
    <row r="284" spans="1:8">
      <c r="A284" s="18" t="s">
        <v>1405</v>
      </c>
      <c r="B284" s="19">
        <v>3.7349999999999999</v>
      </c>
      <c r="C284" s="19">
        <v>0.85176049856034552</v>
      </c>
      <c r="F284" s="18" t="s">
        <v>64</v>
      </c>
      <c r="G284" s="19">
        <v>3.0000000000000249E-2</v>
      </c>
      <c r="H284" s="19">
        <v>-6.215769860735243E-3</v>
      </c>
    </row>
    <row r="285" spans="1:8">
      <c r="A285" s="18" t="s">
        <v>1410</v>
      </c>
      <c r="B285" s="19">
        <v>3.6949999999999998</v>
      </c>
      <c r="C285" s="19">
        <v>0.84406096762433602</v>
      </c>
      <c r="F285" s="18" t="s">
        <v>63</v>
      </c>
      <c r="G285" s="19">
        <v>0</v>
      </c>
      <c r="H285" s="19">
        <v>-1.3965243528286209E-2</v>
      </c>
    </row>
    <row r="286" spans="1:8">
      <c r="A286" s="18" t="s">
        <v>1414</v>
      </c>
      <c r="B286" s="19">
        <v>3.6549999999999998</v>
      </c>
      <c r="C286" s="19">
        <v>0.84245188372241975</v>
      </c>
      <c r="F286" s="18" t="s">
        <v>62</v>
      </c>
      <c r="G286" s="19">
        <v>2.5000000000000355E-2</v>
      </c>
      <c r="H286" s="19">
        <v>-4.1316893595105597E-2</v>
      </c>
    </row>
    <row r="287" spans="1:8">
      <c r="A287" s="18" t="s">
        <v>1419</v>
      </c>
      <c r="B287" s="19">
        <v>3.6549999999999998</v>
      </c>
      <c r="C287" s="19">
        <v>0.83449038223768968</v>
      </c>
      <c r="F287" s="18" t="s">
        <v>61</v>
      </c>
      <c r="G287" s="19">
        <v>0.10999999999999988</v>
      </c>
      <c r="H287" s="19">
        <v>-4.6155828307700375E-2</v>
      </c>
    </row>
    <row r="288" spans="1:8">
      <c r="A288" s="18" t="s">
        <v>1424</v>
      </c>
      <c r="B288" s="19">
        <v>3.7050000000000001</v>
      </c>
      <c r="C288" s="19">
        <v>0.80383631383465781</v>
      </c>
      <c r="F288" s="18" t="s">
        <v>60</v>
      </c>
      <c r="G288" s="19">
        <v>4.0000000000000036E-2</v>
      </c>
      <c r="H288" s="19">
        <v>-2.2848657538059758E-2</v>
      </c>
    </row>
    <row r="289" spans="1:8">
      <c r="A289" s="18" t="s">
        <v>1429</v>
      </c>
      <c r="B289" s="19">
        <v>3.73</v>
      </c>
      <c r="C289" s="19">
        <v>0.81249346145899226</v>
      </c>
      <c r="F289" s="18" t="s">
        <v>59</v>
      </c>
      <c r="G289" s="19">
        <v>-2.0000000000000018E-2</v>
      </c>
      <c r="H289" s="19">
        <v>-4.2385436517378139E-4</v>
      </c>
    </row>
    <row r="290" spans="1:8">
      <c r="A290" s="18" t="s">
        <v>1434</v>
      </c>
      <c r="B290" s="19">
        <v>3.7250000000000001</v>
      </c>
      <c r="C290" s="19">
        <v>0.77354547449920785</v>
      </c>
      <c r="F290" s="18" t="s">
        <v>58</v>
      </c>
      <c r="G290" s="19">
        <v>6.0000000000000053E-2</v>
      </c>
      <c r="H290" s="19">
        <v>-9.2364655979246368E-2</v>
      </c>
    </row>
    <row r="291" spans="1:8">
      <c r="A291" s="18" t="s">
        <v>1438</v>
      </c>
      <c r="B291" s="19">
        <v>3.7850000000000001</v>
      </c>
      <c r="C291" s="19">
        <v>0.80107485898952291</v>
      </c>
      <c r="F291" s="18" t="s">
        <v>57</v>
      </c>
      <c r="G291" s="19">
        <v>-1.0000000000000231E-2</v>
      </c>
      <c r="H291" s="19">
        <v>5.9149788305967732E-4</v>
      </c>
    </row>
    <row r="292" spans="1:8">
      <c r="A292" s="18" t="s">
        <v>1443</v>
      </c>
      <c r="B292" s="19">
        <v>3.7549999999999999</v>
      </c>
      <c r="C292" s="19">
        <v>0.81275494005357363</v>
      </c>
      <c r="F292" s="18" t="s">
        <v>56</v>
      </c>
      <c r="G292" s="19">
        <v>-2.0000000000000018E-2</v>
      </c>
      <c r="H292" s="19">
        <v>1.2079462896374515E-2</v>
      </c>
    </row>
    <row r="293" spans="1:8">
      <c r="A293" s="18" t="s">
        <v>1448</v>
      </c>
      <c r="B293" s="19">
        <v>3.8149999999999999</v>
      </c>
      <c r="C293" s="19">
        <v>0.79776437369248399</v>
      </c>
      <c r="F293" s="18" t="s">
        <v>55</v>
      </c>
      <c r="G293" s="19">
        <v>5.0000000000000266E-2</v>
      </c>
      <c r="H293" s="19">
        <v>-1.1416186517132054E-2</v>
      </c>
    </row>
    <row r="294" spans="1:8">
      <c r="A294" s="18" t="s">
        <v>1453</v>
      </c>
      <c r="B294" s="19">
        <v>3.8149999999999999</v>
      </c>
      <c r="C294" s="19">
        <v>0.79107437152216997</v>
      </c>
      <c r="F294" s="18" t="s">
        <v>54</v>
      </c>
      <c r="G294" s="19">
        <v>-2.0000000000000018E-2</v>
      </c>
      <c r="H294" s="19">
        <v>-8.3500915316224056E-2</v>
      </c>
    </row>
    <row r="295" spans="1:8">
      <c r="A295" s="18" t="s">
        <v>1458</v>
      </c>
      <c r="B295" s="19">
        <v>3.75</v>
      </c>
      <c r="C295" s="19">
        <v>0.79241338881606982</v>
      </c>
      <c r="F295" s="18" t="s">
        <v>53</v>
      </c>
      <c r="G295" s="19">
        <v>-5.0000000000003375E-3</v>
      </c>
      <c r="H295" s="19">
        <v>2.6502258713524185E-2</v>
      </c>
    </row>
    <row r="296" spans="1:8">
      <c r="A296" s="18" t="s">
        <v>1463</v>
      </c>
      <c r="B296" s="19">
        <v>3.8250000000000002</v>
      </c>
      <c r="C296" s="19">
        <v>0.81282214731401004</v>
      </c>
      <c r="F296" s="18" t="s">
        <v>52</v>
      </c>
      <c r="G296" s="19">
        <v>3.5000000000000142E-2</v>
      </c>
      <c r="H296" s="19">
        <v>3.4302835101107654E-2</v>
      </c>
    </row>
    <row r="297" spans="1:8">
      <c r="A297" s="18" t="s">
        <v>1468</v>
      </c>
      <c r="B297" s="19">
        <v>3.7949999999999999</v>
      </c>
      <c r="C297" s="19">
        <v>0.80294448791896356</v>
      </c>
      <c r="F297" s="18" t="s">
        <v>981</v>
      </c>
      <c r="G297" s="19">
        <v>-2.9999999999999805E-2</v>
      </c>
      <c r="H297" s="19">
        <v>-5.4976444712972583E-2</v>
      </c>
    </row>
    <row r="298" spans="1:8">
      <c r="A298" s="18" t="s">
        <v>1472</v>
      </c>
      <c r="B298" s="19">
        <v>3.7749999999999999</v>
      </c>
      <c r="C298" s="19">
        <v>0.79632390030913269</v>
      </c>
      <c r="F298" s="18" t="s">
        <v>50</v>
      </c>
      <c r="G298" s="19">
        <v>-6.0000000000000053E-2</v>
      </c>
      <c r="H298" s="19">
        <v>4.1610162704350806E-2</v>
      </c>
    </row>
    <row r="299" spans="1:8">
      <c r="A299" s="18" t="s">
        <v>1477</v>
      </c>
      <c r="B299" s="19">
        <v>3.8149999999999999</v>
      </c>
      <c r="C299" s="19">
        <v>0.80939229073785546</v>
      </c>
      <c r="F299" s="18" t="s">
        <v>49</v>
      </c>
      <c r="G299" s="19">
        <v>9.9999999999997868E-3</v>
      </c>
      <c r="H299" s="19">
        <v>2.7263984230214255E-2</v>
      </c>
    </row>
    <row r="300" spans="1:8">
      <c r="A300" s="18" t="s">
        <v>1482</v>
      </c>
      <c r="B300" s="19">
        <v>3.8050000000000002</v>
      </c>
      <c r="C300" s="19">
        <v>0.79424508208161004</v>
      </c>
      <c r="F300" s="18" t="s">
        <v>48</v>
      </c>
      <c r="G300" s="19">
        <v>-2.0000000000000018E-2</v>
      </c>
      <c r="H300" s="19">
        <v>-1.4965345548092479E-2</v>
      </c>
    </row>
    <row r="301" spans="1:8">
      <c r="A301" s="18" t="s">
        <v>1487</v>
      </c>
      <c r="B301" s="19">
        <v>3.8149999999999999</v>
      </c>
      <c r="C301" s="19">
        <v>0.800780119695224</v>
      </c>
      <c r="F301" s="18" t="s">
        <v>47</v>
      </c>
      <c r="G301" s="19">
        <v>4.0000000000000036E-2</v>
      </c>
      <c r="H301" s="19">
        <v>-9.2064425735708166E-2</v>
      </c>
    </row>
    <row r="302" spans="1:8">
      <c r="A302" s="18" t="s">
        <v>1491</v>
      </c>
      <c r="B302" s="19">
        <v>3.8650000000000002</v>
      </c>
      <c r="C302" s="19">
        <v>0.80860437939095986</v>
      </c>
      <c r="F302" s="18" t="s">
        <v>46</v>
      </c>
      <c r="G302" s="19">
        <v>-2.0000000000000018E-2</v>
      </c>
      <c r="H302" s="19">
        <v>-9.7932950605241764E-3</v>
      </c>
    </row>
    <row r="303" spans="1:8">
      <c r="A303" s="18" t="s">
        <v>1495</v>
      </c>
      <c r="B303" s="19">
        <v>3.8250000000000002</v>
      </c>
      <c r="C303" s="19">
        <v>0.81162929912762483</v>
      </c>
      <c r="F303" s="18" t="s">
        <v>45</v>
      </c>
      <c r="G303" s="19">
        <v>5.500000000000016E-2</v>
      </c>
      <c r="H303" s="19">
        <v>-3.9932378332077523E-2</v>
      </c>
    </row>
    <row r="304" spans="1:8">
      <c r="A304" s="18" t="s">
        <v>1500</v>
      </c>
      <c r="B304" s="19">
        <v>3.8650000000000002</v>
      </c>
      <c r="C304" s="19">
        <v>0.78827744236445607</v>
      </c>
      <c r="F304" s="18" t="s">
        <v>44</v>
      </c>
      <c r="G304" s="19">
        <v>-4.0000000000000036E-2</v>
      </c>
      <c r="H304" s="19">
        <v>2.3898615520334232E-2</v>
      </c>
    </row>
    <row r="305" spans="1:8">
      <c r="A305" s="18" t="s">
        <v>1504</v>
      </c>
      <c r="B305" s="19">
        <v>3.94</v>
      </c>
      <c r="C305" s="19">
        <v>0.80885754220186712</v>
      </c>
      <c r="F305" s="18" t="s">
        <v>43</v>
      </c>
      <c r="G305" s="19">
        <v>-9.0000000000000302E-2</v>
      </c>
      <c r="H305" s="19">
        <v>0.10445627365387544</v>
      </c>
    </row>
    <row r="306" spans="1:8">
      <c r="A306" s="18" t="s">
        <v>1509</v>
      </c>
      <c r="B306" s="19">
        <v>4.0250000000000004</v>
      </c>
      <c r="C306" s="19">
        <v>0.78267782318073031</v>
      </c>
      <c r="F306" s="18" t="s">
        <v>42</v>
      </c>
      <c r="G306" s="19">
        <v>-5.9999999999999609E-2</v>
      </c>
      <c r="H306" s="19">
        <v>9.9040217172706502E-2</v>
      </c>
    </row>
    <row r="307" spans="1:8">
      <c r="A307" s="18" t="s">
        <v>1514</v>
      </c>
      <c r="B307" s="19">
        <v>4.0949999999999998</v>
      </c>
      <c r="C307" s="19">
        <v>0.79861940554259947</v>
      </c>
      <c r="F307" s="18" t="s">
        <v>41</v>
      </c>
      <c r="G307" s="19">
        <v>-2.4999999999999911E-2</v>
      </c>
      <c r="H307" s="19">
        <v>-3.5611811809371119E-2</v>
      </c>
    </row>
    <row r="308" spans="1:8">
      <c r="A308" s="18" t="s">
        <v>1519</v>
      </c>
      <c r="B308" s="19">
        <v>4.2200000000000006</v>
      </c>
      <c r="C308" s="19">
        <v>0.78721619804623844</v>
      </c>
      <c r="F308" s="18" t="s">
        <v>40</v>
      </c>
      <c r="G308" s="19">
        <v>-1.5000000000000124E-2</v>
      </c>
      <c r="H308" s="19">
        <v>3.7749756067351203E-2</v>
      </c>
    </row>
    <row r="309" spans="1:8">
      <c r="A309" s="18" t="s">
        <v>1524</v>
      </c>
      <c r="B309" s="19">
        <v>4.28</v>
      </c>
      <c r="C309" s="19">
        <v>0.76199639189863788</v>
      </c>
      <c r="F309" s="18" t="s">
        <v>39</v>
      </c>
      <c r="G309" s="19">
        <v>-9.5000000000000195E-2</v>
      </c>
      <c r="H309" s="19">
        <v>6.9899374988171559E-2</v>
      </c>
    </row>
    <row r="310" spans="1:8">
      <c r="A310" s="18" t="s">
        <v>1528</v>
      </c>
      <c r="B310" s="19">
        <v>4.2750000000000004</v>
      </c>
      <c r="C310" s="19">
        <v>0.72457355869900031</v>
      </c>
      <c r="F310" s="18" t="s">
        <v>38</v>
      </c>
      <c r="G310" s="19">
        <v>6.4999999999999947E-2</v>
      </c>
      <c r="H310" s="19">
        <v>-5.4477831103928231E-2</v>
      </c>
    </row>
    <row r="311" spans="1:8">
      <c r="A311" s="18" t="s">
        <v>1533</v>
      </c>
      <c r="B311" s="19">
        <v>4.3049999999999997</v>
      </c>
      <c r="C311" s="19">
        <v>0.75941967259826759</v>
      </c>
      <c r="F311" s="18" t="s">
        <v>37</v>
      </c>
      <c r="G311" s="19">
        <v>3.0000000000000249E-2</v>
      </c>
      <c r="H311" s="19">
        <v>-4.5238848591617753E-2</v>
      </c>
    </row>
    <row r="312" spans="1:8">
      <c r="A312" s="18" t="s">
        <v>1538</v>
      </c>
      <c r="B312" s="19">
        <v>4.335</v>
      </c>
      <c r="C312" s="19">
        <v>0.79058548620881597</v>
      </c>
      <c r="F312" s="18" t="s">
        <v>36</v>
      </c>
      <c r="G312" s="19">
        <v>1.5000000000000124E-2</v>
      </c>
      <c r="H312" s="19">
        <v>-4.8794455748534027E-2</v>
      </c>
    </row>
    <row r="313" spans="1:8">
      <c r="A313" s="18" t="s">
        <v>1543</v>
      </c>
      <c r="B313" s="19">
        <v>4.3150000000000004</v>
      </c>
      <c r="C313" s="19">
        <v>0.77853887153815782</v>
      </c>
      <c r="F313" s="18" t="s">
        <v>35</v>
      </c>
      <c r="G313" s="19">
        <v>5.9999999999999609E-2</v>
      </c>
      <c r="H313" s="19">
        <v>6.5090149921398499E-3</v>
      </c>
    </row>
    <row r="314" spans="1:8">
      <c r="A314" s="18" t="s">
        <v>1548</v>
      </c>
      <c r="B314" s="19">
        <v>4.3250000000000002</v>
      </c>
      <c r="C314" s="19">
        <v>0.7798789037483016</v>
      </c>
      <c r="F314" s="18" t="s">
        <v>34</v>
      </c>
      <c r="G314" s="19">
        <v>-3.9999999999999591E-2</v>
      </c>
      <c r="H314" s="19">
        <v>7.2971579319910607E-2</v>
      </c>
    </row>
    <row r="315" spans="1:8">
      <c r="A315" s="18" t="s">
        <v>1553</v>
      </c>
      <c r="B315" s="19">
        <v>4.3150000000000004</v>
      </c>
      <c r="C315" s="19">
        <v>0.80397348870682217</v>
      </c>
      <c r="F315" s="18" t="s">
        <v>33</v>
      </c>
      <c r="G315" s="19">
        <v>-3.0000000000000249E-2</v>
      </c>
      <c r="H315" s="19">
        <v>1.9230793906715782E-2</v>
      </c>
    </row>
    <row r="316" spans="1:8">
      <c r="A316" s="18" t="s">
        <v>1557</v>
      </c>
      <c r="B316" s="19">
        <v>4.2750000000000004</v>
      </c>
      <c r="C316" s="19">
        <v>0.80174800274837299</v>
      </c>
      <c r="F316" s="18" t="s">
        <v>32</v>
      </c>
      <c r="G316" s="19">
        <v>-8.5000000000000409E-2</v>
      </c>
      <c r="H316" s="19">
        <v>2.7446404240905053E-2</v>
      </c>
    </row>
    <row r="317" spans="1:8">
      <c r="A317" s="18" t="s">
        <v>1562</v>
      </c>
      <c r="B317" s="19">
        <v>4.2699999999999996</v>
      </c>
      <c r="C317" s="19">
        <v>0.78395157572935537</v>
      </c>
      <c r="F317" s="18" t="s">
        <v>177</v>
      </c>
      <c r="G317" s="19">
        <v>-1.499999999999968E-2</v>
      </c>
      <c r="H317" s="19">
        <v>2.2338837434740633E-2</v>
      </c>
    </row>
    <row r="318" spans="1:8">
      <c r="A318" s="18" t="s">
        <v>1567</v>
      </c>
      <c r="B318" s="19">
        <v>4.3449999999999998</v>
      </c>
      <c r="C318" s="19">
        <v>0.8252403365394736</v>
      </c>
      <c r="F318" s="18" t="s">
        <v>31</v>
      </c>
      <c r="G318" s="19">
        <v>0</v>
      </c>
      <c r="H318" s="19">
        <v>2.9903955326817666E-3</v>
      </c>
    </row>
    <row r="319" spans="1:8">
      <c r="A319" s="18" t="s">
        <v>1572</v>
      </c>
      <c r="B319" s="19">
        <v>4.4550000000000001</v>
      </c>
      <c r="C319" s="19">
        <v>0.79010483438286805</v>
      </c>
      <c r="F319" s="18" t="s">
        <v>30</v>
      </c>
      <c r="G319" s="19">
        <v>-4.9999999999999822E-2</v>
      </c>
      <c r="H319" s="19">
        <v>2.8708547679383578E-3</v>
      </c>
    </row>
    <row r="320" spans="1:8">
      <c r="A320" s="18" t="s">
        <v>1577</v>
      </c>
      <c r="B320" s="19">
        <v>4.4249999999999998</v>
      </c>
      <c r="C320" s="19">
        <v>0.76878793877236795</v>
      </c>
      <c r="F320" s="18" t="s">
        <v>29</v>
      </c>
      <c r="G320" s="19">
        <v>4.0000000000000036E-2</v>
      </c>
      <c r="H320" s="19">
        <v>6.8554838179983868E-3</v>
      </c>
    </row>
    <row r="321" spans="1:8">
      <c r="A321" s="18" t="s">
        <v>1582</v>
      </c>
      <c r="B321" s="19">
        <v>4.4249999999999998</v>
      </c>
      <c r="C321" s="19">
        <v>0.76896910877716973</v>
      </c>
      <c r="F321" s="18" t="s">
        <v>28</v>
      </c>
      <c r="G321" s="19">
        <v>-0.10500000000000043</v>
      </c>
      <c r="H321" s="19">
        <v>4.2106000429136259E-3</v>
      </c>
    </row>
    <row r="322" spans="1:8">
      <c r="A322" s="18" t="s">
        <v>1587</v>
      </c>
      <c r="B322" s="19">
        <v>4.46</v>
      </c>
      <c r="C322" s="19">
        <v>0.7436986734603801</v>
      </c>
      <c r="F322" s="18" t="s">
        <v>27</v>
      </c>
      <c r="G322" s="19">
        <v>-2.9999999999999805E-2</v>
      </c>
      <c r="H322" s="19">
        <v>-5.745540944120231E-2</v>
      </c>
    </row>
    <row r="323" spans="1:8">
      <c r="A323" s="18" t="s">
        <v>1592</v>
      </c>
      <c r="B323" s="19">
        <v>4.51</v>
      </c>
      <c r="C323" s="19">
        <v>0.7542574869202614</v>
      </c>
      <c r="F323" s="18" t="s">
        <v>26</v>
      </c>
      <c r="G323" s="19">
        <v>1.5000000000000124E-2</v>
      </c>
      <c r="H323" s="19">
        <v>8.0108035679996803E-2</v>
      </c>
    </row>
    <row r="324" spans="1:8">
      <c r="A324" s="18" t="s">
        <v>1596</v>
      </c>
      <c r="B324" s="19">
        <v>4.4099999999999993</v>
      </c>
      <c r="C324" s="19">
        <v>0.82706436153865148</v>
      </c>
      <c r="F324" s="18" t="s">
        <v>25</v>
      </c>
      <c r="G324" s="19">
        <v>-4.0000000000000036E-2</v>
      </c>
      <c r="H324" s="19">
        <v>3.1289041270891271E-2</v>
      </c>
    </row>
    <row r="325" spans="1:8">
      <c r="A325" s="18" t="s">
        <v>1601</v>
      </c>
      <c r="B325" s="19">
        <v>4.415</v>
      </c>
      <c r="C325" s="19">
        <v>0.78975511215847582</v>
      </c>
      <c r="F325" s="18" t="s">
        <v>24</v>
      </c>
      <c r="G325" s="19">
        <v>-3.5000000000000142E-2</v>
      </c>
      <c r="H325" s="19">
        <v>-1.1649285300963985E-2</v>
      </c>
    </row>
    <row r="326" spans="1:8">
      <c r="A326" s="18" t="s">
        <v>1606</v>
      </c>
      <c r="B326" s="19">
        <v>4.47</v>
      </c>
      <c r="C326" s="19">
        <v>0.780761749725849</v>
      </c>
      <c r="F326" s="18" t="s">
        <v>23</v>
      </c>
      <c r="G326" s="19">
        <v>-1.499999999999968E-2</v>
      </c>
      <c r="H326" s="19">
        <v>4.6178941458041578E-3</v>
      </c>
    </row>
    <row r="327" spans="1:8">
      <c r="A327" s="18" t="s">
        <v>1611</v>
      </c>
      <c r="B327" s="19">
        <v>4.4450000000000003</v>
      </c>
      <c r="C327" s="19">
        <v>0.79170993834724612</v>
      </c>
      <c r="F327" s="18" t="s">
        <v>22</v>
      </c>
      <c r="G327" s="19">
        <v>-4.5000000000000373E-2</v>
      </c>
      <c r="H327" s="19">
        <v>-9.2621130365211357E-4</v>
      </c>
    </row>
    <row r="328" spans="1:8">
      <c r="A328" s="18" t="s">
        <v>1616</v>
      </c>
      <c r="B328" s="19">
        <v>4.4249999999999998</v>
      </c>
      <c r="C328" s="19">
        <v>0.80069300443382163</v>
      </c>
      <c r="F328" s="18" t="s">
        <v>21</v>
      </c>
      <c r="G328" s="19">
        <v>4.5000000000000373E-2</v>
      </c>
      <c r="H328" s="19">
        <v>5.1522929345100721E-2</v>
      </c>
    </row>
    <row r="329" spans="1:8">
      <c r="A329" s="18" t="s">
        <v>1620</v>
      </c>
      <c r="B329" s="19">
        <v>4.3949999999999996</v>
      </c>
      <c r="C329" s="19">
        <v>0.79689524142056456</v>
      </c>
      <c r="F329" s="18" t="s">
        <v>20</v>
      </c>
      <c r="G329" s="19" t="e">
        <v>#VALUE!</v>
      </c>
      <c r="H329" s="19" t="e">
        <v>#VALUE!</v>
      </c>
    </row>
    <row r="330" spans="1:8">
      <c r="A330" s="18" t="s">
        <v>726</v>
      </c>
      <c r="B330" s="19">
        <v>3.8253987730061381</v>
      </c>
      <c r="C330" s="19">
        <v>0.89638479958242046</v>
      </c>
      <c r="F330" s="18" t="s">
        <v>726</v>
      </c>
      <c r="G330" s="19" t="e">
        <v>#VALUE!</v>
      </c>
      <c r="H330" s="19" t="e"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I18"/>
  <sheetViews>
    <sheetView workbookViewId="0">
      <selection activeCell="G14" sqref="G14"/>
    </sheetView>
  </sheetViews>
  <sheetFormatPr defaultRowHeight="15"/>
  <cols>
    <col min="2" max="9" width="17" customWidth="1"/>
  </cols>
  <sheetData>
    <row r="1" spans="2:9">
      <c r="G1" s="10"/>
    </row>
    <row r="2" spans="2:9">
      <c r="D2" s="10">
        <f>LastAvailableDate</f>
        <v>43439</v>
      </c>
      <c r="E2" s="10">
        <f>WORKDAY(LastAvailableDate,-5,)</f>
        <v>43432</v>
      </c>
      <c r="F2" s="10">
        <f>WORKDAY(LastAvailableDate,-21,0)+1</f>
        <v>43411</v>
      </c>
      <c r="G2" s="10">
        <f>WORKDAY(LastAvailableDate,-66,0) +1</f>
        <v>43348</v>
      </c>
      <c r="H2" s="10">
        <f>WORKDAY(LastAvailableDate,-110,0)</f>
        <v>43285</v>
      </c>
      <c r="I2" s="10">
        <f>WORKDAY(LastAvailableDate,-235,0)</f>
        <v>43110</v>
      </c>
    </row>
    <row r="3" spans="2:9">
      <c r="B3" s="22"/>
      <c r="C3" s="22" t="s">
        <v>18</v>
      </c>
      <c r="D3" s="26" t="s">
        <v>738</v>
      </c>
      <c r="E3" s="27" t="s">
        <v>739</v>
      </c>
      <c r="F3" s="29" t="s">
        <v>740</v>
      </c>
      <c r="G3" s="30" t="s">
        <v>741</v>
      </c>
      <c r="H3" s="27" t="s">
        <v>742</v>
      </c>
      <c r="I3" s="22" t="s">
        <v>743</v>
      </c>
    </row>
    <row r="4" spans="2:9">
      <c r="B4" s="25" t="s">
        <v>731</v>
      </c>
      <c r="C4" s="31" t="e">
        <f>VLOOKUP(TEXT(LastAvailableDate,"yyyy-mm-dd"),CurrentMtgRatesDataTable8[#All],3,0)</f>
        <v>#N/A</v>
      </c>
      <c r="D4" s="28" t="e">
        <f>IF(ISNA(VLOOKUP(TEXT(D2,"yyyy-mm-dd"),CurrentMtgRatesDataTable8[#All],3,0)),VLOOKUP(TEXT(D2-1,"yyyy-mm-dd"),CurrentMtgRatesDataTable8[#All],3,0),VLOOKUP(TEXT(D2,"yyyy-mm-dd"),CurrentMtgRatesDataTable8[#All],3,0))</f>
        <v>#N/A</v>
      </c>
      <c r="E4" s="28" t="e">
        <f>IF(ISNA(VLOOKUP(TEXT(E2,"yyyy-mm-dd"),CurrentMtgRatesDataTable8[#All],3,0)),VLOOKUP(TEXT(E2-1,"yyyy-mm-dd"),CurrentMtgRatesDataTable8[#All],3,0),VLOOKUP(TEXT(E2,"yyyy-mm-dd"),CurrentMtgRatesDataTable8[#All],3,0))</f>
        <v>#N/A</v>
      </c>
      <c r="F4" s="28" t="e">
        <f>IF(ISNA(VLOOKUP(TEXT(F2,"yyyy-mm-dd"),CurrentMtgRatesDataTable8[#All],3,0)),VLOOKUP(TEXT(F2-1,"yyyy-mm-dd"),CurrentMtgRatesDataTable8[#All],3,0),VLOOKUP(TEXT(F2,"yyyy-mm-dd"),CurrentMtgRatesDataTable8[#All],3,0))</f>
        <v>#N/A</v>
      </c>
      <c r="G4" s="28" t="e">
        <f>IF(ISNA(VLOOKUP(TEXT(G2,"yyyy-mm-dd"),CurrentMtgRatesDataTable8[#All],3,0)),VLOOKUP(TEXT(G2-1,"yyyy-mm-dd"),CurrentMtgRatesDataTable8[#All],3,0),VLOOKUP(TEXT(G2,"yyyy-mm-dd"),CurrentMtgRatesDataTable8[#All],3,0))</f>
        <v>#N/A</v>
      </c>
      <c r="H4" s="28">
        <f>IF(ISNA(VLOOKUP(TEXT(H2,"yyyy-mm-dd"),CurrentMtgRatesDataTable8[#All],3,0)),VLOOKUP(TEXT(H2-1,"yyyy-mm-dd"),CurrentMtgRatesDataTable8[#All],3,0),VLOOKUP(TEXT(H2,"yyyy-mm-dd"),CurrentMtgRatesDataTable8[#All],3,0))</f>
        <v>4.3949999999999996</v>
      </c>
      <c r="I4" s="28">
        <f>IF(ISNA(VLOOKUP(TEXT(I2,"yyyy-mm-dd"),CurrentMtgRatesDataTable8[#All],3,0)),VLOOKUP(TEXT(I2-1,"yyyy-mm-dd"),CurrentMtgRatesDataTable8[#All],3,0),VLOOKUP(TEXT(I2,"yyyy-mm-dd"),CurrentMtgRatesDataTable8[#All],3,0))</f>
        <v>3.8650000000000002</v>
      </c>
    </row>
    <row r="5" spans="2:9">
      <c r="B5" s="25" t="s">
        <v>730</v>
      </c>
      <c r="C5" s="24" t="e">
        <f>VLOOKUP(TEXT(LastAvailableDate,"yyyy-mm-dd"),CurrentMtgRatesDataTable8[#All],11,0)</f>
        <v>#N/A</v>
      </c>
      <c r="D5" s="28" t="e">
        <f>IF(ISNA(VLOOKUP(TEXT(D2,"yyyy-mm-dd"),CurrentMtgRatesDataTable8[#All],11,0)),VLOOKUP(TEXT(D2-1,"yyyy-mm-dd"),CurrentMtgRatesDataTable8[#All],11,0),VLOOKUP(TEXT(D2,"yyyy-mm-dd"),CurrentMtgRatesDataTable8[#All],11,0))</f>
        <v>#N/A</v>
      </c>
      <c r="E5" s="28" t="e">
        <f>IF(ISNA(VLOOKUP(TEXT(E2,"yyyy-mm-dd"),CurrentMtgRatesDataTable8[#All],11,0)),VLOOKUP(TEXT(E2-1,"yyyy-mm-dd"),CurrentMtgRatesDataTable8[#All],11,0),VLOOKUP(TEXT(E2,"yyyy-mm-dd"),CurrentMtgRatesDataTable8[#All],11,0))</f>
        <v>#N/A</v>
      </c>
      <c r="F5" s="28" t="e">
        <f>IF(ISNA(VLOOKUP(TEXT(F2,"yyyy-mm-dd"),CurrentMtgRatesDataTable8[#All],11,0)),VLOOKUP(TEXT(F2-1,"yyyy-mm-dd"),CurrentMtgRatesDataTable8[#All],11,0),VLOOKUP(TEXT(F2,"yyyy-mm-dd"),CurrentMtgRatesDataTable8[#All],11,0))</f>
        <v>#N/A</v>
      </c>
      <c r="G5" s="28" t="e">
        <f>IF(ISNA(VLOOKUP(TEXT(G2,"yyyy-mm-dd"),CurrentMtgRatesDataTable8[#All],11,0)),VLOOKUP(TEXT(G2-1,"yyyy-mm-dd"),CurrentMtgRatesDataTable8[#All],11,0),VLOOKUP(TEXT(G2,"yyyy-mm-dd"),CurrentMtgRatesDataTable8[#All],11,0))</f>
        <v>#N/A</v>
      </c>
      <c r="H5" s="28">
        <f>IF(ISNA(VLOOKUP(TEXT(H2,"yyyy-mm-dd"),CurrentMtgRatesDataTable8[#All],11,0)),VLOOKUP(TEXT(H2-1,"yyyy-mm-dd"),CurrentMtgRatesDataTable8[#All],11,0),VLOOKUP(TEXT(H2,"yyyy-mm-dd"),CurrentMtgRatesDataTable8[#All],11,0))</f>
        <v>0.79689524142056456</v>
      </c>
      <c r="I5" s="28">
        <f>IF(ISNA(VLOOKUP(TEXT(I2,"yyyy-mm-dd"),CurrentMtgRatesDataTable8[#All],11,0)),VLOOKUP(TEXT(I2-1,"yyyy-mm-dd"),CurrentMtgRatesDataTable8[#All],11,0),VLOOKUP(TEXT(I2,"yyyy-mm-dd"),CurrentMtgRatesDataTable8[#All],11,0))</f>
        <v>0.78827744236445607</v>
      </c>
    </row>
    <row r="9" spans="2:9">
      <c r="B9" t="s">
        <v>779</v>
      </c>
      <c r="C9" t="s">
        <v>782</v>
      </c>
      <c r="D9" t="s">
        <v>783</v>
      </c>
    </row>
    <row r="10" spans="2:9">
      <c r="B10" t="str">
        <f>'Dynamic Pivot'!$F$4</f>
        <v>2018-07-03</v>
      </c>
      <c r="C10" s="42">
        <f>'Dynamic Pivot'!$H4*100</f>
        <v>-0.37977630132570717</v>
      </c>
      <c r="D10" s="42">
        <f>'Dynamic Pivot'!$G4*100</f>
        <v>-3.0000000000000249</v>
      </c>
    </row>
    <row r="11" spans="2:9">
      <c r="B11" t="str">
        <f>'Dynamic Pivot'!$F$5</f>
        <v>2018-06-27</v>
      </c>
      <c r="C11" s="42">
        <f>'Dynamic Pivot'!$H5*100</f>
        <v>0.89830660865755085</v>
      </c>
      <c r="D11" s="42">
        <f>'Dynamic Pivot'!$G5*100</f>
        <v>-2.0000000000000462</v>
      </c>
    </row>
    <row r="12" spans="2:9">
      <c r="B12" t="str">
        <f>'Dynamic Pivot'!$F$6</f>
        <v>2018-06-20</v>
      </c>
      <c r="C12" s="42">
        <f>'Dynamic Pivot'!$H6*100</f>
        <v>1.0948188621397126</v>
      </c>
      <c r="D12" s="42">
        <f>'Dynamic Pivot'!$G6*100</f>
        <v>-2.4999999999999467</v>
      </c>
    </row>
    <row r="13" spans="2:9">
      <c r="B13" t="str">
        <f>'Dynamic Pivot'!$F$7</f>
        <v>2018-06-13</v>
      </c>
      <c r="C13" s="42">
        <f>'Dynamic Pivot'!$H7*100</f>
        <v>-0.8993362432626828</v>
      </c>
      <c r="D13" s="42">
        <f>'Dynamic Pivot'!$G7*100</f>
        <v>5.4999999999999716</v>
      </c>
    </row>
    <row r="14" spans="2:9">
      <c r="B14" t="str">
        <f>'Dynamic Pivot'!$F$8</f>
        <v>2018-06-06</v>
      </c>
      <c r="C14" s="42">
        <f>'Dynamic Pivot'!$H8*100</f>
        <v>-3.7309249380175658</v>
      </c>
      <c r="D14" s="42">
        <f>'Dynamic Pivot'!$G8*100</f>
        <v>0.50000000000007816</v>
      </c>
    </row>
    <row r="15" spans="2:9">
      <c r="B15" t="str">
        <f>'Dynamic Pivot'!$F$9</f>
        <v>2018-05-30</v>
      </c>
      <c r="C15" s="42">
        <f>'Dynamic Pivot'!$H9*100</f>
        <v>7.2806874618390083</v>
      </c>
      <c r="D15" s="42">
        <f>'Dynamic Pivot'!$G9*100</f>
        <v>-10.000000000000053</v>
      </c>
    </row>
    <row r="16" spans="2:9">
      <c r="B16" t="str">
        <f>'Dynamic Pivot'!$F$10</f>
        <v>2018-05-23</v>
      </c>
      <c r="C16" s="42">
        <f>'Dynamic Pivot'!$H10*100</f>
        <v>1.05588134598813</v>
      </c>
      <c r="D16" s="42">
        <f>'Dynamic Pivot'!$G10*100</f>
        <v>4.9999999999999822</v>
      </c>
    </row>
    <row r="17" spans="2:4">
      <c r="B17" t="str">
        <f>'Dynamic Pivot'!$F$11</f>
        <v>2018-05-16</v>
      </c>
      <c r="C17" s="42">
        <f>'Dynamic Pivot'!$H11*100</f>
        <v>-2.527043531678963</v>
      </c>
      <c r="D17" s="42">
        <f>'Dynamic Pivot'!$G11*100</f>
        <v>3.5000000000000142</v>
      </c>
    </row>
    <row r="18" spans="2:4">
      <c r="B18" t="str">
        <f>'Dynamic Pivot'!$F$12</f>
        <v>2018-05-09</v>
      </c>
      <c r="C18" s="42">
        <f>'Dynamic Pivot'!$H12*100</f>
        <v>1.8117000480177836E-2</v>
      </c>
      <c r="D18" s="42">
        <f>'Dynamic Pivot'!$G12*100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Report</vt:lpstr>
      <vt:lpstr>Time Series Query</vt:lpstr>
      <vt:lpstr>Dynamic Pivot</vt:lpstr>
      <vt:lpstr>Historic Change</vt:lpstr>
      <vt:lpstr>CurrentCloseDate</vt:lpstr>
      <vt:lpstr>DatabaseEnv</vt:lpstr>
      <vt:lpstr>LastAvailableDate</vt:lpstr>
      <vt:lpstr>LastSurveyDate</vt:lpstr>
      <vt:lpstr>newDataPoint</vt:lpstr>
      <vt:lpstr>PDFReportDir</vt:lpstr>
      <vt:lpstr>PDFReportName</vt:lpstr>
      <vt:lpstr>Report!Print_Area</vt:lpstr>
      <vt:lpstr>SaveRatesToDB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Chen Yang</cp:lastModifiedBy>
  <cp:lastPrinted>2018-07-06T14:18:42Z</cp:lastPrinted>
  <dcterms:created xsi:type="dcterms:W3CDTF">2013-04-04T19:42:48Z</dcterms:created>
  <dcterms:modified xsi:type="dcterms:W3CDTF">2018-12-27T23:01:43Z</dcterms:modified>
</cp:coreProperties>
</file>