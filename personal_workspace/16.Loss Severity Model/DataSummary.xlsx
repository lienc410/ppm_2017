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15" windowWidth="32115" windowHeight="18900" activeTab="3"/>
  </bookViews>
  <sheets>
    <sheet name="DiscountPct" sheetId="1" r:id="rId1"/>
    <sheet name="Base" sheetId="3" r:id="rId2"/>
    <sheet name="Expenses" sheetId="4" r:id="rId3"/>
    <sheet name="REO-FC" sheetId="5" r:id="rId4"/>
  </sheets>
  <definedNames>
    <definedName name="DiscountPct" localSheetId="0">DiscountPct!$B$29:$C$201</definedName>
    <definedName name="DiscountPct_1" localSheetId="0">DiscountPct!$B$206:$D$382</definedName>
    <definedName name="temp" localSheetId="3">'REO-FC'!$M$2:$N$182</definedName>
    <definedName name="temp_1" localSheetId="3">'REO-FC'!$P$2:$Q$182</definedName>
    <definedName name="temp_2" localSheetId="3">'REO-FC'!$T$2:$V$178</definedName>
  </definedNames>
  <calcPr calcId="0"/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3" i="5"/>
  <c r="B4" i="5"/>
  <c r="D4" i="5" s="1"/>
  <c r="E4" i="5" s="1"/>
  <c r="B5" i="5"/>
  <c r="D5" i="5" s="1"/>
  <c r="E5" i="5" s="1"/>
  <c r="B6" i="5"/>
  <c r="D6" i="5" s="1"/>
  <c r="E6" i="5" s="1"/>
  <c r="B7" i="5"/>
  <c r="D7" i="5" s="1"/>
  <c r="B8" i="5"/>
  <c r="B9" i="5"/>
  <c r="B10" i="5"/>
  <c r="B11" i="5"/>
  <c r="B12" i="5"/>
  <c r="D12" i="5" s="1"/>
  <c r="E12" i="5" s="1"/>
  <c r="B13" i="5"/>
  <c r="D13" i="5" s="1"/>
  <c r="E13" i="5" s="1"/>
  <c r="B14" i="5"/>
  <c r="D14" i="5" s="1"/>
  <c r="E14" i="5" s="1"/>
  <c r="B15" i="5"/>
  <c r="D15" i="5" s="1"/>
  <c r="B16" i="5"/>
  <c r="B17" i="5"/>
  <c r="B18" i="5"/>
  <c r="B19" i="5"/>
  <c r="B20" i="5"/>
  <c r="D20" i="5" s="1"/>
  <c r="E20" i="5" s="1"/>
  <c r="B21" i="5"/>
  <c r="D21" i="5" s="1"/>
  <c r="E21" i="5" s="1"/>
  <c r="B22" i="5"/>
  <c r="D22" i="5" s="1"/>
  <c r="E22" i="5" s="1"/>
  <c r="B23" i="5"/>
  <c r="D23" i="5" s="1"/>
  <c r="B24" i="5"/>
  <c r="B25" i="5"/>
  <c r="B26" i="5"/>
  <c r="B27" i="5"/>
  <c r="B28" i="5"/>
  <c r="D28" i="5" s="1"/>
  <c r="E28" i="5" s="1"/>
  <c r="B29" i="5"/>
  <c r="D29" i="5" s="1"/>
  <c r="E29" i="5" s="1"/>
  <c r="B30" i="5"/>
  <c r="D30" i="5" s="1"/>
  <c r="E30" i="5" s="1"/>
  <c r="B31" i="5"/>
  <c r="D31" i="5" s="1"/>
  <c r="B32" i="5"/>
  <c r="B33" i="5"/>
  <c r="B34" i="5"/>
  <c r="B35" i="5"/>
  <c r="B36" i="5"/>
  <c r="D36" i="5" s="1"/>
  <c r="E36" i="5" s="1"/>
  <c r="B37" i="5"/>
  <c r="D37" i="5" s="1"/>
  <c r="E37" i="5" s="1"/>
  <c r="B38" i="5"/>
  <c r="D38" i="5" s="1"/>
  <c r="E38" i="5" s="1"/>
  <c r="B39" i="5"/>
  <c r="D39" i="5" s="1"/>
  <c r="B40" i="5"/>
  <c r="B41" i="5"/>
  <c r="B42" i="5"/>
  <c r="B43" i="5"/>
  <c r="B44" i="5"/>
  <c r="D44" i="5" s="1"/>
  <c r="E44" i="5" s="1"/>
  <c r="B45" i="5"/>
  <c r="D45" i="5" s="1"/>
  <c r="E45" i="5" s="1"/>
  <c r="B46" i="5"/>
  <c r="D46" i="5" s="1"/>
  <c r="E46" i="5" s="1"/>
  <c r="B47" i="5"/>
  <c r="D47" i="5" s="1"/>
  <c r="B48" i="5"/>
  <c r="B49" i="5"/>
  <c r="B50" i="5"/>
  <c r="B51" i="5"/>
  <c r="B52" i="5"/>
  <c r="D52" i="5" s="1"/>
  <c r="E52" i="5" s="1"/>
  <c r="B53" i="5"/>
  <c r="D53" i="5" s="1"/>
  <c r="E53" i="5" s="1"/>
  <c r="B54" i="5"/>
  <c r="D54" i="5" s="1"/>
  <c r="E54" i="5" s="1"/>
  <c r="B55" i="5"/>
  <c r="D55" i="5" s="1"/>
  <c r="B56" i="5"/>
  <c r="B57" i="5"/>
  <c r="B58" i="5"/>
  <c r="B59" i="5"/>
  <c r="B60" i="5"/>
  <c r="D60" i="5" s="1"/>
  <c r="E60" i="5" s="1"/>
  <c r="B61" i="5"/>
  <c r="D61" i="5" s="1"/>
  <c r="E61" i="5" s="1"/>
  <c r="B62" i="5"/>
  <c r="D62" i="5" s="1"/>
  <c r="E62" i="5" s="1"/>
  <c r="B63" i="5"/>
  <c r="D63" i="5" s="1"/>
  <c r="B64" i="5"/>
  <c r="B65" i="5"/>
  <c r="B66" i="5"/>
  <c r="B67" i="5"/>
  <c r="B68" i="5"/>
  <c r="B69" i="5"/>
  <c r="D69" i="5" s="1"/>
  <c r="E69" i="5" s="1"/>
  <c r="B70" i="5"/>
  <c r="D70" i="5" s="1"/>
  <c r="E70" i="5" s="1"/>
  <c r="B71" i="5"/>
  <c r="D71" i="5" s="1"/>
  <c r="B72" i="5"/>
  <c r="B73" i="5"/>
  <c r="B74" i="5"/>
  <c r="B75" i="5"/>
  <c r="B76" i="5"/>
  <c r="B77" i="5"/>
  <c r="D77" i="5" s="1"/>
  <c r="E77" i="5" s="1"/>
  <c r="B78" i="5"/>
  <c r="D78" i="5" s="1"/>
  <c r="E78" i="5" s="1"/>
  <c r="B79" i="5"/>
  <c r="D79" i="5" s="1"/>
  <c r="B80" i="5"/>
  <c r="B81" i="5"/>
  <c r="B82" i="5"/>
  <c r="B83" i="5"/>
  <c r="B84" i="5"/>
  <c r="B85" i="5"/>
  <c r="D85" i="5" s="1"/>
  <c r="E85" i="5" s="1"/>
  <c r="B86" i="5"/>
  <c r="D86" i="5" s="1"/>
  <c r="E86" i="5" s="1"/>
  <c r="B87" i="5"/>
  <c r="D87" i="5" s="1"/>
  <c r="B88" i="5"/>
  <c r="B89" i="5"/>
  <c r="B90" i="5"/>
  <c r="B91" i="5"/>
  <c r="B92" i="5"/>
  <c r="B93" i="5"/>
  <c r="D93" i="5" s="1"/>
  <c r="E93" i="5" s="1"/>
  <c r="B94" i="5"/>
  <c r="D94" i="5" s="1"/>
  <c r="E94" i="5" s="1"/>
  <c r="B95" i="5"/>
  <c r="B96" i="5"/>
  <c r="B97" i="5"/>
  <c r="B98" i="5"/>
  <c r="B99" i="5"/>
  <c r="B100" i="5"/>
  <c r="B101" i="5"/>
  <c r="D101" i="5" s="1"/>
  <c r="E101" i="5" s="1"/>
  <c r="B102" i="5"/>
  <c r="D102" i="5" s="1"/>
  <c r="E102" i="5" s="1"/>
  <c r="B103" i="5"/>
  <c r="D103" i="5" s="1"/>
  <c r="B104" i="5"/>
  <c r="B105" i="5"/>
  <c r="B106" i="5"/>
  <c r="B107" i="5"/>
  <c r="B108" i="5"/>
  <c r="B109" i="5"/>
  <c r="D109" i="5" s="1"/>
  <c r="E109" i="5" s="1"/>
  <c r="B110" i="5"/>
  <c r="D110" i="5" s="1"/>
  <c r="E110" i="5" s="1"/>
  <c r="B111" i="5"/>
  <c r="D111" i="5" s="1"/>
  <c r="B112" i="5"/>
  <c r="B113" i="5"/>
  <c r="B114" i="5"/>
  <c r="B115" i="5"/>
  <c r="B116" i="5"/>
  <c r="B117" i="5"/>
  <c r="D117" i="5" s="1"/>
  <c r="E117" i="5" s="1"/>
  <c r="B118" i="5"/>
  <c r="D118" i="5" s="1"/>
  <c r="E118" i="5" s="1"/>
  <c r="B119" i="5"/>
  <c r="D119" i="5" s="1"/>
  <c r="B120" i="5"/>
  <c r="B121" i="5"/>
  <c r="B122" i="5"/>
  <c r="B123" i="5"/>
  <c r="B124" i="5"/>
  <c r="B125" i="5"/>
  <c r="D125" i="5" s="1"/>
  <c r="E125" i="5" s="1"/>
  <c r="B126" i="5"/>
  <c r="D126" i="5" s="1"/>
  <c r="E126" i="5" s="1"/>
  <c r="B127" i="5"/>
  <c r="D127" i="5" s="1"/>
  <c r="B128" i="5"/>
  <c r="B129" i="5"/>
  <c r="B130" i="5"/>
  <c r="B131" i="5"/>
  <c r="B132" i="5"/>
  <c r="B133" i="5"/>
  <c r="D133" i="5" s="1"/>
  <c r="E133" i="5" s="1"/>
  <c r="B134" i="5"/>
  <c r="D134" i="5" s="1"/>
  <c r="E134" i="5" s="1"/>
  <c r="B135" i="5"/>
  <c r="D135" i="5" s="1"/>
  <c r="B136" i="5"/>
  <c r="B137" i="5"/>
  <c r="B138" i="5"/>
  <c r="B139" i="5"/>
  <c r="B140" i="5"/>
  <c r="B141" i="5"/>
  <c r="D141" i="5" s="1"/>
  <c r="E141" i="5" s="1"/>
  <c r="B142" i="5"/>
  <c r="D142" i="5" s="1"/>
  <c r="E142" i="5" s="1"/>
  <c r="B143" i="5"/>
  <c r="D143" i="5" s="1"/>
  <c r="B144" i="5"/>
  <c r="B145" i="5"/>
  <c r="B146" i="5"/>
  <c r="B147" i="5"/>
  <c r="B148" i="5"/>
  <c r="B149" i="5"/>
  <c r="D149" i="5" s="1"/>
  <c r="E149" i="5" s="1"/>
  <c r="B150" i="5"/>
  <c r="B151" i="5"/>
  <c r="D151" i="5" s="1"/>
  <c r="B152" i="5"/>
  <c r="B153" i="5"/>
  <c r="B154" i="5"/>
  <c r="B155" i="5"/>
  <c r="B156" i="5"/>
  <c r="B157" i="5"/>
  <c r="D157" i="5" s="1"/>
  <c r="E157" i="5" s="1"/>
  <c r="B158" i="5"/>
  <c r="B159" i="5"/>
  <c r="D159" i="5" s="1"/>
  <c r="B160" i="5"/>
  <c r="B161" i="5"/>
  <c r="B162" i="5"/>
  <c r="B163" i="5"/>
  <c r="B164" i="5"/>
  <c r="B165" i="5"/>
  <c r="D165" i="5" s="1"/>
  <c r="E165" i="5" s="1"/>
  <c r="B166" i="5"/>
  <c r="B167" i="5"/>
  <c r="B168" i="5"/>
  <c r="B169" i="5"/>
  <c r="B170" i="5"/>
  <c r="B171" i="5"/>
  <c r="B172" i="5"/>
  <c r="B173" i="5"/>
  <c r="D173" i="5" s="1"/>
  <c r="E173" i="5" s="1"/>
  <c r="B174" i="5"/>
  <c r="B175" i="5"/>
  <c r="B176" i="5"/>
  <c r="B177" i="5"/>
  <c r="B178" i="5"/>
  <c r="B179" i="5"/>
  <c r="B180" i="5"/>
  <c r="B181" i="5"/>
  <c r="D181" i="5" s="1"/>
  <c r="E181" i="5" s="1"/>
  <c r="B182" i="5"/>
  <c r="B3" i="5"/>
  <c r="D95" i="5" l="1"/>
  <c r="D3" i="5"/>
  <c r="D175" i="5"/>
  <c r="F175" i="5" s="1"/>
  <c r="D167" i="5"/>
  <c r="F167" i="5" s="1"/>
  <c r="D178" i="5"/>
  <c r="E178" i="5" s="1"/>
  <c r="D170" i="5"/>
  <c r="E170" i="5" s="1"/>
  <c r="D162" i="5"/>
  <c r="E162" i="5" s="1"/>
  <c r="D154" i="5"/>
  <c r="E154" i="5" s="1"/>
  <c r="D146" i="5"/>
  <c r="E146" i="5" s="1"/>
  <c r="D138" i="5"/>
  <c r="E138" i="5" s="1"/>
  <c r="D130" i="5"/>
  <c r="E130" i="5" s="1"/>
  <c r="D122" i="5"/>
  <c r="E122" i="5" s="1"/>
  <c r="D114" i="5"/>
  <c r="E114" i="5" s="1"/>
  <c r="D106" i="5"/>
  <c r="E106" i="5" s="1"/>
  <c r="D98" i="5"/>
  <c r="E98" i="5" s="1"/>
  <c r="D90" i="5"/>
  <c r="E90" i="5" s="1"/>
  <c r="D82" i="5"/>
  <c r="E82" i="5" s="1"/>
  <c r="D74" i="5"/>
  <c r="E74" i="5" s="1"/>
  <c r="D66" i="5"/>
  <c r="E66" i="5" s="1"/>
  <c r="D58" i="5"/>
  <c r="E58" i="5" s="1"/>
  <c r="D50" i="5"/>
  <c r="E50" i="5" s="1"/>
  <c r="D42" i="5"/>
  <c r="E42" i="5" s="1"/>
  <c r="D34" i="5"/>
  <c r="E34" i="5" s="1"/>
  <c r="D26" i="5"/>
  <c r="E26" i="5" s="1"/>
  <c r="D18" i="5"/>
  <c r="E18" i="5" s="1"/>
  <c r="D10" i="5"/>
  <c r="E10" i="5" s="1"/>
  <c r="D174" i="5"/>
  <c r="E174" i="5" s="1"/>
  <c r="D166" i="5"/>
  <c r="E166" i="5" s="1"/>
  <c r="D158" i="5"/>
  <c r="E158" i="5" s="1"/>
  <c r="D150" i="5"/>
  <c r="E150" i="5" s="1"/>
  <c r="D172" i="5"/>
  <c r="E172" i="5" s="1"/>
  <c r="D156" i="5"/>
  <c r="E156" i="5" s="1"/>
  <c r="D140" i="5"/>
  <c r="E140" i="5" s="1"/>
  <c r="D124" i="5"/>
  <c r="E124" i="5" s="1"/>
  <c r="D108" i="5"/>
  <c r="E108" i="5" s="1"/>
  <c r="D76" i="5"/>
  <c r="E76" i="5" s="1"/>
  <c r="D180" i="5"/>
  <c r="E180" i="5" s="1"/>
  <c r="D164" i="5"/>
  <c r="E164" i="5" s="1"/>
  <c r="D148" i="5"/>
  <c r="E148" i="5" s="1"/>
  <c r="D132" i="5"/>
  <c r="E132" i="5" s="1"/>
  <c r="D116" i="5"/>
  <c r="E116" i="5" s="1"/>
  <c r="D100" i="5"/>
  <c r="E100" i="5" s="1"/>
  <c r="D92" i="5"/>
  <c r="E92" i="5" s="1"/>
  <c r="D84" i="5"/>
  <c r="E84" i="5" s="1"/>
  <c r="D68" i="5"/>
  <c r="E68" i="5" s="1"/>
  <c r="D177" i="5"/>
  <c r="E177" i="5" s="1"/>
  <c r="D169" i="5"/>
  <c r="E169" i="5" s="1"/>
  <c r="D161" i="5"/>
  <c r="E161" i="5" s="1"/>
  <c r="D153" i="5"/>
  <c r="E153" i="5" s="1"/>
  <c r="D145" i="5"/>
  <c r="E145" i="5" s="1"/>
  <c r="D137" i="5"/>
  <c r="E137" i="5" s="1"/>
  <c r="D129" i="5"/>
  <c r="E129" i="5" s="1"/>
  <c r="D121" i="5"/>
  <c r="E121" i="5" s="1"/>
  <c r="D113" i="5"/>
  <c r="E113" i="5" s="1"/>
  <c r="D105" i="5"/>
  <c r="E105" i="5" s="1"/>
  <c r="D97" i="5"/>
  <c r="E97" i="5" s="1"/>
  <c r="D89" i="5"/>
  <c r="E89" i="5" s="1"/>
  <c r="D81" i="5"/>
  <c r="E81" i="5" s="1"/>
  <c r="D73" i="5"/>
  <c r="E73" i="5" s="1"/>
  <c r="D65" i="5"/>
  <c r="E65" i="5" s="1"/>
  <c r="D57" i="5"/>
  <c r="E57" i="5" s="1"/>
  <c r="D49" i="5"/>
  <c r="E49" i="5" s="1"/>
  <c r="D41" i="5"/>
  <c r="E41" i="5" s="1"/>
  <c r="D33" i="5"/>
  <c r="E33" i="5" s="1"/>
  <c r="D25" i="5"/>
  <c r="E25" i="5" s="1"/>
  <c r="D17" i="5"/>
  <c r="E17" i="5" s="1"/>
  <c r="D9" i="5"/>
  <c r="E9" i="5" s="1"/>
  <c r="F181" i="5"/>
  <c r="F173" i="5"/>
  <c r="F165" i="5"/>
  <c r="F157" i="5"/>
  <c r="F149" i="5"/>
  <c r="F141" i="5"/>
  <c r="F133" i="5"/>
  <c r="F125" i="5"/>
  <c r="F117" i="5"/>
  <c r="F109" i="5"/>
  <c r="F101" i="5"/>
  <c r="F93" i="5"/>
  <c r="F85" i="5"/>
  <c r="F77" i="5"/>
  <c r="F69" i="5"/>
  <c r="F61" i="5"/>
  <c r="F53" i="5"/>
  <c r="F45" i="5"/>
  <c r="F37" i="5"/>
  <c r="F29" i="5"/>
  <c r="F21" i="5"/>
  <c r="F13" i="5"/>
  <c r="F5" i="5"/>
  <c r="E135" i="5"/>
  <c r="F135" i="5"/>
  <c r="E119" i="5"/>
  <c r="F119" i="5"/>
  <c r="E3" i="5"/>
  <c r="F3" i="5"/>
  <c r="E159" i="5"/>
  <c r="F159" i="5"/>
  <c r="E143" i="5"/>
  <c r="F143" i="5"/>
  <c r="E111" i="5"/>
  <c r="F111" i="5"/>
  <c r="E79" i="5"/>
  <c r="F79" i="5"/>
  <c r="E167" i="5"/>
  <c r="E151" i="5"/>
  <c r="F151" i="5"/>
  <c r="E127" i="5"/>
  <c r="F127" i="5"/>
  <c r="E103" i="5"/>
  <c r="F103" i="5"/>
  <c r="E95" i="5"/>
  <c r="F95" i="5"/>
  <c r="E87" i="5"/>
  <c r="F87" i="5"/>
  <c r="E71" i="5"/>
  <c r="F71" i="5"/>
  <c r="E63" i="5"/>
  <c r="F63" i="5"/>
  <c r="E55" i="5"/>
  <c r="F55" i="5"/>
  <c r="E47" i="5"/>
  <c r="F47" i="5"/>
  <c r="E39" i="5"/>
  <c r="F39" i="5"/>
  <c r="E31" i="5"/>
  <c r="F31" i="5"/>
  <c r="E23" i="5"/>
  <c r="F23" i="5"/>
  <c r="E15" i="5"/>
  <c r="F15" i="5"/>
  <c r="E7" i="5"/>
  <c r="F7" i="5"/>
  <c r="F158" i="5"/>
  <c r="F142" i="5"/>
  <c r="F134" i="5"/>
  <c r="F126" i="5"/>
  <c r="F118" i="5"/>
  <c r="F110" i="5"/>
  <c r="F102" i="5"/>
  <c r="F94" i="5"/>
  <c r="F86" i="5"/>
  <c r="F78" i="5"/>
  <c r="F70" i="5"/>
  <c r="F62" i="5"/>
  <c r="F54" i="5"/>
  <c r="F46" i="5"/>
  <c r="F38" i="5"/>
  <c r="F30" i="5"/>
  <c r="F22" i="5"/>
  <c r="F14" i="5"/>
  <c r="F6" i="5"/>
  <c r="F180" i="5"/>
  <c r="F156" i="5"/>
  <c r="F148" i="5"/>
  <c r="F140" i="5"/>
  <c r="F76" i="5"/>
  <c r="F68" i="5"/>
  <c r="F60" i="5"/>
  <c r="F52" i="5"/>
  <c r="F44" i="5"/>
  <c r="F36" i="5"/>
  <c r="F28" i="5"/>
  <c r="F20" i="5"/>
  <c r="F12" i="5"/>
  <c r="F4" i="5"/>
  <c r="D182" i="5"/>
  <c r="E182" i="5" s="1"/>
  <c r="F178" i="5"/>
  <c r="F146" i="5"/>
  <c r="F138" i="5"/>
  <c r="F114" i="5"/>
  <c r="F106" i="5"/>
  <c r="F82" i="5"/>
  <c r="F74" i="5"/>
  <c r="F66" i="5"/>
  <c r="F58" i="5"/>
  <c r="F50" i="5"/>
  <c r="F42" i="5"/>
  <c r="F18" i="5"/>
  <c r="F10" i="5"/>
  <c r="D179" i="5"/>
  <c r="E179" i="5" s="1"/>
  <c r="D171" i="5"/>
  <c r="E171" i="5" s="1"/>
  <c r="D163" i="5"/>
  <c r="E163" i="5" s="1"/>
  <c r="D155" i="5"/>
  <c r="E155" i="5" s="1"/>
  <c r="D147" i="5"/>
  <c r="E147" i="5" s="1"/>
  <c r="D139" i="5"/>
  <c r="E139" i="5" s="1"/>
  <c r="D131" i="5"/>
  <c r="E131" i="5" s="1"/>
  <c r="D123" i="5"/>
  <c r="E123" i="5" s="1"/>
  <c r="D115" i="5"/>
  <c r="E115" i="5" s="1"/>
  <c r="D107" i="5"/>
  <c r="E107" i="5" s="1"/>
  <c r="D99" i="5"/>
  <c r="E99" i="5" s="1"/>
  <c r="D91" i="5"/>
  <c r="E91" i="5" s="1"/>
  <c r="D83" i="5"/>
  <c r="E83" i="5" s="1"/>
  <c r="D75" i="5"/>
  <c r="E75" i="5" s="1"/>
  <c r="D67" i="5"/>
  <c r="E67" i="5" s="1"/>
  <c r="D59" i="5"/>
  <c r="E59" i="5" s="1"/>
  <c r="D51" i="5"/>
  <c r="E51" i="5" s="1"/>
  <c r="D43" i="5"/>
  <c r="E43" i="5" s="1"/>
  <c r="D35" i="5"/>
  <c r="D27" i="5"/>
  <c r="E27" i="5" s="1"/>
  <c r="D19" i="5"/>
  <c r="E19" i="5" s="1"/>
  <c r="D11" i="5"/>
  <c r="E11" i="5" s="1"/>
  <c r="D176" i="5"/>
  <c r="E176" i="5" s="1"/>
  <c r="D168" i="5"/>
  <c r="E168" i="5" s="1"/>
  <c r="D160" i="5"/>
  <c r="E160" i="5" s="1"/>
  <c r="D152" i="5"/>
  <c r="E152" i="5" s="1"/>
  <c r="D144" i="5"/>
  <c r="E144" i="5" s="1"/>
  <c r="D136" i="5"/>
  <c r="E136" i="5" s="1"/>
  <c r="D128" i="5"/>
  <c r="E128" i="5" s="1"/>
  <c r="D120" i="5"/>
  <c r="E120" i="5" s="1"/>
  <c r="D112" i="5"/>
  <c r="E112" i="5" s="1"/>
  <c r="D104" i="5"/>
  <c r="E104" i="5" s="1"/>
  <c r="D96" i="5"/>
  <c r="E96" i="5" s="1"/>
  <c r="D88" i="5"/>
  <c r="E88" i="5" s="1"/>
  <c r="D80" i="5"/>
  <c r="E80" i="5" s="1"/>
  <c r="D72" i="5"/>
  <c r="E72" i="5" s="1"/>
  <c r="D64" i="5"/>
  <c r="E64" i="5" s="1"/>
  <c r="D56" i="5"/>
  <c r="E56" i="5" s="1"/>
  <c r="D48" i="5"/>
  <c r="E48" i="5" s="1"/>
  <c r="D40" i="5"/>
  <c r="E40" i="5" s="1"/>
  <c r="D32" i="5"/>
  <c r="E32" i="5" s="1"/>
  <c r="D24" i="5"/>
  <c r="E24" i="5" s="1"/>
  <c r="D16" i="5"/>
  <c r="E16" i="5" s="1"/>
  <c r="D8" i="5"/>
  <c r="E8" i="5" s="1"/>
  <c r="F49" i="5" l="1"/>
  <c r="F122" i="5"/>
  <c r="F129" i="5"/>
  <c r="F130" i="5"/>
  <c r="F100" i="5"/>
  <c r="F150" i="5"/>
  <c r="E175" i="5"/>
  <c r="F166" i="5"/>
  <c r="F170" i="5"/>
  <c r="F182" i="5"/>
  <c r="F164" i="5"/>
  <c r="F145" i="5"/>
  <c r="F81" i="5"/>
  <c r="F174" i="5"/>
  <c r="F26" i="5"/>
  <c r="F90" i="5"/>
  <c r="F154" i="5"/>
  <c r="F108" i="5"/>
  <c r="F34" i="5"/>
  <c r="F98" i="5"/>
  <c r="F162" i="5"/>
  <c r="F132" i="5"/>
  <c r="F57" i="5"/>
  <c r="F137" i="5"/>
  <c r="F116" i="5"/>
  <c r="F155" i="5"/>
  <c r="F161" i="5"/>
  <c r="F17" i="5"/>
  <c r="F64" i="5"/>
  <c r="F84" i="5"/>
  <c r="F25" i="5"/>
  <c r="F9" i="5"/>
  <c r="F72" i="5"/>
  <c r="F92" i="5"/>
  <c r="F41" i="5"/>
  <c r="F169" i="5"/>
  <c r="F33" i="5"/>
  <c r="F56" i="5"/>
  <c r="F120" i="5"/>
  <c r="F172" i="5"/>
  <c r="F131" i="5"/>
  <c r="F73" i="5"/>
  <c r="F65" i="5"/>
  <c r="F128" i="5"/>
  <c r="F8" i="5"/>
  <c r="F136" i="5"/>
  <c r="F124" i="5"/>
  <c r="F163" i="5"/>
  <c r="F123" i="5"/>
  <c r="F97" i="5"/>
  <c r="F105" i="5"/>
  <c r="F153" i="5"/>
  <c r="F80" i="5"/>
  <c r="F139" i="5"/>
  <c r="F99" i="5"/>
  <c r="F89" i="5"/>
  <c r="F16" i="5"/>
  <c r="F144" i="5"/>
  <c r="F147" i="5"/>
  <c r="F113" i="5"/>
  <c r="F121" i="5"/>
  <c r="F177" i="5"/>
  <c r="F67" i="5"/>
  <c r="F152" i="5"/>
  <c r="F32" i="5"/>
  <c r="F96" i="5"/>
  <c r="F160" i="5"/>
  <c r="F11" i="5"/>
  <c r="F83" i="5"/>
  <c r="F88" i="5"/>
  <c r="F40" i="5"/>
  <c r="F104" i="5"/>
  <c r="F168" i="5"/>
  <c r="F19" i="5"/>
  <c r="F91" i="5"/>
  <c r="F171" i="5"/>
  <c r="F43" i="5"/>
  <c r="F51" i="5"/>
  <c r="F59" i="5"/>
  <c r="F24" i="5"/>
  <c r="F75" i="5"/>
  <c r="E35" i="5"/>
  <c r="F35" i="5"/>
  <c r="F48" i="5"/>
  <c r="F112" i="5"/>
  <c r="F176" i="5"/>
  <c r="F27" i="5"/>
  <c r="F115" i="5"/>
  <c r="F107" i="5"/>
  <c r="F179" i="5"/>
</calcChain>
</file>

<file path=xl/connections.xml><?xml version="1.0" encoding="utf-8"?>
<connections xmlns="http://schemas.openxmlformats.org/spreadsheetml/2006/main">
  <connection id="1" name="DiscountPct" type="6" refreshedVersion="4" background="1" saveData="1">
    <textPr codePage="437" sourceFile="C:\Lien Workspace\16.Loss Severity Model\R Code\data\BaseLoss.csv" comma="1">
      <textFields count="2">
        <textField/>
        <textField/>
      </textFields>
    </textPr>
  </connection>
  <connection id="2" name="DiscountPct1" type="6" refreshedVersion="4" background="1" saveData="1">
    <textPr codePage="437" sourceFile="C:\Users\lien.chen\Desktop\temp.csv" comma="1">
      <textFields count="2">
        <textField/>
        <textField/>
      </textFields>
    </textPr>
  </connection>
  <connection id="3" name="temp" type="6" refreshedVersion="4" background="1" saveData="1">
    <textPr codePage="437" sourceFile="C:\Users\lien.chen\Desktop\temp.csv" space="1" comma="1" consecutive="1" qualifier="singleQuote">
      <textFields count="2">
        <textField/>
        <textField/>
      </textFields>
    </textPr>
  </connection>
  <connection id="4" name="temp1" type="6" refreshedVersion="4" background="1" saveData="1">
    <textPr codePage="437" sourceFile="C:\Users\lien.chen\Desktop\temp.csv" space="1" comma="1" consecutive="1" qualifier="singleQuote">
      <textFields count="2">
        <textField/>
        <textField/>
      </textFields>
    </textPr>
  </connection>
  <connection id="5" name="temp2" type="6" refreshedVersion="4" background="1" saveData="1">
    <textPr codePage="437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<sst xmlns="http://schemas.openxmlformats.org/spreadsheetml/2006/main" count="219" uniqueCount="202">
  <si>
    <t>aggActualDiscountPct</t>
  </si>
  <si>
    <t>aggEstimDiscountPct</t>
  </si>
  <si>
    <t>ActualDiscountPct</t>
  </si>
  <si>
    <t>EstimDiscountPct</t>
  </si>
  <si>
    <t>aggActual</t>
  </si>
  <si>
    <t>aggEstim</t>
  </si>
  <si>
    <t xml:space="preserve">Actual </t>
  </si>
  <si>
    <t>Estimate</t>
  </si>
  <si>
    <t>With HPI and DQTime</t>
  </si>
  <si>
    <t>With zeroBalanceCode</t>
  </si>
  <si>
    <t>aggActualExpenses</t>
  </si>
  <si>
    <t>aggEstimExpenses</t>
  </si>
  <si>
    <t>'2000-02-01'</t>
  </si>
  <si>
    <t>'2000-03-01'</t>
  </si>
  <si>
    <t>'2000-04-01'</t>
  </si>
  <si>
    <t>'2000-05-01'</t>
  </si>
  <si>
    <t>'2000-06-01'</t>
  </si>
  <si>
    <t>'2000-07-01'</t>
  </si>
  <si>
    <t>'2000-08-01'</t>
  </si>
  <si>
    <t>'2000-09-01'</t>
  </si>
  <si>
    <t>'2000-10-01'</t>
  </si>
  <si>
    <t>'2000-11-01'</t>
  </si>
  <si>
    <t>'2000-12-01'</t>
  </si>
  <si>
    <t>'2001-01-01'</t>
  </si>
  <si>
    <t>'2001-02-01'</t>
  </si>
  <si>
    <t>'2001-03-01'</t>
  </si>
  <si>
    <t>'2001-04-01'</t>
  </si>
  <si>
    <t>'2001-05-01'</t>
  </si>
  <si>
    <t>'2001-06-01'</t>
  </si>
  <si>
    <t>'2001-07-01'</t>
  </si>
  <si>
    <t>'2001-08-01'</t>
  </si>
  <si>
    <t>'2001-09-01'</t>
  </si>
  <si>
    <t>'2001-10-01'</t>
  </si>
  <si>
    <t>'2001-11-01'</t>
  </si>
  <si>
    <t>'2001-12-01'</t>
  </si>
  <si>
    <t>'2002-01-01'</t>
  </si>
  <si>
    <t>'2002-02-01'</t>
  </si>
  <si>
    <t>'2002-03-01'</t>
  </si>
  <si>
    <t>'2002-04-01'</t>
  </si>
  <si>
    <t>'2002-05-01'</t>
  </si>
  <si>
    <t>'2002-06-01'</t>
  </si>
  <si>
    <t>'2002-07-01'</t>
  </si>
  <si>
    <t>'2002-08-01'</t>
  </si>
  <si>
    <t>'2002-09-01'</t>
  </si>
  <si>
    <t>'2002-10-01'</t>
  </si>
  <si>
    <t>'2002-11-01'</t>
  </si>
  <si>
    <t>'2002-12-01'</t>
  </si>
  <si>
    <t>'2003-01-01'</t>
  </si>
  <si>
    <t>'2003-02-01'</t>
  </si>
  <si>
    <t>'2003-03-01'</t>
  </si>
  <si>
    <t>'2003-04-01'</t>
  </si>
  <si>
    <t>'2003-05-01'</t>
  </si>
  <si>
    <t>'2003-06-01'</t>
  </si>
  <si>
    <t>'2003-07-01'</t>
  </si>
  <si>
    <t>'2003-08-01'</t>
  </si>
  <si>
    <t>'2003-09-01'</t>
  </si>
  <si>
    <t>'2003-10-01'</t>
  </si>
  <si>
    <t>'2003-11-01'</t>
  </si>
  <si>
    <t>'2003-12-01'</t>
  </si>
  <si>
    <t>'2004-01-01'</t>
  </si>
  <si>
    <t>'2004-02-01'</t>
  </si>
  <si>
    <t>'2004-03-01'</t>
  </si>
  <si>
    <t>'2004-04-01'</t>
  </si>
  <si>
    <t>'2004-05-01'</t>
  </si>
  <si>
    <t>'2004-06-01'</t>
  </si>
  <si>
    <t>'2004-07-01'</t>
  </si>
  <si>
    <t>'2004-08-01'</t>
  </si>
  <si>
    <t>'2004-09-01'</t>
  </si>
  <si>
    <t>'2004-10-01'</t>
  </si>
  <si>
    <t>'2004-11-01'</t>
  </si>
  <si>
    <t>'2004-12-01'</t>
  </si>
  <si>
    <t>'2005-01-01'</t>
  </si>
  <si>
    <t>'2005-02-01'</t>
  </si>
  <si>
    <t>'2005-03-01'</t>
  </si>
  <si>
    <t>'2005-04-01'</t>
  </si>
  <si>
    <t>'2005-05-01'</t>
  </si>
  <si>
    <t>'2005-06-01'</t>
  </si>
  <si>
    <t>'2005-07-01'</t>
  </si>
  <si>
    <t>'2005-08-01'</t>
  </si>
  <si>
    <t>'2005-09-01'</t>
  </si>
  <si>
    <t>'2005-10-01'</t>
  </si>
  <si>
    <t>'2005-11-01'</t>
  </si>
  <si>
    <t>'2005-12-01'</t>
  </si>
  <si>
    <t>'2006-01-01'</t>
  </si>
  <si>
    <t>'2006-02-01'</t>
  </si>
  <si>
    <t>'2006-03-01'</t>
  </si>
  <si>
    <t>'2006-04-01'</t>
  </si>
  <si>
    <t>'2006-05-01'</t>
  </si>
  <si>
    <t>'2006-06-01'</t>
  </si>
  <si>
    <t>'2006-07-01'</t>
  </si>
  <si>
    <t>'2006-08-01'</t>
  </si>
  <si>
    <t>'2006-09-01'</t>
  </si>
  <si>
    <t>'2006-10-01'</t>
  </si>
  <si>
    <t>'2006-11-01'</t>
  </si>
  <si>
    <t>'2006-12-01'</t>
  </si>
  <si>
    <t>'2007-01-01'</t>
  </si>
  <si>
    <t>'2007-02-01'</t>
  </si>
  <si>
    <t>'2007-03-01'</t>
  </si>
  <si>
    <t>'2007-04-01'</t>
  </si>
  <si>
    <t>'2007-05-01'</t>
  </si>
  <si>
    <t>'2007-06-01'</t>
  </si>
  <si>
    <t>'2007-07-01'</t>
  </si>
  <si>
    <t>'2007-08-01'</t>
  </si>
  <si>
    <t>'2007-09-01'</t>
  </si>
  <si>
    <t>'2007-10-01'</t>
  </si>
  <si>
    <t>'2007-11-01'</t>
  </si>
  <si>
    <t>'2007-12-01'</t>
  </si>
  <si>
    <t>'2008-01-01'</t>
  </si>
  <si>
    <t>'2008-02-01'</t>
  </si>
  <si>
    <t>'2008-03-01'</t>
  </si>
  <si>
    <t>'2008-04-01'</t>
  </si>
  <si>
    <t>'2008-05-01'</t>
  </si>
  <si>
    <t>'2008-06-01'</t>
  </si>
  <si>
    <t>'2008-07-01'</t>
  </si>
  <si>
    <t>'2008-08-01'</t>
  </si>
  <si>
    <t>'2008-09-01'</t>
  </si>
  <si>
    <t>'2008-10-01'</t>
  </si>
  <si>
    <t>'2008-11-01'</t>
  </si>
  <si>
    <t>'2008-12-01'</t>
  </si>
  <si>
    <t>'2009-01-01'</t>
  </si>
  <si>
    <t>'2009-02-01'</t>
  </si>
  <si>
    <t>'2009-03-01'</t>
  </si>
  <si>
    <t>'2009-04-01'</t>
  </si>
  <si>
    <t>'2009-05-01'</t>
  </si>
  <si>
    <t>'2009-06-01'</t>
  </si>
  <si>
    <t>'2009-07-01'</t>
  </si>
  <si>
    <t>'2009-08-01'</t>
  </si>
  <si>
    <t>'2009-09-01'</t>
  </si>
  <si>
    <t>'2009-10-01'</t>
  </si>
  <si>
    <t>'2009-11-01'</t>
  </si>
  <si>
    <t>'2009-12-01'</t>
  </si>
  <si>
    <t>'2010-01-01'</t>
  </si>
  <si>
    <t>'2010-02-01'</t>
  </si>
  <si>
    <t>'2010-03-01'</t>
  </si>
  <si>
    <t>'2010-04-01'</t>
  </si>
  <si>
    <t>'2010-05-01'</t>
  </si>
  <si>
    <t>'2010-06-01'</t>
  </si>
  <si>
    <t>'2010-07-01'</t>
  </si>
  <si>
    <t>'2010-08-01'</t>
  </si>
  <si>
    <t>'2010-09-01'</t>
  </si>
  <si>
    <t>'2010-10-01'</t>
  </si>
  <si>
    <t>'2010-11-01'</t>
  </si>
  <si>
    <t>'2010-12-01'</t>
  </si>
  <si>
    <t>'2011-01-01'</t>
  </si>
  <si>
    <t>'2011-02-01'</t>
  </si>
  <si>
    <t>'2011-03-01'</t>
  </si>
  <si>
    <t>'2011-04-01'</t>
  </si>
  <si>
    <t>'2011-05-01'</t>
  </si>
  <si>
    <t>'2011-06-01'</t>
  </si>
  <si>
    <t>'2011-07-01'</t>
  </si>
  <si>
    <t>'2011-08-01'</t>
  </si>
  <si>
    <t>'2011-09-01'</t>
  </si>
  <si>
    <t>'2011-10-01'</t>
  </si>
  <si>
    <t>'2011-11-01'</t>
  </si>
  <si>
    <t>'2011-12-01'</t>
  </si>
  <si>
    <t>'2012-01-01'</t>
  </si>
  <si>
    <t>'2012-02-01'</t>
  </si>
  <si>
    <t>'2012-03-01'</t>
  </si>
  <si>
    <t>'2012-04-01'</t>
  </si>
  <si>
    <t>'2012-05-01'</t>
  </si>
  <si>
    <t>'2012-06-01'</t>
  </si>
  <si>
    <t>'2012-07-01'</t>
  </si>
  <si>
    <t>'2012-08-01'</t>
  </si>
  <si>
    <t>'2012-09-01'</t>
  </si>
  <si>
    <t>'2012-10-01'</t>
  </si>
  <si>
    <t>'2012-11-01'</t>
  </si>
  <si>
    <t>'2012-12-01'</t>
  </si>
  <si>
    <t>'2013-01-01'</t>
  </si>
  <si>
    <t>'2013-02-01'</t>
  </si>
  <si>
    <t>'2013-03-01'</t>
  </si>
  <si>
    <t>'2013-04-01'</t>
  </si>
  <si>
    <t>'2013-05-01'</t>
  </si>
  <si>
    <t>'2013-06-01'</t>
  </si>
  <si>
    <t>'2013-07-01'</t>
  </si>
  <si>
    <t>'2013-08-01'</t>
  </si>
  <si>
    <t>'2013-09-01'</t>
  </si>
  <si>
    <t>'2013-10-01'</t>
  </si>
  <si>
    <t>'2013-11-01'</t>
  </si>
  <si>
    <t>'2013-12-01'</t>
  </si>
  <si>
    <t>'2014-01-01'</t>
  </si>
  <si>
    <t>'2014-02-01'</t>
  </si>
  <si>
    <t>'2014-03-01'</t>
  </si>
  <si>
    <t>'2014-04-01'</t>
  </si>
  <si>
    <t>'2014-05-01'</t>
  </si>
  <si>
    <t>'2014-06-01'</t>
  </si>
  <si>
    <t>'2014-07-01'</t>
  </si>
  <si>
    <t>'2014-08-01'</t>
  </si>
  <si>
    <t>'2014-09-01'</t>
  </si>
  <si>
    <t>Occup,loanpurpose,propertytype</t>
  </si>
  <si>
    <t>Occup,loanpurpose,propertytype, zeroBalanceCode</t>
  </si>
  <si>
    <t>simple without zeroBalanceCode</t>
  </si>
  <si>
    <t>lossDate</t>
  </si>
  <si>
    <t>Total</t>
  </si>
  <si>
    <t>FC</t>
  </si>
  <si>
    <t>REO</t>
  </si>
  <si>
    <t>FC%</t>
  </si>
  <si>
    <t>REO%</t>
  </si>
  <si>
    <t>'lossDate'</t>
  </si>
  <si>
    <t>'REO'</t>
  </si>
  <si>
    <t>'TimeDQ'</t>
  </si>
  <si>
    <t>TimeDQ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</si>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</sst>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Lucida Console"/>
      <family val="3"/>
    </font>
    <font>
      <sz val="10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4" fontId="19" fillId="0" borderId="0" xfId="0" applyNumberFormat="1" applyFont="1" applyAlignment="1">
      <alignment vertical="center"/>
    </xf>
    <xf numFmtId="14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DiscountPct!$B$1</c:f>
              <c:strCache>
                <c:ptCount val="1"/>
                <c:pt idx="0">
                  <c:v>ActualDiscountPct</c:v>
                </c:pt>
              </c:strCache>
            </c:strRef>
          </c:tx>
          <c:marker>
            <c:symbol val="none"/>
          </c:marker>
          <c:cat>
            <c:numRef>
              <c:f>DiscountPct!$A$2:$A$16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DiscountPct!$B$2:$B$16</c:f>
              <c:numCache>
                <c:formatCode>General</c:formatCode>
                <c:ptCount val="15"/>
                <c:pt idx="0">
                  <c:v>54.812222222222204</c:v>
                </c:pt>
                <c:pt idx="1">
                  <c:v>48.35</c:v>
                </c:pt>
                <c:pt idx="2">
                  <c:v>50.973303167420802</c:v>
                </c:pt>
                <c:pt idx="3">
                  <c:v>49.0919495412844</c:v>
                </c:pt>
                <c:pt idx="4">
                  <c:v>48.450809443507602</c:v>
                </c:pt>
                <c:pt idx="5">
                  <c:v>51.968390624999998</c:v>
                </c:pt>
                <c:pt idx="6">
                  <c:v>51.773728489483801</c:v>
                </c:pt>
                <c:pt idx="7">
                  <c:v>49.9790825688073</c:v>
                </c:pt>
                <c:pt idx="8">
                  <c:v>49.665262054507302</c:v>
                </c:pt>
                <c:pt idx="9">
                  <c:v>52.315883544303802</c:v>
                </c:pt>
                <c:pt idx="10">
                  <c:v>52.822645285087702</c:v>
                </c:pt>
                <c:pt idx="11">
                  <c:v>53.939908030506999</c:v>
                </c:pt>
                <c:pt idx="12">
                  <c:v>57.388536377213597</c:v>
                </c:pt>
                <c:pt idx="13">
                  <c:v>57.0402198133092</c:v>
                </c:pt>
                <c:pt idx="14">
                  <c:v>51.029180855959503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DiscountPct!$C$1</c:f>
              <c:strCache>
                <c:ptCount val="1"/>
                <c:pt idx="0">
                  <c:v>EstimDiscountPct</c:v>
                </c:pt>
              </c:strCache>
            </c:strRef>
          </c:tx>
          <c:marker>
            <c:symbol val="none"/>
          </c:marker>
          <c:cat>
            <c:numRef>
              <c:f>DiscountPct!$A$2:$A$16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DiscountPct!$C$2:$C$16</c:f>
              <c:numCache>
                <c:formatCode>General</c:formatCode>
                <c:ptCount val="15"/>
                <c:pt idx="0">
                  <c:v>49.516692775079001</c:v>
                </c:pt>
                <c:pt idx="1">
                  <c:v>50.461736055902001</c:v>
                </c:pt>
                <c:pt idx="2">
                  <c:v>49.722432367615497</c:v>
                </c:pt>
                <c:pt idx="3">
                  <c:v>48.905621276876701</c:v>
                </c:pt>
                <c:pt idx="4">
                  <c:v>49.305088849873499</c:v>
                </c:pt>
                <c:pt idx="5">
                  <c:v>47.126141327565399</c:v>
                </c:pt>
                <c:pt idx="6">
                  <c:v>46.662978224426901</c:v>
                </c:pt>
                <c:pt idx="7">
                  <c:v>47.789303626805399</c:v>
                </c:pt>
                <c:pt idx="8">
                  <c:v>51.587412182563803</c:v>
                </c:pt>
                <c:pt idx="9">
                  <c:v>55.9209274455689</c:v>
                </c:pt>
                <c:pt idx="10">
                  <c:v>55.660774347735398</c:v>
                </c:pt>
                <c:pt idx="11">
                  <c:v>56.025463643719</c:v>
                </c:pt>
                <c:pt idx="12">
                  <c:v>55.509445254974302</c:v>
                </c:pt>
                <c:pt idx="13">
                  <c:v>52.633982995827303</c:v>
                </c:pt>
                <c:pt idx="14">
                  <c:v>51.725001606028997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0080"/>
        <c:axId val="157319936"/>
      </c:lineChart>
      <c:catAx>
        <c:axId val="15443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319936"/>
        <c:crosses val="autoZero"/>
        <c:auto val="1"/>
        <c:lblAlgn val="ctr"/>
        <c:lblOffset val="100"/>
        <c:noMultiLvlLbl val="0"/>
      </c:catAx>
      <c:valAx>
        <c:axId val="157319936"/>
        <c:scaling>
          <c:orientation val="minMax"/>
          <c:min val="4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430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Haircut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DiscountPct!$B$23</c:f>
              <c:strCache>
                <c:ptCount val="1"/>
                <c:pt idx="0">
                  <c:v>aggActualDiscountPct</c:v>
                </c:pt>
              </c:strCache>
            </c:strRef>
          </c:tx>
          <c:marker>
            <c:symbol val="none"/>
          </c:marker>
          <c:cat>
            <c:numRef>
              <c:f>DiscountPct!$A$31:$A$195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DiscountPct!$B$31:$B$195</c:f>
              <c:numCache>
                <c:formatCode>General</c:formatCode>
                <c:ptCount val="165"/>
                <c:pt idx="0">
                  <c:v>65.045000000000002</c:v>
                </c:pt>
                <c:pt idx="1">
                  <c:v>43.241669999999999</c:v>
                </c:pt>
                <c:pt idx="2">
                  <c:v>48.26</c:v>
                </c:pt>
                <c:pt idx="3">
                  <c:v>60.71</c:v>
                </c:pt>
                <c:pt idx="4">
                  <c:v>28.836670000000002</c:v>
                </c:pt>
                <c:pt idx="5">
                  <c:v>68.433999999999997</c:v>
                </c:pt>
                <c:pt idx="6">
                  <c:v>51.10125</c:v>
                </c:pt>
                <c:pt idx="7">
                  <c:v>30.54889</c:v>
                </c:pt>
                <c:pt idx="8">
                  <c:v>31.728750000000002</c:v>
                </c:pt>
                <c:pt idx="9">
                  <c:v>53.648180000000004</c:v>
                </c:pt>
                <c:pt idx="10">
                  <c:v>49.338569999999997</c:v>
                </c:pt>
                <c:pt idx="11">
                  <c:v>49.689230000000002</c:v>
                </c:pt>
                <c:pt idx="12">
                  <c:v>51.25</c:v>
                </c:pt>
                <c:pt idx="13">
                  <c:v>57.664999999999999</c:v>
                </c:pt>
                <c:pt idx="14">
                  <c:v>52.553330000000003</c:v>
                </c:pt>
                <c:pt idx="15">
                  <c:v>46.73583</c:v>
                </c:pt>
                <c:pt idx="16">
                  <c:v>58.533639999999998</c:v>
                </c:pt>
                <c:pt idx="17">
                  <c:v>64.736869999999996</c:v>
                </c:pt>
                <c:pt idx="18">
                  <c:v>49.314779999999999</c:v>
                </c:pt>
                <c:pt idx="19">
                  <c:v>50.488819999999997</c:v>
                </c:pt>
                <c:pt idx="20">
                  <c:v>57.817999999999998</c:v>
                </c:pt>
                <c:pt idx="21">
                  <c:v>43.483910000000002</c:v>
                </c:pt>
                <c:pt idx="22">
                  <c:v>45.187309999999997</c:v>
                </c:pt>
                <c:pt idx="23">
                  <c:v>49.195</c:v>
                </c:pt>
                <c:pt idx="24">
                  <c:v>42.428890000000003</c:v>
                </c:pt>
                <c:pt idx="25">
                  <c:v>59.917409999999997</c:v>
                </c:pt>
                <c:pt idx="26">
                  <c:v>52.364350000000002</c:v>
                </c:pt>
                <c:pt idx="27">
                  <c:v>46.185130000000001</c:v>
                </c:pt>
                <c:pt idx="28">
                  <c:v>44.519820000000003</c:v>
                </c:pt>
                <c:pt idx="29">
                  <c:v>48.959119999999999</c:v>
                </c:pt>
                <c:pt idx="30">
                  <c:v>54.040939999999999</c:v>
                </c:pt>
                <c:pt idx="31">
                  <c:v>57.668819999999997</c:v>
                </c:pt>
                <c:pt idx="32">
                  <c:v>45.013500000000001</c:v>
                </c:pt>
                <c:pt idx="33">
                  <c:v>52.283659999999998</c:v>
                </c:pt>
                <c:pt idx="34">
                  <c:v>44.176299999999998</c:v>
                </c:pt>
                <c:pt idx="35">
                  <c:v>46.061329999999998</c:v>
                </c:pt>
                <c:pt idx="36">
                  <c:v>54.056220000000003</c:v>
                </c:pt>
                <c:pt idx="37">
                  <c:v>42.064999999999998</c:v>
                </c:pt>
                <c:pt idx="38">
                  <c:v>45.748750000000001</c:v>
                </c:pt>
                <c:pt idx="39">
                  <c:v>45.58419</c:v>
                </c:pt>
                <c:pt idx="40">
                  <c:v>51.647289999999998</c:v>
                </c:pt>
                <c:pt idx="41">
                  <c:v>51.805689999999998</c:v>
                </c:pt>
                <c:pt idx="42">
                  <c:v>52.953679999999999</c:v>
                </c:pt>
                <c:pt idx="43">
                  <c:v>45.968110000000003</c:v>
                </c:pt>
                <c:pt idx="44">
                  <c:v>44.305329999999998</c:v>
                </c:pt>
                <c:pt idx="45">
                  <c:v>38.461570000000002</c:v>
                </c:pt>
                <c:pt idx="46">
                  <c:v>48.784799999999997</c:v>
                </c:pt>
                <c:pt idx="47">
                  <c:v>55.765999999999998</c:v>
                </c:pt>
                <c:pt idx="48">
                  <c:v>53.828499999999998</c:v>
                </c:pt>
                <c:pt idx="49">
                  <c:v>51.305489999999999</c:v>
                </c:pt>
                <c:pt idx="50">
                  <c:v>49.108730000000001</c:v>
                </c:pt>
                <c:pt idx="51">
                  <c:v>47.379049999999999</c:v>
                </c:pt>
                <c:pt idx="52">
                  <c:v>51.332619999999999</c:v>
                </c:pt>
                <c:pt idx="53">
                  <c:v>52.851880000000001</c:v>
                </c:pt>
                <c:pt idx="54">
                  <c:v>56.127890000000001</c:v>
                </c:pt>
                <c:pt idx="55">
                  <c:v>52.030200000000001</c:v>
                </c:pt>
                <c:pt idx="56">
                  <c:v>54.232460000000003</c:v>
                </c:pt>
                <c:pt idx="57">
                  <c:v>55.731999999999999</c:v>
                </c:pt>
                <c:pt idx="58">
                  <c:v>51.607570000000003</c:v>
                </c:pt>
                <c:pt idx="59">
                  <c:v>50.398890000000002</c:v>
                </c:pt>
                <c:pt idx="60">
                  <c:v>45.927059999999997</c:v>
                </c:pt>
                <c:pt idx="61">
                  <c:v>48.855710000000002</c:v>
                </c:pt>
                <c:pt idx="62">
                  <c:v>49.872709999999998</c:v>
                </c:pt>
                <c:pt idx="63">
                  <c:v>58.047690000000003</c:v>
                </c:pt>
                <c:pt idx="64">
                  <c:v>52.146120000000003</c:v>
                </c:pt>
                <c:pt idx="65">
                  <c:v>56.025640000000003</c:v>
                </c:pt>
                <c:pt idx="66">
                  <c:v>56.530700000000003</c:v>
                </c:pt>
                <c:pt idx="67">
                  <c:v>54.517449999999997</c:v>
                </c:pt>
                <c:pt idx="68">
                  <c:v>48.050220000000003</c:v>
                </c:pt>
                <c:pt idx="69">
                  <c:v>54.615850000000002</c:v>
                </c:pt>
                <c:pt idx="70">
                  <c:v>47.764780000000002</c:v>
                </c:pt>
                <c:pt idx="71">
                  <c:v>49.121789999999997</c:v>
                </c:pt>
                <c:pt idx="72">
                  <c:v>52.140940000000001</c:v>
                </c:pt>
                <c:pt idx="73">
                  <c:v>55.464210000000001</c:v>
                </c:pt>
                <c:pt idx="74">
                  <c:v>45.705359999999999</c:v>
                </c:pt>
                <c:pt idx="75">
                  <c:v>46.136249999999997</c:v>
                </c:pt>
                <c:pt idx="76">
                  <c:v>60.368250000000003</c:v>
                </c:pt>
                <c:pt idx="77">
                  <c:v>48.210799999999999</c:v>
                </c:pt>
                <c:pt idx="78">
                  <c:v>51.427909999999997</c:v>
                </c:pt>
                <c:pt idx="79">
                  <c:v>48.539619999999999</c:v>
                </c:pt>
                <c:pt idx="80">
                  <c:v>47.789149999999999</c:v>
                </c:pt>
                <c:pt idx="81">
                  <c:v>50.190640000000002</c:v>
                </c:pt>
                <c:pt idx="82">
                  <c:v>47.863950000000003</c:v>
                </c:pt>
                <c:pt idx="83">
                  <c:v>51.898919999999997</c:v>
                </c:pt>
                <c:pt idx="84">
                  <c:v>53.50432</c:v>
                </c:pt>
                <c:pt idx="85">
                  <c:v>48.695999999999998</c:v>
                </c:pt>
                <c:pt idx="86">
                  <c:v>48.223280000000003</c:v>
                </c:pt>
                <c:pt idx="87">
                  <c:v>47.33323</c:v>
                </c:pt>
                <c:pt idx="88">
                  <c:v>46.87988</c:v>
                </c:pt>
                <c:pt idx="89">
                  <c:v>51.156869999999998</c:v>
                </c:pt>
                <c:pt idx="90">
                  <c:v>48.482550000000003</c:v>
                </c:pt>
                <c:pt idx="91">
                  <c:v>52.701149999999998</c:v>
                </c:pt>
                <c:pt idx="92">
                  <c:v>51.254019999999997</c:v>
                </c:pt>
                <c:pt idx="93">
                  <c:v>46.351410000000001</c:v>
                </c:pt>
                <c:pt idx="94">
                  <c:v>48.341589999999997</c:v>
                </c:pt>
                <c:pt idx="95">
                  <c:v>50.060499999999998</c:v>
                </c:pt>
                <c:pt idx="96">
                  <c:v>52.891280000000002</c:v>
                </c:pt>
                <c:pt idx="97">
                  <c:v>46.45722</c:v>
                </c:pt>
                <c:pt idx="98">
                  <c:v>48.0807</c:v>
                </c:pt>
                <c:pt idx="99">
                  <c:v>50.738399999999999</c:v>
                </c:pt>
                <c:pt idx="100">
                  <c:v>53.096119999999999</c:v>
                </c:pt>
                <c:pt idx="101">
                  <c:v>50.732939999999999</c:v>
                </c:pt>
                <c:pt idx="102">
                  <c:v>53.963940000000001</c:v>
                </c:pt>
                <c:pt idx="103">
                  <c:v>54.80142</c:v>
                </c:pt>
                <c:pt idx="104">
                  <c:v>51.075499999999998</c:v>
                </c:pt>
                <c:pt idx="105">
                  <c:v>51.777030000000003</c:v>
                </c:pt>
                <c:pt idx="106">
                  <c:v>55.99306</c:v>
                </c:pt>
                <c:pt idx="107">
                  <c:v>53.605289999999997</c:v>
                </c:pt>
                <c:pt idx="108">
                  <c:v>50.870420000000003</c:v>
                </c:pt>
                <c:pt idx="109">
                  <c:v>54.157879999999999</c:v>
                </c:pt>
                <c:pt idx="110">
                  <c:v>51.701880000000003</c:v>
                </c:pt>
                <c:pt idx="111">
                  <c:v>55.14076</c:v>
                </c:pt>
                <c:pt idx="112">
                  <c:v>52.44247</c:v>
                </c:pt>
                <c:pt idx="113">
                  <c:v>55.494990000000001</c:v>
                </c:pt>
                <c:pt idx="114">
                  <c:v>51.510370000000002</c:v>
                </c:pt>
                <c:pt idx="115">
                  <c:v>52.016599999999997</c:v>
                </c:pt>
                <c:pt idx="116">
                  <c:v>50.597880000000004</c:v>
                </c:pt>
                <c:pt idx="117">
                  <c:v>51.503239999999998</c:v>
                </c:pt>
                <c:pt idx="118">
                  <c:v>52.30865</c:v>
                </c:pt>
                <c:pt idx="119">
                  <c:v>53.863010000000003</c:v>
                </c:pt>
                <c:pt idx="120">
                  <c:v>51.616210000000002</c:v>
                </c:pt>
                <c:pt idx="121">
                  <c:v>51.650289999999998</c:v>
                </c:pt>
                <c:pt idx="122">
                  <c:v>52.7196</c:v>
                </c:pt>
                <c:pt idx="123">
                  <c:v>52.734400000000001</c:v>
                </c:pt>
                <c:pt idx="124">
                  <c:v>55.697360000000003</c:v>
                </c:pt>
                <c:pt idx="125">
                  <c:v>53.509749999999997</c:v>
                </c:pt>
                <c:pt idx="126">
                  <c:v>55.910409999999999</c:v>
                </c:pt>
                <c:pt idx="127">
                  <c:v>55.506169999999997</c:v>
                </c:pt>
                <c:pt idx="128">
                  <c:v>56.514600000000002</c:v>
                </c:pt>
                <c:pt idx="129">
                  <c:v>53.739939999999997</c:v>
                </c:pt>
                <c:pt idx="130">
                  <c:v>53.289479999999998</c:v>
                </c:pt>
                <c:pt idx="131">
                  <c:v>53.942360000000001</c:v>
                </c:pt>
                <c:pt idx="132">
                  <c:v>55.128740000000001</c:v>
                </c:pt>
                <c:pt idx="133">
                  <c:v>53.748040000000003</c:v>
                </c:pt>
                <c:pt idx="134">
                  <c:v>57.908769999999997</c:v>
                </c:pt>
                <c:pt idx="135">
                  <c:v>58.249899999999997</c:v>
                </c:pt>
                <c:pt idx="136">
                  <c:v>58.496160000000003</c:v>
                </c:pt>
                <c:pt idx="137">
                  <c:v>61.098840000000003</c:v>
                </c:pt>
                <c:pt idx="138">
                  <c:v>55.930120000000002</c:v>
                </c:pt>
                <c:pt idx="139">
                  <c:v>59.567610000000002</c:v>
                </c:pt>
                <c:pt idx="140">
                  <c:v>56.155259999999998</c:v>
                </c:pt>
                <c:pt idx="141">
                  <c:v>56.555889999999998</c:v>
                </c:pt>
                <c:pt idx="142">
                  <c:v>58.502040000000001</c:v>
                </c:pt>
                <c:pt idx="143">
                  <c:v>55.298650000000002</c:v>
                </c:pt>
                <c:pt idx="144">
                  <c:v>57.669199999999996</c:v>
                </c:pt>
                <c:pt idx="145">
                  <c:v>57.529380000000003</c:v>
                </c:pt>
                <c:pt idx="146">
                  <c:v>58.060139999999997</c:v>
                </c:pt>
                <c:pt idx="147">
                  <c:v>57.5959</c:v>
                </c:pt>
                <c:pt idx="148">
                  <c:v>57.280740000000002</c:v>
                </c:pt>
                <c:pt idx="149">
                  <c:v>59.869819999999997</c:v>
                </c:pt>
                <c:pt idx="150">
                  <c:v>56.683680000000003</c:v>
                </c:pt>
                <c:pt idx="151">
                  <c:v>52.734290000000001</c:v>
                </c:pt>
                <c:pt idx="152">
                  <c:v>57.450130000000001</c:v>
                </c:pt>
                <c:pt idx="153">
                  <c:v>56.179139999999997</c:v>
                </c:pt>
                <c:pt idx="154">
                  <c:v>56.624429999999997</c:v>
                </c:pt>
                <c:pt idx="155">
                  <c:v>55.629489999999997</c:v>
                </c:pt>
                <c:pt idx="156">
                  <c:v>54.062269999999998</c:v>
                </c:pt>
                <c:pt idx="157">
                  <c:v>51.562989999999999</c:v>
                </c:pt>
                <c:pt idx="158">
                  <c:v>54.996220000000001</c:v>
                </c:pt>
                <c:pt idx="159">
                  <c:v>54.349179999999997</c:v>
                </c:pt>
                <c:pt idx="160">
                  <c:v>52.91</c:v>
                </c:pt>
                <c:pt idx="161">
                  <c:v>53.025069999999999</c:v>
                </c:pt>
                <c:pt idx="162">
                  <c:v>47.28828</c:v>
                </c:pt>
                <c:pt idx="163">
                  <c:v>52.017290000000003</c:v>
                </c:pt>
                <c:pt idx="164">
                  <c:v>35.852960000000003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DiscountPct!$C$23</c:f>
              <c:strCache>
                <c:ptCount val="1"/>
                <c:pt idx="0">
                  <c:v>aggEstimDiscountPct</c:v>
                </c:pt>
              </c:strCache>
            </c:strRef>
          </c:tx>
          <c:marker>
            <c:symbol val="none"/>
          </c:marker>
          <c:cat>
            <c:numRef>
              <c:f>DiscountPct!$A$31:$A$195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DiscountPct!$C$31:$C$195</c:f>
              <c:numCache>
                <c:formatCode>General</c:formatCode>
                <c:ptCount val="165"/>
                <c:pt idx="0">
                  <c:v>46.574330000000003</c:v>
                </c:pt>
                <c:pt idx="1">
                  <c:v>55.517479999999999</c:v>
                </c:pt>
                <c:pt idx="2">
                  <c:v>50.76484</c:v>
                </c:pt>
                <c:pt idx="3">
                  <c:v>46.87735</c:v>
                </c:pt>
                <c:pt idx="4">
                  <c:v>40.405410000000003</c:v>
                </c:pt>
                <c:pt idx="5">
                  <c:v>58.200740000000003</c:v>
                </c:pt>
                <c:pt idx="6">
                  <c:v>52.936430000000001</c:v>
                </c:pt>
                <c:pt idx="7">
                  <c:v>45.522190000000002</c:v>
                </c:pt>
                <c:pt idx="8">
                  <c:v>38.512360000000001</c:v>
                </c:pt>
                <c:pt idx="9">
                  <c:v>52.845300000000002</c:v>
                </c:pt>
                <c:pt idx="10">
                  <c:v>50.124130000000001</c:v>
                </c:pt>
                <c:pt idx="11">
                  <c:v>47.552570000000003</c:v>
                </c:pt>
                <c:pt idx="12">
                  <c:v>50.715089999999996</c:v>
                </c:pt>
                <c:pt idx="13">
                  <c:v>50.436</c:v>
                </c:pt>
                <c:pt idx="14">
                  <c:v>48.105490000000003</c:v>
                </c:pt>
                <c:pt idx="15">
                  <c:v>49.091650000000001</c:v>
                </c:pt>
                <c:pt idx="16">
                  <c:v>47.906829999999999</c:v>
                </c:pt>
                <c:pt idx="17">
                  <c:v>47.339489999999998</c:v>
                </c:pt>
                <c:pt idx="18">
                  <c:v>46.593249999999998</c:v>
                </c:pt>
                <c:pt idx="19">
                  <c:v>45.417610000000003</c:v>
                </c:pt>
                <c:pt idx="20">
                  <c:v>49.150080000000003</c:v>
                </c:pt>
                <c:pt idx="21">
                  <c:v>50.456159999999997</c:v>
                </c:pt>
                <c:pt idx="22">
                  <c:v>46.361519999999999</c:v>
                </c:pt>
                <c:pt idx="23">
                  <c:v>48.223599999999998</c:v>
                </c:pt>
                <c:pt idx="24">
                  <c:v>46.908369999999998</c:v>
                </c:pt>
                <c:pt idx="25">
                  <c:v>48.509010000000004</c:v>
                </c:pt>
                <c:pt idx="26">
                  <c:v>47.072499999999998</c:v>
                </c:pt>
                <c:pt idx="27">
                  <c:v>46.589700000000001</c:v>
                </c:pt>
                <c:pt idx="28">
                  <c:v>48.184980000000003</c:v>
                </c:pt>
                <c:pt idx="29">
                  <c:v>46.584029999999998</c:v>
                </c:pt>
                <c:pt idx="30">
                  <c:v>45.73995</c:v>
                </c:pt>
                <c:pt idx="31">
                  <c:v>48.902819999999998</c:v>
                </c:pt>
                <c:pt idx="32">
                  <c:v>47.296140000000001</c:v>
                </c:pt>
                <c:pt idx="33">
                  <c:v>48.412999999999997</c:v>
                </c:pt>
                <c:pt idx="34">
                  <c:v>46.388339999999999</c:v>
                </c:pt>
                <c:pt idx="35">
                  <c:v>47.60765</c:v>
                </c:pt>
                <c:pt idx="36">
                  <c:v>47.965699999999998</c:v>
                </c:pt>
                <c:pt idx="37">
                  <c:v>48.199550000000002</c:v>
                </c:pt>
                <c:pt idx="38">
                  <c:v>48.058190000000003</c:v>
                </c:pt>
                <c:pt idx="39">
                  <c:v>45.962519999999998</c:v>
                </c:pt>
                <c:pt idx="40">
                  <c:v>48.714599999999997</c:v>
                </c:pt>
                <c:pt idx="41">
                  <c:v>48.199399999999997</c:v>
                </c:pt>
                <c:pt idx="42">
                  <c:v>48.763579999999997</c:v>
                </c:pt>
                <c:pt idx="43">
                  <c:v>46.107509999999998</c:v>
                </c:pt>
                <c:pt idx="44">
                  <c:v>45.386330000000001</c:v>
                </c:pt>
                <c:pt idx="45">
                  <c:v>47.60257</c:v>
                </c:pt>
                <c:pt idx="46">
                  <c:v>48.291699999999999</c:v>
                </c:pt>
                <c:pt idx="47">
                  <c:v>47.378459999999997</c:v>
                </c:pt>
                <c:pt idx="48">
                  <c:v>44.735950000000003</c:v>
                </c:pt>
                <c:pt idx="49">
                  <c:v>45.565890000000003</c:v>
                </c:pt>
                <c:pt idx="50">
                  <c:v>46.7166</c:v>
                </c:pt>
                <c:pt idx="51">
                  <c:v>45.619439999999997</c:v>
                </c:pt>
                <c:pt idx="52">
                  <c:v>45.121090000000002</c:v>
                </c:pt>
                <c:pt idx="53">
                  <c:v>45.554510000000001</c:v>
                </c:pt>
                <c:pt idx="54">
                  <c:v>47.161459999999998</c:v>
                </c:pt>
                <c:pt idx="55">
                  <c:v>43.698909999999998</c:v>
                </c:pt>
                <c:pt idx="56">
                  <c:v>44.272190000000002</c:v>
                </c:pt>
                <c:pt idx="57">
                  <c:v>45.63015</c:v>
                </c:pt>
                <c:pt idx="58">
                  <c:v>45.044289999999997</c:v>
                </c:pt>
                <c:pt idx="59">
                  <c:v>42.97099</c:v>
                </c:pt>
                <c:pt idx="60">
                  <c:v>44.98742</c:v>
                </c:pt>
                <c:pt idx="61">
                  <c:v>42.246740000000003</c:v>
                </c:pt>
                <c:pt idx="62">
                  <c:v>43.128909999999998</c:v>
                </c:pt>
                <c:pt idx="63">
                  <c:v>46.087629999999997</c:v>
                </c:pt>
                <c:pt idx="64">
                  <c:v>43.311050000000002</c:v>
                </c:pt>
                <c:pt idx="65">
                  <c:v>47.299379999999999</c:v>
                </c:pt>
                <c:pt idx="66">
                  <c:v>46.15448</c:v>
                </c:pt>
                <c:pt idx="67">
                  <c:v>45.397390000000001</c:v>
                </c:pt>
                <c:pt idx="68">
                  <c:v>43.668129999999998</c:v>
                </c:pt>
                <c:pt idx="69">
                  <c:v>44.625329999999998</c:v>
                </c:pt>
                <c:pt idx="70">
                  <c:v>44.591569999999997</c:v>
                </c:pt>
                <c:pt idx="71">
                  <c:v>45.651269999999997</c:v>
                </c:pt>
                <c:pt idx="72">
                  <c:v>46.044249999999998</c:v>
                </c:pt>
                <c:pt idx="73">
                  <c:v>46.300739999999998</c:v>
                </c:pt>
                <c:pt idx="74">
                  <c:v>42.586820000000003</c:v>
                </c:pt>
                <c:pt idx="75">
                  <c:v>44.486579999999996</c:v>
                </c:pt>
                <c:pt idx="76">
                  <c:v>48.89423</c:v>
                </c:pt>
                <c:pt idx="77">
                  <c:v>47.321669999999997</c:v>
                </c:pt>
                <c:pt idx="78">
                  <c:v>46.536679999999997</c:v>
                </c:pt>
                <c:pt idx="79">
                  <c:v>45.4831</c:v>
                </c:pt>
                <c:pt idx="80">
                  <c:v>45.786349999999999</c:v>
                </c:pt>
                <c:pt idx="81">
                  <c:v>47.90645</c:v>
                </c:pt>
                <c:pt idx="82">
                  <c:v>45.255740000000003</c:v>
                </c:pt>
                <c:pt idx="83">
                  <c:v>50.512039999999999</c:v>
                </c:pt>
                <c:pt idx="84">
                  <c:v>49.685139999999997</c:v>
                </c:pt>
                <c:pt idx="85">
                  <c:v>48.74492</c:v>
                </c:pt>
                <c:pt idx="86">
                  <c:v>49.929180000000002</c:v>
                </c:pt>
                <c:pt idx="87">
                  <c:v>50.275170000000003</c:v>
                </c:pt>
                <c:pt idx="88">
                  <c:v>48.057830000000003</c:v>
                </c:pt>
                <c:pt idx="89">
                  <c:v>48.801400000000001</c:v>
                </c:pt>
                <c:pt idx="90">
                  <c:v>49.436079999999997</c:v>
                </c:pt>
                <c:pt idx="91">
                  <c:v>52.52908</c:v>
                </c:pt>
                <c:pt idx="92">
                  <c:v>51.206719999999997</c:v>
                </c:pt>
                <c:pt idx="93">
                  <c:v>51.349429999999998</c:v>
                </c:pt>
                <c:pt idx="94">
                  <c:v>51.135509999999996</c:v>
                </c:pt>
                <c:pt idx="95">
                  <c:v>53.78978</c:v>
                </c:pt>
                <c:pt idx="96">
                  <c:v>57.505920000000003</c:v>
                </c:pt>
                <c:pt idx="97">
                  <c:v>53.437959999999997</c:v>
                </c:pt>
                <c:pt idx="98">
                  <c:v>53.835880000000003</c:v>
                </c:pt>
                <c:pt idx="99">
                  <c:v>55.14967</c:v>
                </c:pt>
                <c:pt idx="100">
                  <c:v>57.829909999999998</c:v>
                </c:pt>
                <c:pt idx="101">
                  <c:v>55.540329999999997</c:v>
                </c:pt>
                <c:pt idx="102">
                  <c:v>56.574570000000001</c:v>
                </c:pt>
                <c:pt idx="103">
                  <c:v>57.91433</c:v>
                </c:pt>
                <c:pt idx="104">
                  <c:v>54.856960000000001</c:v>
                </c:pt>
                <c:pt idx="105">
                  <c:v>55.63429</c:v>
                </c:pt>
                <c:pt idx="106">
                  <c:v>55.095559999999999</c:v>
                </c:pt>
                <c:pt idx="107">
                  <c:v>55.76538</c:v>
                </c:pt>
                <c:pt idx="108">
                  <c:v>54.344549999999998</c:v>
                </c:pt>
                <c:pt idx="109">
                  <c:v>55.818449999999999</c:v>
                </c:pt>
                <c:pt idx="110">
                  <c:v>54.402180000000001</c:v>
                </c:pt>
                <c:pt idx="111">
                  <c:v>55.272100000000002</c:v>
                </c:pt>
                <c:pt idx="112">
                  <c:v>55.570700000000002</c:v>
                </c:pt>
                <c:pt idx="113">
                  <c:v>56.848280000000003</c:v>
                </c:pt>
                <c:pt idx="114">
                  <c:v>56.090820000000001</c:v>
                </c:pt>
                <c:pt idx="115">
                  <c:v>57.18459</c:v>
                </c:pt>
                <c:pt idx="116">
                  <c:v>54.998190000000001</c:v>
                </c:pt>
                <c:pt idx="117">
                  <c:v>57.022320000000001</c:v>
                </c:pt>
                <c:pt idx="118">
                  <c:v>56.367579999999997</c:v>
                </c:pt>
                <c:pt idx="119">
                  <c:v>56.42906</c:v>
                </c:pt>
                <c:pt idx="120">
                  <c:v>55.685650000000003</c:v>
                </c:pt>
                <c:pt idx="121">
                  <c:v>56.617199999999997</c:v>
                </c:pt>
                <c:pt idx="122">
                  <c:v>56.483429999999998</c:v>
                </c:pt>
                <c:pt idx="123">
                  <c:v>55.763080000000002</c:v>
                </c:pt>
                <c:pt idx="124">
                  <c:v>57.086309999999997</c:v>
                </c:pt>
                <c:pt idx="125">
                  <c:v>56.277799999999999</c:v>
                </c:pt>
                <c:pt idx="126">
                  <c:v>56.986370000000001</c:v>
                </c:pt>
                <c:pt idx="127">
                  <c:v>57.01914</c:v>
                </c:pt>
                <c:pt idx="128">
                  <c:v>56.167119999999997</c:v>
                </c:pt>
                <c:pt idx="129">
                  <c:v>56.311019999999999</c:v>
                </c:pt>
                <c:pt idx="130">
                  <c:v>56.746229999999997</c:v>
                </c:pt>
                <c:pt idx="131">
                  <c:v>57.130980000000001</c:v>
                </c:pt>
                <c:pt idx="132">
                  <c:v>56.712789999999998</c:v>
                </c:pt>
                <c:pt idx="133">
                  <c:v>56.56053</c:v>
                </c:pt>
                <c:pt idx="134">
                  <c:v>56.600239999999999</c:v>
                </c:pt>
                <c:pt idx="135">
                  <c:v>56.43092</c:v>
                </c:pt>
                <c:pt idx="136">
                  <c:v>56.271030000000003</c:v>
                </c:pt>
                <c:pt idx="137">
                  <c:v>57.129899999999999</c:v>
                </c:pt>
                <c:pt idx="138">
                  <c:v>55.326189999999997</c:v>
                </c:pt>
                <c:pt idx="139">
                  <c:v>55.78586</c:v>
                </c:pt>
                <c:pt idx="140">
                  <c:v>55.222380000000001</c:v>
                </c:pt>
                <c:pt idx="141">
                  <c:v>55.05292</c:v>
                </c:pt>
                <c:pt idx="142">
                  <c:v>55.791400000000003</c:v>
                </c:pt>
                <c:pt idx="143">
                  <c:v>55.264650000000003</c:v>
                </c:pt>
                <c:pt idx="144">
                  <c:v>54.797089999999997</c:v>
                </c:pt>
                <c:pt idx="145">
                  <c:v>53.79616</c:v>
                </c:pt>
                <c:pt idx="146">
                  <c:v>53.399329999999999</c:v>
                </c:pt>
                <c:pt idx="147">
                  <c:v>53.833840000000002</c:v>
                </c:pt>
                <c:pt idx="148">
                  <c:v>52.263869999999997</c:v>
                </c:pt>
                <c:pt idx="149">
                  <c:v>53.68683</c:v>
                </c:pt>
                <c:pt idx="150">
                  <c:v>52.460009999999997</c:v>
                </c:pt>
                <c:pt idx="151">
                  <c:v>51.347560000000001</c:v>
                </c:pt>
                <c:pt idx="152">
                  <c:v>52.425409999999999</c:v>
                </c:pt>
                <c:pt idx="153">
                  <c:v>51.535710000000002</c:v>
                </c:pt>
                <c:pt idx="154">
                  <c:v>51.587510000000002</c:v>
                </c:pt>
                <c:pt idx="155">
                  <c:v>50.754469999999998</c:v>
                </c:pt>
                <c:pt idx="156">
                  <c:v>50.448689999999999</c:v>
                </c:pt>
                <c:pt idx="157">
                  <c:v>50.374609999999997</c:v>
                </c:pt>
                <c:pt idx="158">
                  <c:v>50.903419999999997</c:v>
                </c:pt>
                <c:pt idx="159">
                  <c:v>51.3262</c:v>
                </c:pt>
                <c:pt idx="160">
                  <c:v>51.51294</c:v>
                </c:pt>
                <c:pt idx="161">
                  <c:v>51.793300000000002</c:v>
                </c:pt>
                <c:pt idx="162">
                  <c:v>51.694200000000002</c:v>
                </c:pt>
                <c:pt idx="163">
                  <c:v>52.10201</c:v>
                </c:pt>
                <c:pt idx="164">
                  <c:v>49.533520000000003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776960"/>
        <c:axId val="314791040"/>
      </c:lineChart>
      <c:dateAx>
        <c:axId val="31477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4791040"/>
        <c:crosses val="autoZero"/>
        <c:auto val="1"/>
        <c:lblOffset val="100"/>
        <c:baseTimeUnit val="months"/>
      </c:dateAx>
      <c:valAx>
        <c:axId val="314791040"/>
        <c:scaling>
          <c:orientation val="minMax"/>
          <c:min val="2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776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DiscountPct!$X$24</c:f>
              <c:strCache>
                <c:ptCount val="1"/>
                <c:pt idx="0">
                  <c:v>aggActualDiscountPct</c:v>
                </c:pt>
              </c:strCache>
            </c:strRef>
          </c:tx>
          <c:marker>
            <c:symbol val="none"/>
          </c:marker>
          <c:cat>
            <c:numRef>
              <c:f>DiscountPct!$W$37:$W$200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DiscountPct!$X$37:$X$200</c:f>
              <c:numCache>
                <c:formatCode>General</c:formatCode>
                <c:ptCount val="164"/>
                <c:pt idx="0">
                  <c:v>46.566719999999997</c:v>
                </c:pt>
                <c:pt idx="1">
                  <c:v>57.664459999999998</c:v>
                </c:pt>
                <c:pt idx="2">
                  <c:v>59.10436</c:v>
                </c:pt>
                <c:pt idx="3">
                  <c:v>56.511850000000003</c:v>
                </c:pt>
                <c:pt idx="4">
                  <c:v>53.7211</c:v>
                </c:pt>
                <c:pt idx="5">
                  <c:v>58.527659999999997</c:v>
                </c:pt>
                <c:pt idx="6">
                  <c:v>57.761450000000004</c:v>
                </c:pt>
                <c:pt idx="7">
                  <c:v>51.322519999999997</c:v>
                </c:pt>
                <c:pt idx="8">
                  <c:v>47.963709999999999</c:v>
                </c:pt>
                <c:pt idx="9">
                  <c:v>50.188879999999997</c:v>
                </c:pt>
                <c:pt idx="10">
                  <c:v>53.714509999999997</c:v>
                </c:pt>
                <c:pt idx="11">
                  <c:v>53.560859999999998</c:v>
                </c:pt>
                <c:pt idx="12">
                  <c:v>57.439340000000001</c:v>
                </c:pt>
                <c:pt idx="13">
                  <c:v>58.131259999999997</c:v>
                </c:pt>
                <c:pt idx="14">
                  <c:v>58.3249</c:v>
                </c:pt>
                <c:pt idx="15">
                  <c:v>56.858310000000003</c:v>
                </c:pt>
                <c:pt idx="16">
                  <c:v>58.741889999999998</c:v>
                </c:pt>
                <c:pt idx="17">
                  <c:v>56.436239999999998</c:v>
                </c:pt>
                <c:pt idx="18">
                  <c:v>56.462350000000001</c:v>
                </c:pt>
                <c:pt idx="19">
                  <c:v>53.862670000000001</c:v>
                </c:pt>
                <c:pt idx="20">
                  <c:v>54.45581</c:v>
                </c:pt>
                <c:pt idx="21">
                  <c:v>55.622660000000003</c:v>
                </c:pt>
                <c:pt idx="22">
                  <c:v>50.239379999999997</c:v>
                </c:pt>
                <c:pt idx="23">
                  <c:v>53.115589999999997</c:v>
                </c:pt>
                <c:pt idx="24">
                  <c:v>54.03125</c:v>
                </c:pt>
                <c:pt idx="25">
                  <c:v>54.953240000000001</c:v>
                </c:pt>
                <c:pt idx="26">
                  <c:v>55.743630000000003</c:v>
                </c:pt>
                <c:pt idx="27">
                  <c:v>52.009390000000003</c:v>
                </c:pt>
                <c:pt idx="28">
                  <c:v>50.604320000000001</c:v>
                </c:pt>
                <c:pt idx="29">
                  <c:v>53.191029999999998</c:v>
                </c:pt>
                <c:pt idx="30">
                  <c:v>54.698709999999998</c:v>
                </c:pt>
                <c:pt idx="31">
                  <c:v>55.916319999999999</c:v>
                </c:pt>
                <c:pt idx="32">
                  <c:v>51.463720000000002</c:v>
                </c:pt>
                <c:pt idx="33">
                  <c:v>52.938220000000001</c:v>
                </c:pt>
                <c:pt idx="34">
                  <c:v>51.578420000000001</c:v>
                </c:pt>
                <c:pt idx="35">
                  <c:v>48.585430000000002</c:v>
                </c:pt>
                <c:pt idx="36">
                  <c:v>45.058570000000003</c:v>
                </c:pt>
                <c:pt idx="37">
                  <c:v>48.686450000000001</c:v>
                </c:pt>
                <c:pt idx="38">
                  <c:v>45.359929999999999</c:v>
                </c:pt>
                <c:pt idx="39">
                  <c:v>51.076070000000001</c:v>
                </c:pt>
                <c:pt idx="40">
                  <c:v>52.900060000000003</c:v>
                </c:pt>
                <c:pt idx="41">
                  <c:v>51.523589999999999</c:v>
                </c:pt>
                <c:pt idx="42">
                  <c:v>53.51867</c:v>
                </c:pt>
                <c:pt idx="43">
                  <c:v>50.458449999999999</c:v>
                </c:pt>
                <c:pt idx="44">
                  <c:v>50.965440000000001</c:v>
                </c:pt>
                <c:pt idx="45">
                  <c:v>46.035310000000003</c:v>
                </c:pt>
                <c:pt idx="46">
                  <c:v>50.681100000000001</c:v>
                </c:pt>
                <c:pt idx="47">
                  <c:v>50.798560000000002</c:v>
                </c:pt>
                <c:pt idx="48">
                  <c:v>52.938110000000002</c:v>
                </c:pt>
                <c:pt idx="49">
                  <c:v>52.738079999999997</c:v>
                </c:pt>
                <c:pt idx="50">
                  <c:v>50.852939999999997</c:v>
                </c:pt>
                <c:pt idx="51">
                  <c:v>52.542310000000001</c:v>
                </c:pt>
                <c:pt idx="52">
                  <c:v>53.16377</c:v>
                </c:pt>
                <c:pt idx="53">
                  <c:v>53.333829999999999</c:v>
                </c:pt>
                <c:pt idx="54">
                  <c:v>53.90849</c:v>
                </c:pt>
                <c:pt idx="55">
                  <c:v>54.94265</c:v>
                </c:pt>
                <c:pt idx="56">
                  <c:v>53.515509999999999</c:v>
                </c:pt>
                <c:pt idx="57">
                  <c:v>54.789079999999998</c:v>
                </c:pt>
                <c:pt idx="58">
                  <c:v>53.678959999999996</c:v>
                </c:pt>
                <c:pt idx="59">
                  <c:v>53.212229999999998</c:v>
                </c:pt>
                <c:pt idx="60">
                  <c:v>53.735080000000004</c:v>
                </c:pt>
                <c:pt idx="61">
                  <c:v>52.245089999999998</c:v>
                </c:pt>
                <c:pt idx="62">
                  <c:v>53.613790000000002</c:v>
                </c:pt>
                <c:pt idx="63">
                  <c:v>56.059159999999999</c:v>
                </c:pt>
                <c:pt idx="64">
                  <c:v>54.408200000000001</c:v>
                </c:pt>
                <c:pt idx="65">
                  <c:v>55.69706</c:v>
                </c:pt>
                <c:pt idx="66">
                  <c:v>53.528350000000003</c:v>
                </c:pt>
                <c:pt idx="67">
                  <c:v>53.320050000000002</c:v>
                </c:pt>
                <c:pt idx="68">
                  <c:v>51.838569999999997</c:v>
                </c:pt>
                <c:pt idx="69">
                  <c:v>51.777239999999999</c:v>
                </c:pt>
                <c:pt idx="70">
                  <c:v>50.008330000000001</c:v>
                </c:pt>
                <c:pt idx="71">
                  <c:v>52.583449999999999</c:v>
                </c:pt>
                <c:pt idx="72">
                  <c:v>52.67022</c:v>
                </c:pt>
                <c:pt idx="73">
                  <c:v>53.180210000000002</c:v>
                </c:pt>
                <c:pt idx="74">
                  <c:v>51.499470000000002</c:v>
                </c:pt>
                <c:pt idx="75">
                  <c:v>52.016260000000003</c:v>
                </c:pt>
                <c:pt idx="76">
                  <c:v>54.265590000000003</c:v>
                </c:pt>
                <c:pt idx="77">
                  <c:v>53.832940000000001</c:v>
                </c:pt>
                <c:pt idx="78">
                  <c:v>53.551110000000001</c:v>
                </c:pt>
                <c:pt idx="79">
                  <c:v>50.395040000000002</c:v>
                </c:pt>
                <c:pt idx="80">
                  <c:v>49.62209</c:v>
                </c:pt>
                <c:pt idx="81">
                  <c:v>47.80424</c:v>
                </c:pt>
                <c:pt idx="82">
                  <c:v>49.593519999999998</c:v>
                </c:pt>
                <c:pt idx="83">
                  <c:v>48.915509999999998</c:v>
                </c:pt>
                <c:pt idx="84">
                  <c:v>49.552039999999998</c:v>
                </c:pt>
                <c:pt idx="85">
                  <c:v>51.115659999999998</c:v>
                </c:pt>
                <c:pt idx="86">
                  <c:v>49.775230000000001</c:v>
                </c:pt>
                <c:pt idx="87">
                  <c:v>49.318849999999998</c:v>
                </c:pt>
                <c:pt idx="88">
                  <c:v>50.969099999999997</c:v>
                </c:pt>
                <c:pt idx="89">
                  <c:v>51.373269999999998</c:v>
                </c:pt>
                <c:pt idx="90">
                  <c:v>52.052030000000002</c:v>
                </c:pt>
                <c:pt idx="91">
                  <c:v>52.258989999999997</c:v>
                </c:pt>
                <c:pt idx="92">
                  <c:v>53.068800000000003</c:v>
                </c:pt>
                <c:pt idx="93">
                  <c:v>51.869790000000002</c:v>
                </c:pt>
                <c:pt idx="94">
                  <c:v>51.732759999999999</c:v>
                </c:pt>
                <c:pt idx="95">
                  <c:v>49.794620000000002</c:v>
                </c:pt>
                <c:pt idx="96">
                  <c:v>49.8155</c:v>
                </c:pt>
                <c:pt idx="97">
                  <c:v>48.477310000000003</c:v>
                </c:pt>
                <c:pt idx="98">
                  <c:v>48.671509999999998</c:v>
                </c:pt>
                <c:pt idx="99">
                  <c:v>49.200600000000001</c:v>
                </c:pt>
                <c:pt idx="100">
                  <c:v>51.493160000000003</c:v>
                </c:pt>
                <c:pt idx="101">
                  <c:v>51.739159999999998</c:v>
                </c:pt>
                <c:pt idx="102">
                  <c:v>53.57741</c:v>
                </c:pt>
                <c:pt idx="103">
                  <c:v>53.758540000000004</c:v>
                </c:pt>
                <c:pt idx="104">
                  <c:v>52.549520000000001</c:v>
                </c:pt>
                <c:pt idx="105">
                  <c:v>53.822339999999997</c:v>
                </c:pt>
                <c:pt idx="106">
                  <c:v>55.119059999999998</c:v>
                </c:pt>
                <c:pt idx="107">
                  <c:v>53.808100000000003</c:v>
                </c:pt>
                <c:pt idx="108">
                  <c:v>52.052860000000003</c:v>
                </c:pt>
                <c:pt idx="109">
                  <c:v>51.390949999999997</c:v>
                </c:pt>
                <c:pt idx="110">
                  <c:v>52.882669999999997</c:v>
                </c:pt>
                <c:pt idx="111">
                  <c:v>54.366190000000003</c:v>
                </c:pt>
                <c:pt idx="112">
                  <c:v>54.496049999999997</c:v>
                </c:pt>
                <c:pt idx="113">
                  <c:v>56.348140000000001</c:v>
                </c:pt>
                <c:pt idx="114">
                  <c:v>53.43777</c:v>
                </c:pt>
                <c:pt idx="115">
                  <c:v>52.491759999999999</c:v>
                </c:pt>
                <c:pt idx="116">
                  <c:v>51.237589999999997</c:v>
                </c:pt>
                <c:pt idx="117">
                  <c:v>51.813800000000001</c:v>
                </c:pt>
                <c:pt idx="118">
                  <c:v>51.158799999999999</c:v>
                </c:pt>
                <c:pt idx="119">
                  <c:v>51.965130000000002</c:v>
                </c:pt>
                <c:pt idx="120">
                  <c:v>51.572870000000002</c:v>
                </c:pt>
                <c:pt idx="121">
                  <c:v>52.684440000000002</c:v>
                </c:pt>
                <c:pt idx="122">
                  <c:v>53.420830000000002</c:v>
                </c:pt>
                <c:pt idx="123">
                  <c:v>54.958060000000003</c:v>
                </c:pt>
                <c:pt idx="124">
                  <c:v>55.559809999999999</c:v>
                </c:pt>
                <c:pt idx="125">
                  <c:v>55.87762</c:v>
                </c:pt>
                <c:pt idx="126">
                  <c:v>55.43976</c:v>
                </c:pt>
                <c:pt idx="127">
                  <c:v>55.491120000000002</c:v>
                </c:pt>
                <c:pt idx="128">
                  <c:v>55.78407</c:v>
                </c:pt>
                <c:pt idx="129">
                  <c:v>55.6282</c:v>
                </c:pt>
                <c:pt idx="130">
                  <c:v>54.996209999999998</c:v>
                </c:pt>
                <c:pt idx="131">
                  <c:v>54.796329999999998</c:v>
                </c:pt>
                <c:pt idx="132">
                  <c:v>54.62809</c:v>
                </c:pt>
                <c:pt idx="133">
                  <c:v>54.613900000000001</c:v>
                </c:pt>
                <c:pt idx="134">
                  <c:v>56.237540000000003</c:v>
                </c:pt>
                <c:pt idx="135">
                  <c:v>57.603270000000002</c:v>
                </c:pt>
                <c:pt idx="136">
                  <c:v>58.923439999999999</c:v>
                </c:pt>
                <c:pt idx="137">
                  <c:v>59.205629999999999</c:v>
                </c:pt>
                <c:pt idx="138">
                  <c:v>58.372030000000002</c:v>
                </c:pt>
                <c:pt idx="139">
                  <c:v>58.199249999999999</c:v>
                </c:pt>
                <c:pt idx="140">
                  <c:v>57.9803</c:v>
                </c:pt>
                <c:pt idx="141">
                  <c:v>57.778619999999997</c:v>
                </c:pt>
                <c:pt idx="142">
                  <c:v>57.823639999999997</c:v>
                </c:pt>
                <c:pt idx="143">
                  <c:v>58.099029999999999</c:v>
                </c:pt>
                <c:pt idx="144">
                  <c:v>56.342089999999999</c:v>
                </c:pt>
                <c:pt idx="145">
                  <c:v>57.388959999999997</c:v>
                </c:pt>
                <c:pt idx="146">
                  <c:v>58.353270000000002</c:v>
                </c:pt>
                <c:pt idx="147">
                  <c:v>57.812159999999999</c:v>
                </c:pt>
                <c:pt idx="148">
                  <c:v>57.930750000000003</c:v>
                </c:pt>
                <c:pt idx="149">
                  <c:v>58.82911</c:v>
                </c:pt>
                <c:pt idx="150">
                  <c:v>58.258000000000003</c:v>
                </c:pt>
                <c:pt idx="151">
                  <c:v>57.878860000000003</c:v>
                </c:pt>
                <c:pt idx="152">
                  <c:v>57.414409999999997</c:v>
                </c:pt>
                <c:pt idx="153">
                  <c:v>55.905279999999998</c:v>
                </c:pt>
                <c:pt idx="154">
                  <c:v>55.533560000000001</c:v>
                </c:pt>
                <c:pt idx="155">
                  <c:v>54.865389999999998</c:v>
                </c:pt>
                <c:pt idx="156">
                  <c:v>54.347610000000003</c:v>
                </c:pt>
                <c:pt idx="157">
                  <c:v>53.809339999999999</c:v>
                </c:pt>
                <c:pt idx="158">
                  <c:v>55.082079999999998</c:v>
                </c:pt>
                <c:pt idx="159">
                  <c:v>54.500160000000001</c:v>
                </c:pt>
                <c:pt idx="160">
                  <c:v>54.781959999999998</c:v>
                </c:pt>
                <c:pt idx="161">
                  <c:v>51.808199999999999</c:v>
                </c:pt>
                <c:pt idx="162">
                  <c:v>48.903599999999997</c:v>
                </c:pt>
                <c:pt idx="163">
                  <c:v>50.3566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DiscountPct!$Y$24</c:f>
              <c:strCache>
                <c:ptCount val="1"/>
                <c:pt idx="0">
                  <c:v>aggEstimDiscountPct</c:v>
                </c:pt>
              </c:strCache>
            </c:strRef>
          </c:tx>
          <c:marker>
            <c:symbol val="none"/>
          </c:marker>
          <c:cat>
            <c:numRef>
              <c:f>DiscountPct!$W$37:$W$200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DiscountPct!$Y$37:$Y$200</c:f>
              <c:numCache>
                <c:formatCode>General</c:formatCode>
                <c:ptCount val="164"/>
                <c:pt idx="0">
                  <c:v>51.04477</c:v>
                </c:pt>
                <c:pt idx="1">
                  <c:v>53.08428</c:v>
                </c:pt>
                <c:pt idx="2">
                  <c:v>52.428710000000002</c:v>
                </c:pt>
                <c:pt idx="3">
                  <c:v>50.024360000000001</c:v>
                </c:pt>
                <c:pt idx="4">
                  <c:v>52.46499</c:v>
                </c:pt>
                <c:pt idx="5">
                  <c:v>51.054459999999999</c:v>
                </c:pt>
                <c:pt idx="6">
                  <c:v>51.367089999999997</c:v>
                </c:pt>
                <c:pt idx="7">
                  <c:v>50.397210000000001</c:v>
                </c:pt>
                <c:pt idx="8">
                  <c:v>48.396659999999997</c:v>
                </c:pt>
                <c:pt idx="9">
                  <c:v>50.361240000000002</c:v>
                </c:pt>
                <c:pt idx="10">
                  <c:v>49.633009999999999</c:v>
                </c:pt>
                <c:pt idx="11">
                  <c:v>51.167099999999998</c:v>
                </c:pt>
                <c:pt idx="12">
                  <c:v>50.572490000000002</c:v>
                </c:pt>
                <c:pt idx="13">
                  <c:v>50.632750000000001</c:v>
                </c:pt>
                <c:pt idx="14">
                  <c:v>51.43441</c:v>
                </c:pt>
                <c:pt idx="15">
                  <c:v>51.413080000000001</c:v>
                </c:pt>
                <c:pt idx="16">
                  <c:v>50.650829999999999</c:v>
                </c:pt>
                <c:pt idx="17">
                  <c:v>50.639009999999999</c:v>
                </c:pt>
                <c:pt idx="18">
                  <c:v>50.475200000000001</c:v>
                </c:pt>
                <c:pt idx="19">
                  <c:v>49.436590000000002</c:v>
                </c:pt>
                <c:pt idx="20">
                  <c:v>49.370229999999999</c:v>
                </c:pt>
                <c:pt idx="21">
                  <c:v>49.701590000000003</c:v>
                </c:pt>
                <c:pt idx="22">
                  <c:v>49.962269999999997</c:v>
                </c:pt>
                <c:pt idx="23">
                  <c:v>49.834310000000002</c:v>
                </c:pt>
                <c:pt idx="24">
                  <c:v>49.633180000000003</c:v>
                </c:pt>
                <c:pt idx="25">
                  <c:v>49.819279999999999</c:v>
                </c:pt>
                <c:pt idx="26">
                  <c:v>49.689250000000001</c:v>
                </c:pt>
                <c:pt idx="27">
                  <c:v>49.353589999999997</c:v>
                </c:pt>
                <c:pt idx="28">
                  <c:v>49.929209999999998</c:v>
                </c:pt>
                <c:pt idx="29">
                  <c:v>49.452599999999997</c:v>
                </c:pt>
                <c:pt idx="30">
                  <c:v>49.841030000000003</c:v>
                </c:pt>
                <c:pt idx="31">
                  <c:v>49.634880000000003</c:v>
                </c:pt>
                <c:pt idx="32">
                  <c:v>48.982619999999997</c:v>
                </c:pt>
                <c:pt idx="33">
                  <c:v>49.293239999999997</c:v>
                </c:pt>
                <c:pt idx="34">
                  <c:v>48.645510000000002</c:v>
                </c:pt>
                <c:pt idx="35">
                  <c:v>49.067</c:v>
                </c:pt>
                <c:pt idx="36">
                  <c:v>48.23124</c:v>
                </c:pt>
                <c:pt idx="37">
                  <c:v>48.750610000000002</c:v>
                </c:pt>
                <c:pt idx="38">
                  <c:v>48.511060000000001</c:v>
                </c:pt>
                <c:pt idx="39">
                  <c:v>48.370049999999999</c:v>
                </c:pt>
                <c:pt idx="40">
                  <c:v>48.653309999999998</c:v>
                </c:pt>
                <c:pt idx="41">
                  <c:v>48.572130000000001</c:v>
                </c:pt>
                <c:pt idx="42">
                  <c:v>48.692039999999999</c:v>
                </c:pt>
                <c:pt idx="43">
                  <c:v>48.2273</c:v>
                </c:pt>
                <c:pt idx="44">
                  <c:v>48.008830000000003</c:v>
                </c:pt>
                <c:pt idx="45">
                  <c:v>48.060099999999998</c:v>
                </c:pt>
                <c:pt idx="46">
                  <c:v>48.390230000000003</c:v>
                </c:pt>
                <c:pt idx="47">
                  <c:v>48.106830000000002</c:v>
                </c:pt>
                <c:pt idx="48">
                  <c:v>48.170189999999998</c:v>
                </c:pt>
                <c:pt idx="49">
                  <c:v>47.495809999999999</c:v>
                </c:pt>
                <c:pt idx="50">
                  <c:v>47.199629999999999</c:v>
                </c:pt>
                <c:pt idx="51">
                  <c:v>47.794330000000002</c:v>
                </c:pt>
                <c:pt idx="52">
                  <c:v>47.267719999999997</c:v>
                </c:pt>
                <c:pt idx="53">
                  <c:v>47.047829999999998</c:v>
                </c:pt>
                <c:pt idx="54">
                  <c:v>47.087949999999999</c:v>
                </c:pt>
                <c:pt idx="55">
                  <c:v>47.058529999999998</c:v>
                </c:pt>
                <c:pt idx="56">
                  <c:v>46.601869999999998</c:v>
                </c:pt>
                <c:pt idx="57">
                  <c:v>46.476680000000002</c:v>
                </c:pt>
                <c:pt idx="58">
                  <c:v>46.743340000000003</c:v>
                </c:pt>
                <c:pt idx="59">
                  <c:v>46.378129999999999</c:v>
                </c:pt>
                <c:pt idx="60">
                  <c:v>47.195810000000002</c:v>
                </c:pt>
                <c:pt idx="61">
                  <c:v>46.413910000000001</c:v>
                </c:pt>
                <c:pt idx="62">
                  <c:v>45.952640000000002</c:v>
                </c:pt>
                <c:pt idx="63">
                  <c:v>47.345930000000003</c:v>
                </c:pt>
                <c:pt idx="64">
                  <c:v>46.549199999999999</c:v>
                </c:pt>
                <c:pt idx="65">
                  <c:v>47.008789999999998</c:v>
                </c:pt>
                <c:pt idx="66">
                  <c:v>47.10613</c:v>
                </c:pt>
                <c:pt idx="67">
                  <c:v>46.960360000000001</c:v>
                </c:pt>
                <c:pt idx="68">
                  <c:v>46.632640000000002</c:v>
                </c:pt>
                <c:pt idx="69">
                  <c:v>46.471260000000001</c:v>
                </c:pt>
                <c:pt idx="70">
                  <c:v>46.282260000000001</c:v>
                </c:pt>
                <c:pt idx="71">
                  <c:v>47.433140000000002</c:v>
                </c:pt>
                <c:pt idx="72">
                  <c:v>48.107050000000001</c:v>
                </c:pt>
                <c:pt idx="73">
                  <c:v>47.470660000000002</c:v>
                </c:pt>
                <c:pt idx="74">
                  <c:v>47.092979999999997</c:v>
                </c:pt>
                <c:pt idx="75">
                  <c:v>47.130459999999999</c:v>
                </c:pt>
                <c:pt idx="76">
                  <c:v>48.150970000000001</c:v>
                </c:pt>
                <c:pt idx="77">
                  <c:v>48.19773</c:v>
                </c:pt>
                <c:pt idx="78">
                  <c:v>48.227110000000003</c:v>
                </c:pt>
                <c:pt idx="79">
                  <c:v>47.914879999999997</c:v>
                </c:pt>
                <c:pt idx="80">
                  <c:v>47.558590000000002</c:v>
                </c:pt>
                <c:pt idx="81">
                  <c:v>48.259599999999999</c:v>
                </c:pt>
                <c:pt idx="82">
                  <c:v>48.17933</c:v>
                </c:pt>
                <c:pt idx="83">
                  <c:v>49.097729999999999</c:v>
                </c:pt>
                <c:pt idx="84">
                  <c:v>49.762039999999999</c:v>
                </c:pt>
                <c:pt idx="85">
                  <c:v>50.493769999999998</c:v>
                </c:pt>
                <c:pt idx="86">
                  <c:v>50.426729999999999</c:v>
                </c:pt>
                <c:pt idx="87">
                  <c:v>50.313969999999998</c:v>
                </c:pt>
                <c:pt idx="88">
                  <c:v>51.477539999999998</c:v>
                </c:pt>
                <c:pt idx="89">
                  <c:v>51.832549999999998</c:v>
                </c:pt>
                <c:pt idx="90">
                  <c:v>52.124859999999998</c:v>
                </c:pt>
                <c:pt idx="91">
                  <c:v>52.560389999999998</c:v>
                </c:pt>
                <c:pt idx="92">
                  <c:v>53.06297</c:v>
                </c:pt>
                <c:pt idx="93">
                  <c:v>53.7468</c:v>
                </c:pt>
                <c:pt idx="94">
                  <c:v>54.13767</c:v>
                </c:pt>
                <c:pt idx="95">
                  <c:v>53.6693</c:v>
                </c:pt>
                <c:pt idx="96">
                  <c:v>54.63053</c:v>
                </c:pt>
                <c:pt idx="97">
                  <c:v>54.517049999999998</c:v>
                </c:pt>
                <c:pt idx="98">
                  <c:v>55.162909999999997</c:v>
                </c:pt>
                <c:pt idx="99">
                  <c:v>55.216999999999999</c:v>
                </c:pt>
                <c:pt idx="100">
                  <c:v>56.460700000000003</c:v>
                </c:pt>
                <c:pt idx="101">
                  <c:v>56.082689999999999</c:v>
                </c:pt>
                <c:pt idx="102">
                  <c:v>56.923340000000003</c:v>
                </c:pt>
                <c:pt idx="103">
                  <c:v>56.472709999999999</c:v>
                </c:pt>
                <c:pt idx="104">
                  <c:v>56.125070000000001</c:v>
                </c:pt>
                <c:pt idx="105">
                  <c:v>55.94764</c:v>
                </c:pt>
                <c:pt idx="106">
                  <c:v>56.723140000000001</c:v>
                </c:pt>
                <c:pt idx="107">
                  <c:v>56.354680000000002</c:v>
                </c:pt>
                <c:pt idx="108">
                  <c:v>55.928570000000001</c:v>
                </c:pt>
                <c:pt idx="109">
                  <c:v>55.864069999999998</c:v>
                </c:pt>
                <c:pt idx="110">
                  <c:v>55.788510000000002</c:v>
                </c:pt>
                <c:pt idx="111">
                  <c:v>56.253030000000003</c:v>
                </c:pt>
                <c:pt idx="112">
                  <c:v>55.906190000000002</c:v>
                </c:pt>
                <c:pt idx="113">
                  <c:v>57.265720000000002</c:v>
                </c:pt>
                <c:pt idx="114">
                  <c:v>56.687240000000003</c:v>
                </c:pt>
                <c:pt idx="115">
                  <c:v>56.594790000000003</c:v>
                </c:pt>
                <c:pt idx="116">
                  <c:v>56.534599999999998</c:v>
                </c:pt>
                <c:pt idx="117">
                  <c:v>56.973700000000001</c:v>
                </c:pt>
                <c:pt idx="118">
                  <c:v>56.934989999999999</c:v>
                </c:pt>
                <c:pt idx="119">
                  <c:v>56.884740000000001</c:v>
                </c:pt>
                <c:pt idx="120">
                  <c:v>56.378720000000001</c:v>
                </c:pt>
                <c:pt idx="121">
                  <c:v>56.264139999999998</c:v>
                </c:pt>
                <c:pt idx="122">
                  <c:v>56.465350000000001</c:v>
                </c:pt>
                <c:pt idx="123">
                  <c:v>57.244950000000003</c:v>
                </c:pt>
                <c:pt idx="124">
                  <c:v>57.085599999999999</c:v>
                </c:pt>
                <c:pt idx="125">
                  <c:v>57.31467</c:v>
                </c:pt>
                <c:pt idx="126">
                  <c:v>57.24915</c:v>
                </c:pt>
                <c:pt idx="127">
                  <c:v>57.254040000000003</c:v>
                </c:pt>
                <c:pt idx="128">
                  <c:v>57.410980000000002</c:v>
                </c:pt>
                <c:pt idx="129">
                  <c:v>57.164499999999997</c:v>
                </c:pt>
                <c:pt idx="130">
                  <c:v>56.997599999999998</c:v>
                </c:pt>
                <c:pt idx="131">
                  <c:v>57.178939999999997</c:v>
                </c:pt>
                <c:pt idx="132">
                  <c:v>56.777340000000002</c:v>
                </c:pt>
                <c:pt idx="133">
                  <c:v>56.594709999999999</c:v>
                </c:pt>
                <c:pt idx="134">
                  <c:v>56.41328</c:v>
                </c:pt>
                <c:pt idx="135">
                  <c:v>56.389029999999998</c:v>
                </c:pt>
                <c:pt idx="136">
                  <c:v>56.698549999999997</c:v>
                </c:pt>
                <c:pt idx="137">
                  <c:v>56.745710000000003</c:v>
                </c:pt>
                <c:pt idx="138">
                  <c:v>56.824629999999999</c:v>
                </c:pt>
                <c:pt idx="139">
                  <c:v>56.382510000000003</c:v>
                </c:pt>
                <c:pt idx="140">
                  <c:v>56.346829999999997</c:v>
                </c:pt>
                <c:pt idx="141">
                  <c:v>56.127839999999999</c:v>
                </c:pt>
                <c:pt idx="142">
                  <c:v>55.820300000000003</c:v>
                </c:pt>
                <c:pt idx="143">
                  <c:v>56.15278</c:v>
                </c:pt>
                <c:pt idx="144">
                  <c:v>55.1509</c:v>
                </c:pt>
                <c:pt idx="145">
                  <c:v>54.956249999999997</c:v>
                </c:pt>
                <c:pt idx="146">
                  <c:v>54.752049999999997</c:v>
                </c:pt>
                <c:pt idx="147">
                  <c:v>54.127670000000002</c:v>
                </c:pt>
                <c:pt idx="148">
                  <c:v>53.627839999999999</c:v>
                </c:pt>
                <c:pt idx="149">
                  <c:v>53.769530000000003</c:v>
                </c:pt>
                <c:pt idx="150">
                  <c:v>53.428870000000003</c:v>
                </c:pt>
                <c:pt idx="151">
                  <c:v>53.168550000000003</c:v>
                </c:pt>
                <c:pt idx="152">
                  <c:v>52.458489999999998</c:v>
                </c:pt>
                <c:pt idx="153">
                  <c:v>51.807490000000001</c:v>
                </c:pt>
                <c:pt idx="154">
                  <c:v>51.789230000000003</c:v>
                </c:pt>
                <c:pt idx="155">
                  <c:v>51.920810000000003</c:v>
                </c:pt>
                <c:pt idx="156">
                  <c:v>50.978729999999999</c:v>
                </c:pt>
                <c:pt idx="157">
                  <c:v>50.666359999999997</c:v>
                </c:pt>
                <c:pt idx="158">
                  <c:v>51.058140000000002</c:v>
                </c:pt>
                <c:pt idx="159">
                  <c:v>50.992510000000003</c:v>
                </c:pt>
                <c:pt idx="160">
                  <c:v>51.76538</c:v>
                </c:pt>
                <c:pt idx="161">
                  <c:v>51.363849999999999</c:v>
                </c:pt>
                <c:pt idx="162">
                  <c:v>51.313760000000002</c:v>
                </c:pt>
                <c:pt idx="163">
                  <c:v>53.218130000000002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389568"/>
        <c:axId val="375579776"/>
      </c:lineChart>
      <c:dateAx>
        <c:axId val="375389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5579776"/>
        <c:crosses val="autoZero"/>
        <c:auto val="1"/>
        <c:lblOffset val="100"/>
        <c:baseTimeUnit val="months"/>
      </c:dateAx>
      <c:valAx>
        <c:axId val="375579776"/>
        <c:scaling>
          <c:orientation val="minMax"/>
          <c:min val="4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389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DiscountPct!$T$24</c:f>
              <c:strCache>
                <c:ptCount val="1"/>
                <c:pt idx="0">
                  <c:v>aggActualDiscountPct</c:v>
                </c:pt>
              </c:strCache>
            </c:strRef>
          </c:tx>
          <c:marker>
            <c:symbol val="none"/>
          </c:marker>
          <c:cat>
            <c:numRef>
              <c:f>DiscountPct!$S$37:$S$200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DiscountPct!$T$37:$T$200</c:f>
              <c:numCache>
                <c:formatCode>General</c:formatCode>
                <c:ptCount val="164"/>
                <c:pt idx="0">
                  <c:v>46.566719999999997</c:v>
                </c:pt>
                <c:pt idx="1">
                  <c:v>57.664459999999998</c:v>
                </c:pt>
                <c:pt idx="2">
                  <c:v>59.10436</c:v>
                </c:pt>
                <c:pt idx="3">
                  <c:v>56.511850000000003</c:v>
                </c:pt>
                <c:pt idx="4">
                  <c:v>53.7211</c:v>
                </c:pt>
                <c:pt idx="5">
                  <c:v>58.527659999999997</c:v>
                </c:pt>
                <c:pt idx="6">
                  <c:v>57.761450000000004</c:v>
                </c:pt>
                <c:pt idx="7">
                  <c:v>51.322519999999997</c:v>
                </c:pt>
                <c:pt idx="8">
                  <c:v>47.963709999999999</c:v>
                </c:pt>
                <c:pt idx="9">
                  <c:v>50.188879999999997</c:v>
                </c:pt>
                <c:pt idx="10">
                  <c:v>53.714509999999997</c:v>
                </c:pt>
                <c:pt idx="11">
                  <c:v>53.560859999999998</c:v>
                </c:pt>
                <c:pt idx="12">
                  <c:v>57.439340000000001</c:v>
                </c:pt>
                <c:pt idx="13">
                  <c:v>58.131259999999997</c:v>
                </c:pt>
                <c:pt idx="14">
                  <c:v>58.3249</c:v>
                </c:pt>
                <c:pt idx="15">
                  <c:v>56.858310000000003</c:v>
                </c:pt>
                <c:pt idx="16">
                  <c:v>58.741889999999998</c:v>
                </c:pt>
                <c:pt idx="17">
                  <c:v>56.436239999999998</c:v>
                </c:pt>
                <c:pt idx="18">
                  <c:v>56.462350000000001</c:v>
                </c:pt>
                <c:pt idx="19">
                  <c:v>53.862670000000001</c:v>
                </c:pt>
                <c:pt idx="20">
                  <c:v>54.45581</c:v>
                </c:pt>
                <c:pt idx="21">
                  <c:v>55.622660000000003</c:v>
                </c:pt>
                <c:pt idx="22">
                  <c:v>50.239379999999997</c:v>
                </c:pt>
                <c:pt idx="23">
                  <c:v>53.115589999999997</c:v>
                </c:pt>
                <c:pt idx="24">
                  <c:v>54.03125</c:v>
                </c:pt>
                <c:pt idx="25">
                  <c:v>54.953240000000001</c:v>
                </c:pt>
                <c:pt idx="26">
                  <c:v>55.743630000000003</c:v>
                </c:pt>
                <c:pt idx="27">
                  <c:v>52.009390000000003</c:v>
                </c:pt>
                <c:pt idx="28">
                  <c:v>50.604320000000001</c:v>
                </c:pt>
                <c:pt idx="29">
                  <c:v>53.191029999999998</c:v>
                </c:pt>
                <c:pt idx="30">
                  <c:v>54.698709999999998</c:v>
                </c:pt>
                <c:pt idx="31">
                  <c:v>55.916319999999999</c:v>
                </c:pt>
                <c:pt idx="32">
                  <c:v>51.463720000000002</c:v>
                </c:pt>
                <c:pt idx="33">
                  <c:v>52.938220000000001</c:v>
                </c:pt>
                <c:pt idx="34">
                  <c:v>51.578420000000001</c:v>
                </c:pt>
                <c:pt idx="35">
                  <c:v>48.585430000000002</c:v>
                </c:pt>
                <c:pt idx="36">
                  <c:v>45.058570000000003</c:v>
                </c:pt>
                <c:pt idx="37">
                  <c:v>48.686450000000001</c:v>
                </c:pt>
                <c:pt idx="38">
                  <c:v>45.359929999999999</c:v>
                </c:pt>
                <c:pt idx="39">
                  <c:v>51.076070000000001</c:v>
                </c:pt>
                <c:pt idx="40">
                  <c:v>52.900060000000003</c:v>
                </c:pt>
                <c:pt idx="41">
                  <c:v>51.523589999999999</c:v>
                </c:pt>
                <c:pt idx="42">
                  <c:v>53.51867</c:v>
                </c:pt>
                <c:pt idx="43">
                  <c:v>50.458449999999999</c:v>
                </c:pt>
                <c:pt idx="44">
                  <c:v>50.965440000000001</c:v>
                </c:pt>
                <c:pt idx="45">
                  <c:v>46.035310000000003</c:v>
                </c:pt>
                <c:pt idx="46">
                  <c:v>50.681100000000001</c:v>
                </c:pt>
                <c:pt idx="47">
                  <c:v>50.798560000000002</c:v>
                </c:pt>
                <c:pt idx="48">
                  <c:v>52.938110000000002</c:v>
                </c:pt>
                <c:pt idx="49">
                  <c:v>52.738079999999997</c:v>
                </c:pt>
                <c:pt idx="50">
                  <c:v>50.852939999999997</c:v>
                </c:pt>
                <c:pt idx="51">
                  <c:v>52.542310000000001</c:v>
                </c:pt>
                <c:pt idx="52">
                  <c:v>53.16377</c:v>
                </c:pt>
                <c:pt idx="53">
                  <c:v>53.333829999999999</c:v>
                </c:pt>
                <c:pt idx="54">
                  <c:v>53.90849</c:v>
                </c:pt>
                <c:pt idx="55">
                  <c:v>54.94265</c:v>
                </c:pt>
                <c:pt idx="56">
                  <c:v>53.515509999999999</c:v>
                </c:pt>
                <c:pt idx="57">
                  <c:v>54.789079999999998</c:v>
                </c:pt>
                <c:pt idx="58">
                  <c:v>53.678959999999996</c:v>
                </c:pt>
                <c:pt idx="59">
                  <c:v>53.212229999999998</c:v>
                </c:pt>
                <c:pt idx="60">
                  <c:v>53.735080000000004</c:v>
                </c:pt>
                <c:pt idx="61">
                  <c:v>52.245089999999998</c:v>
                </c:pt>
                <c:pt idx="62">
                  <c:v>53.613790000000002</c:v>
                </c:pt>
                <c:pt idx="63">
                  <c:v>56.059159999999999</c:v>
                </c:pt>
                <c:pt idx="64">
                  <c:v>54.408200000000001</c:v>
                </c:pt>
                <c:pt idx="65">
                  <c:v>55.69706</c:v>
                </c:pt>
                <c:pt idx="66">
                  <c:v>53.528350000000003</c:v>
                </c:pt>
                <c:pt idx="67">
                  <c:v>53.320050000000002</c:v>
                </c:pt>
                <c:pt idx="68">
                  <c:v>51.838569999999997</c:v>
                </c:pt>
                <c:pt idx="69">
                  <c:v>51.777239999999999</c:v>
                </c:pt>
                <c:pt idx="70">
                  <c:v>50.008330000000001</c:v>
                </c:pt>
                <c:pt idx="71">
                  <c:v>52.583449999999999</c:v>
                </c:pt>
                <c:pt idx="72">
                  <c:v>52.67022</c:v>
                </c:pt>
                <c:pt idx="73">
                  <c:v>53.180210000000002</c:v>
                </c:pt>
                <c:pt idx="74">
                  <c:v>51.499470000000002</c:v>
                </c:pt>
                <c:pt idx="75">
                  <c:v>52.016260000000003</c:v>
                </c:pt>
                <c:pt idx="76">
                  <c:v>54.265590000000003</c:v>
                </c:pt>
                <c:pt idx="77">
                  <c:v>53.832940000000001</c:v>
                </c:pt>
                <c:pt idx="78">
                  <c:v>53.551110000000001</c:v>
                </c:pt>
                <c:pt idx="79">
                  <c:v>50.395040000000002</c:v>
                </c:pt>
                <c:pt idx="80">
                  <c:v>49.62209</c:v>
                </c:pt>
                <c:pt idx="81">
                  <c:v>47.80424</c:v>
                </c:pt>
                <c:pt idx="82">
                  <c:v>49.593519999999998</c:v>
                </c:pt>
                <c:pt idx="83">
                  <c:v>48.915509999999998</c:v>
                </c:pt>
                <c:pt idx="84">
                  <c:v>49.552039999999998</c:v>
                </c:pt>
                <c:pt idx="85">
                  <c:v>51.115659999999998</c:v>
                </c:pt>
                <c:pt idx="86">
                  <c:v>49.775230000000001</c:v>
                </c:pt>
                <c:pt idx="87">
                  <c:v>49.318849999999998</c:v>
                </c:pt>
                <c:pt idx="88">
                  <c:v>50.969099999999997</c:v>
                </c:pt>
                <c:pt idx="89">
                  <c:v>51.373269999999998</c:v>
                </c:pt>
                <c:pt idx="90">
                  <c:v>52.052030000000002</c:v>
                </c:pt>
                <c:pt idx="91">
                  <c:v>52.258989999999997</c:v>
                </c:pt>
                <c:pt idx="92">
                  <c:v>53.068800000000003</c:v>
                </c:pt>
                <c:pt idx="93">
                  <c:v>51.869790000000002</c:v>
                </c:pt>
                <c:pt idx="94">
                  <c:v>51.732759999999999</c:v>
                </c:pt>
                <c:pt idx="95">
                  <c:v>49.794620000000002</c:v>
                </c:pt>
                <c:pt idx="96">
                  <c:v>49.8155</c:v>
                </c:pt>
                <c:pt idx="97">
                  <c:v>48.477310000000003</c:v>
                </c:pt>
                <c:pt idx="98">
                  <c:v>48.671509999999998</c:v>
                </c:pt>
                <c:pt idx="99">
                  <c:v>49.200600000000001</c:v>
                </c:pt>
                <c:pt idx="100">
                  <c:v>51.493160000000003</c:v>
                </c:pt>
                <c:pt idx="101">
                  <c:v>51.739159999999998</c:v>
                </c:pt>
                <c:pt idx="102">
                  <c:v>53.57741</c:v>
                </c:pt>
                <c:pt idx="103">
                  <c:v>53.758540000000004</c:v>
                </c:pt>
                <c:pt idx="104">
                  <c:v>52.549520000000001</c:v>
                </c:pt>
                <c:pt idx="105">
                  <c:v>53.822339999999997</c:v>
                </c:pt>
                <c:pt idx="106">
                  <c:v>55.119059999999998</c:v>
                </c:pt>
                <c:pt idx="107">
                  <c:v>53.808100000000003</c:v>
                </c:pt>
                <c:pt idx="108">
                  <c:v>52.052860000000003</c:v>
                </c:pt>
                <c:pt idx="109">
                  <c:v>51.390949999999997</c:v>
                </c:pt>
                <c:pt idx="110">
                  <c:v>52.882669999999997</c:v>
                </c:pt>
                <c:pt idx="111">
                  <c:v>54.366190000000003</c:v>
                </c:pt>
                <c:pt idx="112">
                  <c:v>54.496049999999997</c:v>
                </c:pt>
                <c:pt idx="113">
                  <c:v>56.348140000000001</c:v>
                </c:pt>
                <c:pt idx="114">
                  <c:v>53.43777</c:v>
                </c:pt>
                <c:pt idx="115">
                  <c:v>52.491759999999999</c:v>
                </c:pt>
                <c:pt idx="116">
                  <c:v>51.237589999999997</c:v>
                </c:pt>
                <c:pt idx="117">
                  <c:v>51.813800000000001</c:v>
                </c:pt>
                <c:pt idx="118">
                  <c:v>51.158799999999999</c:v>
                </c:pt>
                <c:pt idx="119">
                  <c:v>51.965130000000002</c:v>
                </c:pt>
                <c:pt idx="120">
                  <c:v>51.572870000000002</c:v>
                </c:pt>
                <c:pt idx="121">
                  <c:v>52.684440000000002</c:v>
                </c:pt>
                <c:pt idx="122">
                  <c:v>53.420830000000002</c:v>
                </c:pt>
                <c:pt idx="123">
                  <c:v>54.958060000000003</c:v>
                </c:pt>
                <c:pt idx="124">
                  <c:v>55.559809999999999</c:v>
                </c:pt>
                <c:pt idx="125">
                  <c:v>55.87762</c:v>
                </c:pt>
                <c:pt idx="126">
                  <c:v>55.43976</c:v>
                </c:pt>
                <c:pt idx="127">
                  <c:v>55.491120000000002</c:v>
                </c:pt>
                <c:pt idx="128">
                  <c:v>55.78407</c:v>
                </c:pt>
                <c:pt idx="129">
                  <c:v>55.6282</c:v>
                </c:pt>
                <c:pt idx="130">
                  <c:v>54.996209999999998</c:v>
                </c:pt>
                <c:pt idx="131">
                  <c:v>54.796329999999998</c:v>
                </c:pt>
                <c:pt idx="132">
                  <c:v>54.62809</c:v>
                </c:pt>
                <c:pt idx="133">
                  <c:v>54.613900000000001</c:v>
                </c:pt>
                <c:pt idx="134">
                  <c:v>56.237540000000003</c:v>
                </c:pt>
                <c:pt idx="135">
                  <c:v>57.603270000000002</c:v>
                </c:pt>
                <c:pt idx="136">
                  <c:v>58.923439999999999</c:v>
                </c:pt>
                <c:pt idx="137">
                  <c:v>59.205629999999999</c:v>
                </c:pt>
                <c:pt idx="138">
                  <c:v>58.372030000000002</c:v>
                </c:pt>
                <c:pt idx="139">
                  <c:v>58.199249999999999</c:v>
                </c:pt>
                <c:pt idx="140">
                  <c:v>57.9803</c:v>
                </c:pt>
                <c:pt idx="141">
                  <c:v>57.778619999999997</c:v>
                </c:pt>
                <c:pt idx="142">
                  <c:v>57.823639999999997</c:v>
                </c:pt>
                <c:pt idx="143">
                  <c:v>58.099029999999999</c:v>
                </c:pt>
                <c:pt idx="144">
                  <c:v>56.342089999999999</c:v>
                </c:pt>
                <c:pt idx="145">
                  <c:v>57.388959999999997</c:v>
                </c:pt>
                <c:pt idx="146">
                  <c:v>58.353270000000002</c:v>
                </c:pt>
                <c:pt idx="147">
                  <c:v>57.812159999999999</c:v>
                </c:pt>
                <c:pt idx="148">
                  <c:v>57.930750000000003</c:v>
                </c:pt>
                <c:pt idx="149">
                  <c:v>58.82911</c:v>
                </c:pt>
                <c:pt idx="150">
                  <c:v>58.258000000000003</c:v>
                </c:pt>
                <c:pt idx="151">
                  <c:v>57.878860000000003</c:v>
                </c:pt>
                <c:pt idx="152">
                  <c:v>57.414409999999997</c:v>
                </c:pt>
                <c:pt idx="153">
                  <c:v>55.905279999999998</c:v>
                </c:pt>
                <c:pt idx="154">
                  <c:v>55.533560000000001</c:v>
                </c:pt>
                <c:pt idx="155">
                  <c:v>54.865389999999998</c:v>
                </c:pt>
                <c:pt idx="156">
                  <c:v>54.347610000000003</c:v>
                </c:pt>
                <c:pt idx="157">
                  <c:v>53.809339999999999</c:v>
                </c:pt>
                <c:pt idx="158">
                  <c:v>55.082079999999998</c:v>
                </c:pt>
                <c:pt idx="159">
                  <c:v>54.500160000000001</c:v>
                </c:pt>
                <c:pt idx="160">
                  <c:v>54.781959999999998</c:v>
                </c:pt>
                <c:pt idx="161">
                  <c:v>51.808199999999999</c:v>
                </c:pt>
                <c:pt idx="162">
                  <c:v>48.903599999999997</c:v>
                </c:pt>
                <c:pt idx="163">
                  <c:v>50.3566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DiscountPct!$U$24</c:f>
              <c:strCache>
                <c:ptCount val="1"/>
                <c:pt idx="0">
                  <c:v>aggEstimDiscountPct</c:v>
                </c:pt>
              </c:strCache>
            </c:strRef>
          </c:tx>
          <c:marker>
            <c:symbol val="none"/>
          </c:marker>
          <c:cat>
            <c:numRef>
              <c:f>DiscountPct!$S$37:$S$200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DiscountPct!$U$37:$U$200</c:f>
              <c:numCache>
                <c:formatCode>General</c:formatCode>
                <c:ptCount val="164"/>
                <c:pt idx="0">
                  <c:v>50.966410000000003</c:v>
                </c:pt>
                <c:pt idx="1">
                  <c:v>52.57094</c:v>
                </c:pt>
                <c:pt idx="2">
                  <c:v>52.111460000000001</c:v>
                </c:pt>
                <c:pt idx="3">
                  <c:v>49.750230000000002</c:v>
                </c:pt>
                <c:pt idx="4">
                  <c:v>52.157800000000002</c:v>
                </c:pt>
                <c:pt idx="5">
                  <c:v>50.83117</c:v>
                </c:pt>
                <c:pt idx="6">
                  <c:v>50.99982</c:v>
                </c:pt>
                <c:pt idx="7">
                  <c:v>50.191609999999997</c:v>
                </c:pt>
                <c:pt idx="8">
                  <c:v>48.287570000000002</c:v>
                </c:pt>
                <c:pt idx="9">
                  <c:v>50.030230000000003</c:v>
                </c:pt>
                <c:pt idx="10">
                  <c:v>49.171950000000002</c:v>
                </c:pt>
                <c:pt idx="11">
                  <c:v>50.968600000000002</c:v>
                </c:pt>
                <c:pt idx="12">
                  <c:v>50.215440000000001</c:v>
                </c:pt>
                <c:pt idx="13">
                  <c:v>50.171950000000002</c:v>
                </c:pt>
                <c:pt idx="14">
                  <c:v>51.089309999999998</c:v>
                </c:pt>
                <c:pt idx="15">
                  <c:v>51.054389999999998</c:v>
                </c:pt>
                <c:pt idx="16">
                  <c:v>50.344140000000003</c:v>
                </c:pt>
                <c:pt idx="17">
                  <c:v>50.37679</c:v>
                </c:pt>
                <c:pt idx="18">
                  <c:v>50.143450000000001</c:v>
                </c:pt>
                <c:pt idx="19">
                  <c:v>49.140909999999998</c:v>
                </c:pt>
                <c:pt idx="20">
                  <c:v>49.153199999999998</c:v>
                </c:pt>
                <c:pt idx="21">
                  <c:v>49.515830000000001</c:v>
                </c:pt>
                <c:pt idx="22">
                  <c:v>49.784779999999998</c:v>
                </c:pt>
                <c:pt idx="23">
                  <c:v>49.692810000000001</c:v>
                </c:pt>
                <c:pt idx="24">
                  <c:v>49.409190000000002</c:v>
                </c:pt>
                <c:pt idx="25">
                  <c:v>49.627310000000001</c:v>
                </c:pt>
                <c:pt idx="26">
                  <c:v>49.497050000000002</c:v>
                </c:pt>
                <c:pt idx="27">
                  <c:v>49.179859999999998</c:v>
                </c:pt>
                <c:pt idx="28">
                  <c:v>49.741799999999998</c:v>
                </c:pt>
                <c:pt idx="29">
                  <c:v>49.301360000000003</c:v>
                </c:pt>
                <c:pt idx="30">
                  <c:v>49.693820000000002</c:v>
                </c:pt>
                <c:pt idx="31">
                  <c:v>49.490720000000003</c:v>
                </c:pt>
                <c:pt idx="32">
                  <c:v>48.830779999999997</c:v>
                </c:pt>
                <c:pt idx="33">
                  <c:v>49.172490000000003</c:v>
                </c:pt>
                <c:pt idx="34">
                  <c:v>48.546689999999998</c:v>
                </c:pt>
                <c:pt idx="35">
                  <c:v>49.027189999999997</c:v>
                </c:pt>
                <c:pt idx="36">
                  <c:v>48.162300000000002</c:v>
                </c:pt>
                <c:pt idx="37">
                  <c:v>48.620510000000003</c:v>
                </c:pt>
                <c:pt idx="38">
                  <c:v>48.418619999999997</c:v>
                </c:pt>
                <c:pt idx="39">
                  <c:v>48.242400000000004</c:v>
                </c:pt>
                <c:pt idx="40">
                  <c:v>48.585259999999998</c:v>
                </c:pt>
                <c:pt idx="41">
                  <c:v>48.458770000000001</c:v>
                </c:pt>
                <c:pt idx="42">
                  <c:v>48.603949999999998</c:v>
                </c:pt>
                <c:pt idx="43">
                  <c:v>48.12921</c:v>
                </c:pt>
                <c:pt idx="44">
                  <c:v>47.912109999999998</c:v>
                </c:pt>
                <c:pt idx="45">
                  <c:v>47.991869999999999</c:v>
                </c:pt>
                <c:pt idx="46">
                  <c:v>48.324910000000003</c:v>
                </c:pt>
                <c:pt idx="47">
                  <c:v>48.119750000000003</c:v>
                </c:pt>
                <c:pt idx="48">
                  <c:v>48.05603</c:v>
                </c:pt>
                <c:pt idx="49">
                  <c:v>47.421230000000001</c:v>
                </c:pt>
                <c:pt idx="50">
                  <c:v>47.168430000000001</c:v>
                </c:pt>
                <c:pt idx="51">
                  <c:v>47.753149999999998</c:v>
                </c:pt>
                <c:pt idx="52">
                  <c:v>47.227820000000001</c:v>
                </c:pt>
                <c:pt idx="53">
                  <c:v>47.006270000000001</c:v>
                </c:pt>
                <c:pt idx="54">
                  <c:v>46.970089999999999</c:v>
                </c:pt>
                <c:pt idx="55">
                  <c:v>46.956829999999997</c:v>
                </c:pt>
                <c:pt idx="56">
                  <c:v>46.527929999999998</c:v>
                </c:pt>
                <c:pt idx="57">
                  <c:v>46.417400000000001</c:v>
                </c:pt>
                <c:pt idx="58">
                  <c:v>46.758540000000004</c:v>
                </c:pt>
                <c:pt idx="59">
                  <c:v>46.260919999999999</c:v>
                </c:pt>
                <c:pt idx="60">
                  <c:v>47.033769999999997</c:v>
                </c:pt>
                <c:pt idx="61">
                  <c:v>46.352040000000002</c:v>
                </c:pt>
                <c:pt idx="62">
                  <c:v>45.943489999999997</c:v>
                </c:pt>
                <c:pt idx="63">
                  <c:v>47.266199999999998</c:v>
                </c:pt>
                <c:pt idx="64">
                  <c:v>46.500390000000003</c:v>
                </c:pt>
                <c:pt idx="65">
                  <c:v>46.95073</c:v>
                </c:pt>
                <c:pt idx="66">
                  <c:v>46.985790000000001</c:v>
                </c:pt>
                <c:pt idx="67">
                  <c:v>46.934359999999998</c:v>
                </c:pt>
                <c:pt idx="68">
                  <c:v>46.610280000000003</c:v>
                </c:pt>
                <c:pt idx="69">
                  <c:v>46.419499999999999</c:v>
                </c:pt>
                <c:pt idx="70">
                  <c:v>46.264879999999998</c:v>
                </c:pt>
                <c:pt idx="71">
                  <c:v>47.480260000000001</c:v>
                </c:pt>
                <c:pt idx="72">
                  <c:v>47.913809999999998</c:v>
                </c:pt>
                <c:pt idx="73">
                  <c:v>47.445010000000003</c:v>
                </c:pt>
                <c:pt idx="74">
                  <c:v>47.091639999999998</c:v>
                </c:pt>
                <c:pt idx="75">
                  <c:v>47.119929999999997</c:v>
                </c:pt>
                <c:pt idx="76">
                  <c:v>48.048200000000001</c:v>
                </c:pt>
                <c:pt idx="77">
                  <c:v>48.194569999999999</c:v>
                </c:pt>
                <c:pt idx="78">
                  <c:v>48.2804</c:v>
                </c:pt>
                <c:pt idx="79">
                  <c:v>47.902299999999997</c:v>
                </c:pt>
                <c:pt idx="80">
                  <c:v>47.67389</c:v>
                </c:pt>
                <c:pt idx="81">
                  <c:v>48.327219999999997</c:v>
                </c:pt>
                <c:pt idx="82">
                  <c:v>48.246450000000003</c:v>
                </c:pt>
                <c:pt idx="83">
                  <c:v>49.29795</c:v>
                </c:pt>
                <c:pt idx="84">
                  <c:v>49.862780000000001</c:v>
                </c:pt>
                <c:pt idx="85">
                  <c:v>50.664870000000001</c:v>
                </c:pt>
                <c:pt idx="86">
                  <c:v>50.620649999999998</c:v>
                </c:pt>
                <c:pt idx="87">
                  <c:v>50.441369999999999</c:v>
                </c:pt>
                <c:pt idx="88">
                  <c:v>51.724640000000001</c:v>
                </c:pt>
                <c:pt idx="89">
                  <c:v>52.148670000000003</c:v>
                </c:pt>
                <c:pt idx="90">
                  <c:v>52.350619999999999</c:v>
                </c:pt>
                <c:pt idx="91">
                  <c:v>52.778419999999997</c:v>
                </c:pt>
                <c:pt idx="92">
                  <c:v>53.224229999999999</c:v>
                </c:pt>
                <c:pt idx="93">
                  <c:v>53.936950000000003</c:v>
                </c:pt>
                <c:pt idx="94">
                  <c:v>54.376829999999998</c:v>
                </c:pt>
                <c:pt idx="95">
                  <c:v>54.08914</c:v>
                </c:pt>
                <c:pt idx="96">
                  <c:v>55.05415</c:v>
                </c:pt>
                <c:pt idx="97">
                  <c:v>54.772680000000001</c:v>
                </c:pt>
                <c:pt idx="98">
                  <c:v>55.517960000000002</c:v>
                </c:pt>
                <c:pt idx="99">
                  <c:v>55.435870000000001</c:v>
                </c:pt>
                <c:pt idx="100">
                  <c:v>56.666069999999998</c:v>
                </c:pt>
                <c:pt idx="101">
                  <c:v>56.259920000000001</c:v>
                </c:pt>
                <c:pt idx="102">
                  <c:v>57.058390000000003</c:v>
                </c:pt>
                <c:pt idx="103">
                  <c:v>56.61298</c:v>
                </c:pt>
                <c:pt idx="104">
                  <c:v>56.347430000000003</c:v>
                </c:pt>
                <c:pt idx="105">
                  <c:v>56.144739999999999</c:v>
                </c:pt>
                <c:pt idx="106">
                  <c:v>56.896619999999999</c:v>
                </c:pt>
                <c:pt idx="107">
                  <c:v>56.566429999999997</c:v>
                </c:pt>
                <c:pt idx="108">
                  <c:v>55.997810000000001</c:v>
                </c:pt>
                <c:pt idx="109">
                  <c:v>55.97589</c:v>
                </c:pt>
                <c:pt idx="110">
                  <c:v>55.909869999999998</c:v>
                </c:pt>
                <c:pt idx="111">
                  <c:v>56.371989999999997</c:v>
                </c:pt>
                <c:pt idx="112">
                  <c:v>56.059049999999999</c:v>
                </c:pt>
                <c:pt idx="113">
                  <c:v>57.240319999999997</c:v>
                </c:pt>
                <c:pt idx="114">
                  <c:v>56.742579999999997</c:v>
                </c:pt>
                <c:pt idx="115">
                  <c:v>56.646769999999997</c:v>
                </c:pt>
                <c:pt idx="116">
                  <c:v>56.627749999999999</c:v>
                </c:pt>
                <c:pt idx="117">
                  <c:v>57.075040000000001</c:v>
                </c:pt>
                <c:pt idx="118">
                  <c:v>56.998040000000003</c:v>
                </c:pt>
                <c:pt idx="119">
                  <c:v>57.083799999999997</c:v>
                </c:pt>
                <c:pt idx="120">
                  <c:v>56.601199999999999</c:v>
                </c:pt>
                <c:pt idx="121">
                  <c:v>56.529339999999998</c:v>
                </c:pt>
                <c:pt idx="122">
                  <c:v>56.69247</c:v>
                </c:pt>
                <c:pt idx="123">
                  <c:v>57.35163</c:v>
                </c:pt>
                <c:pt idx="124">
                  <c:v>57.222709999999999</c:v>
                </c:pt>
                <c:pt idx="125">
                  <c:v>57.452129999999997</c:v>
                </c:pt>
                <c:pt idx="126">
                  <c:v>57.324269999999999</c:v>
                </c:pt>
                <c:pt idx="127">
                  <c:v>57.304099999999998</c:v>
                </c:pt>
                <c:pt idx="128">
                  <c:v>57.465330000000002</c:v>
                </c:pt>
                <c:pt idx="129">
                  <c:v>57.189570000000003</c:v>
                </c:pt>
                <c:pt idx="130">
                  <c:v>56.980339999999998</c:v>
                </c:pt>
                <c:pt idx="131">
                  <c:v>57.164119999999997</c:v>
                </c:pt>
                <c:pt idx="132">
                  <c:v>56.750239999999998</c:v>
                </c:pt>
                <c:pt idx="133">
                  <c:v>56.584380000000003</c:v>
                </c:pt>
                <c:pt idx="134">
                  <c:v>56.411009999999997</c:v>
                </c:pt>
                <c:pt idx="135">
                  <c:v>56.357640000000004</c:v>
                </c:pt>
                <c:pt idx="136">
                  <c:v>56.642769999999999</c:v>
                </c:pt>
                <c:pt idx="137">
                  <c:v>56.637219999999999</c:v>
                </c:pt>
                <c:pt idx="138">
                  <c:v>56.680520000000001</c:v>
                </c:pt>
                <c:pt idx="139">
                  <c:v>56.209690000000002</c:v>
                </c:pt>
                <c:pt idx="140">
                  <c:v>56.189929999999997</c:v>
                </c:pt>
                <c:pt idx="141">
                  <c:v>55.952889999999996</c:v>
                </c:pt>
                <c:pt idx="142">
                  <c:v>55.670299999999997</c:v>
                </c:pt>
                <c:pt idx="143">
                  <c:v>55.983319999999999</c:v>
                </c:pt>
                <c:pt idx="144">
                  <c:v>55.017290000000003</c:v>
                </c:pt>
                <c:pt idx="145">
                  <c:v>54.811250000000001</c:v>
                </c:pt>
                <c:pt idx="146">
                  <c:v>54.636060000000001</c:v>
                </c:pt>
                <c:pt idx="147">
                  <c:v>54.022759999999998</c:v>
                </c:pt>
                <c:pt idx="148">
                  <c:v>53.548690000000001</c:v>
                </c:pt>
                <c:pt idx="149">
                  <c:v>53.684739999999998</c:v>
                </c:pt>
                <c:pt idx="150">
                  <c:v>53.348520000000001</c:v>
                </c:pt>
                <c:pt idx="151">
                  <c:v>53.109749999999998</c:v>
                </c:pt>
                <c:pt idx="152">
                  <c:v>52.431339999999999</c:v>
                </c:pt>
                <c:pt idx="153">
                  <c:v>51.766979999999997</c:v>
                </c:pt>
                <c:pt idx="154">
                  <c:v>51.806080000000001</c:v>
                </c:pt>
                <c:pt idx="155">
                  <c:v>51.971820000000001</c:v>
                </c:pt>
                <c:pt idx="156">
                  <c:v>50.956710000000001</c:v>
                </c:pt>
                <c:pt idx="157">
                  <c:v>50.705770000000001</c:v>
                </c:pt>
                <c:pt idx="158">
                  <c:v>51.090040000000002</c:v>
                </c:pt>
                <c:pt idx="159">
                  <c:v>50.962359999999997</c:v>
                </c:pt>
                <c:pt idx="160">
                  <c:v>51.646320000000003</c:v>
                </c:pt>
                <c:pt idx="161">
                  <c:v>51.127319999999997</c:v>
                </c:pt>
                <c:pt idx="162">
                  <c:v>51.031149999999997</c:v>
                </c:pt>
                <c:pt idx="163">
                  <c:v>52.441679999999998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144064"/>
        <c:axId val="377145600"/>
      </c:lineChart>
      <c:dateAx>
        <c:axId val="377144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7145600"/>
        <c:crosses val="autoZero"/>
        <c:auto val="1"/>
        <c:lblOffset val="100"/>
        <c:baseTimeUnit val="months"/>
      </c:dateAx>
      <c:valAx>
        <c:axId val="377145600"/>
        <c:scaling>
          <c:orientation val="minMax"/>
          <c:min val="4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7144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Base!$B$2</c:f>
              <c:strCache>
                <c:ptCount val="1"/>
                <c:pt idx="0">
                  <c:v>Actual </c:v>
                </c:pt>
              </c:strCache>
            </c:strRef>
          </c:tx>
          <c:marker>
            <c:symbol val="none"/>
          </c:marker>
          <c:cat>
            <c:numRef>
              <c:f>Base!$A$3:$A$174</c:f>
              <c:numCache>
                <c:formatCode>m/d/yyyy</c:formatCode>
                <c:ptCount val="172"/>
                <c:pt idx="0">
                  <c:v>36617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</c:numCache>
            </c:numRef>
          </c:cat>
          <c:val>
            <c:numRef>
              <c:f>Base!$B$3:$B$174</c:f>
              <c:numCache>
                <c:formatCode>General</c:formatCode>
                <c:ptCount val="172"/>
                <c:pt idx="0">
                  <c:v>44042.62</c:v>
                </c:pt>
                <c:pt idx="1">
                  <c:v>42000</c:v>
                </c:pt>
                <c:pt idx="2">
                  <c:v>30480.720000000001</c:v>
                </c:pt>
                <c:pt idx="3">
                  <c:v>16826.43</c:v>
                </c:pt>
                <c:pt idx="4">
                  <c:v>13430.98</c:v>
                </c:pt>
                <c:pt idx="5">
                  <c:v>44400</c:v>
                </c:pt>
                <c:pt idx="6">
                  <c:v>-10422.33</c:v>
                </c:pt>
                <c:pt idx="7">
                  <c:v>17597.5</c:v>
                </c:pt>
                <c:pt idx="8">
                  <c:v>82821.070000000007</c:v>
                </c:pt>
                <c:pt idx="9">
                  <c:v>39601.83</c:v>
                </c:pt>
                <c:pt idx="10">
                  <c:v>18595.98</c:v>
                </c:pt>
                <c:pt idx="11">
                  <c:v>40268.57</c:v>
                </c:pt>
                <c:pt idx="12">
                  <c:v>17380.98</c:v>
                </c:pt>
                <c:pt idx="13">
                  <c:v>18758.57</c:v>
                </c:pt>
                <c:pt idx="14">
                  <c:v>57798.26</c:v>
                </c:pt>
                <c:pt idx="15">
                  <c:v>39194.86</c:v>
                </c:pt>
                <c:pt idx="16">
                  <c:v>53921.919999999998</c:v>
                </c:pt>
                <c:pt idx="17">
                  <c:v>29755.67</c:v>
                </c:pt>
                <c:pt idx="18">
                  <c:v>29152.06</c:v>
                </c:pt>
                <c:pt idx="19">
                  <c:v>33966.800000000003</c:v>
                </c:pt>
                <c:pt idx="20">
                  <c:v>32578.12</c:v>
                </c:pt>
                <c:pt idx="21">
                  <c:v>50180.34</c:v>
                </c:pt>
                <c:pt idx="22">
                  <c:v>41207.410000000003</c:v>
                </c:pt>
                <c:pt idx="23">
                  <c:v>20268.5</c:v>
                </c:pt>
                <c:pt idx="24">
                  <c:v>8462.1630000000005</c:v>
                </c:pt>
                <c:pt idx="25">
                  <c:v>29035.99</c:v>
                </c:pt>
                <c:pt idx="26">
                  <c:v>26686.35</c:v>
                </c:pt>
                <c:pt idx="27">
                  <c:v>19417.310000000001</c:v>
                </c:pt>
                <c:pt idx="28">
                  <c:v>52757.89</c:v>
                </c:pt>
                <c:pt idx="29">
                  <c:v>33501.29</c:v>
                </c:pt>
                <c:pt idx="30">
                  <c:v>43946.32</c:v>
                </c:pt>
                <c:pt idx="31">
                  <c:v>48006.79</c:v>
                </c:pt>
                <c:pt idx="32">
                  <c:v>17279.12</c:v>
                </c:pt>
                <c:pt idx="33">
                  <c:v>24810.880000000001</c:v>
                </c:pt>
                <c:pt idx="34">
                  <c:v>39515.07</c:v>
                </c:pt>
                <c:pt idx="35">
                  <c:v>42252.72</c:v>
                </c:pt>
                <c:pt idx="36">
                  <c:v>28910.68</c:v>
                </c:pt>
                <c:pt idx="37">
                  <c:v>24465.79</c:v>
                </c:pt>
                <c:pt idx="38">
                  <c:v>34143.31</c:v>
                </c:pt>
                <c:pt idx="39">
                  <c:v>33451.74</c:v>
                </c:pt>
                <c:pt idx="40">
                  <c:v>35322.58</c:v>
                </c:pt>
                <c:pt idx="41">
                  <c:v>37201.160000000003</c:v>
                </c:pt>
                <c:pt idx="42">
                  <c:v>35549.83</c:v>
                </c:pt>
                <c:pt idx="43">
                  <c:v>29205.25</c:v>
                </c:pt>
                <c:pt idx="44">
                  <c:v>43794.77</c:v>
                </c:pt>
                <c:pt idx="45">
                  <c:v>38593.03</c:v>
                </c:pt>
                <c:pt idx="46">
                  <c:v>34037.17</c:v>
                </c:pt>
                <c:pt idx="47">
                  <c:v>37345.910000000003</c:v>
                </c:pt>
                <c:pt idx="48">
                  <c:v>34790.42</c:v>
                </c:pt>
                <c:pt idx="49">
                  <c:v>36035.75</c:v>
                </c:pt>
                <c:pt idx="50">
                  <c:v>31652.92</c:v>
                </c:pt>
                <c:pt idx="51">
                  <c:v>37273.72</c:v>
                </c:pt>
                <c:pt idx="52">
                  <c:v>57518.62</c:v>
                </c:pt>
                <c:pt idx="53">
                  <c:v>33480.120000000003</c:v>
                </c:pt>
                <c:pt idx="54">
                  <c:v>23837.02</c:v>
                </c:pt>
                <c:pt idx="55">
                  <c:v>20704.18</c:v>
                </c:pt>
                <c:pt idx="56">
                  <c:v>30224.09</c:v>
                </c:pt>
                <c:pt idx="57">
                  <c:v>35266.639999999999</c:v>
                </c:pt>
                <c:pt idx="58">
                  <c:v>30358.73</c:v>
                </c:pt>
                <c:pt idx="59">
                  <c:v>20042.82</c:v>
                </c:pt>
                <c:pt idx="60">
                  <c:v>21916.32</c:v>
                </c:pt>
                <c:pt idx="61">
                  <c:v>17995.419999999998</c:v>
                </c:pt>
                <c:pt idx="62">
                  <c:v>21109.13</c:v>
                </c:pt>
                <c:pt idx="63">
                  <c:v>17419.11</c:v>
                </c:pt>
                <c:pt idx="64">
                  <c:v>15666.81</c:v>
                </c:pt>
                <c:pt idx="65">
                  <c:v>22821.53</c:v>
                </c:pt>
                <c:pt idx="66">
                  <c:v>20950.38</c:v>
                </c:pt>
                <c:pt idx="67">
                  <c:v>36763.85</c:v>
                </c:pt>
                <c:pt idx="68">
                  <c:v>23919.33</c:v>
                </c:pt>
                <c:pt idx="69">
                  <c:v>24277.87</c:v>
                </c:pt>
                <c:pt idx="70">
                  <c:v>12931.9</c:v>
                </c:pt>
                <c:pt idx="71">
                  <c:v>14103.46</c:v>
                </c:pt>
                <c:pt idx="72">
                  <c:v>17922.43</c:v>
                </c:pt>
                <c:pt idx="73">
                  <c:v>18909.37</c:v>
                </c:pt>
                <c:pt idx="74">
                  <c:v>17480.25</c:v>
                </c:pt>
                <c:pt idx="75">
                  <c:v>26425.42</c:v>
                </c:pt>
                <c:pt idx="76">
                  <c:v>17119.66</c:v>
                </c:pt>
                <c:pt idx="77">
                  <c:v>25183.97</c:v>
                </c:pt>
                <c:pt idx="78">
                  <c:v>29024.09</c:v>
                </c:pt>
                <c:pt idx="79">
                  <c:v>22150.73</c:v>
                </c:pt>
                <c:pt idx="80">
                  <c:v>21741.9</c:v>
                </c:pt>
                <c:pt idx="81">
                  <c:v>22252.17</c:v>
                </c:pt>
                <c:pt idx="82">
                  <c:v>27017.22</c:v>
                </c:pt>
                <c:pt idx="83">
                  <c:v>19210.2</c:v>
                </c:pt>
                <c:pt idx="84">
                  <c:v>30200.66</c:v>
                </c:pt>
                <c:pt idx="85">
                  <c:v>26091.89</c:v>
                </c:pt>
                <c:pt idx="86">
                  <c:v>23723.62</c:v>
                </c:pt>
                <c:pt idx="87">
                  <c:v>29624.51</c:v>
                </c:pt>
                <c:pt idx="88">
                  <c:v>37315.08</c:v>
                </c:pt>
                <c:pt idx="89">
                  <c:v>26906</c:v>
                </c:pt>
                <c:pt idx="90">
                  <c:v>33918.9</c:v>
                </c:pt>
                <c:pt idx="91">
                  <c:v>31736.07</c:v>
                </c:pt>
                <c:pt idx="92">
                  <c:v>38277</c:v>
                </c:pt>
                <c:pt idx="93">
                  <c:v>38991.800000000003</c:v>
                </c:pt>
                <c:pt idx="94">
                  <c:v>45650.98</c:v>
                </c:pt>
                <c:pt idx="95">
                  <c:v>39477.519999999997</c:v>
                </c:pt>
                <c:pt idx="96">
                  <c:v>39194.089999999997</c:v>
                </c:pt>
                <c:pt idx="97">
                  <c:v>43474.48</c:v>
                </c:pt>
                <c:pt idx="98">
                  <c:v>41180.57</c:v>
                </c:pt>
                <c:pt idx="99">
                  <c:v>48761.02</c:v>
                </c:pt>
                <c:pt idx="100">
                  <c:v>63332.23</c:v>
                </c:pt>
                <c:pt idx="101">
                  <c:v>54944.18</c:v>
                </c:pt>
                <c:pt idx="102">
                  <c:v>59875.9</c:v>
                </c:pt>
                <c:pt idx="103">
                  <c:v>66401.69</c:v>
                </c:pt>
                <c:pt idx="104">
                  <c:v>62035.88</c:v>
                </c:pt>
                <c:pt idx="105">
                  <c:v>69778.039999999994</c:v>
                </c:pt>
                <c:pt idx="106">
                  <c:v>66041.13</c:v>
                </c:pt>
                <c:pt idx="107">
                  <c:v>69395.350000000006</c:v>
                </c:pt>
                <c:pt idx="108">
                  <c:v>70696.22</c:v>
                </c:pt>
                <c:pt idx="109">
                  <c:v>67124.17</c:v>
                </c:pt>
                <c:pt idx="110">
                  <c:v>69271.62</c:v>
                </c:pt>
                <c:pt idx="111">
                  <c:v>73218.59</c:v>
                </c:pt>
                <c:pt idx="112">
                  <c:v>70736.899999999994</c:v>
                </c:pt>
                <c:pt idx="113">
                  <c:v>62627.78</c:v>
                </c:pt>
                <c:pt idx="114">
                  <c:v>66812.990000000005</c:v>
                </c:pt>
                <c:pt idx="115">
                  <c:v>65501.51</c:v>
                </c:pt>
                <c:pt idx="116">
                  <c:v>65154.11</c:v>
                </c:pt>
                <c:pt idx="117">
                  <c:v>66898.2</c:v>
                </c:pt>
                <c:pt idx="118">
                  <c:v>69379.03</c:v>
                </c:pt>
                <c:pt idx="119">
                  <c:v>75544.94</c:v>
                </c:pt>
                <c:pt idx="120">
                  <c:v>72443.360000000001</c:v>
                </c:pt>
                <c:pt idx="121">
                  <c:v>79521.7</c:v>
                </c:pt>
                <c:pt idx="122">
                  <c:v>80286.990000000005</c:v>
                </c:pt>
                <c:pt idx="123">
                  <c:v>75183.429999999993</c:v>
                </c:pt>
                <c:pt idx="124">
                  <c:v>76685.649999999994</c:v>
                </c:pt>
                <c:pt idx="125">
                  <c:v>74972.600000000006</c:v>
                </c:pt>
                <c:pt idx="126">
                  <c:v>74129.87</c:v>
                </c:pt>
                <c:pt idx="127">
                  <c:v>78839.070000000007</c:v>
                </c:pt>
                <c:pt idx="128">
                  <c:v>79001.42</c:v>
                </c:pt>
                <c:pt idx="129">
                  <c:v>79387.360000000001</c:v>
                </c:pt>
                <c:pt idx="130">
                  <c:v>76821.570000000007</c:v>
                </c:pt>
                <c:pt idx="131">
                  <c:v>77131.320000000007</c:v>
                </c:pt>
                <c:pt idx="132">
                  <c:v>77033.490000000005</c:v>
                </c:pt>
                <c:pt idx="133">
                  <c:v>77332.820000000007</c:v>
                </c:pt>
                <c:pt idx="134">
                  <c:v>78311.81</c:v>
                </c:pt>
                <c:pt idx="135">
                  <c:v>75196.960000000006</c:v>
                </c:pt>
                <c:pt idx="136">
                  <c:v>78671.23</c:v>
                </c:pt>
                <c:pt idx="137">
                  <c:v>77160.19</c:v>
                </c:pt>
                <c:pt idx="138">
                  <c:v>77014.350000000006</c:v>
                </c:pt>
                <c:pt idx="139">
                  <c:v>75013.490000000005</c:v>
                </c:pt>
                <c:pt idx="140">
                  <c:v>74417.78</c:v>
                </c:pt>
                <c:pt idx="141">
                  <c:v>66882.5</c:v>
                </c:pt>
                <c:pt idx="142">
                  <c:v>69513.039999999994</c:v>
                </c:pt>
                <c:pt idx="143">
                  <c:v>66561.52</c:v>
                </c:pt>
                <c:pt idx="144">
                  <c:v>68517.03</c:v>
                </c:pt>
                <c:pt idx="145">
                  <c:v>69123.179999999993</c:v>
                </c:pt>
                <c:pt idx="146">
                  <c:v>61504.93</c:v>
                </c:pt>
                <c:pt idx="147">
                  <c:v>65223.81</c:v>
                </c:pt>
                <c:pt idx="148">
                  <c:v>64534.02</c:v>
                </c:pt>
                <c:pt idx="149">
                  <c:v>63004.5</c:v>
                </c:pt>
                <c:pt idx="150">
                  <c:v>65448.08</c:v>
                </c:pt>
                <c:pt idx="151">
                  <c:v>58863.8</c:v>
                </c:pt>
                <c:pt idx="152">
                  <c:v>56732.72</c:v>
                </c:pt>
                <c:pt idx="153">
                  <c:v>57304.44</c:v>
                </c:pt>
                <c:pt idx="154">
                  <c:v>58431.27</c:v>
                </c:pt>
                <c:pt idx="155">
                  <c:v>52947.34</c:v>
                </c:pt>
                <c:pt idx="156">
                  <c:v>49393.47</c:v>
                </c:pt>
                <c:pt idx="157">
                  <c:v>51150.97</c:v>
                </c:pt>
                <c:pt idx="158">
                  <c:v>56592.86</c:v>
                </c:pt>
                <c:pt idx="159">
                  <c:v>49894.49</c:v>
                </c:pt>
                <c:pt idx="160">
                  <c:v>46912.91</c:v>
                </c:pt>
                <c:pt idx="161">
                  <c:v>49262.36</c:v>
                </c:pt>
                <c:pt idx="162">
                  <c:v>45014.07</c:v>
                </c:pt>
                <c:pt idx="163">
                  <c:v>45418.23</c:v>
                </c:pt>
                <c:pt idx="164">
                  <c:v>51555.14</c:v>
                </c:pt>
                <c:pt idx="165">
                  <c:v>42138.239999999998</c:v>
                </c:pt>
                <c:pt idx="166">
                  <c:v>48793.3</c:v>
                </c:pt>
                <c:pt idx="167">
                  <c:v>51280.22</c:v>
                </c:pt>
                <c:pt idx="168">
                  <c:v>51246.79</c:v>
                </c:pt>
                <c:pt idx="169">
                  <c:v>60201.41</c:v>
                </c:pt>
                <c:pt idx="170">
                  <c:v>58009.26</c:v>
                </c:pt>
                <c:pt idx="171">
                  <c:v>72994.03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Base!$C$2</c:f>
              <c:strCache>
                <c:ptCount val="1"/>
                <c:pt idx="0">
                  <c:v>Estimate</c:v>
                </c:pt>
              </c:strCache>
            </c:strRef>
          </c:tx>
          <c:marker>
            <c:symbol val="none"/>
          </c:marker>
          <c:cat>
            <c:numRef>
              <c:f>Base!$A$3:$A$174</c:f>
              <c:numCache>
                <c:formatCode>m/d/yyyy</c:formatCode>
                <c:ptCount val="172"/>
                <c:pt idx="0">
                  <c:v>36617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</c:numCache>
            </c:numRef>
          </c:cat>
          <c:val>
            <c:numRef>
              <c:f>Base!$C$3:$C$174</c:f>
              <c:numCache>
                <c:formatCode>General</c:formatCode>
                <c:ptCount val="172"/>
                <c:pt idx="0">
                  <c:v>20030.84</c:v>
                </c:pt>
                <c:pt idx="1">
                  <c:v>30789.85</c:v>
                </c:pt>
                <c:pt idx="2">
                  <c:v>53921.42</c:v>
                </c:pt>
                <c:pt idx="3">
                  <c:v>25958.05</c:v>
                </c:pt>
                <c:pt idx="4">
                  <c:v>53321.37</c:v>
                </c:pt>
                <c:pt idx="5">
                  <c:v>42979.17</c:v>
                </c:pt>
                <c:pt idx="6">
                  <c:v>40413.449999999997</c:v>
                </c:pt>
                <c:pt idx="7">
                  <c:v>38190.199999999997</c:v>
                </c:pt>
                <c:pt idx="8">
                  <c:v>49653.82</c:v>
                </c:pt>
                <c:pt idx="9">
                  <c:v>36377.54</c:v>
                </c:pt>
                <c:pt idx="10">
                  <c:v>35974.050000000003</c:v>
                </c:pt>
                <c:pt idx="11">
                  <c:v>40024.22</c:v>
                </c:pt>
                <c:pt idx="12">
                  <c:v>39853.64</c:v>
                </c:pt>
                <c:pt idx="13">
                  <c:v>31510.92</c:v>
                </c:pt>
                <c:pt idx="14">
                  <c:v>35423.19</c:v>
                </c:pt>
                <c:pt idx="15">
                  <c:v>28417.24</c:v>
                </c:pt>
                <c:pt idx="16">
                  <c:v>39592.870000000003</c:v>
                </c:pt>
                <c:pt idx="17">
                  <c:v>35433.440000000002</c:v>
                </c:pt>
                <c:pt idx="18">
                  <c:v>32521.62</c:v>
                </c:pt>
                <c:pt idx="19">
                  <c:v>39872.769999999997</c:v>
                </c:pt>
                <c:pt idx="20">
                  <c:v>38727.72</c:v>
                </c:pt>
                <c:pt idx="21">
                  <c:v>39506.21</c:v>
                </c:pt>
                <c:pt idx="22">
                  <c:v>37624.76</c:v>
                </c:pt>
                <c:pt idx="23">
                  <c:v>32997.21</c:v>
                </c:pt>
                <c:pt idx="24">
                  <c:v>32516</c:v>
                </c:pt>
                <c:pt idx="25">
                  <c:v>34677.94</c:v>
                </c:pt>
                <c:pt idx="26">
                  <c:v>35835.870000000003</c:v>
                </c:pt>
                <c:pt idx="27">
                  <c:v>33699.08</c:v>
                </c:pt>
                <c:pt idx="28">
                  <c:v>39143.57</c:v>
                </c:pt>
                <c:pt idx="29">
                  <c:v>30966.22</c:v>
                </c:pt>
                <c:pt idx="30">
                  <c:v>37652.230000000003</c:v>
                </c:pt>
                <c:pt idx="31">
                  <c:v>33653.89</c:v>
                </c:pt>
                <c:pt idx="32">
                  <c:v>37898.730000000003</c:v>
                </c:pt>
                <c:pt idx="33">
                  <c:v>30841.58</c:v>
                </c:pt>
                <c:pt idx="34">
                  <c:v>38191.760000000002</c:v>
                </c:pt>
                <c:pt idx="35">
                  <c:v>36634.76</c:v>
                </c:pt>
                <c:pt idx="36">
                  <c:v>35351.949999999997</c:v>
                </c:pt>
                <c:pt idx="37">
                  <c:v>35365.67</c:v>
                </c:pt>
                <c:pt idx="38">
                  <c:v>40041.9</c:v>
                </c:pt>
                <c:pt idx="39">
                  <c:v>33547.480000000003</c:v>
                </c:pt>
                <c:pt idx="40">
                  <c:v>39037.26</c:v>
                </c:pt>
                <c:pt idx="41">
                  <c:v>36044.769999999997</c:v>
                </c:pt>
                <c:pt idx="42">
                  <c:v>34517.440000000002</c:v>
                </c:pt>
                <c:pt idx="43">
                  <c:v>37245.5</c:v>
                </c:pt>
                <c:pt idx="44">
                  <c:v>34289.440000000002</c:v>
                </c:pt>
                <c:pt idx="45">
                  <c:v>34134.559999999998</c:v>
                </c:pt>
                <c:pt idx="46">
                  <c:v>36349.1</c:v>
                </c:pt>
                <c:pt idx="47">
                  <c:v>39378.050000000003</c:v>
                </c:pt>
                <c:pt idx="48">
                  <c:v>38308.379999999997</c:v>
                </c:pt>
                <c:pt idx="49">
                  <c:v>37727.61</c:v>
                </c:pt>
                <c:pt idx="50">
                  <c:v>33958.78</c:v>
                </c:pt>
                <c:pt idx="51">
                  <c:v>35264.92</c:v>
                </c:pt>
                <c:pt idx="52">
                  <c:v>38330.5</c:v>
                </c:pt>
                <c:pt idx="53">
                  <c:v>33277.699999999997</c:v>
                </c:pt>
                <c:pt idx="54">
                  <c:v>30722.39</c:v>
                </c:pt>
                <c:pt idx="55">
                  <c:v>37913.32</c:v>
                </c:pt>
                <c:pt idx="56">
                  <c:v>36436.6</c:v>
                </c:pt>
                <c:pt idx="57">
                  <c:v>35638.400000000001</c:v>
                </c:pt>
                <c:pt idx="58">
                  <c:v>34930.94</c:v>
                </c:pt>
                <c:pt idx="59">
                  <c:v>33772.89</c:v>
                </c:pt>
                <c:pt idx="60">
                  <c:v>32873.440000000002</c:v>
                </c:pt>
                <c:pt idx="61">
                  <c:v>35128.17</c:v>
                </c:pt>
                <c:pt idx="62">
                  <c:v>32166.240000000002</c:v>
                </c:pt>
                <c:pt idx="63">
                  <c:v>33153.26</c:v>
                </c:pt>
                <c:pt idx="64">
                  <c:v>34081.57</c:v>
                </c:pt>
                <c:pt idx="65">
                  <c:v>34579.24</c:v>
                </c:pt>
                <c:pt idx="66">
                  <c:v>27715.79</c:v>
                </c:pt>
                <c:pt idx="67">
                  <c:v>27899.97</c:v>
                </c:pt>
                <c:pt idx="68">
                  <c:v>34986.79</c:v>
                </c:pt>
                <c:pt idx="69">
                  <c:v>31518.76</c:v>
                </c:pt>
                <c:pt idx="70">
                  <c:v>33727.410000000003</c:v>
                </c:pt>
                <c:pt idx="71">
                  <c:v>29429.59</c:v>
                </c:pt>
                <c:pt idx="72">
                  <c:v>28808.83</c:v>
                </c:pt>
                <c:pt idx="73">
                  <c:v>35392.42</c:v>
                </c:pt>
                <c:pt idx="74">
                  <c:v>34338.449999999997</c:v>
                </c:pt>
                <c:pt idx="75">
                  <c:v>33540.400000000001</c:v>
                </c:pt>
                <c:pt idx="76">
                  <c:v>31806.95</c:v>
                </c:pt>
                <c:pt idx="77">
                  <c:v>31994.959999999999</c:v>
                </c:pt>
                <c:pt idx="78">
                  <c:v>32664.58</c:v>
                </c:pt>
                <c:pt idx="79">
                  <c:v>23540.1</c:v>
                </c:pt>
                <c:pt idx="80">
                  <c:v>35300.61</c:v>
                </c:pt>
                <c:pt idx="81">
                  <c:v>27750.03</c:v>
                </c:pt>
                <c:pt idx="82">
                  <c:v>30011.85</c:v>
                </c:pt>
                <c:pt idx="83">
                  <c:v>36247.03</c:v>
                </c:pt>
                <c:pt idx="84">
                  <c:v>34802.589999999997</c:v>
                </c:pt>
                <c:pt idx="85">
                  <c:v>33928.29</c:v>
                </c:pt>
                <c:pt idx="86">
                  <c:v>30716.18</c:v>
                </c:pt>
                <c:pt idx="87">
                  <c:v>36604.46</c:v>
                </c:pt>
                <c:pt idx="88">
                  <c:v>37307.14</c:v>
                </c:pt>
                <c:pt idx="89">
                  <c:v>33996.400000000001</c:v>
                </c:pt>
                <c:pt idx="90">
                  <c:v>38577.040000000001</c:v>
                </c:pt>
                <c:pt idx="91">
                  <c:v>39738.01</c:v>
                </c:pt>
                <c:pt idx="92">
                  <c:v>40161.019999999997</c:v>
                </c:pt>
                <c:pt idx="93">
                  <c:v>37379.93</c:v>
                </c:pt>
                <c:pt idx="94">
                  <c:v>40236.639999999999</c:v>
                </c:pt>
                <c:pt idx="95">
                  <c:v>40307.32</c:v>
                </c:pt>
                <c:pt idx="96">
                  <c:v>44865.45</c:v>
                </c:pt>
                <c:pt idx="97">
                  <c:v>41988.23</c:v>
                </c:pt>
                <c:pt idx="98">
                  <c:v>42705.43</c:v>
                </c:pt>
                <c:pt idx="99">
                  <c:v>49436.81</c:v>
                </c:pt>
                <c:pt idx="100">
                  <c:v>53544.15</c:v>
                </c:pt>
                <c:pt idx="101">
                  <c:v>48205.65</c:v>
                </c:pt>
                <c:pt idx="102">
                  <c:v>54296.36</c:v>
                </c:pt>
                <c:pt idx="103">
                  <c:v>57384.4</c:v>
                </c:pt>
                <c:pt idx="104">
                  <c:v>52832.06</c:v>
                </c:pt>
                <c:pt idx="105">
                  <c:v>57882.18</c:v>
                </c:pt>
                <c:pt idx="106">
                  <c:v>58688.41</c:v>
                </c:pt>
                <c:pt idx="107">
                  <c:v>61078.69</c:v>
                </c:pt>
                <c:pt idx="108">
                  <c:v>62702.15</c:v>
                </c:pt>
                <c:pt idx="109">
                  <c:v>62348.55</c:v>
                </c:pt>
                <c:pt idx="110">
                  <c:v>63708.91</c:v>
                </c:pt>
                <c:pt idx="111">
                  <c:v>66817.570000000007</c:v>
                </c:pt>
                <c:pt idx="112">
                  <c:v>65200.67</c:v>
                </c:pt>
                <c:pt idx="113">
                  <c:v>60712.86</c:v>
                </c:pt>
                <c:pt idx="114">
                  <c:v>61205.55</c:v>
                </c:pt>
                <c:pt idx="115">
                  <c:v>61431.85</c:v>
                </c:pt>
                <c:pt idx="116">
                  <c:v>61607.64</c:v>
                </c:pt>
                <c:pt idx="117">
                  <c:v>63140.76</c:v>
                </c:pt>
                <c:pt idx="118">
                  <c:v>69223.73</c:v>
                </c:pt>
                <c:pt idx="119">
                  <c:v>68792.36</c:v>
                </c:pt>
                <c:pt idx="120">
                  <c:v>68879.03</c:v>
                </c:pt>
                <c:pt idx="121">
                  <c:v>70199.75</c:v>
                </c:pt>
                <c:pt idx="122">
                  <c:v>70632.62</c:v>
                </c:pt>
                <c:pt idx="123">
                  <c:v>67778.09</c:v>
                </c:pt>
                <c:pt idx="124">
                  <c:v>65868.399999999994</c:v>
                </c:pt>
                <c:pt idx="125">
                  <c:v>69037.8</c:v>
                </c:pt>
                <c:pt idx="126">
                  <c:v>69146.78</c:v>
                </c:pt>
                <c:pt idx="127">
                  <c:v>71382.259999999995</c:v>
                </c:pt>
                <c:pt idx="128">
                  <c:v>68905.850000000006</c:v>
                </c:pt>
                <c:pt idx="129">
                  <c:v>72759.66</c:v>
                </c:pt>
                <c:pt idx="130">
                  <c:v>70917.05</c:v>
                </c:pt>
                <c:pt idx="131">
                  <c:v>74222.78</c:v>
                </c:pt>
                <c:pt idx="132">
                  <c:v>72181.86</c:v>
                </c:pt>
                <c:pt idx="133">
                  <c:v>74940.13</c:v>
                </c:pt>
                <c:pt idx="134">
                  <c:v>76017.91</c:v>
                </c:pt>
                <c:pt idx="135">
                  <c:v>73710.320000000007</c:v>
                </c:pt>
                <c:pt idx="136">
                  <c:v>74360.67</c:v>
                </c:pt>
                <c:pt idx="137">
                  <c:v>71140.58</c:v>
                </c:pt>
                <c:pt idx="138">
                  <c:v>70409.48</c:v>
                </c:pt>
                <c:pt idx="139">
                  <c:v>73325.34</c:v>
                </c:pt>
                <c:pt idx="140">
                  <c:v>71173.279999999999</c:v>
                </c:pt>
                <c:pt idx="141">
                  <c:v>67866.710000000006</c:v>
                </c:pt>
                <c:pt idx="142">
                  <c:v>72934.179999999993</c:v>
                </c:pt>
                <c:pt idx="143">
                  <c:v>69439.490000000005</c:v>
                </c:pt>
                <c:pt idx="144">
                  <c:v>75239.44</c:v>
                </c:pt>
                <c:pt idx="145">
                  <c:v>71135.23</c:v>
                </c:pt>
                <c:pt idx="146">
                  <c:v>67027.58</c:v>
                </c:pt>
                <c:pt idx="147">
                  <c:v>65065.93</c:v>
                </c:pt>
                <c:pt idx="148">
                  <c:v>66342.69</c:v>
                </c:pt>
                <c:pt idx="149">
                  <c:v>66740.570000000007</c:v>
                </c:pt>
                <c:pt idx="150">
                  <c:v>66128.929999999993</c:v>
                </c:pt>
                <c:pt idx="151">
                  <c:v>63648.5</c:v>
                </c:pt>
                <c:pt idx="152">
                  <c:v>63014.5</c:v>
                </c:pt>
                <c:pt idx="153">
                  <c:v>65444.03</c:v>
                </c:pt>
                <c:pt idx="154">
                  <c:v>62996.43</c:v>
                </c:pt>
                <c:pt idx="155">
                  <c:v>60851.1</c:v>
                </c:pt>
                <c:pt idx="156">
                  <c:v>60463.7</c:v>
                </c:pt>
                <c:pt idx="157">
                  <c:v>58802.16</c:v>
                </c:pt>
                <c:pt idx="158">
                  <c:v>57373.42</c:v>
                </c:pt>
                <c:pt idx="159">
                  <c:v>60418.559999999998</c:v>
                </c:pt>
                <c:pt idx="160">
                  <c:v>53454.35</c:v>
                </c:pt>
                <c:pt idx="161">
                  <c:v>56490.41</c:v>
                </c:pt>
                <c:pt idx="162">
                  <c:v>51859.199999999997</c:v>
                </c:pt>
                <c:pt idx="163">
                  <c:v>52887.360000000001</c:v>
                </c:pt>
                <c:pt idx="164">
                  <c:v>53431.06</c:v>
                </c:pt>
                <c:pt idx="165">
                  <c:v>49649.279999999999</c:v>
                </c:pt>
                <c:pt idx="166">
                  <c:v>55653.1</c:v>
                </c:pt>
                <c:pt idx="167">
                  <c:v>53917.62</c:v>
                </c:pt>
                <c:pt idx="168">
                  <c:v>54369.07</c:v>
                </c:pt>
                <c:pt idx="169">
                  <c:v>48468.84</c:v>
                </c:pt>
                <c:pt idx="170">
                  <c:v>56660.42</c:v>
                </c:pt>
                <c:pt idx="171">
                  <c:v>48349.01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572928"/>
        <c:axId val="374574464"/>
      </c:lineChart>
      <c:dateAx>
        <c:axId val="374572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574464"/>
        <c:crosses val="autoZero"/>
        <c:auto val="1"/>
        <c:lblOffset val="100"/>
        <c:baseTimeUnit val="months"/>
      </c:dateAx>
      <c:valAx>
        <c:axId val="37457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457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Base!$X$2</c:f>
              <c:strCache>
                <c:ptCount val="1"/>
                <c:pt idx="0">
                  <c:v>aggActual</c:v>
                </c:pt>
              </c:strCache>
            </c:strRef>
          </c:tx>
          <c:marker>
            <c:symbol val="none"/>
          </c:marker>
          <c:cat>
            <c:numRef>
              <c:f>Base!$W$3:$W$178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Base!$X$3:$X$178</c:f>
              <c:numCache>
                <c:formatCode>General</c:formatCode>
                <c:ptCount val="176"/>
                <c:pt idx="0">
                  <c:v>4860.04</c:v>
                </c:pt>
                <c:pt idx="1">
                  <c:v>7089.07</c:v>
                </c:pt>
                <c:pt idx="2">
                  <c:v>15692.89</c:v>
                </c:pt>
                <c:pt idx="3">
                  <c:v>24984.78</c:v>
                </c:pt>
                <c:pt idx="4">
                  <c:v>13787.56</c:v>
                </c:pt>
                <c:pt idx="5">
                  <c:v>21517.9</c:v>
                </c:pt>
                <c:pt idx="6">
                  <c:v>16637.419999999998</c:v>
                </c:pt>
                <c:pt idx="7">
                  <c:v>42666.879999999997</c:v>
                </c:pt>
                <c:pt idx="8">
                  <c:v>36443.89</c:v>
                </c:pt>
                <c:pt idx="9">
                  <c:v>41965.21</c:v>
                </c:pt>
                <c:pt idx="10">
                  <c:v>33520.79</c:v>
                </c:pt>
                <c:pt idx="11">
                  <c:v>30332.13</c:v>
                </c:pt>
                <c:pt idx="12">
                  <c:v>43164.61</c:v>
                </c:pt>
                <c:pt idx="13">
                  <c:v>33867.49</c:v>
                </c:pt>
                <c:pt idx="14">
                  <c:v>30696.36</c:v>
                </c:pt>
                <c:pt idx="15">
                  <c:v>25071.37</c:v>
                </c:pt>
                <c:pt idx="16">
                  <c:v>36215.279999999999</c:v>
                </c:pt>
                <c:pt idx="17">
                  <c:v>25148.33</c:v>
                </c:pt>
                <c:pt idx="18">
                  <c:v>26178.47</c:v>
                </c:pt>
                <c:pt idx="19">
                  <c:v>32832.46</c:v>
                </c:pt>
                <c:pt idx="20">
                  <c:v>33468.93</c:v>
                </c:pt>
                <c:pt idx="21">
                  <c:v>34995.769999999997</c:v>
                </c:pt>
                <c:pt idx="22">
                  <c:v>23548.85</c:v>
                </c:pt>
                <c:pt idx="23">
                  <c:v>34631.06</c:v>
                </c:pt>
                <c:pt idx="24">
                  <c:v>21637.96</c:v>
                </c:pt>
                <c:pt idx="25">
                  <c:v>19999.95</c:v>
                </c:pt>
                <c:pt idx="26">
                  <c:v>25850.400000000001</c:v>
                </c:pt>
                <c:pt idx="27">
                  <c:v>24743.5</c:v>
                </c:pt>
                <c:pt idx="28">
                  <c:v>22743.98</c:v>
                </c:pt>
                <c:pt idx="29">
                  <c:v>24609.77</c:v>
                </c:pt>
                <c:pt idx="30">
                  <c:v>23662.92</c:v>
                </c:pt>
                <c:pt idx="31">
                  <c:v>26531.57</c:v>
                </c:pt>
                <c:pt idx="32">
                  <c:v>25504.77</c:v>
                </c:pt>
                <c:pt idx="33">
                  <c:v>25837.03</c:v>
                </c:pt>
                <c:pt idx="34">
                  <c:v>31752.3</c:v>
                </c:pt>
                <c:pt idx="35">
                  <c:v>29326.61</c:v>
                </c:pt>
                <c:pt idx="36">
                  <c:v>25782.53</c:v>
                </c:pt>
                <c:pt idx="37">
                  <c:v>24721.22</c:v>
                </c:pt>
                <c:pt idx="38">
                  <c:v>23914.880000000001</c:v>
                </c:pt>
                <c:pt idx="39">
                  <c:v>29266.85</c:v>
                </c:pt>
                <c:pt idx="40">
                  <c:v>31672.93</c:v>
                </c:pt>
                <c:pt idx="41">
                  <c:v>27251.33</c:v>
                </c:pt>
                <c:pt idx="42">
                  <c:v>26806.12</c:v>
                </c:pt>
                <c:pt idx="43">
                  <c:v>24582.2</c:v>
                </c:pt>
                <c:pt idx="44">
                  <c:v>29537.62</c:v>
                </c:pt>
                <c:pt idx="45">
                  <c:v>27527.759999999998</c:v>
                </c:pt>
                <c:pt idx="46">
                  <c:v>27572.52</c:v>
                </c:pt>
                <c:pt idx="47">
                  <c:v>32759.01</c:v>
                </c:pt>
                <c:pt idx="48">
                  <c:v>37628.65</c:v>
                </c:pt>
                <c:pt idx="49">
                  <c:v>33838.639999999999</c:v>
                </c:pt>
                <c:pt idx="50">
                  <c:v>36553.949999999997</c:v>
                </c:pt>
                <c:pt idx="51">
                  <c:v>29289.17</c:v>
                </c:pt>
                <c:pt idx="52">
                  <c:v>27688.07</c:v>
                </c:pt>
                <c:pt idx="53">
                  <c:v>29315.25</c:v>
                </c:pt>
                <c:pt idx="54">
                  <c:v>25565.919999999998</c:v>
                </c:pt>
                <c:pt idx="55">
                  <c:v>28588.04</c:v>
                </c:pt>
                <c:pt idx="56">
                  <c:v>27571.65</c:v>
                </c:pt>
                <c:pt idx="57">
                  <c:v>35275.56</c:v>
                </c:pt>
                <c:pt idx="58">
                  <c:v>29873.24</c:v>
                </c:pt>
                <c:pt idx="59">
                  <c:v>29570.42</c:v>
                </c:pt>
                <c:pt idx="60">
                  <c:v>23019.7</c:v>
                </c:pt>
                <c:pt idx="61">
                  <c:v>24440.02</c:v>
                </c:pt>
                <c:pt idx="62">
                  <c:v>26475.119999999999</c:v>
                </c:pt>
                <c:pt idx="63">
                  <c:v>23850.46</c:v>
                </c:pt>
                <c:pt idx="64">
                  <c:v>21242.6</c:v>
                </c:pt>
                <c:pt idx="65">
                  <c:v>20461.64</c:v>
                </c:pt>
                <c:pt idx="66">
                  <c:v>18777.18</c:v>
                </c:pt>
                <c:pt idx="67">
                  <c:v>17199.560000000001</c:v>
                </c:pt>
                <c:pt idx="68">
                  <c:v>18219.169999999998</c:v>
                </c:pt>
                <c:pt idx="69">
                  <c:v>16149.75</c:v>
                </c:pt>
                <c:pt idx="70">
                  <c:v>18362.740000000002</c:v>
                </c:pt>
                <c:pt idx="71">
                  <c:v>18580.080000000002</c:v>
                </c:pt>
                <c:pt idx="72">
                  <c:v>18047.22</c:v>
                </c:pt>
                <c:pt idx="73">
                  <c:v>19564.27</c:v>
                </c:pt>
                <c:pt idx="74">
                  <c:v>18654.09</c:v>
                </c:pt>
                <c:pt idx="75">
                  <c:v>15931.57</c:v>
                </c:pt>
                <c:pt idx="76">
                  <c:v>17225.04</c:v>
                </c:pt>
                <c:pt idx="77">
                  <c:v>15112.07</c:v>
                </c:pt>
                <c:pt idx="78">
                  <c:v>18377.97</c:v>
                </c:pt>
                <c:pt idx="79">
                  <c:v>18723.71</c:v>
                </c:pt>
                <c:pt idx="80">
                  <c:v>20288.3</c:v>
                </c:pt>
                <c:pt idx="81">
                  <c:v>21095.42</c:v>
                </c:pt>
                <c:pt idx="82">
                  <c:v>22908.240000000002</c:v>
                </c:pt>
                <c:pt idx="83">
                  <c:v>20100.990000000002</c:v>
                </c:pt>
                <c:pt idx="84">
                  <c:v>20293.490000000002</c:v>
                </c:pt>
                <c:pt idx="85">
                  <c:v>19007.57</c:v>
                </c:pt>
                <c:pt idx="86">
                  <c:v>20403.48</c:v>
                </c:pt>
                <c:pt idx="87">
                  <c:v>20626.009999999998</c:v>
                </c:pt>
                <c:pt idx="88">
                  <c:v>17676.71</c:v>
                </c:pt>
                <c:pt idx="89">
                  <c:v>19210.29</c:v>
                </c:pt>
                <c:pt idx="90">
                  <c:v>18798.12</c:v>
                </c:pt>
                <c:pt idx="91">
                  <c:v>24110.51</c:v>
                </c:pt>
                <c:pt idx="92">
                  <c:v>25265.63</c:v>
                </c:pt>
                <c:pt idx="93">
                  <c:v>32141.599999999999</c:v>
                </c:pt>
                <c:pt idx="94">
                  <c:v>28415.51</c:v>
                </c:pt>
                <c:pt idx="95">
                  <c:v>29961.279999999999</c:v>
                </c:pt>
                <c:pt idx="96">
                  <c:v>30738.67</c:v>
                </c:pt>
                <c:pt idx="97">
                  <c:v>34559.18</c:v>
                </c:pt>
                <c:pt idx="98">
                  <c:v>34570.07</c:v>
                </c:pt>
                <c:pt idx="99">
                  <c:v>35547.480000000003</c:v>
                </c:pt>
                <c:pt idx="100">
                  <c:v>37714.980000000003</c:v>
                </c:pt>
                <c:pt idx="101">
                  <c:v>40494.74</c:v>
                </c:pt>
                <c:pt idx="102">
                  <c:v>40632.620000000003</c:v>
                </c:pt>
                <c:pt idx="103">
                  <c:v>41912.730000000003</c:v>
                </c:pt>
                <c:pt idx="104">
                  <c:v>44393.78</c:v>
                </c:pt>
                <c:pt idx="105">
                  <c:v>50362.6</c:v>
                </c:pt>
                <c:pt idx="106">
                  <c:v>51885.83</c:v>
                </c:pt>
                <c:pt idx="107">
                  <c:v>57138.94</c:v>
                </c:pt>
                <c:pt idx="108">
                  <c:v>61390.47</c:v>
                </c:pt>
                <c:pt idx="109">
                  <c:v>60925.46</c:v>
                </c:pt>
                <c:pt idx="110">
                  <c:v>65166.1</c:v>
                </c:pt>
                <c:pt idx="111">
                  <c:v>64851.77</c:v>
                </c:pt>
                <c:pt idx="112">
                  <c:v>67112.47</c:v>
                </c:pt>
                <c:pt idx="113">
                  <c:v>67663.070000000007</c:v>
                </c:pt>
                <c:pt idx="114">
                  <c:v>67023.61</c:v>
                </c:pt>
                <c:pt idx="115">
                  <c:v>65837.460000000006</c:v>
                </c:pt>
                <c:pt idx="116">
                  <c:v>69119.960000000006</c:v>
                </c:pt>
                <c:pt idx="117">
                  <c:v>65219.57</c:v>
                </c:pt>
                <c:pt idx="118">
                  <c:v>66708.83</c:v>
                </c:pt>
                <c:pt idx="119">
                  <c:v>68399.22</c:v>
                </c:pt>
                <c:pt idx="120">
                  <c:v>67750.58</c:v>
                </c:pt>
                <c:pt idx="121">
                  <c:v>69443.61</c:v>
                </c:pt>
                <c:pt idx="122">
                  <c:v>66587.17</c:v>
                </c:pt>
                <c:pt idx="123">
                  <c:v>68564.98</c:v>
                </c:pt>
                <c:pt idx="124">
                  <c:v>67267.27</c:v>
                </c:pt>
                <c:pt idx="125">
                  <c:v>71655.14</c:v>
                </c:pt>
                <c:pt idx="126">
                  <c:v>73389.850000000006</c:v>
                </c:pt>
                <c:pt idx="127">
                  <c:v>73503.710000000006</c:v>
                </c:pt>
                <c:pt idx="128">
                  <c:v>75765.22</c:v>
                </c:pt>
                <c:pt idx="129">
                  <c:v>75720.600000000006</c:v>
                </c:pt>
                <c:pt idx="130">
                  <c:v>77283.64</c:v>
                </c:pt>
                <c:pt idx="131">
                  <c:v>75473.41</c:v>
                </c:pt>
                <c:pt idx="132">
                  <c:v>76476.23</c:v>
                </c:pt>
                <c:pt idx="133">
                  <c:v>75265.649999999994</c:v>
                </c:pt>
                <c:pt idx="134">
                  <c:v>75133.23</c:v>
                </c:pt>
                <c:pt idx="135">
                  <c:v>74265.13</c:v>
                </c:pt>
                <c:pt idx="136">
                  <c:v>74982.02</c:v>
                </c:pt>
                <c:pt idx="137">
                  <c:v>74869</c:v>
                </c:pt>
                <c:pt idx="138">
                  <c:v>75873.710000000006</c:v>
                </c:pt>
                <c:pt idx="139">
                  <c:v>75336.97</c:v>
                </c:pt>
                <c:pt idx="140">
                  <c:v>75305.05</c:v>
                </c:pt>
                <c:pt idx="141">
                  <c:v>75251.58</c:v>
                </c:pt>
                <c:pt idx="142">
                  <c:v>74694.66</c:v>
                </c:pt>
                <c:pt idx="143">
                  <c:v>74039.19</c:v>
                </c:pt>
                <c:pt idx="144">
                  <c:v>74529.33</c:v>
                </c:pt>
                <c:pt idx="145">
                  <c:v>72107.97</c:v>
                </c:pt>
                <c:pt idx="146">
                  <c:v>69190.63</c:v>
                </c:pt>
                <c:pt idx="147">
                  <c:v>68586.53</c:v>
                </c:pt>
                <c:pt idx="148">
                  <c:v>66017.73</c:v>
                </c:pt>
                <c:pt idx="149">
                  <c:v>66577.210000000006</c:v>
                </c:pt>
                <c:pt idx="150">
                  <c:v>66240.509999999995</c:v>
                </c:pt>
                <c:pt idx="151">
                  <c:v>64677.19</c:v>
                </c:pt>
                <c:pt idx="152">
                  <c:v>63981.63</c:v>
                </c:pt>
                <c:pt idx="153">
                  <c:v>63282.559999999998</c:v>
                </c:pt>
                <c:pt idx="154">
                  <c:v>60836.19</c:v>
                </c:pt>
                <c:pt idx="155">
                  <c:v>61386.44</c:v>
                </c:pt>
                <c:pt idx="156">
                  <c:v>59643.040000000001</c:v>
                </c:pt>
                <c:pt idx="157">
                  <c:v>57467.44</c:v>
                </c:pt>
                <c:pt idx="158">
                  <c:v>55452.29</c:v>
                </c:pt>
                <c:pt idx="159">
                  <c:v>52930.94</c:v>
                </c:pt>
                <c:pt idx="160">
                  <c:v>51078.77</c:v>
                </c:pt>
                <c:pt idx="161">
                  <c:v>48158.26</c:v>
                </c:pt>
                <c:pt idx="162">
                  <c:v>48193.08</c:v>
                </c:pt>
                <c:pt idx="163">
                  <c:v>47525.8</c:v>
                </c:pt>
                <c:pt idx="164">
                  <c:v>45786.84</c:v>
                </c:pt>
                <c:pt idx="165">
                  <c:v>45438.94</c:v>
                </c:pt>
                <c:pt idx="166">
                  <c:v>45624.28</c:v>
                </c:pt>
                <c:pt idx="167">
                  <c:v>46233.9</c:v>
                </c:pt>
                <c:pt idx="168">
                  <c:v>43619.53</c:v>
                </c:pt>
                <c:pt idx="169">
                  <c:v>44914.23</c:v>
                </c:pt>
                <c:pt idx="170">
                  <c:v>41508.9</c:v>
                </c:pt>
                <c:pt idx="171">
                  <c:v>43483.02</c:v>
                </c:pt>
                <c:pt idx="172">
                  <c:v>44748.41</c:v>
                </c:pt>
                <c:pt idx="173">
                  <c:v>48579.99</c:v>
                </c:pt>
                <c:pt idx="174">
                  <c:v>53707.01</c:v>
                </c:pt>
                <c:pt idx="175">
                  <c:v>57973.8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Base!$Y$2</c:f>
              <c:strCache>
                <c:ptCount val="1"/>
                <c:pt idx="0">
                  <c:v>aggEstim</c:v>
                </c:pt>
              </c:strCache>
            </c:strRef>
          </c:tx>
          <c:marker>
            <c:symbol val="none"/>
          </c:marker>
          <c:cat>
            <c:numRef>
              <c:f>Base!$W$3:$W$178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Base!$Y$3:$Y$178</c:f>
              <c:numCache>
                <c:formatCode>General</c:formatCode>
                <c:ptCount val="176"/>
                <c:pt idx="0">
                  <c:v>27028.31</c:v>
                </c:pt>
                <c:pt idx="1">
                  <c:v>40485.589999999997</c:v>
                </c:pt>
                <c:pt idx="2">
                  <c:v>38519.589999999997</c:v>
                </c:pt>
                <c:pt idx="3">
                  <c:v>43752.08</c:v>
                </c:pt>
                <c:pt idx="4">
                  <c:v>39105.22</c:v>
                </c:pt>
                <c:pt idx="5">
                  <c:v>35041.199999999997</c:v>
                </c:pt>
                <c:pt idx="6">
                  <c:v>38750.39</c:v>
                </c:pt>
                <c:pt idx="7">
                  <c:v>38994.14</c:v>
                </c:pt>
                <c:pt idx="8">
                  <c:v>37851.25</c:v>
                </c:pt>
                <c:pt idx="9">
                  <c:v>40668.25</c:v>
                </c:pt>
                <c:pt idx="10">
                  <c:v>36893.199999999997</c:v>
                </c:pt>
                <c:pt idx="11">
                  <c:v>34928.46</c:v>
                </c:pt>
                <c:pt idx="12">
                  <c:v>34150.07</c:v>
                </c:pt>
                <c:pt idx="13">
                  <c:v>36380.39</c:v>
                </c:pt>
                <c:pt idx="14">
                  <c:v>35452.269999999997</c:v>
                </c:pt>
                <c:pt idx="15">
                  <c:v>34750.42</c:v>
                </c:pt>
                <c:pt idx="16">
                  <c:v>36656.92</c:v>
                </c:pt>
                <c:pt idx="17">
                  <c:v>34064.660000000003</c:v>
                </c:pt>
                <c:pt idx="18">
                  <c:v>34762.47</c:v>
                </c:pt>
                <c:pt idx="19">
                  <c:v>34598.83</c:v>
                </c:pt>
                <c:pt idx="20">
                  <c:v>32207.119999999999</c:v>
                </c:pt>
                <c:pt idx="21">
                  <c:v>32733.11</c:v>
                </c:pt>
                <c:pt idx="22">
                  <c:v>31486.42</c:v>
                </c:pt>
                <c:pt idx="23">
                  <c:v>34608.25</c:v>
                </c:pt>
                <c:pt idx="24">
                  <c:v>33121.46</c:v>
                </c:pt>
                <c:pt idx="25">
                  <c:v>29742.7</c:v>
                </c:pt>
                <c:pt idx="26">
                  <c:v>32036.23</c:v>
                </c:pt>
                <c:pt idx="27">
                  <c:v>32141.63</c:v>
                </c:pt>
                <c:pt idx="28">
                  <c:v>31805.09</c:v>
                </c:pt>
                <c:pt idx="29">
                  <c:v>30892.09</c:v>
                </c:pt>
                <c:pt idx="30">
                  <c:v>32645.06</c:v>
                </c:pt>
                <c:pt idx="31">
                  <c:v>32173.47</c:v>
                </c:pt>
                <c:pt idx="32">
                  <c:v>31770.400000000001</c:v>
                </c:pt>
                <c:pt idx="33">
                  <c:v>33285.519999999997</c:v>
                </c:pt>
                <c:pt idx="34">
                  <c:v>32000.21</c:v>
                </c:pt>
                <c:pt idx="35">
                  <c:v>34150.54</c:v>
                </c:pt>
                <c:pt idx="36">
                  <c:v>32049.74</c:v>
                </c:pt>
                <c:pt idx="37">
                  <c:v>32851.26</c:v>
                </c:pt>
                <c:pt idx="38">
                  <c:v>31920.2</c:v>
                </c:pt>
                <c:pt idx="39">
                  <c:v>33440.959999999999</c:v>
                </c:pt>
                <c:pt idx="40">
                  <c:v>33617.550000000003</c:v>
                </c:pt>
                <c:pt idx="41">
                  <c:v>33627.589999999997</c:v>
                </c:pt>
                <c:pt idx="42">
                  <c:v>33504.959999999999</c:v>
                </c:pt>
                <c:pt idx="43">
                  <c:v>32890.17</c:v>
                </c:pt>
                <c:pt idx="44">
                  <c:v>32776.04</c:v>
                </c:pt>
                <c:pt idx="45">
                  <c:v>32949.58</c:v>
                </c:pt>
                <c:pt idx="46">
                  <c:v>32941.839999999997</c:v>
                </c:pt>
                <c:pt idx="47">
                  <c:v>32164.39</c:v>
                </c:pt>
                <c:pt idx="48">
                  <c:v>33513.33</c:v>
                </c:pt>
                <c:pt idx="49">
                  <c:v>33567.730000000003</c:v>
                </c:pt>
                <c:pt idx="50">
                  <c:v>32346.89</c:v>
                </c:pt>
                <c:pt idx="51">
                  <c:v>32738.6</c:v>
                </c:pt>
                <c:pt idx="52">
                  <c:v>34078.01</c:v>
                </c:pt>
                <c:pt idx="53">
                  <c:v>32863.050000000003</c:v>
                </c:pt>
                <c:pt idx="54">
                  <c:v>32490.07</c:v>
                </c:pt>
                <c:pt idx="55">
                  <c:v>32543.56</c:v>
                </c:pt>
                <c:pt idx="56">
                  <c:v>32179.16</c:v>
                </c:pt>
                <c:pt idx="57">
                  <c:v>30747.360000000001</c:v>
                </c:pt>
                <c:pt idx="58">
                  <c:v>32194.75</c:v>
                </c:pt>
                <c:pt idx="59">
                  <c:v>31589.08</c:v>
                </c:pt>
                <c:pt idx="60">
                  <c:v>30553.72</c:v>
                </c:pt>
                <c:pt idx="61">
                  <c:v>31993.33</c:v>
                </c:pt>
                <c:pt idx="62">
                  <c:v>31708.1</c:v>
                </c:pt>
                <c:pt idx="63">
                  <c:v>31044.84</c:v>
                </c:pt>
                <c:pt idx="64">
                  <c:v>30378.19</c:v>
                </c:pt>
                <c:pt idx="65">
                  <c:v>29840.82</c:v>
                </c:pt>
                <c:pt idx="66">
                  <c:v>29774.58</c:v>
                </c:pt>
                <c:pt idx="67">
                  <c:v>29724.39</c:v>
                </c:pt>
                <c:pt idx="68">
                  <c:v>29715.23</c:v>
                </c:pt>
                <c:pt idx="69">
                  <c:v>30174.07</c:v>
                </c:pt>
                <c:pt idx="70">
                  <c:v>29748.560000000001</c:v>
                </c:pt>
                <c:pt idx="71">
                  <c:v>28331.52</c:v>
                </c:pt>
                <c:pt idx="72">
                  <c:v>27807.64</c:v>
                </c:pt>
                <c:pt idx="73">
                  <c:v>28145.47</c:v>
                </c:pt>
                <c:pt idx="74">
                  <c:v>29642.63</c:v>
                </c:pt>
                <c:pt idx="75">
                  <c:v>28146.16</c:v>
                </c:pt>
                <c:pt idx="76">
                  <c:v>29072.14</c:v>
                </c:pt>
                <c:pt idx="77">
                  <c:v>28622.54</c:v>
                </c:pt>
                <c:pt idx="78">
                  <c:v>27473.5</c:v>
                </c:pt>
                <c:pt idx="79">
                  <c:v>27997.89</c:v>
                </c:pt>
                <c:pt idx="80">
                  <c:v>28493.64</c:v>
                </c:pt>
                <c:pt idx="81">
                  <c:v>28738.83</c:v>
                </c:pt>
                <c:pt idx="82">
                  <c:v>29448.61</c:v>
                </c:pt>
                <c:pt idx="83">
                  <c:v>27652.3</c:v>
                </c:pt>
                <c:pt idx="84">
                  <c:v>26530.75</c:v>
                </c:pt>
                <c:pt idx="85">
                  <c:v>27535.29</c:v>
                </c:pt>
                <c:pt idx="86">
                  <c:v>27411.919999999998</c:v>
                </c:pt>
                <c:pt idx="87">
                  <c:v>28821.13</c:v>
                </c:pt>
                <c:pt idx="88">
                  <c:v>27610.7</c:v>
                </c:pt>
                <c:pt idx="89">
                  <c:v>28222.01</c:v>
                </c:pt>
                <c:pt idx="90">
                  <c:v>28289.75</c:v>
                </c:pt>
                <c:pt idx="91">
                  <c:v>27759.77</c:v>
                </c:pt>
                <c:pt idx="92">
                  <c:v>29646.69</c:v>
                </c:pt>
                <c:pt idx="93">
                  <c:v>30920.959999999999</c:v>
                </c:pt>
                <c:pt idx="94">
                  <c:v>30762.94</c:v>
                </c:pt>
                <c:pt idx="95">
                  <c:v>30559.919999999998</c:v>
                </c:pt>
                <c:pt idx="96">
                  <c:v>30800.47</c:v>
                </c:pt>
                <c:pt idx="97">
                  <c:v>34441.019999999997</c:v>
                </c:pt>
                <c:pt idx="98">
                  <c:v>33619.07</c:v>
                </c:pt>
                <c:pt idx="99">
                  <c:v>34590.839999999997</c:v>
                </c:pt>
                <c:pt idx="100">
                  <c:v>36275.11</c:v>
                </c:pt>
                <c:pt idx="101">
                  <c:v>38691.47</c:v>
                </c:pt>
                <c:pt idx="102">
                  <c:v>39164.44</c:v>
                </c:pt>
                <c:pt idx="103">
                  <c:v>41831.32</c:v>
                </c:pt>
                <c:pt idx="104">
                  <c:v>43260.800000000003</c:v>
                </c:pt>
                <c:pt idx="105">
                  <c:v>46235.41</c:v>
                </c:pt>
                <c:pt idx="106">
                  <c:v>48162.85</c:v>
                </c:pt>
                <c:pt idx="107">
                  <c:v>50688.62</c:v>
                </c:pt>
                <c:pt idx="108">
                  <c:v>51785.98</c:v>
                </c:pt>
                <c:pt idx="109">
                  <c:v>48818.12</c:v>
                </c:pt>
                <c:pt idx="110">
                  <c:v>51192.62</c:v>
                </c:pt>
                <c:pt idx="111">
                  <c:v>52044.69</c:v>
                </c:pt>
                <c:pt idx="112">
                  <c:v>56040.67</c:v>
                </c:pt>
                <c:pt idx="113">
                  <c:v>58921.760000000002</c:v>
                </c:pt>
                <c:pt idx="114">
                  <c:v>58873.49</c:v>
                </c:pt>
                <c:pt idx="115">
                  <c:v>59654.2</c:v>
                </c:pt>
                <c:pt idx="116">
                  <c:v>61938.46</c:v>
                </c:pt>
                <c:pt idx="117">
                  <c:v>60861.66</c:v>
                </c:pt>
                <c:pt idx="118">
                  <c:v>61964.4</c:v>
                </c:pt>
                <c:pt idx="119">
                  <c:v>62912.97</c:v>
                </c:pt>
                <c:pt idx="120">
                  <c:v>61277.18</c:v>
                </c:pt>
                <c:pt idx="121">
                  <c:v>61930.12</c:v>
                </c:pt>
                <c:pt idx="122">
                  <c:v>61929.31</c:v>
                </c:pt>
                <c:pt idx="123">
                  <c:v>64836.15</c:v>
                </c:pt>
                <c:pt idx="124">
                  <c:v>64515.09</c:v>
                </c:pt>
                <c:pt idx="125">
                  <c:v>68921.5</c:v>
                </c:pt>
                <c:pt idx="126">
                  <c:v>66939.58</c:v>
                </c:pt>
                <c:pt idx="127">
                  <c:v>65465.15</c:v>
                </c:pt>
                <c:pt idx="128">
                  <c:v>65739.81</c:v>
                </c:pt>
                <c:pt idx="129">
                  <c:v>65773.11</c:v>
                </c:pt>
                <c:pt idx="130">
                  <c:v>66716.5</c:v>
                </c:pt>
                <c:pt idx="131">
                  <c:v>65826.3</c:v>
                </c:pt>
                <c:pt idx="132">
                  <c:v>67591.27</c:v>
                </c:pt>
                <c:pt idx="133">
                  <c:v>68451.55</c:v>
                </c:pt>
                <c:pt idx="134">
                  <c:v>69745.94</c:v>
                </c:pt>
                <c:pt idx="135">
                  <c:v>69821.710000000006</c:v>
                </c:pt>
                <c:pt idx="136">
                  <c:v>71776.66</c:v>
                </c:pt>
                <c:pt idx="137">
                  <c:v>72227.12</c:v>
                </c:pt>
                <c:pt idx="138">
                  <c:v>72456.08</c:v>
                </c:pt>
                <c:pt idx="139">
                  <c:v>72359.199999999997</c:v>
                </c:pt>
                <c:pt idx="140">
                  <c:v>71894.789999999994</c:v>
                </c:pt>
                <c:pt idx="141">
                  <c:v>72361.240000000005</c:v>
                </c:pt>
                <c:pt idx="142">
                  <c:v>70718.679999999993</c:v>
                </c:pt>
                <c:pt idx="143">
                  <c:v>69298.320000000007</c:v>
                </c:pt>
                <c:pt idx="144">
                  <c:v>70530.539999999994</c:v>
                </c:pt>
                <c:pt idx="145">
                  <c:v>69239.98</c:v>
                </c:pt>
                <c:pt idx="146">
                  <c:v>68624.7</c:v>
                </c:pt>
                <c:pt idx="147">
                  <c:v>69952.070000000007</c:v>
                </c:pt>
                <c:pt idx="148">
                  <c:v>69470.83</c:v>
                </c:pt>
                <c:pt idx="149">
                  <c:v>70472.72</c:v>
                </c:pt>
                <c:pt idx="150">
                  <c:v>68700.69</c:v>
                </c:pt>
                <c:pt idx="151">
                  <c:v>67718</c:v>
                </c:pt>
                <c:pt idx="152">
                  <c:v>66632.67</c:v>
                </c:pt>
                <c:pt idx="153">
                  <c:v>66150.460000000006</c:v>
                </c:pt>
                <c:pt idx="154">
                  <c:v>64190.67</c:v>
                </c:pt>
                <c:pt idx="155">
                  <c:v>64833.9</c:v>
                </c:pt>
                <c:pt idx="156">
                  <c:v>62307.02</c:v>
                </c:pt>
                <c:pt idx="157">
                  <c:v>61707.62</c:v>
                </c:pt>
                <c:pt idx="158">
                  <c:v>61643.22</c:v>
                </c:pt>
                <c:pt idx="159">
                  <c:v>58896.44</c:v>
                </c:pt>
                <c:pt idx="160">
                  <c:v>58991.16</c:v>
                </c:pt>
                <c:pt idx="161">
                  <c:v>56976.66</c:v>
                </c:pt>
                <c:pt idx="162">
                  <c:v>55987.62</c:v>
                </c:pt>
                <c:pt idx="163">
                  <c:v>55770.2</c:v>
                </c:pt>
                <c:pt idx="164">
                  <c:v>54308.04</c:v>
                </c:pt>
                <c:pt idx="165">
                  <c:v>52845.99</c:v>
                </c:pt>
                <c:pt idx="166">
                  <c:v>52490.73</c:v>
                </c:pt>
                <c:pt idx="167">
                  <c:v>51668.83</c:v>
                </c:pt>
                <c:pt idx="168">
                  <c:v>49228.82</c:v>
                </c:pt>
                <c:pt idx="169">
                  <c:v>50240.24</c:v>
                </c:pt>
                <c:pt idx="170">
                  <c:v>48865.36</c:v>
                </c:pt>
                <c:pt idx="171">
                  <c:v>49729.8</c:v>
                </c:pt>
                <c:pt idx="172">
                  <c:v>50236.41</c:v>
                </c:pt>
                <c:pt idx="173">
                  <c:v>49819.65</c:v>
                </c:pt>
                <c:pt idx="174">
                  <c:v>48118.38</c:v>
                </c:pt>
                <c:pt idx="175">
                  <c:v>52661.62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686464"/>
        <c:axId val="374688000"/>
      </c:lineChart>
      <c:dateAx>
        <c:axId val="374686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688000"/>
        <c:crosses val="autoZero"/>
        <c:auto val="1"/>
        <c:lblOffset val="100"/>
        <c:baseTimeUnit val="months"/>
      </c:dateAx>
      <c:valAx>
        <c:axId val="37468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4686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Base!$AC$2</c:f>
              <c:strCache>
                <c:ptCount val="1"/>
                <c:pt idx="0">
                  <c:v>aggActual</c:v>
                </c:pt>
              </c:strCache>
            </c:strRef>
          </c:tx>
          <c:marker>
            <c:symbol val="none"/>
          </c:marker>
          <c:cat>
            <c:numRef>
              <c:f>Base!$AB$3:$AB$178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Base!$AC$3:$AC$178</c:f>
              <c:numCache>
                <c:formatCode>General</c:formatCode>
                <c:ptCount val="176"/>
                <c:pt idx="0">
                  <c:v>4860.04</c:v>
                </c:pt>
                <c:pt idx="1">
                  <c:v>7089.07</c:v>
                </c:pt>
                <c:pt idx="2">
                  <c:v>15692.89</c:v>
                </c:pt>
                <c:pt idx="3">
                  <c:v>24984.78</c:v>
                </c:pt>
                <c:pt idx="4">
                  <c:v>13787.56</c:v>
                </c:pt>
                <c:pt idx="5">
                  <c:v>21517.9</c:v>
                </c:pt>
                <c:pt idx="6">
                  <c:v>16637.419999999998</c:v>
                </c:pt>
                <c:pt idx="7">
                  <c:v>42666.879999999997</c:v>
                </c:pt>
                <c:pt idx="8">
                  <c:v>36443.89</c:v>
                </c:pt>
                <c:pt idx="9">
                  <c:v>41965.21</c:v>
                </c:pt>
                <c:pt idx="10">
                  <c:v>33520.79</c:v>
                </c:pt>
                <c:pt idx="11">
                  <c:v>30332.13</c:v>
                </c:pt>
                <c:pt idx="12">
                  <c:v>43164.61</c:v>
                </c:pt>
                <c:pt idx="13">
                  <c:v>33867.49</c:v>
                </c:pt>
                <c:pt idx="14">
                  <c:v>30696.36</c:v>
                </c:pt>
                <c:pt idx="15">
                  <c:v>25071.37</c:v>
                </c:pt>
                <c:pt idx="16">
                  <c:v>36215.279999999999</c:v>
                </c:pt>
                <c:pt idx="17">
                  <c:v>25148.33</c:v>
                </c:pt>
                <c:pt idx="18">
                  <c:v>26178.47</c:v>
                </c:pt>
                <c:pt idx="19">
                  <c:v>32832.46</c:v>
                </c:pt>
                <c:pt idx="20">
                  <c:v>33468.93</c:v>
                </c:pt>
                <c:pt idx="21">
                  <c:v>34995.769999999997</c:v>
                </c:pt>
                <c:pt idx="22">
                  <c:v>23548.85</c:v>
                </c:pt>
                <c:pt idx="23">
                  <c:v>34631.06</c:v>
                </c:pt>
                <c:pt idx="24">
                  <c:v>21637.96</c:v>
                </c:pt>
                <c:pt idx="25">
                  <c:v>19999.95</c:v>
                </c:pt>
                <c:pt idx="26">
                  <c:v>25850.400000000001</c:v>
                </c:pt>
                <c:pt idx="27">
                  <c:v>24743.5</c:v>
                </c:pt>
                <c:pt idx="28">
                  <c:v>22743.98</c:v>
                </c:pt>
                <c:pt idx="29">
                  <c:v>24609.77</c:v>
                </c:pt>
                <c:pt idx="30">
                  <c:v>23662.92</c:v>
                </c:pt>
                <c:pt idx="31">
                  <c:v>26531.57</c:v>
                </c:pt>
                <c:pt idx="32">
                  <c:v>25504.77</c:v>
                </c:pt>
                <c:pt idx="33">
                  <c:v>25837.03</c:v>
                </c:pt>
                <c:pt idx="34">
                  <c:v>31752.3</c:v>
                </c:pt>
                <c:pt idx="35">
                  <c:v>29326.61</c:v>
                </c:pt>
                <c:pt idx="36">
                  <c:v>25782.53</c:v>
                </c:pt>
                <c:pt idx="37">
                  <c:v>24721.22</c:v>
                </c:pt>
                <c:pt idx="38">
                  <c:v>23914.880000000001</c:v>
                </c:pt>
                <c:pt idx="39">
                  <c:v>29266.85</c:v>
                </c:pt>
                <c:pt idx="40">
                  <c:v>31672.93</c:v>
                </c:pt>
                <c:pt idx="41">
                  <c:v>27251.33</c:v>
                </c:pt>
                <c:pt idx="42">
                  <c:v>26806.12</c:v>
                </c:pt>
                <c:pt idx="43">
                  <c:v>24582.2</c:v>
                </c:pt>
                <c:pt idx="44">
                  <c:v>29537.62</c:v>
                </c:pt>
                <c:pt idx="45">
                  <c:v>27527.759999999998</c:v>
                </c:pt>
                <c:pt idx="46">
                  <c:v>27572.52</c:v>
                </c:pt>
                <c:pt idx="47">
                  <c:v>32759.01</c:v>
                </c:pt>
                <c:pt idx="48">
                  <c:v>37628.65</c:v>
                </c:pt>
                <c:pt idx="49">
                  <c:v>33838.639999999999</c:v>
                </c:pt>
                <c:pt idx="50">
                  <c:v>36553.949999999997</c:v>
                </c:pt>
                <c:pt idx="51">
                  <c:v>29289.17</c:v>
                </c:pt>
                <c:pt idx="52">
                  <c:v>27688.07</c:v>
                </c:pt>
                <c:pt idx="53">
                  <c:v>29315.25</c:v>
                </c:pt>
                <c:pt idx="54">
                  <c:v>25565.919999999998</c:v>
                </c:pt>
                <c:pt idx="55">
                  <c:v>28588.04</c:v>
                </c:pt>
                <c:pt idx="56">
                  <c:v>27571.65</c:v>
                </c:pt>
                <c:pt idx="57">
                  <c:v>35275.56</c:v>
                </c:pt>
                <c:pt idx="58">
                  <c:v>29873.24</c:v>
                </c:pt>
                <c:pt idx="59">
                  <c:v>29570.42</c:v>
                </c:pt>
                <c:pt idx="60">
                  <c:v>23019.7</c:v>
                </c:pt>
                <c:pt idx="61">
                  <c:v>24440.02</c:v>
                </c:pt>
                <c:pt idx="62">
                  <c:v>26475.119999999999</c:v>
                </c:pt>
                <c:pt idx="63">
                  <c:v>23850.46</c:v>
                </c:pt>
                <c:pt idx="64">
                  <c:v>21242.6</c:v>
                </c:pt>
                <c:pt idx="65">
                  <c:v>20461.64</c:v>
                </c:pt>
                <c:pt idx="66">
                  <c:v>18777.18</c:v>
                </c:pt>
                <c:pt idx="67">
                  <c:v>17199.560000000001</c:v>
                </c:pt>
                <c:pt idx="68">
                  <c:v>18219.169999999998</c:v>
                </c:pt>
                <c:pt idx="69">
                  <c:v>16149.75</c:v>
                </c:pt>
                <c:pt idx="70">
                  <c:v>18362.740000000002</c:v>
                </c:pt>
                <c:pt idx="71">
                  <c:v>18580.080000000002</c:v>
                </c:pt>
                <c:pt idx="72">
                  <c:v>18047.22</c:v>
                </c:pt>
                <c:pt idx="73">
                  <c:v>19564.27</c:v>
                </c:pt>
                <c:pt idx="74">
                  <c:v>18654.09</c:v>
                </c:pt>
                <c:pt idx="75">
                  <c:v>15931.57</c:v>
                </c:pt>
                <c:pt idx="76">
                  <c:v>17225.04</c:v>
                </c:pt>
                <c:pt idx="77">
                  <c:v>15112.07</c:v>
                </c:pt>
                <c:pt idx="78">
                  <c:v>18377.97</c:v>
                </c:pt>
                <c:pt idx="79">
                  <c:v>18723.71</c:v>
                </c:pt>
                <c:pt idx="80">
                  <c:v>20288.3</c:v>
                </c:pt>
                <c:pt idx="81">
                  <c:v>21095.42</c:v>
                </c:pt>
                <c:pt idx="82">
                  <c:v>22908.240000000002</c:v>
                </c:pt>
                <c:pt idx="83">
                  <c:v>20100.990000000002</c:v>
                </c:pt>
                <c:pt idx="84">
                  <c:v>20293.490000000002</c:v>
                </c:pt>
                <c:pt idx="85">
                  <c:v>19007.57</c:v>
                </c:pt>
                <c:pt idx="86">
                  <c:v>20403.48</c:v>
                </c:pt>
                <c:pt idx="87">
                  <c:v>20626.009999999998</c:v>
                </c:pt>
                <c:pt idx="88">
                  <c:v>17676.71</c:v>
                </c:pt>
                <c:pt idx="89">
                  <c:v>19210.29</c:v>
                </c:pt>
                <c:pt idx="90">
                  <c:v>18798.12</c:v>
                </c:pt>
                <c:pt idx="91">
                  <c:v>24110.51</c:v>
                </c:pt>
                <c:pt idx="92">
                  <c:v>25265.63</c:v>
                </c:pt>
                <c:pt idx="93">
                  <c:v>32141.599999999999</c:v>
                </c:pt>
                <c:pt idx="94">
                  <c:v>28415.51</c:v>
                </c:pt>
                <c:pt idx="95">
                  <c:v>29961.279999999999</c:v>
                </c:pt>
                <c:pt idx="96">
                  <c:v>30738.67</c:v>
                </c:pt>
                <c:pt idx="97">
                  <c:v>34559.18</c:v>
                </c:pt>
                <c:pt idx="98">
                  <c:v>34570.07</c:v>
                </c:pt>
                <c:pt idx="99">
                  <c:v>35547.480000000003</c:v>
                </c:pt>
                <c:pt idx="100">
                  <c:v>37714.980000000003</c:v>
                </c:pt>
                <c:pt idx="101">
                  <c:v>40494.74</c:v>
                </c:pt>
                <c:pt idx="102">
                  <c:v>40632.620000000003</c:v>
                </c:pt>
                <c:pt idx="103">
                  <c:v>41912.730000000003</c:v>
                </c:pt>
                <c:pt idx="104">
                  <c:v>44393.78</c:v>
                </c:pt>
                <c:pt idx="105">
                  <c:v>50362.6</c:v>
                </c:pt>
                <c:pt idx="106">
                  <c:v>51885.83</c:v>
                </c:pt>
                <c:pt idx="107">
                  <c:v>57138.94</c:v>
                </c:pt>
                <c:pt idx="108">
                  <c:v>61390.47</c:v>
                </c:pt>
                <c:pt idx="109">
                  <c:v>60925.46</c:v>
                </c:pt>
                <c:pt idx="110">
                  <c:v>65166.1</c:v>
                </c:pt>
                <c:pt idx="111">
                  <c:v>64851.77</c:v>
                </c:pt>
                <c:pt idx="112">
                  <c:v>67112.47</c:v>
                </c:pt>
                <c:pt idx="113">
                  <c:v>67663.070000000007</c:v>
                </c:pt>
                <c:pt idx="114">
                  <c:v>67023.61</c:v>
                </c:pt>
                <c:pt idx="115">
                  <c:v>65837.460000000006</c:v>
                </c:pt>
                <c:pt idx="116">
                  <c:v>69119.960000000006</c:v>
                </c:pt>
                <c:pt idx="117">
                  <c:v>65219.57</c:v>
                </c:pt>
                <c:pt idx="118">
                  <c:v>66708.83</c:v>
                </c:pt>
                <c:pt idx="119">
                  <c:v>68399.22</c:v>
                </c:pt>
                <c:pt idx="120">
                  <c:v>67750.58</c:v>
                </c:pt>
                <c:pt idx="121">
                  <c:v>69443.61</c:v>
                </c:pt>
                <c:pt idx="122">
                  <c:v>66587.17</c:v>
                </c:pt>
                <c:pt idx="123">
                  <c:v>68564.98</c:v>
                </c:pt>
                <c:pt idx="124">
                  <c:v>67267.27</c:v>
                </c:pt>
                <c:pt idx="125">
                  <c:v>71655.14</c:v>
                </c:pt>
                <c:pt idx="126">
                  <c:v>73389.850000000006</c:v>
                </c:pt>
                <c:pt idx="127">
                  <c:v>73503.710000000006</c:v>
                </c:pt>
                <c:pt idx="128">
                  <c:v>75765.22</c:v>
                </c:pt>
                <c:pt idx="129">
                  <c:v>75720.600000000006</c:v>
                </c:pt>
                <c:pt idx="130">
                  <c:v>77283.64</c:v>
                </c:pt>
                <c:pt idx="131">
                  <c:v>75473.41</c:v>
                </c:pt>
                <c:pt idx="132">
                  <c:v>76476.23</c:v>
                </c:pt>
                <c:pt idx="133">
                  <c:v>75265.649999999994</c:v>
                </c:pt>
                <c:pt idx="134">
                  <c:v>75133.23</c:v>
                </c:pt>
                <c:pt idx="135">
                  <c:v>74265.13</c:v>
                </c:pt>
                <c:pt idx="136">
                  <c:v>74982.02</c:v>
                </c:pt>
                <c:pt idx="137">
                  <c:v>74869</c:v>
                </c:pt>
                <c:pt idx="138">
                  <c:v>75873.710000000006</c:v>
                </c:pt>
                <c:pt idx="139">
                  <c:v>75336.97</c:v>
                </c:pt>
                <c:pt idx="140">
                  <c:v>75305.05</c:v>
                </c:pt>
                <c:pt idx="141">
                  <c:v>75251.58</c:v>
                </c:pt>
                <c:pt idx="142">
                  <c:v>74694.66</c:v>
                </c:pt>
                <c:pt idx="143">
                  <c:v>74039.19</c:v>
                </c:pt>
                <c:pt idx="144">
                  <c:v>74529.33</c:v>
                </c:pt>
                <c:pt idx="145">
                  <c:v>72107.97</c:v>
                </c:pt>
                <c:pt idx="146">
                  <c:v>69190.63</c:v>
                </c:pt>
                <c:pt idx="147">
                  <c:v>68586.53</c:v>
                </c:pt>
                <c:pt idx="148">
                  <c:v>66017.73</c:v>
                </c:pt>
                <c:pt idx="149">
                  <c:v>66577.210000000006</c:v>
                </c:pt>
                <c:pt idx="150">
                  <c:v>66240.509999999995</c:v>
                </c:pt>
                <c:pt idx="151">
                  <c:v>64677.19</c:v>
                </c:pt>
                <c:pt idx="152">
                  <c:v>63981.63</c:v>
                </c:pt>
                <c:pt idx="153">
                  <c:v>63282.559999999998</c:v>
                </c:pt>
                <c:pt idx="154">
                  <c:v>60836.19</c:v>
                </c:pt>
                <c:pt idx="155">
                  <c:v>61386.44</c:v>
                </c:pt>
                <c:pt idx="156">
                  <c:v>59643.040000000001</c:v>
                </c:pt>
                <c:pt idx="157">
                  <c:v>57467.44</c:v>
                </c:pt>
                <c:pt idx="158">
                  <c:v>55452.29</c:v>
                </c:pt>
                <c:pt idx="159">
                  <c:v>52930.94</c:v>
                </c:pt>
                <c:pt idx="160">
                  <c:v>51078.77</c:v>
                </c:pt>
                <c:pt idx="161">
                  <c:v>48158.26</c:v>
                </c:pt>
                <c:pt idx="162">
                  <c:v>48193.08</c:v>
                </c:pt>
                <c:pt idx="163">
                  <c:v>47525.8</c:v>
                </c:pt>
                <c:pt idx="164">
                  <c:v>45786.84</c:v>
                </c:pt>
                <c:pt idx="165">
                  <c:v>45438.94</c:v>
                </c:pt>
                <c:pt idx="166">
                  <c:v>45624.28</c:v>
                </c:pt>
                <c:pt idx="167">
                  <c:v>46233.9</c:v>
                </c:pt>
                <c:pt idx="168">
                  <c:v>43619.53</c:v>
                </c:pt>
                <c:pt idx="169">
                  <c:v>44914.23</c:v>
                </c:pt>
                <c:pt idx="170">
                  <c:v>41508.9</c:v>
                </c:pt>
                <c:pt idx="171">
                  <c:v>43483.02</c:v>
                </c:pt>
                <c:pt idx="172">
                  <c:v>44748.41</c:v>
                </c:pt>
                <c:pt idx="173">
                  <c:v>48579.99</c:v>
                </c:pt>
                <c:pt idx="174">
                  <c:v>53707.01</c:v>
                </c:pt>
                <c:pt idx="175">
                  <c:v>57973.8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Base!$AD$2</c:f>
              <c:strCache>
                <c:ptCount val="1"/>
                <c:pt idx="0">
                  <c:v>aggEstim</c:v>
                </c:pt>
              </c:strCache>
            </c:strRef>
          </c:tx>
          <c:marker>
            <c:symbol val="none"/>
          </c:marker>
          <c:cat>
            <c:numRef>
              <c:f>Base!$AB$3:$AB$178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Base!$AD$3:$AD$178</c:f>
              <c:numCache>
                <c:formatCode>General</c:formatCode>
                <c:ptCount val="176"/>
                <c:pt idx="0">
                  <c:v>24818.52</c:v>
                </c:pt>
                <c:pt idx="1">
                  <c:v>39366.44</c:v>
                </c:pt>
                <c:pt idx="2">
                  <c:v>35837.980000000003</c:v>
                </c:pt>
                <c:pt idx="3">
                  <c:v>41513.9</c:v>
                </c:pt>
                <c:pt idx="4">
                  <c:v>36489.19</c:v>
                </c:pt>
                <c:pt idx="5">
                  <c:v>34068.660000000003</c:v>
                </c:pt>
                <c:pt idx="6">
                  <c:v>38102.699999999997</c:v>
                </c:pt>
                <c:pt idx="7">
                  <c:v>38281.660000000003</c:v>
                </c:pt>
                <c:pt idx="8">
                  <c:v>37496.959999999999</c:v>
                </c:pt>
                <c:pt idx="9">
                  <c:v>40011.800000000003</c:v>
                </c:pt>
                <c:pt idx="10">
                  <c:v>36239.1</c:v>
                </c:pt>
                <c:pt idx="11">
                  <c:v>34454.699999999997</c:v>
                </c:pt>
                <c:pt idx="12">
                  <c:v>34048.629999999997</c:v>
                </c:pt>
                <c:pt idx="13">
                  <c:v>35579.050000000003</c:v>
                </c:pt>
                <c:pt idx="14">
                  <c:v>34928.58</c:v>
                </c:pt>
                <c:pt idx="15">
                  <c:v>34347.33</c:v>
                </c:pt>
                <c:pt idx="16">
                  <c:v>36225.589999999997</c:v>
                </c:pt>
                <c:pt idx="17">
                  <c:v>33689.269999999997</c:v>
                </c:pt>
                <c:pt idx="18">
                  <c:v>34199.71</c:v>
                </c:pt>
                <c:pt idx="19">
                  <c:v>34284.199999999997</c:v>
                </c:pt>
                <c:pt idx="20">
                  <c:v>32063.07</c:v>
                </c:pt>
                <c:pt idx="21">
                  <c:v>32303.46</c:v>
                </c:pt>
                <c:pt idx="22">
                  <c:v>30868.16</c:v>
                </c:pt>
                <c:pt idx="23">
                  <c:v>34303.96</c:v>
                </c:pt>
                <c:pt idx="24">
                  <c:v>32462.82</c:v>
                </c:pt>
                <c:pt idx="25">
                  <c:v>29017.79</c:v>
                </c:pt>
                <c:pt idx="26">
                  <c:v>31439.13</c:v>
                </c:pt>
                <c:pt idx="27">
                  <c:v>31582.31</c:v>
                </c:pt>
                <c:pt idx="28">
                  <c:v>31346.22</c:v>
                </c:pt>
                <c:pt idx="29">
                  <c:v>30394.06</c:v>
                </c:pt>
                <c:pt idx="30">
                  <c:v>32091.93</c:v>
                </c:pt>
                <c:pt idx="31">
                  <c:v>31679.34</c:v>
                </c:pt>
                <c:pt idx="32">
                  <c:v>31485.14</c:v>
                </c:pt>
                <c:pt idx="33">
                  <c:v>32949.33</c:v>
                </c:pt>
                <c:pt idx="34">
                  <c:v>31696.18</c:v>
                </c:pt>
                <c:pt idx="35">
                  <c:v>33930.18</c:v>
                </c:pt>
                <c:pt idx="36">
                  <c:v>31648.98</c:v>
                </c:pt>
                <c:pt idx="37">
                  <c:v>32533.05</c:v>
                </c:pt>
                <c:pt idx="38">
                  <c:v>31629.040000000001</c:v>
                </c:pt>
                <c:pt idx="39">
                  <c:v>33179.449999999997</c:v>
                </c:pt>
                <c:pt idx="40">
                  <c:v>33262.160000000003</c:v>
                </c:pt>
                <c:pt idx="41">
                  <c:v>33422.1</c:v>
                </c:pt>
                <c:pt idx="42">
                  <c:v>33242.949999999997</c:v>
                </c:pt>
                <c:pt idx="43">
                  <c:v>32681.74</c:v>
                </c:pt>
                <c:pt idx="44">
                  <c:v>32511.54</c:v>
                </c:pt>
                <c:pt idx="45">
                  <c:v>32716.45</c:v>
                </c:pt>
                <c:pt idx="46">
                  <c:v>32778.32</c:v>
                </c:pt>
                <c:pt idx="47">
                  <c:v>32092.99</c:v>
                </c:pt>
                <c:pt idx="48">
                  <c:v>33358.839999999997</c:v>
                </c:pt>
                <c:pt idx="49">
                  <c:v>33352.199999999997</c:v>
                </c:pt>
                <c:pt idx="50">
                  <c:v>32194.27</c:v>
                </c:pt>
                <c:pt idx="51">
                  <c:v>32560.6</c:v>
                </c:pt>
                <c:pt idx="52">
                  <c:v>33974.870000000003</c:v>
                </c:pt>
                <c:pt idx="53">
                  <c:v>32696.63</c:v>
                </c:pt>
                <c:pt idx="54">
                  <c:v>32365.84</c:v>
                </c:pt>
                <c:pt idx="55">
                  <c:v>32387.72</c:v>
                </c:pt>
                <c:pt idx="56">
                  <c:v>32000.26</c:v>
                </c:pt>
                <c:pt idx="57">
                  <c:v>30609.81</c:v>
                </c:pt>
                <c:pt idx="58">
                  <c:v>32089.83</c:v>
                </c:pt>
                <c:pt idx="59">
                  <c:v>31659.26</c:v>
                </c:pt>
                <c:pt idx="60">
                  <c:v>30323.02</c:v>
                </c:pt>
                <c:pt idx="61">
                  <c:v>31852.95</c:v>
                </c:pt>
                <c:pt idx="62">
                  <c:v>31650.61</c:v>
                </c:pt>
                <c:pt idx="63">
                  <c:v>30932.57</c:v>
                </c:pt>
                <c:pt idx="64">
                  <c:v>30297.09</c:v>
                </c:pt>
                <c:pt idx="65">
                  <c:v>29735.48</c:v>
                </c:pt>
                <c:pt idx="66">
                  <c:v>29577.38</c:v>
                </c:pt>
                <c:pt idx="67">
                  <c:v>29512.63</c:v>
                </c:pt>
                <c:pt idx="68">
                  <c:v>29581.24</c:v>
                </c:pt>
                <c:pt idx="69">
                  <c:v>30048.01</c:v>
                </c:pt>
                <c:pt idx="70">
                  <c:v>29709.65</c:v>
                </c:pt>
                <c:pt idx="71">
                  <c:v>28068.13</c:v>
                </c:pt>
                <c:pt idx="72">
                  <c:v>27475.88</c:v>
                </c:pt>
                <c:pt idx="73">
                  <c:v>27975.33</c:v>
                </c:pt>
                <c:pt idx="74">
                  <c:v>29584.98</c:v>
                </c:pt>
                <c:pt idx="75">
                  <c:v>27946.12</c:v>
                </c:pt>
                <c:pt idx="76">
                  <c:v>28967.45</c:v>
                </c:pt>
                <c:pt idx="77">
                  <c:v>28491.759999999998</c:v>
                </c:pt>
                <c:pt idx="78">
                  <c:v>27143.22</c:v>
                </c:pt>
                <c:pt idx="79">
                  <c:v>27915.02</c:v>
                </c:pt>
                <c:pt idx="80">
                  <c:v>28384.51</c:v>
                </c:pt>
                <c:pt idx="81">
                  <c:v>28589.75</c:v>
                </c:pt>
                <c:pt idx="82">
                  <c:v>29265.74</c:v>
                </c:pt>
                <c:pt idx="83">
                  <c:v>27636.5</c:v>
                </c:pt>
                <c:pt idx="84">
                  <c:v>26049.91</c:v>
                </c:pt>
                <c:pt idx="85">
                  <c:v>27364.14</c:v>
                </c:pt>
                <c:pt idx="86">
                  <c:v>27281.46</c:v>
                </c:pt>
                <c:pt idx="87">
                  <c:v>28771.9</c:v>
                </c:pt>
                <c:pt idx="88">
                  <c:v>27347.43</c:v>
                </c:pt>
                <c:pt idx="89">
                  <c:v>28147.37</c:v>
                </c:pt>
                <c:pt idx="90">
                  <c:v>28288.14</c:v>
                </c:pt>
                <c:pt idx="91">
                  <c:v>27749.99</c:v>
                </c:pt>
                <c:pt idx="92">
                  <c:v>29749.1</c:v>
                </c:pt>
                <c:pt idx="93">
                  <c:v>30997.040000000001</c:v>
                </c:pt>
                <c:pt idx="94">
                  <c:v>30769.78</c:v>
                </c:pt>
                <c:pt idx="95">
                  <c:v>30868.12</c:v>
                </c:pt>
                <c:pt idx="96">
                  <c:v>30915.89</c:v>
                </c:pt>
                <c:pt idx="97">
                  <c:v>34758.31</c:v>
                </c:pt>
                <c:pt idx="98">
                  <c:v>33968.97</c:v>
                </c:pt>
                <c:pt idx="99">
                  <c:v>34833.35</c:v>
                </c:pt>
                <c:pt idx="100">
                  <c:v>36733.25</c:v>
                </c:pt>
                <c:pt idx="101">
                  <c:v>39349.74</c:v>
                </c:pt>
                <c:pt idx="102">
                  <c:v>39640.589999999997</c:v>
                </c:pt>
                <c:pt idx="103">
                  <c:v>42264.4</c:v>
                </c:pt>
                <c:pt idx="104">
                  <c:v>43522.43</c:v>
                </c:pt>
                <c:pt idx="105">
                  <c:v>46596.66</c:v>
                </c:pt>
                <c:pt idx="106">
                  <c:v>48596.67</c:v>
                </c:pt>
                <c:pt idx="107">
                  <c:v>51493.49</c:v>
                </c:pt>
                <c:pt idx="108">
                  <c:v>52669.74</c:v>
                </c:pt>
                <c:pt idx="109">
                  <c:v>49297.34</c:v>
                </c:pt>
                <c:pt idx="110">
                  <c:v>51916.04</c:v>
                </c:pt>
                <c:pt idx="111">
                  <c:v>52444.98</c:v>
                </c:pt>
                <c:pt idx="112">
                  <c:v>56480.4</c:v>
                </c:pt>
                <c:pt idx="113">
                  <c:v>59222.27</c:v>
                </c:pt>
                <c:pt idx="114">
                  <c:v>59108.95</c:v>
                </c:pt>
                <c:pt idx="115">
                  <c:v>59859.86</c:v>
                </c:pt>
                <c:pt idx="116">
                  <c:v>62301.91</c:v>
                </c:pt>
                <c:pt idx="117">
                  <c:v>61175.8</c:v>
                </c:pt>
                <c:pt idx="118">
                  <c:v>62246.23</c:v>
                </c:pt>
                <c:pt idx="119">
                  <c:v>63336.83</c:v>
                </c:pt>
                <c:pt idx="120">
                  <c:v>61439.51</c:v>
                </c:pt>
                <c:pt idx="121">
                  <c:v>62207.22</c:v>
                </c:pt>
                <c:pt idx="122">
                  <c:v>62200.55</c:v>
                </c:pt>
                <c:pt idx="123">
                  <c:v>65019.53</c:v>
                </c:pt>
                <c:pt idx="124">
                  <c:v>64755.07</c:v>
                </c:pt>
                <c:pt idx="125">
                  <c:v>68821.350000000006</c:v>
                </c:pt>
                <c:pt idx="126">
                  <c:v>66994</c:v>
                </c:pt>
                <c:pt idx="127">
                  <c:v>65504.15</c:v>
                </c:pt>
                <c:pt idx="128">
                  <c:v>65883.44</c:v>
                </c:pt>
                <c:pt idx="129">
                  <c:v>65967.92</c:v>
                </c:pt>
                <c:pt idx="130">
                  <c:v>66843.289999999994</c:v>
                </c:pt>
                <c:pt idx="131">
                  <c:v>66207.199999999997</c:v>
                </c:pt>
                <c:pt idx="132">
                  <c:v>67955</c:v>
                </c:pt>
                <c:pt idx="133">
                  <c:v>68900.08</c:v>
                </c:pt>
                <c:pt idx="134">
                  <c:v>70158.53</c:v>
                </c:pt>
                <c:pt idx="135">
                  <c:v>69982.73</c:v>
                </c:pt>
                <c:pt idx="136">
                  <c:v>72035.94</c:v>
                </c:pt>
                <c:pt idx="137">
                  <c:v>72485.91</c:v>
                </c:pt>
                <c:pt idx="138">
                  <c:v>72595.16</c:v>
                </c:pt>
                <c:pt idx="139">
                  <c:v>72477.899999999994</c:v>
                </c:pt>
                <c:pt idx="140">
                  <c:v>72014.570000000007</c:v>
                </c:pt>
                <c:pt idx="141">
                  <c:v>72423.570000000007</c:v>
                </c:pt>
                <c:pt idx="142">
                  <c:v>70734.89</c:v>
                </c:pt>
                <c:pt idx="143">
                  <c:v>69304.289999999994</c:v>
                </c:pt>
                <c:pt idx="144">
                  <c:v>70517.16</c:v>
                </c:pt>
                <c:pt idx="145">
                  <c:v>69242.559999999998</c:v>
                </c:pt>
                <c:pt idx="146">
                  <c:v>68665.539999999994</c:v>
                </c:pt>
                <c:pt idx="147">
                  <c:v>69896.67</c:v>
                </c:pt>
                <c:pt idx="148">
                  <c:v>69398.570000000007</c:v>
                </c:pt>
                <c:pt idx="149">
                  <c:v>70296.259999999995</c:v>
                </c:pt>
                <c:pt idx="150">
                  <c:v>68453.7</c:v>
                </c:pt>
                <c:pt idx="151">
                  <c:v>67429.33</c:v>
                </c:pt>
                <c:pt idx="152">
                  <c:v>66354.45</c:v>
                </c:pt>
                <c:pt idx="153">
                  <c:v>65827.25</c:v>
                </c:pt>
                <c:pt idx="154">
                  <c:v>63923.44</c:v>
                </c:pt>
                <c:pt idx="155">
                  <c:v>64510.89</c:v>
                </c:pt>
                <c:pt idx="156">
                  <c:v>62028.02</c:v>
                </c:pt>
                <c:pt idx="157">
                  <c:v>61386.37</c:v>
                </c:pt>
                <c:pt idx="158">
                  <c:v>61426.89</c:v>
                </c:pt>
                <c:pt idx="159">
                  <c:v>58635.61</c:v>
                </c:pt>
                <c:pt idx="160">
                  <c:v>58771.7</c:v>
                </c:pt>
                <c:pt idx="161">
                  <c:v>56796.69</c:v>
                </c:pt>
                <c:pt idx="162">
                  <c:v>55754.91</c:v>
                </c:pt>
                <c:pt idx="163">
                  <c:v>55543.14</c:v>
                </c:pt>
                <c:pt idx="164">
                  <c:v>54149</c:v>
                </c:pt>
                <c:pt idx="165">
                  <c:v>52664.959999999999</c:v>
                </c:pt>
                <c:pt idx="166">
                  <c:v>52413.69</c:v>
                </c:pt>
                <c:pt idx="167">
                  <c:v>51624.53</c:v>
                </c:pt>
                <c:pt idx="168">
                  <c:v>49093.16</c:v>
                </c:pt>
                <c:pt idx="169">
                  <c:v>50206.74</c:v>
                </c:pt>
                <c:pt idx="170">
                  <c:v>48895.27</c:v>
                </c:pt>
                <c:pt idx="171">
                  <c:v>49607.72</c:v>
                </c:pt>
                <c:pt idx="172">
                  <c:v>49940.56</c:v>
                </c:pt>
                <c:pt idx="173">
                  <c:v>49277.17</c:v>
                </c:pt>
                <c:pt idx="174">
                  <c:v>47492.37</c:v>
                </c:pt>
                <c:pt idx="175">
                  <c:v>50697.34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414848"/>
        <c:axId val="374080256"/>
      </c:lineChart>
      <c:dateAx>
        <c:axId val="366414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080256"/>
        <c:crosses val="autoZero"/>
        <c:auto val="1"/>
        <c:lblOffset val="100"/>
        <c:baseTimeUnit val="months"/>
      </c:dateAx>
      <c:valAx>
        <c:axId val="37408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6414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Expenses!$C$2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Expenses!$B$18:$B$181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Expenses!$C$18:$C$181</c:f>
              <c:numCache>
                <c:formatCode>General</c:formatCode>
                <c:ptCount val="164"/>
                <c:pt idx="0">
                  <c:v>5547.1719999999996</c:v>
                </c:pt>
                <c:pt idx="1">
                  <c:v>6236.1350000000002</c:v>
                </c:pt>
                <c:pt idx="2">
                  <c:v>5388.6729999999998</c:v>
                </c:pt>
                <c:pt idx="3">
                  <c:v>5925</c:v>
                </c:pt>
                <c:pt idx="4">
                  <c:v>5869.7539999999999</c:v>
                </c:pt>
                <c:pt idx="5">
                  <c:v>5666.2790000000005</c:v>
                </c:pt>
                <c:pt idx="6">
                  <c:v>6407.5730000000003</c:v>
                </c:pt>
                <c:pt idx="7">
                  <c:v>6198.8280000000004</c:v>
                </c:pt>
                <c:pt idx="8">
                  <c:v>5692.0839999999998</c:v>
                </c:pt>
                <c:pt idx="9">
                  <c:v>6079.2449999999999</c:v>
                </c:pt>
                <c:pt idx="10">
                  <c:v>6821.0429999999997</c:v>
                </c:pt>
                <c:pt idx="11">
                  <c:v>7297.1949999999997</c:v>
                </c:pt>
                <c:pt idx="12">
                  <c:v>6318.107</c:v>
                </c:pt>
                <c:pt idx="13">
                  <c:v>6177.7240000000002</c:v>
                </c:pt>
                <c:pt idx="14">
                  <c:v>6640.3109999999997</c:v>
                </c:pt>
                <c:pt idx="15">
                  <c:v>6954.5630000000001</c:v>
                </c:pt>
                <c:pt idx="16">
                  <c:v>7241.701</c:v>
                </c:pt>
                <c:pt idx="17">
                  <c:v>7253.7539999999999</c:v>
                </c:pt>
                <c:pt idx="18">
                  <c:v>6598.835</c:v>
                </c:pt>
                <c:pt idx="19">
                  <c:v>6719.2150000000001</c:v>
                </c:pt>
                <c:pt idx="20">
                  <c:v>7808.9719999999998</c:v>
                </c:pt>
                <c:pt idx="21">
                  <c:v>7256.2920000000004</c:v>
                </c:pt>
                <c:pt idx="22">
                  <c:v>7678.192</c:v>
                </c:pt>
                <c:pt idx="23">
                  <c:v>7602.5720000000001</c:v>
                </c:pt>
                <c:pt idx="24">
                  <c:v>7226.3310000000001</c:v>
                </c:pt>
                <c:pt idx="25">
                  <c:v>7178.5829999999996</c:v>
                </c:pt>
                <c:pt idx="26">
                  <c:v>7391.24</c:v>
                </c:pt>
                <c:pt idx="27">
                  <c:v>7209.8710000000001</c:v>
                </c:pt>
                <c:pt idx="28">
                  <c:v>7146.3639999999996</c:v>
                </c:pt>
                <c:pt idx="29">
                  <c:v>7456.4380000000001</c:v>
                </c:pt>
                <c:pt idx="30">
                  <c:v>7419.6559999999999</c:v>
                </c:pt>
                <c:pt idx="31">
                  <c:v>7686.0789999999997</c:v>
                </c:pt>
                <c:pt idx="32">
                  <c:v>7342.3770000000004</c:v>
                </c:pt>
                <c:pt idx="33">
                  <c:v>8420.1440000000002</c:v>
                </c:pt>
                <c:pt idx="34">
                  <c:v>8017.3649999999998</c:v>
                </c:pt>
                <c:pt idx="35">
                  <c:v>8162.5249999999996</c:v>
                </c:pt>
                <c:pt idx="36">
                  <c:v>7225.3329999999996</c:v>
                </c:pt>
                <c:pt idx="37">
                  <c:v>7817.61</c:v>
                </c:pt>
                <c:pt idx="38">
                  <c:v>7506.8990000000003</c:v>
                </c:pt>
                <c:pt idx="39">
                  <c:v>8245.4599999999991</c:v>
                </c:pt>
                <c:pt idx="40">
                  <c:v>8461.1910000000007</c:v>
                </c:pt>
                <c:pt idx="41">
                  <c:v>8421.8989999999994</c:v>
                </c:pt>
                <c:pt idx="42">
                  <c:v>8376.8179999999993</c:v>
                </c:pt>
                <c:pt idx="43">
                  <c:v>8430.0249999999996</c:v>
                </c:pt>
                <c:pt idx="44">
                  <c:v>8526.83</c:v>
                </c:pt>
                <c:pt idx="45">
                  <c:v>8659.7729999999992</c:v>
                </c:pt>
                <c:pt idx="46">
                  <c:v>8937.9549999999999</c:v>
                </c:pt>
                <c:pt idx="47">
                  <c:v>9653.875</c:v>
                </c:pt>
                <c:pt idx="48">
                  <c:v>9235.6980000000003</c:v>
                </c:pt>
                <c:pt idx="49">
                  <c:v>9437.7999999999993</c:v>
                </c:pt>
                <c:pt idx="50">
                  <c:v>9322.098</c:v>
                </c:pt>
                <c:pt idx="51">
                  <c:v>9782.2649999999994</c:v>
                </c:pt>
                <c:pt idx="52">
                  <c:v>9662.5139999999992</c:v>
                </c:pt>
                <c:pt idx="53">
                  <c:v>10040.26</c:v>
                </c:pt>
                <c:pt idx="54">
                  <c:v>9757.06</c:v>
                </c:pt>
                <c:pt idx="55">
                  <c:v>10149.15</c:v>
                </c:pt>
                <c:pt idx="56">
                  <c:v>9980.0810000000001</c:v>
                </c:pt>
                <c:pt idx="57">
                  <c:v>10338.549999999999</c:v>
                </c:pt>
                <c:pt idx="58">
                  <c:v>10460.81</c:v>
                </c:pt>
                <c:pt idx="59">
                  <c:v>10246.33</c:v>
                </c:pt>
                <c:pt idx="60">
                  <c:v>9927.0889999999999</c:v>
                </c:pt>
                <c:pt idx="61">
                  <c:v>10477.299999999999</c:v>
                </c:pt>
                <c:pt idx="62">
                  <c:v>10105.280000000001</c:v>
                </c:pt>
                <c:pt idx="63">
                  <c:v>10662.68</c:v>
                </c:pt>
                <c:pt idx="64">
                  <c:v>10044.33</c:v>
                </c:pt>
                <c:pt idx="65">
                  <c:v>10340.620000000001</c:v>
                </c:pt>
                <c:pt idx="66">
                  <c:v>10818.69</c:v>
                </c:pt>
                <c:pt idx="67">
                  <c:v>10715.65</c:v>
                </c:pt>
                <c:pt idx="68">
                  <c:v>10647.56</c:v>
                </c:pt>
                <c:pt idx="69">
                  <c:v>10543.61</c:v>
                </c:pt>
                <c:pt idx="70">
                  <c:v>10343.6</c:v>
                </c:pt>
                <c:pt idx="71">
                  <c:v>11123.38</c:v>
                </c:pt>
                <c:pt idx="72">
                  <c:v>9737.6820000000007</c:v>
                </c:pt>
                <c:pt idx="73">
                  <c:v>10396.969999999999</c:v>
                </c:pt>
                <c:pt idx="74">
                  <c:v>10251.65</c:v>
                </c:pt>
                <c:pt idx="75">
                  <c:v>10016.02</c:v>
                </c:pt>
                <c:pt idx="76">
                  <c:v>10113.370000000001</c:v>
                </c:pt>
                <c:pt idx="77">
                  <c:v>10031.620000000001</c:v>
                </c:pt>
                <c:pt idx="78">
                  <c:v>10298.040000000001</c:v>
                </c:pt>
                <c:pt idx="79">
                  <c:v>9653.6</c:v>
                </c:pt>
                <c:pt idx="80">
                  <c:v>10697.15</c:v>
                </c:pt>
                <c:pt idx="81">
                  <c:v>10026.219999999999</c:v>
                </c:pt>
                <c:pt idx="82">
                  <c:v>9889.768</c:v>
                </c:pt>
                <c:pt idx="83">
                  <c:v>10358.02</c:v>
                </c:pt>
                <c:pt idx="84">
                  <c:v>10066.030000000001</c:v>
                </c:pt>
                <c:pt idx="85">
                  <c:v>10216.65</c:v>
                </c:pt>
                <c:pt idx="86">
                  <c:v>10481.09</c:v>
                </c:pt>
                <c:pt idx="87">
                  <c:v>9802.0490000000009</c:v>
                </c:pt>
                <c:pt idx="88">
                  <c:v>9899.5079999999998</c:v>
                </c:pt>
                <c:pt idx="89">
                  <c:v>10082.219999999999</c:v>
                </c:pt>
                <c:pt idx="90">
                  <c:v>9976.3729999999996</c:v>
                </c:pt>
                <c:pt idx="91">
                  <c:v>10134.43</c:v>
                </c:pt>
                <c:pt idx="92">
                  <c:v>9850.7810000000009</c:v>
                </c:pt>
                <c:pt idx="93">
                  <c:v>9958.5789999999997</c:v>
                </c:pt>
                <c:pt idx="94">
                  <c:v>10165.209999999999</c:v>
                </c:pt>
                <c:pt idx="95">
                  <c:v>10803.72</c:v>
                </c:pt>
                <c:pt idx="96">
                  <c:v>11142.31</c:v>
                </c:pt>
                <c:pt idx="97">
                  <c:v>10667.26</c:v>
                </c:pt>
                <c:pt idx="98">
                  <c:v>11323.4</c:v>
                </c:pt>
                <c:pt idx="99">
                  <c:v>10536.49</c:v>
                </c:pt>
                <c:pt idx="100">
                  <c:v>10677.67</c:v>
                </c:pt>
                <c:pt idx="101">
                  <c:v>10548.3</c:v>
                </c:pt>
                <c:pt idx="102">
                  <c:v>10082.44</c:v>
                </c:pt>
                <c:pt idx="103">
                  <c:v>10505.84</c:v>
                </c:pt>
                <c:pt idx="104">
                  <c:v>10528.65</c:v>
                </c:pt>
                <c:pt idx="105">
                  <c:v>10666.33</c:v>
                </c:pt>
                <c:pt idx="106">
                  <c:v>10943.28</c:v>
                </c:pt>
                <c:pt idx="107">
                  <c:v>11298.31</c:v>
                </c:pt>
                <c:pt idx="108">
                  <c:v>10486.44</c:v>
                </c:pt>
                <c:pt idx="109">
                  <c:v>10917.51</c:v>
                </c:pt>
                <c:pt idx="110">
                  <c:v>11086.81</c:v>
                </c:pt>
                <c:pt idx="111">
                  <c:v>11111.73</c:v>
                </c:pt>
                <c:pt idx="112">
                  <c:v>11079.86</c:v>
                </c:pt>
                <c:pt idx="113">
                  <c:v>10623.82</c:v>
                </c:pt>
                <c:pt idx="114">
                  <c:v>11323.33</c:v>
                </c:pt>
                <c:pt idx="115">
                  <c:v>11438.38</c:v>
                </c:pt>
                <c:pt idx="116">
                  <c:v>11714.2</c:v>
                </c:pt>
                <c:pt idx="117">
                  <c:v>11729.43</c:v>
                </c:pt>
                <c:pt idx="118">
                  <c:v>11632.13</c:v>
                </c:pt>
                <c:pt idx="119">
                  <c:v>13021.49</c:v>
                </c:pt>
                <c:pt idx="120">
                  <c:v>13143.73</c:v>
                </c:pt>
                <c:pt idx="121">
                  <c:v>13709.59</c:v>
                </c:pt>
                <c:pt idx="122">
                  <c:v>13999.2</c:v>
                </c:pt>
                <c:pt idx="123">
                  <c:v>13451.07</c:v>
                </c:pt>
                <c:pt idx="124">
                  <c:v>13612.82</c:v>
                </c:pt>
                <c:pt idx="125">
                  <c:v>13541.9</c:v>
                </c:pt>
                <c:pt idx="126">
                  <c:v>13647.11</c:v>
                </c:pt>
                <c:pt idx="127">
                  <c:v>13672.41</c:v>
                </c:pt>
                <c:pt idx="128">
                  <c:v>14029.06</c:v>
                </c:pt>
                <c:pt idx="129">
                  <c:v>14384.68</c:v>
                </c:pt>
                <c:pt idx="130">
                  <c:v>14620.45</c:v>
                </c:pt>
                <c:pt idx="131">
                  <c:v>14716.68</c:v>
                </c:pt>
                <c:pt idx="132">
                  <c:v>15056.76</c:v>
                </c:pt>
                <c:pt idx="133">
                  <c:v>15257.71</c:v>
                </c:pt>
                <c:pt idx="134">
                  <c:v>15595.23</c:v>
                </c:pt>
                <c:pt idx="135">
                  <c:v>15471.37</c:v>
                </c:pt>
                <c:pt idx="136">
                  <c:v>15668.05</c:v>
                </c:pt>
                <c:pt idx="137">
                  <c:v>15762.02</c:v>
                </c:pt>
                <c:pt idx="138">
                  <c:v>15586.83</c:v>
                </c:pt>
                <c:pt idx="139">
                  <c:v>15551.32</c:v>
                </c:pt>
                <c:pt idx="140">
                  <c:v>15900.04</c:v>
                </c:pt>
                <c:pt idx="141">
                  <c:v>15982.19</c:v>
                </c:pt>
                <c:pt idx="142">
                  <c:v>16325.52</c:v>
                </c:pt>
                <c:pt idx="143">
                  <c:v>16333.3</c:v>
                </c:pt>
                <c:pt idx="144">
                  <c:v>17521.96</c:v>
                </c:pt>
                <c:pt idx="145">
                  <c:v>17052.099999999999</c:v>
                </c:pt>
                <c:pt idx="146">
                  <c:v>18168.78</c:v>
                </c:pt>
                <c:pt idx="147">
                  <c:v>18520.54</c:v>
                </c:pt>
                <c:pt idx="148">
                  <c:v>19398.07</c:v>
                </c:pt>
                <c:pt idx="149">
                  <c:v>19745.89</c:v>
                </c:pt>
                <c:pt idx="150">
                  <c:v>20018.27</c:v>
                </c:pt>
                <c:pt idx="151">
                  <c:v>21502.41</c:v>
                </c:pt>
                <c:pt idx="152">
                  <c:v>22018.77</c:v>
                </c:pt>
                <c:pt idx="153">
                  <c:v>23470.93</c:v>
                </c:pt>
                <c:pt idx="154">
                  <c:v>23396.2</c:v>
                </c:pt>
                <c:pt idx="155">
                  <c:v>25140.09</c:v>
                </c:pt>
                <c:pt idx="156">
                  <c:v>25665.03</c:v>
                </c:pt>
                <c:pt idx="157">
                  <c:v>25597.1</c:v>
                </c:pt>
                <c:pt idx="158">
                  <c:v>26899.96</c:v>
                </c:pt>
                <c:pt idx="159">
                  <c:v>26777.89</c:v>
                </c:pt>
                <c:pt idx="160">
                  <c:v>25875.200000000001</c:v>
                </c:pt>
                <c:pt idx="161">
                  <c:v>23799.69</c:v>
                </c:pt>
                <c:pt idx="162">
                  <c:v>22809.42</c:v>
                </c:pt>
                <c:pt idx="163">
                  <c:v>20747.82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Expenses!$D$2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Expenses!$B$18:$B$181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Expenses!$D$18:$D$181</c:f>
              <c:numCache>
                <c:formatCode>General</c:formatCode>
                <c:ptCount val="164"/>
                <c:pt idx="0">
                  <c:v>7968.174</c:v>
                </c:pt>
                <c:pt idx="1">
                  <c:v>8298.7469999999994</c:v>
                </c:pt>
                <c:pt idx="2">
                  <c:v>8312.7340000000004</c:v>
                </c:pt>
                <c:pt idx="3">
                  <c:v>8466.7980000000007</c:v>
                </c:pt>
                <c:pt idx="4">
                  <c:v>8600.2890000000007</c:v>
                </c:pt>
                <c:pt idx="5">
                  <c:v>8152.1440000000002</c:v>
                </c:pt>
                <c:pt idx="6">
                  <c:v>8400.2450000000008</c:v>
                </c:pt>
                <c:pt idx="7">
                  <c:v>8809.1640000000007</c:v>
                </c:pt>
                <c:pt idx="8">
                  <c:v>8535.3029999999999</c:v>
                </c:pt>
                <c:pt idx="9">
                  <c:v>9077.5990000000002</c:v>
                </c:pt>
                <c:pt idx="10">
                  <c:v>9131.6450000000004</c:v>
                </c:pt>
                <c:pt idx="11">
                  <c:v>9323.5820000000003</c:v>
                </c:pt>
                <c:pt idx="12">
                  <c:v>8850.9269999999997</c:v>
                </c:pt>
                <c:pt idx="13">
                  <c:v>8842.2860000000001</c:v>
                </c:pt>
                <c:pt idx="14">
                  <c:v>8854.9410000000007</c:v>
                </c:pt>
                <c:pt idx="15">
                  <c:v>9550.3850000000002</c:v>
                </c:pt>
                <c:pt idx="16">
                  <c:v>9474.0640000000003</c:v>
                </c:pt>
                <c:pt idx="17">
                  <c:v>9473.14</c:v>
                </c:pt>
                <c:pt idx="18">
                  <c:v>9848.6810000000005</c:v>
                </c:pt>
                <c:pt idx="19">
                  <c:v>9543.4500000000007</c:v>
                </c:pt>
                <c:pt idx="20">
                  <c:v>9568.5439999999999</c:v>
                </c:pt>
                <c:pt idx="21">
                  <c:v>10050.43</c:v>
                </c:pt>
                <c:pt idx="22">
                  <c:v>9974.7469999999994</c:v>
                </c:pt>
                <c:pt idx="23">
                  <c:v>9878.6419999999998</c:v>
                </c:pt>
                <c:pt idx="24">
                  <c:v>10101</c:v>
                </c:pt>
                <c:pt idx="25">
                  <c:v>9930.0669999999991</c:v>
                </c:pt>
                <c:pt idx="26">
                  <c:v>10087.89</c:v>
                </c:pt>
                <c:pt idx="27">
                  <c:v>10169.459999999999</c:v>
                </c:pt>
                <c:pt idx="28">
                  <c:v>10042.99</c:v>
                </c:pt>
                <c:pt idx="29">
                  <c:v>9948.5210000000006</c:v>
                </c:pt>
                <c:pt idx="30">
                  <c:v>10152.209999999999</c:v>
                </c:pt>
                <c:pt idx="31">
                  <c:v>10196.66</c:v>
                </c:pt>
                <c:pt idx="32">
                  <c:v>10211.629999999999</c:v>
                </c:pt>
                <c:pt idx="33">
                  <c:v>10389.76</c:v>
                </c:pt>
                <c:pt idx="34">
                  <c:v>10353.49</c:v>
                </c:pt>
                <c:pt idx="35">
                  <c:v>10287.16</c:v>
                </c:pt>
                <c:pt idx="36">
                  <c:v>10531.51</c:v>
                </c:pt>
                <c:pt idx="37">
                  <c:v>10520.86</c:v>
                </c:pt>
                <c:pt idx="38">
                  <c:v>10550.88</c:v>
                </c:pt>
                <c:pt idx="39">
                  <c:v>10596.86</c:v>
                </c:pt>
                <c:pt idx="40">
                  <c:v>10811.45</c:v>
                </c:pt>
                <c:pt idx="41">
                  <c:v>10911.76</c:v>
                </c:pt>
                <c:pt idx="42">
                  <c:v>10255.85</c:v>
                </c:pt>
                <c:pt idx="43">
                  <c:v>10983.46</c:v>
                </c:pt>
                <c:pt idx="44">
                  <c:v>10593.13</c:v>
                </c:pt>
                <c:pt idx="45">
                  <c:v>10813.85</c:v>
                </c:pt>
                <c:pt idx="46">
                  <c:v>10619.79</c:v>
                </c:pt>
                <c:pt idx="47">
                  <c:v>11660.82</c:v>
                </c:pt>
                <c:pt idx="48">
                  <c:v>11134.89</c:v>
                </c:pt>
                <c:pt idx="49">
                  <c:v>11086.81</c:v>
                </c:pt>
                <c:pt idx="50">
                  <c:v>11282.77</c:v>
                </c:pt>
                <c:pt idx="51">
                  <c:v>11336.74</c:v>
                </c:pt>
                <c:pt idx="52">
                  <c:v>11139.8</c:v>
                </c:pt>
                <c:pt idx="53">
                  <c:v>11259.64</c:v>
                </c:pt>
                <c:pt idx="54">
                  <c:v>10922.82</c:v>
                </c:pt>
                <c:pt idx="55">
                  <c:v>11530.23</c:v>
                </c:pt>
                <c:pt idx="56">
                  <c:v>11063.37</c:v>
                </c:pt>
                <c:pt idx="57">
                  <c:v>11409.32</c:v>
                </c:pt>
                <c:pt idx="58">
                  <c:v>11071.75</c:v>
                </c:pt>
                <c:pt idx="59">
                  <c:v>11274.8</c:v>
                </c:pt>
                <c:pt idx="60">
                  <c:v>11260.52</c:v>
                </c:pt>
                <c:pt idx="61">
                  <c:v>11691.73</c:v>
                </c:pt>
                <c:pt idx="62">
                  <c:v>11522.8</c:v>
                </c:pt>
                <c:pt idx="63">
                  <c:v>11780.11</c:v>
                </c:pt>
                <c:pt idx="64">
                  <c:v>11303.66</c:v>
                </c:pt>
                <c:pt idx="65">
                  <c:v>11314.06</c:v>
                </c:pt>
                <c:pt idx="66">
                  <c:v>11779.5</c:v>
                </c:pt>
                <c:pt idx="67">
                  <c:v>11466.6</c:v>
                </c:pt>
                <c:pt idx="68">
                  <c:v>11462.06</c:v>
                </c:pt>
                <c:pt idx="69">
                  <c:v>11711.97</c:v>
                </c:pt>
                <c:pt idx="70">
                  <c:v>11452.65</c:v>
                </c:pt>
                <c:pt idx="71">
                  <c:v>11751.41</c:v>
                </c:pt>
                <c:pt idx="72">
                  <c:v>11395.27</c:v>
                </c:pt>
                <c:pt idx="73">
                  <c:v>11296.08</c:v>
                </c:pt>
                <c:pt idx="74">
                  <c:v>11401.27</c:v>
                </c:pt>
                <c:pt idx="75">
                  <c:v>11415.4</c:v>
                </c:pt>
                <c:pt idx="76">
                  <c:v>11004.4</c:v>
                </c:pt>
                <c:pt idx="77">
                  <c:v>11390.65</c:v>
                </c:pt>
                <c:pt idx="78">
                  <c:v>11179.98</c:v>
                </c:pt>
                <c:pt idx="79">
                  <c:v>11089.45</c:v>
                </c:pt>
                <c:pt idx="80">
                  <c:v>11171.04</c:v>
                </c:pt>
                <c:pt idx="81">
                  <c:v>11125.54</c:v>
                </c:pt>
                <c:pt idx="82">
                  <c:v>10856.68</c:v>
                </c:pt>
                <c:pt idx="83">
                  <c:v>11241.6</c:v>
                </c:pt>
                <c:pt idx="84">
                  <c:v>10807.16</c:v>
                </c:pt>
                <c:pt idx="85">
                  <c:v>11152.54</c:v>
                </c:pt>
                <c:pt idx="86">
                  <c:v>11447.64</c:v>
                </c:pt>
                <c:pt idx="87">
                  <c:v>10657.55</c:v>
                </c:pt>
                <c:pt idx="88">
                  <c:v>10661.34</c:v>
                </c:pt>
                <c:pt idx="89">
                  <c:v>10756.71</c:v>
                </c:pt>
                <c:pt idx="90">
                  <c:v>10448.64</c:v>
                </c:pt>
                <c:pt idx="91">
                  <c:v>10382.49</c:v>
                </c:pt>
                <c:pt idx="92">
                  <c:v>10636.21</c:v>
                </c:pt>
                <c:pt idx="93">
                  <c:v>10806.02</c:v>
                </c:pt>
                <c:pt idx="94">
                  <c:v>10425.92</c:v>
                </c:pt>
                <c:pt idx="95">
                  <c:v>10759.08</c:v>
                </c:pt>
                <c:pt idx="96">
                  <c:v>11069.6</c:v>
                </c:pt>
                <c:pt idx="97">
                  <c:v>11235.78</c:v>
                </c:pt>
                <c:pt idx="98">
                  <c:v>11561.26</c:v>
                </c:pt>
                <c:pt idx="99">
                  <c:v>11071.05</c:v>
                </c:pt>
                <c:pt idx="100">
                  <c:v>11203.67</c:v>
                </c:pt>
                <c:pt idx="101">
                  <c:v>10995.78</c:v>
                </c:pt>
                <c:pt idx="102">
                  <c:v>10845.08</c:v>
                </c:pt>
                <c:pt idx="103">
                  <c:v>10881.29</c:v>
                </c:pt>
                <c:pt idx="104">
                  <c:v>10803.42</c:v>
                </c:pt>
                <c:pt idx="105">
                  <c:v>10830.86</c:v>
                </c:pt>
                <c:pt idx="106">
                  <c:v>11186.05</c:v>
                </c:pt>
                <c:pt idx="107">
                  <c:v>11359.87</c:v>
                </c:pt>
                <c:pt idx="108">
                  <c:v>11159.33</c:v>
                </c:pt>
                <c:pt idx="109">
                  <c:v>11437.27</c:v>
                </c:pt>
                <c:pt idx="110">
                  <c:v>11664.66</c:v>
                </c:pt>
                <c:pt idx="111">
                  <c:v>11766.06</c:v>
                </c:pt>
                <c:pt idx="112">
                  <c:v>11975.95</c:v>
                </c:pt>
                <c:pt idx="113">
                  <c:v>11811.74</c:v>
                </c:pt>
                <c:pt idx="114">
                  <c:v>12160.4</c:v>
                </c:pt>
                <c:pt idx="115">
                  <c:v>12281.14</c:v>
                </c:pt>
                <c:pt idx="116">
                  <c:v>12438.33</c:v>
                </c:pt>
                <c:pt idx="117">
                  <c:v>12364.76</c:v>
                </c:pt>
                <c:pt idx="118">
                  <c:v>12359.13</c:v>
                </c:pt>
                <c:pt idx="119">
                  <c:v>13015.68</c:v>
                </c:pt>
                <c:pt idx="120">
                  <c:v>13343.3</c:v>
                </c:pt>
                <c:pt idx="121">
                  <c:v>13622.82</c:v>
                </c:pt>
                <c:pt idx="122">
                  <c:v>13956.31</c:v>
                </c:pt>
                <c:pt idx="123">
                  <c:v>13744.76</c:v>
                </c:pt>
                <c:pt idx="124">
                  <c:v>13651.95</c:v>
                </c:pt>
                <c:pt idx="125">
                  <c:v>13591.47</c:v>
                </c:pt>
                <c:pt idx="126">
                  <c:v>13787.04</c:v>
                </c:pt>
                <c:pt idx="127">
                  <c:v>13702.43</c:v>
                </c:pt>
                <c:pt idx="128">
                  <c:v>13991.3</c:v>
                </c:pt>
                <c:pt idx="129">
                  <c:v>14230.38</c:v>
                </c:pt>
                <c:pt idx="130">
                  <c:v>14423.95</c:v>
                </c:pt>
                <c:pt idx="131">
                  <c:v>14478.1</c:v>
                </c:pt>
                <c:pt idx="132">
                  <c:v>14826.13</c:v>
                </c:pt>
                <c:pt idx="133">
                  <c:v>14930.12</c:v>
                </c:pt>
                <c:pt idx="134">
                  <c:v>15069.07</c:v>
                </c:pt>
                <c:pt idx="135">
                  <c:v>15056.91</c:v>
                </c:pt>
                <c:pt idx="136">
                  <c:v>15315.19</c:v>
                </c:pt>
                <c:pt idx="137">
                  <c:v>15553.51</c:v>
                </c:pt>
                <c:pt idx="138">
                  <c:v>15567.35</c:v>
                </c:pt>
                <c:pt idx="139">
                  <c:v>15536.36</c:v>
                </c:pt>
                <c:pt idx="140">
                  <c:v>15817.58</c:v>
                </c:pt>
                <c:pt idx="141">
                  <c:v>15913.67</c:v>
                </c:pt>
                <c:pt idx="142">
                  <c:v>15859.74</c:v>
                </c:pt>
                <c:pt idx="143">
                  <c:v>15964.77</c:v>
                </c:pt>
                <c:pt idx="144">
                  <c:v>16857.990000000002</c:v>
                </c:pt>
                <c:pt idx="145">
                  <c:v>16567.88</c:v>
                </c:pt>
                <c:pt idx="146">
                  <c:v>17174.05</c:v>
                </c:pt>
                <c:pt idx="147">
                  <c:v>17565.8</c:v>
                </c:pt>
                <c:pt idx="148">
                  <c:v>17949.009999999998</c:v>
                </c:pt>
                <c:pt idx="149">
                  <c:v>18047.88</c:v>
                </c:pt>
                <c:pt idx="150">
                  <c:v>18385.37</c:v>
                </c:pt>
                <c:pt idx="151">
                  <c:v>19182.38</c:v>
                </c:pt>
                <c:pt idx="152">
                  <c:v>19357.97</c:v>
                </c:pt>
                <c:pt idx="153">
                  <c:v>20346.04</c:v>
                </c:pt>
                <c:pt idx="154">
                  <c:v>20042.23</c:v>
                </c:pt>
                <c:pt idx="155">
                  <c:v>20986.22</c:v>
                </c:pt>
                <c:pt idx="156">
                  <c:v>21721.8</c:v>
                </c:pt>
                <c:pt idx="157">
                  <c:v>21525.4</c:v>
                </c:pt>
                <c:pt idx="158">
                  <c:v>22027.72</c:v>
                </c:pt>
                <c:pt idx="159">
                  <c:v>22583.26</c:v>
                </c:pt>
                <c:pt idx="160">
                  <c:v>22954.48</c:v>
                </c:pt>
                <c:pt idx="161">
                  <c:v>23062.2</c:v>
                </c:pt>
                <c:pt idx="162">
                  <c:v>23400.63</c:v>
                </c:pt>
                <c:pt idx="163">
                  <c:v>26148.14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661376"/>
        <c:axId val="374112256"/>
      </c:lineChart>
      <c:dateAx>
        <c:axId val="342661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112256"/>
        <c:crosses val="autoZero"/>
        <c:auto val="1"/>
        <c:lblOffset val="100"/>
        <c:baseTimeUnit val="months"/>
      </c:dateAx>
      <c:valAx>
        <c:axId val="37411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661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Expenses!$T$2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Expenses!$S$18:$S$181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Expenses!$T$18:$T$181</c:f>
              <c:numCache>
                <c:formatCode>General</c:formatCode>
                <c:ptCount val="164"/>
                <c:pt idx="0">
                  <c:v>5547.1719999999996</c:v>
                </c:pt>
                <c:pt idx="1">
                  <c:v>6236.1350000000002</c:v>
                </c:pt>
                <c:pt idx="2">
                  <c:v>5388.6729999999998</c:v>
                </c:pt>
                <c:pt idx="3">
                  <c:v>5925</c:v>
                </c:pt>
                <c:pt idx="4">
                  <c:v>5869.7539999999999</c:v>
                </c:pt>
                <c:pt idx="5">
                  <c:v>5666.2790000000005</c:v>
                </c:pt>
                <c:pt idx="6">
                  <c:v>6407.5730000000003</c:v>
                </c:pt>
                <c:pt idx="7">
                  <c:v>6198.8280000000004</c:v>
                </c:pt>
                <c:pt idx="8">
                  <c:v>5692.0839999999998</c:v>
                </c:pt>
                <c:pt idx="9">
                  <c:v>6079.2449999999999</c:v>
                </c:pt>
                <c:pt idx="10">
                  <c:v>6821.0429999999997</c:v>
                </c:pt>
                <c:pt idx="11">
                  <c:v>7297.1949999999997</c:v>
                </c:pt>
                <c:pt idx="12">
                  <c:v>6318.107</c:v>
                </c:pt>
                <c:pt idx="13">
                  <c:v>6177.7240000000002</c:v>
                </c:pt>
                <c:pt idx="14">
                  <c:v>6640.3109999999997</c:v>
                </c:pt>
                <c:pt idx="15">
                  <c:v>6954.5630000000001</c:v>
                </c:pt>
                <c:pt idx="16">
                  <c:v>7241.701</c:v>
                </c:pt>
                <c:pt idx="17">
                  <c:v>7253.7539999999999</c:v>
                </c:pt>
                <c:pt idx="18">
                  <c:v>6598.835</c:v>
                </c:pt>
                <c:pt idx="19">
                  <c:v>6719.2150000000001</c:v>
                </c:pt>
                <c:pt idx="20">
                  <c:v>7808.9719999999998</c:v>
                </c:pt>
                <c:pt idx="21">
                  <c:v>7256.2920000000004</c:v>
                </c:pt>
                <c:pt idx="22">
                  <c:v>7678.192</c:v>
                </c:pt>
                <c:pt idx="23">
                  <c:v>7602.5720000000001</c:v>
                </c:pt>
                <c:pt idx="24">
                  <c:v>7226.3310000000001</c:v>
                </c:pt>
                <c:pt idx="25">
                  <c:v>7178.5829999999996</c:v>
                </c:pt>
                <c:pt idx="26">
                  <c:v>7391.24</c:v>
                </c:pt>
                <c:pt idx="27">
                  <c:v>7209.8710000000001</c:v>
                </c:pt>
                <c:pt idx="28">
                  <c:v>7146.3639999999996</c:v>
                </c:pt>
                <c:pt idx="29">
                  <c:v>7456.4380000000001</c:v>
                </c:pt>
                <c:pt idx="30">
                  <c:v>7419.6559999999999</c:v>
                </c:pt>
                <c:pt idx="31">
                  <c:v>7686.0789999999997</c:v>
                </c:pt>
                <c:pt idx="32">
                  <c:v>7342.3770000000004</c:v>
                </c:pt>
                <c:pt idx="33">
                  <c:v>8420.1440000000002</c:v>
                </c:pt>
                <c:pt idx="34">
                  <c:v>8017.3649999999998</c:v>
                </c:pt>
                <c:pt idx="35">
                  <c:v>8162.5249999999996</c:v>
                </c:pt>
                <c:pt idx="36">
                  <c:v>7225.3329999999996</c:v>
                </c:pt>
                <c:pt idx="37">
                  <c:v>7817.61</c:v>
                </c:pt>
                <c:pt idx="38">
                  <c:v>7506.8990000000003</c:v>
                </c:pt>
                <c:pt idx="39">
                  <c:v>8245.4599999999991</c:v>
                </c:pt>
                <c:pt idx="40">
                  <c:v>8461.1910000000007</c:v>
                </c:pt>
                <c:pt idx="41">
                  <c:v>8421.8989999999994</c:v>
                </c:pt>
                <c:pt idx="42">
                  <c:v>8376.8179999999993</c:v>
                </c:pt>
                <c:pt idx="43">
                  <c:v>8430.0249999999996</c:v>
                </c:pt>
                <c:pt idx="44">
                  <c:v>8526.83</c:v>
                </c:pt>
                <c:pt idx="45">
                  <c:v>8659.7729999999992</c:v>
                </c:pt>
                <c:pt idx="46">
                  <c:v>8937.9549999999999</c:v>
                </c:pt>
                <c:pt idx="47">
                  <c:v>9653.875</c:v>
                </c:pt>
                <c:pt idx="48">
                  <c:v>9235.6980000000003</c:v>
                </c:pt>
                <c:pt idx="49">
                  <c:v>9437.7999999999993</c:v>
                </c:pt>
                <c:pt idx="50">
                  <c:v>9322.098</c:v>
                </c:pt>
                <c:pt idx="51">
                  <c:v>9782.2649999999994</c:v>
                </c:pt>
                <c:pt idx="52">
                  <c:v>9662.5139999999992</c:v>
                </c:pt>
                <c:pt idx="53">
                  <c:v>10040.26</c:v>
                </c:pt>
                <c:pt idx="54">
                  <c:v>9757.06</c:v>
                </c:pt>
                <c:pt idx="55">
                  <c:v>10149.15</c:v>
                </c:pt>
                <c:pt idx="56">
                  <c:v>9980.0810000000001</c:v>
                </c:pt>
                <c:pt idx="57">
                  <c:v>10338.549999999999</c:v>
                </c:pt>
                <c:pt idx="58">
                  <c:v>10460.81</c:v>
                </c:pt>
                <c:pt idx="59">
                  <c:v>10246.33</c:v>
                </c:pt>
                <c:pt idx="60">
                  <c:v>9927.0889999999999</c:v>
                </c:pt>
                <c:pt idx="61">
                  <c:v>10477.299999999999</c:v>
                </c:pt>
                <c:pt idx="62">
                  <c:v>10105.280000000001</c:v>
                </c:pt>
                <c:pt idx="63">
                  <c:v>10662.68</c:v>
                </c:pt>
                <c:pt idx="64">
                  <c:v>10044.33</c:v>
                </c:pt>
                <c:pt idx="65">
                  <c:v>10340.620000000001</c:v>
                </c:pt>
                <c:pt idx="66">
                  <c:v>10818.69</c:v>
                </c:pt>
                <c:pt idx="67">
                  <c:v>10715.65</c:v>
                </c:pt>
                <c:pt idx="68">
                  <c:v>10647.56</c:v>
                </c:pt>
                <c:pt idx="69">
                  <c:v>10543.61</c:v>
                </c:pt>
                <c:pt idx="70">
                  <c:v>10343.6</c:v>
                </c:pt>
                <c:pt idx="71">
                  <c:v>11123.38</c:v>
                </c:pt>
                <c:pt idx="72">
                  <c:v>9737.6820000000007</c:v>
                </c:pt>
                <c:pt idx="73">
                  <c:v>10396.969999999999</c:v>
                </c:pt>
                <c:pt idx="74">
                  <c:v>10251.65</c:v>
                </c:pt>
                <c:pt idx="75">
                  <c:v>10016.02</c:v>
                </c:pt>
                <c:pt idx="76">
                  <c:v>10113.370000000001</c:v>
                </c:pt>
                <c:pt idx="77">
                  <c:v>10031.620000000001</c:v>
                </c:pt>
                <c:pt idx="78">
                  <c:v>10298.040000000001</c:v>
                </c:pt>
                <c:pt idx="79">
                  <c:v>9653.6</c:v>
                </c:pt>
                <c:pt idx="80">
                  <c:v>10697.15</c:v>
                </c:pt>
                <c:pt idx="81">
                  <c:v>10026.219999999999</c:v>
                </c:pt>
                <c:pt idx="82">
                  <c:v>9889.768</c:v>
                </c:pt>
                <c:pt idx="83">
                  <c:v>10358.02</c:v>
                </c:pt>
                <c:pt idx="84">
                  <c:v>10066.030000000001</c:v>
                </c:pt>
                <c:pt idx="85">
                  <c:v>10216.65</c:v>
                </c:pt>
                <c:pt idx="86">
                  <c:v>10481.09</c:v>
                </c:pt>
                <c:pt idx="87">
                  <c:v>9802.0490000000009</c:v>
                </c:pt>
                <c:pt idx="88">
                  <c:v>9899.5079999999998</c:v>
                </c:pt>
                <c:pt idx="89">
                  <c:v>10082.219999999999</c:v>
                </c:pt>
                <c:pt idx="90">
                  <c:v>9976.3729999999996</c:v>
                </c:pt>
                <c:pt idx="91">
                  <c:v>10134.43</c:v>
                </c:pt>
                <c:pt idx="92">
                  <c:v>9850.7810000000009</c:v>
                </c:pt>
                <c:pt idx="93">
                  <c:v>9958.5789999999997</c:v>
                </c:pt>
                <c:pt idx="94">
                  <c:v>10165.209999999999</c:v>
                </c:pt>
                <c:pt idx="95">
                  <c:v>10803.72</c:v>
                </c:pt>
                <c:pt idx="96">
                  <c:v>11142.31</c:v>
                </c:pt>
                <c:pt idx="97">
                  <c:v>10667.26</c:v>
                </c:pt>
                <c:pt idx="98">
                  <c:v>11323.4</c:v>
                </c:pt>
                <c:pt idx="99">
                  <c:v>10536.49</c:v>
                </c:pt>
                <c:pt idx="100">
                  <c:v>10677.67</c:v>
                </c:pt>
                <c:pt idx="101">
                  <c:v>10548.3</c:v>
                </c:pt>
                <c:pt idx="102">
                  <c:v>10082.44</c:v>
                </c:pt>
                <c:pt idx="103">
                  <c:v>10505.84</c:v>
                </c:pt>
                <c:pt idx="104">
                  <c:v>10528.65</c:v>
                </c:pt>
                <c:pt idx="105">
                  <c:v>10666.33</c:v>
                </c:pt>
                <c:pt idx="106">
                  <c:v>10943.28</c:v>
                </c:pt>
                <c:pt idx="107">
                  <c:v>11298.31</c:v>
                </c:pt>
                <c:pt idx="108">
                  <c:v>10486.44</c:v>
                </c:pt>
                <c:pt idx="109">
                  <c:v>10917.51</c:v>
                </c:pt>
                <c:pt idx="110">
                  <c:v>11086.81</c:v>
                </c:pt>
                <c:pt idx="111">
                  <c:v>11111.73</c:v>
                </c:pt>
                <c:pt idx="112">
                  <c:v>11079.86</c:v>
                </c:pt>
                <c:pt idx="113">
                  <c:v>10623.82</c:v>
                </c:pt>
                <c:pt idx="114">
                  <c:v>11323.33</c:v>
                </c:pt>
                <c:pt idx="115">
                  <c:v>11438.38</c:v>
                </c:pt>
                <c:pt idx="116">
                  <c:v>11714.2</c:v>
                </c:pt>
                <c:pt idx="117">
                  <c:v>11729.43</c:v>
                </c:pt>
                <c:pt idx="118">
                  <c:v>11632.13</c:v>
                </c:pt>
                <c:pt idx="119">
                  <c:v>13021.49</c:v>
                </c:pt>
                <c:pt idx="120">
                  <c:v>13143.73</c:v>
                </c:pt>
                <c:pt idx="121">
                  <c:v>13709.59</c:v>
                </c:pt>
                <c:pt idx="122">
                  <c:v>13999.2</c:v>
                </c:pt>
                <c:pt idx="123">
                  <c:v>13451.07</c:v>
                </c:pt>
                <c:pt idx="124">
                  <c:v>13612.82</c:v>
                </c:pt>
                <c:pt idx="125">
                  <c:v>13541.9</c:v>
                </c:pt>
                <c:pt idx="126">
                  <c:v>13647.11</c:v>
                </c:pt>
                <c:pt idx="127">
                  <c:v>13672.41</c:v>
                </c:pt>
                <c:pt idx="128">
                  <c:v>14029.06</c:v>
                </c:pt>
                <c:pt idx="129">
                  <c:v>14384.68</c:v>
                </c:pt>
                <c:pt idx="130">
                  <c:v>14620.45</c:v>
                </c:pt>
                <c:pt idx="131">
                  <c:v>14716.68</c:v>
                </c:pt>
                <c:pt idx="132">
                  <c:v>15056.76</c:v>
                </c:pt>
                <c:pt idx="133">
                  <c:v>15257.71</c:v>
                </c:pt>
                <c:pt idx="134">
                  <c:v>15595.23</c:v>
                </c:pt>
                <c:pt idx="135">
                  <c:v>15471.37</c:v>
                </c:pt>
                <c:pt idx="136">
                  <c:v>15668.05</c:v>
                </c:pt>
                <c:pt idx="137">
                  <c:v>15762.02</c:v>
                </c:pt>
                <c:pt idx="138">
                  <c:v>15586.83</c:v>
                </c:pt>
                <c:pt idx="139">
                  <c:v>15551.32</c:v>
                </c:pt>
                <c:pt idx="140">
                  <c:v>15900.04</c:v>
                </c:pt>
                <c:pt idx="141">
                  <c:v>15982.19</c:v>
                </c:pt>
                <c:pt idx="142">
                  <c:v>16325.52</c:v>
                </c:pt>
                <c:pt idx="143">
                  <c:v>16333.3</c:v>
                </c:pt>
                <c:pt idx="144">
                  <c:v>17521.96</c:v>
                </c:pt>
                <c:pt idx="145">
                  <c:v>17052.099999999999</c:v>
                </c:pt>
                <c:pt idx="146">
                  <c:v>18168.78</c:v>
                </c:pt>
                <c:pt idx="147">
                  <c:v>18520.54</c:v>
                </c:pt>
                <c:pt idx="148">
                  <c:v>19398.07</c:v>
                </c:pt>
                <c:pt idx="149">
                  <c:v>19745.89</c:v>
                </c:pt>
                <c:pt idx="150">
                  <c:v>20018.27</c:v>
                </c:pt>
                <c:pt idx="151">
                  <c:v>21502.41</c:v>
                </c:pt>
                <c:pt idx="152">
                  <c:v>22018.77</c:v>
                </c:pt>
                <c:pt idx="153">
                  <c:v>23470.93</c:v>
                </c:pt>
                <c:pt idx="154">
                  <c:v>23396.2</c:v>
                </c:pt>
                <c:pt idx="155">
                  <c:v>25140.09</c:v>
                </c:pt>
                <c:pt idx="156">
                  <c:v>25665.03</c:v>
                </c:pt>
                <c:pt idx="157">
                  <c:v>25597.1</c:v>
                </c:pt>
                <c:pt idx="158">
                  <c:v>26899.96</c:v>
                </c:pt>
                <c:pt idx="159">
                  <c:v>26777.89</c:v>
                </c:pt>
                <c:pt idx="160">
                  <c:v>25875.200000000001</c:v>
                </c:pt>
                <c:pt idx="161">
                  <c:v>23799.69</c:v>
                </c:pt>
                <c:pt idx="162">
                  <c:v>22809.42</c:v>
                </c:pt>
                <c:pt idx="163">
                  <c:v>20747.82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Expenses!$U$2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Expenses!$S$18:$S$181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Expenses!$U$18:$U$181</c:f>
              <c:numCache>
                <c:formatCode>General</c:formatCode>
                <c:ptCount val="164"/>
                <c:pt idx="0">
                  <c:v>8944.9979999999996</c:v>
                </c:pt>
                <c:pt idx="1">
                  <c:v>7725.8950000000004</c:v>
                </c:pt>
                <c:pt idx="2">
                  <c:v>8437.7099999999991</c:v>
                </c:pt>
                <c:pt idx="3">
                  <c:v>8729.4719999999998</c:v>
                </c:pt>
                <c:pt idx="4">
                  <c:v>8717.3179999999993</c:v>
                </c:pt>
                <c:pt idx="5">
                  <c:v>8559.1219999999994</c:v>
                </c:pt>
                <c:pt idx="6">
                  <c:v>8279.7250000000004</c:v>
                </c:pt>
                <c:pt idx="7">
                  <c:v>9251.3209999999999</c:v>
                </c:pt>
                <c:pt idx="8">
                  <c:v>9325.5810000000001</c:v>
                </c:pt>
                <c:pt idx="9">
                  <c:v>9058.3889999999992</c:v>
                </c:pt>
                <c:pt idx="10">
                  <c:v>8631.2199999999993</c:v>
                </c:pt>
                <c:pt idx="11">
                  <c:v>9753.7620000000006</c:v>
                </c:pt>
                <c:pt idx="12">
                  <c:v>8700.0190000000002</c:v>
                </c:pt>
                <c:pt idx="13">
                  <c:v>8315.9750000000004</c:v>
                </c:pt>
                <c:pt idx="14">
                  <c:v>8727.5059999999994</c:v>
                </c:pt>
                <c:pt idx="15">
                  <c:v>9359.7999999999993</c:v>
                </c:pt>
                <c:pt idx="16">
                  <c:v>9446.1479999999992</c:v>
                </c:pt>
                <c:pt idx="17">
                  <c:v>9613.91</c:v>
                </c:pt>
                <c:pt idx="18">
                  <c:v>9737.8979999999992</c:v>
                </c:pt>
                <c:pt idx="19">
                  <c:v>9544.8310000000001</c:v>
                </c:pt>
                <c:pt idx="20">
                  <c:v>9831.15</c:v>
                </c:pt>
                <c:pt idx="21">
                  <c:v>10443.85</c:v>
                </c:pt>
                <c:pt idx="22">
                  <c:v>10369.93</c:v>
                </c:pt>
                <c:pt idx="23">
                  <c:v>10386.68</c:v>
                </c:pt>
                <c:pt idx="24">
                  <c:v>10304.89</c:v>
                </c:pt>
                <c:pt idx="25">
                  <c:v>10252.700000000001</c:v>
                </c:pt>
                <c:pt idx="26">
                  <c:v>10398.290000000001</c:v>
                </c:pt>
                <c:pt idx="27">
                  <c:v>10548.43</c:v>
                </c:pt>
                <c:pt idx="28">
                  <c:v>10356.49</c:v>
                </c:pt>
                <c:pt idx="29">
                  <c:v>10401.299999999999</c:v>
                </c:pt>
                <c:pt idx="30">
                  <c:v>10567.78</c:v>
                </c:pt>
                <c:pt idx="31">
                  <c:v>10635.47</c:v>
                </c:pt>
                <c:pt idx="32">
                  <c:v>10604.86</c:v>
                </c:pt>
                <c:pt idx="33">
                  <c:v>10892.15</c:v>
                </c:pt>
                <c:pt idx="34">
                  <c:v>10939.43</c:v>
                </c:pt>
                <c:pt idx="35">
                  <c:v>11080.68</c:v>
                </c:pt>
                <c:pt idx="36">
                  <c:v>11226.32</c:v>
                </c:pt>
                <c:pt idx="37">
                  <c:v>10974.81</c:v>
                </c:pt>
                <c:pt idx="38">
                  <c:v>11139.56</c:v>
                </c:pt>
                <c:pt idx="39">
                  <c:v>11000.24</c:v>
                </c:pt>
                <c:pt idx="40">
                  <c:v>11448.68</c:v>
                </c:pt>
                <c:pt idx="41">
                  <c:v>11363.73</c:v>
                </c:pt>
                <c:pt idx="42">
                  <c:v>10786.41</c:v>
                </c:pt>
                <c:pt idx="43">
                  <c:v>11471.71</c:v>
                </c:pt>
                <c:pt idx="44">
                  <c:v>11090.62</c:v>
                </c:pt>
                <c:pt idx="45">
                  <c:v>11383.38</c:v>
                </c:pt>
                <c:pt idx="46">
                  <c:v>11168.6</c:v>
                </c:pt>
                <c:pt idx="47">
                  <c:v>12491.24</c:v>
                </c:pt>
                <c:pt idx="48">
                  <c:v>11484.62</c:v>
                </c:pt>
                <c:pt idx="49">
                  <c:v>11593.7</c:v>
                </c:pt>
                <c:pt idx="50">
                  <c:v>11949.63</c:v>
                </c:pt>
                <c:pt idx="51">
                  <c:v>11939.51</c:v>
                </c:pt>
                <c:pt idx="52">
                  <c:v>11708.75</c:v>
                </c:pt>
                <c:pt idx="53">
                  <c:v>11809.78</c:v>
                </c:pt>
                <c:pt idx="54">
                  <c:v>11227.23</c:v>
                </c:pt>
                <c:pt idx="55">
                  <c:v>11859.67</c:v>
                </c:pt>
                <c:pt idx="56">
                  <c:v>11487.02</c:v>
                </c:pt>
                <c:pt idx="57">
                  <c:v>11876.81</c:v>
                </c:pt>
                <c:pt idx="58">
                  <c:v>11787.78</c:v>
                </c:pt>
                <c:pt idx="59">
                  <c:v>11489.53</c:v>
                </c:pt>
                <c:pt idx="60">
                  <c:v>11326.76</c:v>
                </c:pt>
                <c:pt idx="61">
                  <c:v>12087.86</c:v>
                </c:pt>
                <c:pt idx="62">
                  <c:v>12109.38</c:v>
                </c:pt>
                <c:pt idx="63">
                  <c:v>12068.97</c:v>
                </c:pt>
                <c:pt idx="64">
                  <c:v>11710.29</c:v>
                </c:pt>
                <c:pt idx="65">
                  <c:v>11666.14</c:v>
                </c:pt>
                <c:pt idx="66">
                  <c:v>11930.65</c:v>
                </c:pt>
                <c:pt idx="67">
                  <c:v>11924.82</c:v>
                </c:pt>
                <c:pt idx="68">
                  <c:v>11910.9</c:v>
                </c:pt>
                <c:pt idx="69">
                  <c:v>12065.71</c:v>
                </c:pt>
                <c:pt idx="70">
                  <c:v>11918.08</c:v>
                </c:pt>
                <c:pt idx="71">
                  <c:v>12408.02</c:v>
                </c:pt>
                <c:pt idx="72">
                  <c:v>11195.36</c:v>
                </c:pt>
                <c:pt idx="73">
                  <c:v>11708.58</c:v>
                </c:pt>
                <c:pt idx="74">
                  <c:v>11876.67</c:v>
                </c:pt>
                <c:pt idx="75">
                  <c:v>11846.52</c:v>
                </c:pt>
                <c:pt idx="76">
                  <c:v>11124.4</c:v>
                </c:pt>
                <c:pt idx="77">
                  <c:v>11841.2</c:v>
                </c:pt>
                <c:pt idx="78">
                  <c:v>11806.47</c:v>
                </c:pt>
                <c:pt idx="79">
                  <c:v>11461.52</c:v>
                </c:pt>
                <c:pt idx="80">
                  <c:v>12022.42</c:v>
                </c:pt>
                <c:pt idx="81">
                  <c:v>11810.36</c:v>
                </c:pt>
                <c:pt idx="82">
                  <c:v>11536.4</c:v>
                </c:pt>
                <c:pt idx="83">
                  <c:v>12396.45</c:v>
                </c:pt>
                <c:pt idx="84">
                  <c:v>11622.98</c:v>
                </c:pt>
                <c:pt idx="85">
                  <c:v>12227.82</c:v>
                </c:pt>
                <c:pt idx="86">
                  <c:v>12588.03</c:v>
                </c:pt>
                <c:pt idx="87">
                  <c:v>11540.13</c:v>
                </c:pt>
                <c:pt idx="88">
                  <c:v>11987.66</c:v>
                </c:pt>
                <c:pt idx="89">
                  <c:v>12306</c:v>
                </c:pt>
                <c:pt idx="90">
                  <c:v>11688.12</c:v>
                </c:pt>
                <c:pt idx="91">
                  <c:v>11571.56</c:v>
                </c:pt>
                <c:pt idx="92">
                  <c:v>11643.94</c:v>
                </c:pt>
                <c:pt idx="93">
                  <c:v>11924.74</c:v>
                </c:pt>
                <c:pt idx="94">
                  <c:v>11694.99</c:v>
                </c:pt>
                <c:pt idx="95">
                  <c:v>12681.66</c:v>
                </c:pt>
                <c:pt idx="96">
                  <c:v>13000.34</c:v>
                </c:pt>
                <c:pt idx="97">
                  <c:v>12558.36</c:v>
                </c:pt>
                <c:pt idx="98">
                  <c:v>13252.44</c:v>
                </c:pt>
                <c:pt idx="99">
                  <c:v>12265.09</c:v>
                </c:pt>
                <c:pt idx="100">
                  <c:v>12360.41</c:v>
                </c:pt>
                <c:pt idx="101">
                  <c:v>12029.44</c:v>
                </c:pt>
                <c:pt idx="102">
                  <c:v>11731.61</c:v>
                </c:pt>
                <c:pt idx="103">
                  <c:v>11716.06</c:v>
                </c:pt>
                <c:pt idx="104">
                  <c:v>11953.17</c:v>
                </c:pt>
                <c:pt idx="105">
                  <c:v>11875.57</c:v>
                </c:pt>
                <c:pt idx="106">
                  <c:v>12134.01</c:v>
                </c:pt>
                <c:pt idx="107">
                  <c:v>12432.14</c:v>
                </c:pt>
                <c:pt idx="108">
                  <c:v>11702.89</c:v>
                </c:pt>
                <c:pt idx="109">
                  <c:v>12105.68</c:v>
                </c:pt>
                <c:pt idx="110">
                  <c:v>12351.55</c:v>
                </c:pt>
                <c:pt idx="111">
                  <c:v>12443.68</c:v>
                </c:pt>
                <c:pt idx="112">
                  <c:v>12761.42</c:v>
                </c:pt>
                <c:pt idx="113">
                  <c:v>11937.15</c:v>
                </c:pt>
                <c:pt idx="114">
                  <c:v>12554.44</c:v>
                </c:pt>
                <c:pt idx="115">
                  <c:v>12656.42</c:v>
                </c:pt>
                <c:pt idx="116">
                  <c:v>12945.07</c:v>
                </c:pt>
                <c:pt idx="117">
                  <c:v>12874.53</c:v>
                </c:pt>
                <c:pt idx="118">
                  <c:v>12750.21</c:v>
                </c:pt>
                <c:pt idx="119">
                  <c:v>13842.54</c:v>
                </c:pt>
                <c:pt idx="120">
                  <c:v>14226.29</c:v>
                </c:pt>
                <c:pt idx="121">
                  <c:v>14640.3</c:v>
                </c:pt>
                <c:pt idx="122">
                  <c:v>14814.76</c:v>
                </c:pt>
                <c:pt idx="123">
                  <c:v>14162.55</c:v>
                </c:pt>
                <c:pt idx="124">
                  <c:v>14146.08</c:v>
                </c:pt>
                <c:pt idx="125">
                  <c:v>14052.32</c:v>
                </c:pt>
                <c:pt idx="126">
                  <c:v>14020.45</c:v>
                </c:pt>
                <c:pt idx="127">
                  <c:v>13822.54</c:v>
                </c:pt>
                <c:pt idx="128">
                  <c:v>14097.44</c:v>
                </c:pt>
                <c:pt idx="129">
                  <c:v>14223.34</c:v>
                </c:pt>
                <c:pt idx="130">
                  <c:v>14244.83</c:v>
                </c:pt>
                <c:pt idx="131">
                  <c:v>14293.18</c:v>
                </c:pt>
                <c:pt idx="132">
                  <c:v>14578.76</c:v>
                </c:pt>
                <c:pt idx="133">
                  <c:v>14698.24</c:v>
                </c:pt>
                <c:pt idx="134">
                  <c:v>14863.17</c:v>
                </c:pt>
                <c:pt idx="135">
                  <c:v>14733.27</c:v>
                </c:pt>
                <c:pt idx="136">
                  <c:v>14878.88</c:v>
                </c:pt>
                <c:pt idx="137">
                  <c:v>14920.62</c:v>
                </c:pt>
                <c:pt idx="138">
                  <c:v>14774.37</c:v>
                </c:pt>
                <c:pt idx="139">
                  <c:v>14611.22</c:v>
                </c:pt>
                <c:pt idx="140">
                  <c:v>14929.34</c:v>
                </c:pt>
                <c:pt idx="141">
                  <c:v>14944.31</c:v>
                </c:pt>
                <c:pt idx="142">
                  <c:v>14940.76</c:v>
                </c:pt>
                <c:pt idx="143">
                  <c:v>14952.74</c:v>
                </c:pt>
                <c:pt idx="144">
                  <c:v>15974.19</c:v>
                </c:pt>
                <c:pt idx="145">
                  <c:v>15613.32</c:v>
                </c:pt>
                <c:pt idx="146">
                  <c:v>16316.28</c:v>
                </c:pt>
                <c:pt idx="147">
                  <c:v>16732.88</c:v>
                </c:pt>
                <c:pt idx="148">
                  <c:v>17197.759999999998</c:v>
                </c:pt>
                <c:pt idx="149">
                  <c:v>17257.05</c:v>
                </c:pt>
                <c:pt idx="150">
                  <c:v>17582.04</c:v>
                </c:pt>
                <c:pt idx="151">
                  <c:v>18474.07</c:v>
                </c:pt>
                <c:pt idx="152">
                  <c:v>18719.740000000002</c:v>
                </c:pt>
                <c:pt idx="153">
                  <c:v>19662.93</c:v>
                </c:pt>
                <c:pt idx="154">
                  <c:v>19534.43</c:v>
                </c:pt>
                <c:pt idx="155">
                  <c:v>20611.759999999998</c:v>
                </c:pt>
                <c:pt idx="156">
                  <c:v>21092.3</c:v>
                </c:pt>
                <c:pt idx="157">
                  <c:v>21070.11</c:v>
                </c:pt>
                <c:pt idx="158">
                  <c:v>21540.99</c:v>
                </c:pt>
                <c:pt idx="159">
                  <c:v>21872.87</c:v>
                </c:pt>
                <c:pt idx="160">
                  <c:v>21920.36</c:v>
                </c:pt>
                <c:pt idx="161">
                  <c:v>21608.54</c:v>
                </c:pt>
                <c:pt idx="162">
                  <c:v>21769.51</c:v>
                </c:pt>
                <c:pt idx="163">
                  <c:v>22844.52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290368"/>
        <c:axId val="381291904"/>
      </c:lineChart>
      <c:dateAx>
        <c:axId val="381290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1291904"/>
        <c:crosses val="autoZero"/>
        <c:auto val="1"/>
        <c:lblOffset val="100"/>
        <c:baseTimeUnit val="months"/>
      </c:dateAx>
      <c:valAx>
        <c:axId val="38129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290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Expenses!$Y$2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Expenses!$X$18:$X$182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Expenses!$Y$18:$Y$182</c:f>
              <c:numCache>
                <c:formatCode>General</c:formatCode>
                <c:ptCount val="165"/>
                <c:pt idx="0">
                  <c:v>5547.1719999999996</c:v>
                </c:pt>
                <c:pt idx="1">
                  <c:v>6236.1350000000002</c:v>
                </c:pt>
                <c:pt idx="2">
                  <c:v>5388.6729999999998</c:v>
                </c:pt>
                <c:pt idx="3">
                  <c:v>5925</c:v>
                </c:pt>
                <c:pt idx="4">
                  <c:v>5869.7539999999999</c:v>
                </c:pt>
                <c:pt idx="5">
                  <c:v>5666.2790000000005</c:v>
                </c:pt>
                <c:pt idx="6">
                  <c:v>6407.5730000000003</c:v>
                </c:pt>
                <c:pt idx="7">
                  <c:v>6198.8280000000004</c:v>
                </c:pt>
                <c:pt idx="8">
                  <c:v>5692.0839999999998</c:v>
                </c:pt>
                <c:pt idx="9">
                  <c:v>6079.2449999999999</c:v>
                </c:pt>
                <c:pt idx="10">
                  <c:v>6821.0429999999997</c:v>
                </c:pt>
                <c:pt idx="11">
                  <c:v>7297.1949999999997</c:v>
                </c:pt>
                <c:pt idx="12">
                  <c:v>6318.107</c:v>
                </c:pt>
                <c:pt idx="13">
                  <c:v>6177.7240000000002</c:v>
                </c:pt>
                <c:pt idx="14">
                  <c:v>6640.3109999999997</c:v>
                </c:pt>
                <c:pt idx="15">
                  <c:v>6954.5630000000001</c:v>
                </c:pt>
                <c:pt idx="16">
                  <c:v>7241.701</c:v>
                </c:pt>
                <c:pt idx="17">
                  <c:v>7253.7539999999999</c:v>
                </c:pt>
                <c:pt idx="18">
                  <c:v>6598.835</c:v>
                </c:pt>
                <c:pt idx="19">
                  <c:v>6719.2150000000001</c:v>
                </c:pt>
                <c:pt idx="20">
                  <c:v>7808.9719999999998</c:v>
                </c:pt>
                <c:pt idx="21">
                  <c:v>7256.2920000000004</c:v>
                </c:pt>
                <c:pt idx="22">
                  <c:v>7678.192</c:v>
                </c:pt>
                <c:pt idx="23">
                  <c:v>7602.5720000000001</c:v>
                </c:pt>
                <c:pt idx="24">
                  <c:v>7226.3310000000001</c:v>
                </c:pt>
                <c:pt idx="25">
                  <c:v>7178.5829999999996</c:v>
                </c:pt>
                <c:pt idx="26">
                  <c:v>7391.24</c:v>
                </c:pt>
                <c:pt idx="27">
                  <c:v>7209.8710000000001</c:v>
                </c:pt>
                <c:pt idx="28">
                  <c:v>7146.3639999999996</c:v>
                </c:pt>
                <c:pt idx="29">
                  <c:v>7456.4380000000001</c:v>
                </c:pt>
                <c:pt idx="30">
                  <c:v>7419.6559999999999</c:v>
                </c:pt>
                <c:pt idx="31">
                  <c:v>7686.0789999999997</c:v>
                </c:pt>
                <c:pt idx="32">
                  <c:v>7342.3770000000004</c:v>
                </c:pt>
                <c:pt idx="33">
                  <c:v>8420.1440000000002</c:v>
                </c:pt>
                <c:pt idx="34">
                  <c:v>8017.3649999999998</c:v>
                </c:pt>
                <c:pt idx="35">
                  <c:v>8162.5249999999996</c:v>
                </c:pt>
                <c:pt idx="36">
                  <c:v>7225.3329999999996</c:v>
                </c:pt>
                <c:pt idx="37">
                  <c:v>7817.61</c:v>
                </c:pt>
                <c:pt idx="38">
                  <c:v>7506.8990000000003</c:v>
                </c:pt>
                <c:pt idx="39">
                  <c:v>8245.4599999999991</c:v>
                </c:pt>
                <c:pt idx="40">
                  <c:v>8461.1910000000007</c:v>
                </c:pt>
                <c:pt idx="41">
                  <c:v>8421.8989999999994</c:v>
                </c:pt>
                <c:pt idx="42">
                  <c:v>8376.8179999999993</c:v>
                </c:pt>
                <c:pt idx="43">
                  <c:v>8430.0249999999996</c:v>
                </c:pt>
                <c:pt idx="44">
                  <c:v>8526.83</c:v>
                </c:pt>
                <c:pt idx="45">
                  <c:v>8659.7729999999992</c:v>
                </c:pt>
                <c:pt idx="46">
                  <c:v>8937.9549999999999</c:v>
                </c:pt>
                <c:pt idx="47">
                  <c:v>9653.875</c:v>
                </c:pt>
                <c:pt idx="48">
                  <c:v>9235.6980000000003</c:v>
                </c:pt>
                <c:pt idx="49">
                  <c:v>9437.7999999999993</c:v>
                </c:pt>
                <c:pt idx="50">
                  <c:v>9322.098</c:v>
                </c:pt>
                <c:pt idx="51">
                  <c:v>9782.2649999999994</c:v>
                </c:pt>
                <c:pt idx="52">
                  <c:v>9662.5139999999992</c:v>
                </c:pt>
                <c:pt idx="53">
                  <c:v>10040.26</c:v>
                </c:pt>
                <c:pt idx="54">
                  <c:v>9757.06</c:v>
                </c:pt>
                <c:pt idx="55">
                  <c:v>10149.15</c:v>
                </c:pt>
                <c:pt idx="56">
                  <c:v>9980.0810000000001</c:v>
                </c:pt>
                <c:pt idx="57">
                  <c:v>10338.549999999999</c:v>
                </c:pt>
                <c:pt idx="58">
                  <c:v>10460.81</c:v>
                </c:pt>
                <c:pt idx="59">
                  <c:v>10246.33</c:v>
                </c:pt>
                <c:pt idx="60">
                  <c:v>9927.0889999999999</c:v>
                </c:pt>
                <c:pt idx="61">
                  <c:v>10477.299999999999</c:v>
                </c:pt>
                <c:pt idx="62">
                  <c:v>10105.280000000001</c:v>
                </c:pt>
                <c:pt idx="63">
                  <c:v>10662.68</c:v>
                </c:pt>
                <c:pt idx="64">
                  <c:v>10044.33</c:v>
                </c:pt>
                <c:pt idx="65">
                  <c:v>10340.620000000001</c:v>
                </c:pt>
                <c:pt idx="66">
                  <c:v>10818.69</c:v>
                </c:pt>
                <c:pt idx="67">
                  <c:v>10715.65</c:v>
                </c:pt>
                <c:pt idx="68">
                  <c:v>10647.56</c:v>
                </c:pt>
                <c:pt idx="69">
                  <c:v>10543.61</c:v>
                </c:pt>
                <c:pt idx="70">
                  <c:v>10343.6</c:v>
                </c:pt>
                <c:pt idx="71">
                  <c:v>11123.38</c:v>
                </c:pt>
                <c:pt idx="72">
                  <c:v>9737.6820000000007</c:v>
                </c:pt>
                <c:pt idx="73">
                  <c:v>10396.969999999999</c:v>
                </c:pt>
                <c:pt idx="74">
                  <c:v>10251.65</c:v>
                </c:pt>
                <c:pt idx="75">
                  <c:v>10016.02</c:v>
                </c:pt>
                <c:pt idx="76">
                  <c:v>10113.370000000001</c:v>
                </c:pt>
                <c:pt idx="77">
                  <c:v>10031.620000000001</c:v>
                </c:pt>
                <c:pt idx="78">
                  <c:v>10298.040000000001</c:v>
                </c:pt>
                <c:pt idx="79">
                  <c:v>9653.6</c:v>
                </c:pt>
                <c:pt idx="80">
                  <c:v>10697.15</c:v>
                </c:pt>
                <c:pt idx="81">
                  <c:v>10026.219999999999</c:v>
                </c:pt>
                <c:pt idx="82">
                  <c:v>9889.768</c:v>
                </c:pt>
                <c:pt idx="83">
                  <c:v>10358.02</c:v>
                </c:pt>
                <c:pt idx="84">
                  <c:v>10066.030000000001</c:v>
                </c:pt>
                <c:pt idx="85">
                  <c:v>10216.65</c:v>
                </c:pt>
                <c:pt idx="86">
                  <c:v>10481.09</c:v>
                </c:pt>
                <c:pt idx="87">
                  <c:v>9802.0490000000009</c:v>
                </c:pt>
                <c:pt idx="88">
                  <c:v>9899.5079999999998</c:v>
                </c:pt>
                <c:pt idx="89">
                  <c:v>10082.219999999999</c:v>
                </c:pt>
                <c:pt idx="90">
                  <c:v>9976.3729999999996</c:v>
                </c:pt>
                <c:pt idx="91">
                  <c:v>10134.43</c:v>
                </c:pt>
                <c:pt idx="92">
                  <c:v>9850.7810000000009</c:v>
                </c:pt>
                <c:pt idx="93">
                  <c:v>9958.5789999999997</c:v>
                </c:pt>
                <c:pt idx="94">
                  <c:v>10165.209999999999</c:v>
                </c:pt>
                <c:pt idx="95">
                  <c:v>10803.72</c:v>
                </c:pt>
                <c:pt idx="96">
                  <c:v>11142.31</c:v>
                </c:pt>
                <c:pt idx="97">
                  <c:v>10667.26</c:v>
                </c:pt>
                <c:pt idx="98">
                  <c:v>11323.4</c:v>
                </c:pt>
                <c:pt idx="99">
                  <c:v>10536.49</c:v>
                </c:pt>
                <c:pt idx="100">
                  <c:v>10677.67</c:v>
                </c:pt>
                <c:pt idx="101">
                  <c:v>10548.3</c:v>
                </c:pt>
                <c:pt idx="102">
                  <c:v>10082.44</c:v>
                </c:pt>
                <c:pt idx="103">
                  <c:v>10505.84</c:v>
                </c:pt>
                <c:pt idx="104">
                  <c:v>10528.65</c:v>
                </c:pt>
                <c:pt idx="105">
                  <c:v>10666.33</c:v>
                </c:pt>
                <c:pt idx="106">
                  <c:v>10943.28</c:v>
                </c:pt>
                <c:pt idx="107">
                  <c:v>11298.31</c:v>
                </c:pt>
                <c:pt idx="108">
                  <c:v>10486.44</c:v>
                </c:pt>
                <c:pt idx="109">
                  <c:v>10917.51</c:v>
                </c:pt>
                <c:pt idx="110">
                  <c:v>11086.81</c:v>
                </c:pt>
                <c:pt idx="111">
                  <c:v>11111.73</c:v>
                </c:pt>
                <c:pt idx="112">
                  <c:v>11079.86</c:v>
                </c:pt>
                <c:pt idx="113">
                  <c:v>10623.82</c:v>
                </c:pt>
                <c:pt idx="114">
                  <c:v>11323.33</c:v>
                </c:pt>
                <c:pt idx="115">
                  <c:v>11438.38</c:v>
                </c:pt>
                <c:pt idx="116">
                  <c:v>11714.2</c:v>
                </c:pt>
                <c:pt idx="117">
                  <c:v>11729.43</c:v>
                </c:pt>
                <c:pt idx="118">
                  <c:v>11632.13</c:v>
                </c:pt>
                <c:pt idx="119">
                  <c:v>13021.49</c:v>
                </c:pt>
                <c:pt idx="120">
                  <c:v>13143.73</c:v>
                </c:pt>
                <c:pt idx="121">
                  <c:v>13709.59</c:v>
                </c:pt>
                <c:pt idx="122">
                  <c:v>13999.2</c:v>
                </c:pt>
                <c:pt idx="123">
                  <c:v>13451.07</c:v>
                </c:pt>
                <c:pt idx="124">
                  <c:v>13612.82</c:v>
                </c:pt>
                <c:pt idx="125">
                  <c:v>13541.9</c:v>
                </c:pt>
                <c:pt idx="126">
                  <c:v>13647.11</c:v>
                </c:pt>
                <c:pt idx="127">
                  <c:v>13672.41</c:v>
                </c:pt>
                <c:pt idx="128">
                  <c:v>14029.06</c:v>
                </c:pt>
                <c:pt idx="129">
                  <c:v>14384.68</c:v>
                </c:pt>
                <c:pt idx="130">
                  <c:v>14620.45</c:v>
                </c:pt>
                <c:pt idx="131">
                  <c:v>14716.68</c:v>
                </c:pt>
                <c:pt idx="132">
                  <c:v>15056.76</c:v>
                </c:pt>
                <c:pt idx="133">
                  <c:v>15257.71</c:v>
                </c:pt>
                <c:pt idx="134">
                  <c:v>15595.23</c:v>
                </c:pt>
                <c:pt idx="135">
                  <c:v>15471.37</c:v>
                </c:pt>
                <c:pt idx="136">
                  <c:v>15668.05</c:v>
                </c:pt>
                <c:pt idx="137">
                  <c:v>15762.02</c:v>
                </c:pt>
                <c:pt idx="138">
                  <c:v>15586.83</c:v>
                </c:pt>
                <c:pt idx="139">
                  <c:v>15551.32</c:v>
                </c:pt>
                <c:pt idx="140">
                  <c:v>15900.04</c:v>
                </c:pt>
                <c:pt idx="141">
                  <c:v>15982.19</c:v>
                </c:pt>
                <c:pt idx="142">
                  <c:v>16325.52</c:v>
                </c:pt>
                <c:pt idx="143">
                  <c:v>16333.3</c:v>
                </c:pt>
                <c:pt idx="144">
                  <c:v>17521.96</c:v>
                </c:pt>
                <c:pt idx="145">
                  <c:v>17052.099999999999</c:v>
                </c:pt>
                <c:pt idx="146">
                  <c:v>18168.78</c:v>
                </c:pt>
                <c:pt idx="147">
                  <c:v>18520.54</c:v>
                </c:pt>
                <c:pt idx="148">
                  <c:v>19398.07</c:v>
                </c:pt>
                <c:pt idx="149">
                  <c:v>19745.89</c:v>
                </c:pt>
                <c:pt idx="150">
                  <c:v>20018.27</c:v>
                </c:pt>
                <c:pt idx="151">
                  <c:v>21502.41</c:v>
                </c:pt>
                <c:pt idx="152">
                  <c:v>22018.77</c:v>
                </c:pt>
                <c:pt idx="153">
                  <c:v>23470.93</c:v>
                </c:pt>
                <c:pt idx="154">
                  <c:v>23396.2</c:v>
                </c:pt>
                <c:pt idx="155">
                  <c:v>25140.09</c:v>
                </c:pt>
                <c:pt idx="156">
                  <c:v>25665.03</c:v>
                </c:pt>
                <c:pt idx="157">
                  <c:v>25597.1</c:v>
                </c:pt>
                <c:pt idx="158">
                  <c:v>26899.96</c:v>
                </c:pt>
                <c:pt idx="159">
                  <c:v>26777.89</c:v>
                </c:pt>
                <c:pt idx="160">
                  <c:v>25875.200000000001</c:v>
                </c:pt>
                <c:pt idx="161">
                  <c:v>23799.69</c:v>
                </c:pt>
                <c:pt idx="162">
                  <c:v>22809.42</c:v>
                </c:pt>
                <c:pt idx="163">
                  <c:v>20747.82</c:v>
                </c:pt>
                <c:pt idx="164">
                  <c:v>18554.98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Expenses!$Z$2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Expenses!$X$18:$X$182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Expenses!$Z$18:$Z$182</c:f>
              <c:numCache>
                <c:formatCode>General</c:formatCode>
                <c:ptCount val="165"/>
                <c:pt idx="0">
                  <c:v>7591.2489999999998</c:v>
                </c:pt>
                <c:pt idx="1">
                  <c:v>7677.7960000000003</c:v>
                </c:pt>
                <c:pt idx="2">
                  <c:v>7815.357</c:v>
                </c:pt>
                <c:pt idx="3">
                  <c:v>7876.8230000000003</c:v>
                </c:pt>
                <c:pt idx="4">
                  <c:v>8107.3620000000001</c:v>
                </c:pt>
                <c:pt idx="5">
                  <c:v>7910.8980000000001</c:v>
                </c:pt>
                <c:pt idx="6">
                  <c:v>8007.4359999999997</c:v>
                </c:pt>
                <c:pt idx="7">
                  <c:v>8380.1980000000003</c:v>
                </c:pt>
                <c:pt idx="8">
                  <c:v>8198.2189999999991</c:v>
                </c:pt>
                <c:pt idx="9">
                  <c:v>8659.6149999999998</c:v>
                </c:pt>
                <c:pt idx="10">
                  <c:v>8903.7430000000004</c:v>
                </c:pt>
                <c:pt idx="11">
                  <c:v>8850.25</c:v>
                </c:pt>
                <c:pt idx="12">
                  <c:v>8446.6039999999994</c:v>
                </c:pt>
                <c:pt idx="13">
                  <c:v>8551.34</c:v>
                </c:pt>
                <c:pt idx="14">
                  <c:v>8445.4719999999998</c:v>
                </c:pt>
                <c:pt idx="15">
                  <c:v>9092.2160000000003</c:v>
                </c:pt>
                <c:pt idx="16">
                  <c:v>8923.0939999999991</c:v>
                </c:pt>
                <c:pt idx="17">
                  <c:v>9010.8279999999995</c:v>
                </c:pt>
                <c:pt idx="18">
                  <c:v>9267.1170000000002</c:v>
                </c:pt>
                <c:pt idx="19">
                  <c:v>9122.5709999999999</c:v>
                </c:pt>
                <c:pt idx="20">
                  <c:v>9114.4480000000003</c:v>
                </c:pt>
                <c:pt idx="21">
                  <c:v>9617.4310000000005</c:v>
                </c:pt>
                <c:pt idx="22">
                  <c:v>9566.5409999999993</c:v>
                </c:pt>
                <c:pt idx="23">
                  <c:v>9484.2819999999992</c:v>
                </c:pt>
                <c:pt idx="24">
                  <c:v>9614.0409999999993</c:v>
                </c:pt>
                <c:pt idx="25">
                  <c:v>9432.3940000000002</c:v>
                </c:pt>
                <c:pt idx="26">
                  <c:v>9611.8719999999994</c:v>
                </c:pt>
                <c:pt idx="27">
                  <c:v>9802.8140000000003</c:v>
                </c:pt>
                <c:pt idx="28">
                  <c:v>9577.6569999999992</c:v>
                </c:pt>
                <c:pt idx="29">
                  <c:v>9589.3269999999993</c:v>
                </c:pt>
                <c:pt idx="30">
                  <c:v>9739.6630000000005</c:v>
                </c:pt>
                <c:pt idx="31">
                  <c:v>9826.7029999999995</c:v>
                </c:pt>
                <c:pt idx="32">
                  <c:v>9762.0169999999998</c:v>
                </c:pt>
                <c:pt idx="33">
                  <c:v>10046.94</c:v>
                </c:pt>
                <c:pt idx="34">
                  <c:v>9964.7990000000009</c:v>
                </c:pt>
                <c:pt idx="35">
                  <c:v>9894.2440000000006</c:v>
                </c:pt>
                <c:pt idx="36">
                  <c:v>10129.1</c:v>
                </c:pt>
                <c:pt idx="37">
                  <c:v>10157.86</c:v>
                </c:pt>
                <c:pt idx="38">
                  <c:v>10181.94</c:v>
                </c:pt>
                <c:pt idx="39">
                  <c:v>10215.77</c:v>
                </c:pt>
                <c:pt idx="40">
                  <c:v>10408.32</c:v>
                </c:pt>
                <c:pt idx="41">
                  <c:v>10552.86</c:v>
                </c:pt>
                <c:pt idx="42">
                  <c:v>9930.0609999999997</c:v>
                </c:pt>
                <c:pt idx="43">
                  <c:v>10648.46</c:v>
                </c:pt>
                <c:pt idx="44">
                  <c:v>10223.49</c:v>
                </c:pt>
                <c:pt idx="45">
                  <c:v>10481.68</c:v>
                </c:pt>
                <c:pt idx="46">
                  <c:v>10263.89</c:v>
                </c:pt>
                <c:pt idx="47">
                  <c:v>11235.63</c:v>
                </c:pt>
                <c:pt idx="48">
                  <c:v>10755.73</c:v>
                </c:pt>
                <c:pt idx="49">
                  <c:v>10742.63</c:v>
                </c:pt>
                <c:pt idx="50">
                  <c:v>10966.51</c:v>
                </c:pt>
                <c:pt idx="51">
                  <c:v>10915.62</c:v>
                </c:pt>
                <c:pt idx="52">
                  <c:v>10701.15</c:v>
                </c:pt>
                <c:pt idx="53">
                  <c:v>10906.14</c:v>
                </c:pt>
                <c:pt idx="54">
                  <c:v>10537.94</c:v>
                </c:pt>
                <c:pt idx="55">
                  <c:v>11116</c:v>
                </c:pt>
                <c:pt idx="56">
                  <c:v>10698.65</c:v>
                </c:pt>
                <c:pt idx="57">
                  <c:v>11020.12</c:v>
                </c:pt>
                <c:pt idx="58">
                  <c:v>10740.13</c:v>
                </c:pt>
                <c:pt idx="59">
                  <c:v>10953.19</c:v>
                </c:pt>
                <c:pt idx="60">
                  <c:v>10891.52</c:v>
                </c:pt>
                <c:pt idx="61">
                  <c:v>11393.47</c:v>
                </c:pt>
                <c:pt idx="62">
                  <c:v>11150</c:v>
                </c:pt>
                <c:pt idx="63">
                  <c:v>11499.16</c:v>
                </c:pt>
                <c:pt idx="64">
                  <c:v>10912.97</c:v>
                </c:pt>
                <c:pt idx="65">
                  <c:v>10910.13</c:v>
                </c:pt>
                <c:pt idx="66">
                  <c:v>11486.66</c:v>
                </c:pt>
                <c:pt idx="67">
                  <c:v>11145.81</c:v>
                </c:pt>
                <c:pt idx="68">
                  <c:v>11228.14</c:v>
                </c:pt>
                <c:pt idx="69">
                  <c:v>11387.75</c:v>
                </c:pt>
                <c:pt idx="70">
                  <c:v>11201.19</c:v>
                </c:pt>
                <c:pt idx="71">
                  <c:v>11483.55</c:v>
                </c:pt>
                <c:pt idx="72">
                  <c:v>11196.65</c:v>
                </c:pt>
                <c:pt idx="73">
                  <c:v>11070.75</c:v>
                </c:pt>
                <c:pt idx="74">
                  <c:v>11164.45</c:v>
                </c:pt>
                <c:pt idx="75">
                  <c:v>11229.09</c:v>
                </c:pt>
                <c:pt idx="76">
                  <c:v>10912.31</c:v>
                </c:pt>
                <c:pt idx="77">
                  <c:v>11155.04</c:v>
                </c:pt>
                <c:pt idx="78">
                  <c:v>10959.45</c:v>
                </c:pt>
                <c:pt idx="79">
                  <c:v>10963.62</c:v>
                </c:pt>
                <c:pt idx="80">
                  <c:v>10980.48</c:v>
                </c:pt>
                <c:pt idx="81">
                  <c:v>11072.83</c:v>
                </c:pt>
                <c:pt idx="82">
                  <c:v>10788.6</c:v>
                </c:pt>
                <c:pt idx="83">
                  <c:v>11188.96</c:v>
                </c:pt>
                <c:pt idx="84">
                  <c:v>10863.18</c:v>
                </c:pt>
                <c:pt idx="85">
                  <c:v>11067.13</c:v>
                </c:pt>
                <c:pt idx="86">
                  <c:v>11426.15</c:v>
                </c:pt>
                <c:pt idx="87">
                  <c:v>10619.35</c:v>
                </c:pt>
                <c:pt idx="88">
                  <c:v>10709.85</c:v>
                </c:pt>
                <c:pt idx="89">
                  <c:v>10766.94</c:v>
                </c:pt>
                <c:pt idx="90">
                  <c:v>10424.58</c:v>
                </c:pt>
                <c:pt idx="91">
                  <c:v>10309.11</c:v>
                </c:pt>
                <c:pt idx="92">
                  <c:v>10694.91</c:v>
                </c:pt>
                <c:pt idx="93">
                  <c:v>10809.96</c:v>
                </c:pt>
                <c:pt idx="94">
                  <c:v>10366.26</c:v>
                </c:pt>
                <c:pt idx="95">
                  <c:v>10655.36</c:v>
                </c:pt>
                <c:pt idx="96">
                  <c:v>10945.2</c:v>
                </c:pt>
                <c:pt idx="97">
                  <c:v>11185.31</c:v>
                </c:pt>
                <c:pt idx="98">
                  <c:v>11534.51</c:v>
                </c:pt>
                <c:pt idx="99">
                  <c:v>11084.04</c:v>
                </c:pt>
                <c:pt idx="100">
                  <c:v>11161.4</c:v>
                </c:pt>
                <c:pt idx="101">
                  <c:v>10939.3</c:v>
                </c:pt>
                <c:pt idx="102">
                  <c:v>10822.17</c:v>
                </c:pt>
                <c:pt idx="103">
                  <c:v>10827.4</c:v>
                </c:pt>
                <c:pt idx="104">
                  <c:v>10778.2</c:v>
                </c:pt>
                <c:pt idx="105">
                  <c:v>10836.9</c:v>
                </c:pt>
                <c:pt idx="106">
                  <c:v>11142.76</c:v>
                </c:pt>
                <c:pt idx="107">
                  <c:v>11300.29</c:v>
                </c:pt>
                <c:pt idx="108">
                  <c:v>11189.76</c:v>
                </c:pt>
                <c:pt idx="109">
                  <c:v>11457.13</c:v>
                </c:pt>
                <c:pt idx="110">
                  <c:v>11694.34</c:v>
                </c:pt>
                <c:pt idx="111">
                  <c:v>11774.23</c:v>
                </c:pt>
                <c:pt idx="112">
                  <c:v>12008.9</c:v>
                </c:pt>
                <c:pt idx="113">
                  <c:v>11753.59</c:v>
                </c:pt>
                <c:pt idx="114">
                  <c:v>12210.71</c:v>
                </c:pt>
                <c:pt idx="115">
                  <c:v>12358.66</c:v>
                </c:pt>
                <c:pt idx="116">
                  <c:v>12508.8</c:v>
                </c:pt>
                <c:pt idx="117">
                  <c:v>12411.89</c:v>
                </c:pt>
                <c:pt idx="118">
                  <c:v>12421.36</c:v>
                </c:pt>
                <c:pt idx="119">
                  <c:v>13052.24</c:v>
                </c:pt>
                <c:pt idx="120">
                  <c:v>13340.29</c:v>
                </c:pt>
                <c:pt idx="121">
                  <c:v>13619.27</c:v>
                </c:pt>
                <c:pt idx="122">
                  <c:v>13935.74</c:v>
                </c:pt>
                <c:pt idx="123">
                  <c:v>13725.09</c:v>
                </c:pt>
                <c:pt idx="124">
                  <c:v>13601.97</c:v>
                </c:pt>
                <c:pt idx="125">
                  <c:v>13513.86</c:v>
                </c:pt>
                <c:pt idx="126">
                  <c:v>13752.53</c:v>
                </c:pt>
                <c:pt idx="127">
                  <c:v>13648.73</c:v>
                </c:pt>
                <c:pt idx="128">
                  <c:v>13921.77</c:v>
                </c:pt>
                <c:pt idx="129">
                  <c:v>14198.93</c:v>
                </c:pt>
                <c:pt idx="130">
                  <c:v>14373.76</c:v>
                </c:pt>
                <c:pt idx="131">
                  <c:v>14455.09</c:v>
                </c:pt>
                <c:pt idx="132">
                  <c:v>14816.3</c:v>
                </c:pt>
                <c:pt idx="133">
                  <c:v>14864.06</c:v>
                </c:pt>
                <c:pt idx="134">
                  <c:v>15089.4</c:v>
                </c:pt>
                <c:pt idx="135">
                  <c:v>15060.33</c:v>
                </c:pt>
                <c:pt idx="136">
                  <c:v>15296.94</c:v>
                </c:pt>
                <c:pt idx="137">
                  <c:v>15543.51</c:v>
                </c:pt>
                <c:pt idx="138">
                  <c:v>15577.37</c:v>
                </c:pt>
                <c:pt idx="139">
                  <c:v>15557.67</c:v>
                </c:pt>
                <c:pt idx="140">
                  <c:v>15850.43</c:v>
                </c:pt>
                <c:pt idx="141">
                  <c:v>15963.8</c:v>
                </c:pt>
                <c:pt idx="142">
                  <c:v>15913.56</c:v>
                </c:pt>
                <c:pt idx="143">
                  <c:v>15993.33</c:v>
                </c:pt>
                <c:pt idx="144">
                  <c:v>16895.7</c:v>
                </c:pt>
                <c:pt idx="145">
                  <c:v>16664.009999999998</c:v>
                </c:pt>
                <c:pt idx="146">
                  <c:v>17288.84</c:v>
                </c:pt>
                <c:pt idx="147">
                  <c:v>17670.810000000001</c:v>
                </c:pt>
                <c:pt idx="148">
                  <c:v>18092.07</c:v>
                </c:pt>
                <c:pt idx="149">
                  <c:v>18224.75</c:v>
                </c:pt>
                <c:pt idx="150">
                  <c:v>18598.900000000001</c:v>
                </c:pt>
                <c:pt idx="151">
                  <c:v>19375.04</c:v>
                </c:pt>
                <c:pt idx="152">
                  <c:v>19558.27</c:v>
                </c:pt>
                <c:pt idx="153">
                  <c:v>20564.47</c:v>
                </c:pt>
                <c:pt idx="154">
                  <c:v>20259.900000000001</c:v>
                </c:pt>
                <c:pt idx="155">
                  <c:v>21199.75</c:v>
                </c:pt>
                <c:pt idx="156">
                  <c:v>21995.38</c:v>
                </c:pt>
                <c:pt idx="157">
                  <c:v>21762.55</c:v>
                </c:pt>
                <c:pt idx="158">
                  <c:v>22284.880000000001</c:v>
                </c:pt>
                <c:pt idx="159">
                  <c:v>22887.46</c:v>
                </c:pt>
                <c:pt idx="160">
                  <c:v>23244.25</c:v>
                </c:pt>
                <c:pt idx="161">
                  <c:v>23290.51</c:v>
                </c:pt>
                <c:pt idx="162">
                  <c:v>23778.38</c:v>
                </c:pt>
                <c:pt idx="163">
                  <c:v>26552.73</c:v>
                </c:pt>
                <c:pt idx="164">
                  <c:v>24474.09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086976"/>
        <c:axId val="383088512"/>
      </c:lineChart>
      <c:dateAx>
        <c:axId val="383086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3088512"/>
        <c:crosses val="autoZero"/>
        <c:auto val="1"/>
        <c:lblOffset val="100"/>
        <c:baseTimeUnit val="months"/>
      </c:dateAx>
      <c:valAx>
        <c:axId val="38308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086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'REO-FC'!$B$2</c:f>
              <c:strCache>
                <c:ptCount val="1"/>
                <c:pt idx="0">
                  <c:v>FC</c:v>
                </c:pt>
              </c:strCache>
            </c:strRef>
          </c:tx>
          <c:marker>
            <c:symbol val="none"/>
          </c:marker>
          <c:cat>
            <c:numRef>
              <c:f>'REO-FC'!$A$3:$A$182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'REO-FC'!$B$3:$B$182</c:f>
              <c:numCache>
                <c:formatCode>General</c:formatCode>
                <c:ptCount val="180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12</c:v>
                </c:pt>
                <c:pt idx="7">
                  <c:v>8</c:v>
                </c:pt>
                <c:pt idx="8">
                  <c:v>9</c:v>
                </c:pt>
                <c:pt idx="9">
                  <c:v>7</c:v>
                </c:pt>
                <c:pt idx="10">
                  <c:v>16</c:v>
                </c:pt>
                <c:pt idx="11">
                  <c:v>10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13</c:v>
                </c:pt>
                <c:pt idx="16">
                  <c:v>28</c:v>
                </c:pt>
                <c:pt idx="17">
                  <c:v>31</c:v>
                </c:pt>
                <c:pt idx="18">
                  <c:v>29</c:v>
                </c:pt>
                <c:pt idx="19">
                  <c:v>34</c:v>
                </c:pt>
                <c:pt idx="20">
                  <c:v>27</c:v>
                </c:pt>
                <c:pt idx="21">
                  <c:v>42</c:v>
                </c:pt>
                <c:pt idx="22">
                  <c:v>39</c:v>
                </c:pt>
                <c:pt idx="23">
                  <c:v>28</c:v>
                </c:pt>
                <c:pt idx="24">
                  <c:v>59</c:v>
                </c:pt>
                <c:pt idx="25">
                  <c:v>59</c:v>
                </c:pt>
                <c:pt idx="26">
                  <c:v>51</c:v>
                </c:pt>
                <c:pt idx="27">
                  <c:v>58</c:v>
                </c:pt>
                <c:pt idx="28">
                  <c:v>77</c:v>
                </c:pt>
                <c:pt idx="29">
                  <c:v>84</c:v>
                </c:pt>
                <c:pt idx="30">
                  <c:v>99</c:v>
                </c:pt>
                <c:pt idx="31">
                  <c:v>93</c:v>
                </c:pt>
                <c:pt idx="32">
                  <c:v>89</c:v>
                </c:pt>
                <c:pt idx="33">
                  <c:v>94</c:v>
                </c:pt>
                <c:pt idx="34">
                  <c:v>90</c:v>
                </c:pt>
                <c:pt idx="35">
                  <c:v>89</c:v>
                </c:pt>
                <c:pt idx="36">
                  <c:v>100</c:v>
                </c:pt>
                <c:pt idx="37">
                  <c:v>104</c:v>
                </c:pt>
                <c:pt idx="38">
                  <c:v>107</c:v>
                </c:pt>
                <c:pt idx="39">
                  <c:v>117</c:v>
                </c:pt>
                <c:pt idx="40">
                  <c:v>111</c:v>
                </c:pt>
                <c:pt idx="41">
                  <c:v>129</c:v>
                </c:pt>
                <c:pt idx="42">
                  <c:v>145</c:v>
                </c:pt>
                <c:pt idx="43">
                  <c:v>172</c:v>
                </c:pt>
                <c:pt idx="44">
                  <c:v>139</c:v>
                </c:pt>
                <c:pt idx="45">
                  <c:v>163</c:v>
                </c:pt>
                <c:pt idx="46">
                  <c:v>157</c:v>
                </c:pt>
                <c:pt idx="47">
                  <c:v>170</c:v>
                </c:pt>
                <c:pt idx="48">
                  <c:v>176</c:v>
                </c:pt>
                <c:pt idx="49">
                  <c:v>141</c:v>
                </c:pt>
                <c:pt idx="50">
                  <c:v>154</c:v>
                </c:pt>
                <c:pt idx="51">
                  <c:v>140</c:v>
                </c:pt>
                <c:pt idx="52">
                  <c:v>167</c:v>
                </c:pt>
                <c:pt idx="53">
                  <c:v>207</c:v>
                </c:pt>
                <c:pt idx="54">
                  <c:v>205</c:v>
                </c:pt>
                <c:pt idx="55">
                  <c:v>170</c:v>
                </c:pt>
                <c:pt idx="56">
                  <c:v>198</c:v>
                </c:pt>
                <c:pt idx="57">
                  <c:v>192</c:v>
                </c:pt>
                <c:pt idx="58">
                  <c:v>171</c:v>
                </c:pt>
                <c:pt idx="59">
                  <c:v>169</c:v>
                </c:pt>
                <c:pt idx="60">
                  <c:v>177</c:v>
                </c:pt>
                <c:pt idx="61">
                  <c:v>170</c:v>
                </c:pt>
                <c:pt idx="62">
                  <c:v>135</c:v>
                </c:pt>
                <c:pt idx="63">
                  <c:v>156</c:v>
                </c:pt>
                <c:pt idx="64">
                  <c:v>156</c:v>
                </c:pt>
                <c:pt idx="65">
                  <c:v>184</c:v>
                </c:pt>
                <c:pt idx="66">
                  <c:v>169</c:v>
                </c:pt>
                <c:pt idx="67">
                  <c:v>171</c:v>
                </c:pt>
                <c:pt idx="68">
                  <c:v>171</c:v>
                </c:pt>
                <c:pt idx="69">
                  <c:v>167</c:v>
                </c:pt>
                <c:pt idx="70">
                  <c:v>174</c:v>
                </c:pt>
                <c:pt idx="71">
                  <c:v>157</c:v>
                </c:pt>
                <c:pt idx="72">
                  <c:v>146</c:v>
                </c:pt>
                <c:pt idx="73">
                  <c:v>127</c:v>
                </c:pt>
                <c:pt idx="74">
                  <c:v>156</c:v>
                </c:pt>
                <c:pt idx="75">
                  <c:v>147</c:v>
                </c:pt>
                <c:pt idx="76">
                  <c:v>138</c:v>
                </c:pt>
                <c:pt idx="77">
                  <c:v>154</c:v>
                </c:pt>
                <c:pt idx="78">
                  <c:v>159</c:v>
                </c:pt>
                <c:pt idx="79">
                  <c:v>156</c:v>
                </c:pt>
                <c:pt idx="80">
                  <c:v>169</c:v>
                </c:pt>
                <c:pt idx="81">
                  <c:v>161</c:v>
                </c:pt>
                <c:pt idx="82">
                  <c:v>150</c:v>
                </c:pt>
                <c:pt idx="83">
                  <c:v>159</c:v>
                </c:pt>
                <c:pt idx="84">
                  <c:v>143</c:v>
                </c:pt>
                <c:pt idx="85">
                  <c:v>140</c:v>
                </c:pt>
                <c:pt idx="86">
                  <c:v>122</c:v>
                </c:pt>
                <c:pt idx="87">
                  <c:v>176</c:v>
                </c:pt>
                <c:pt idx="88">
                  <c:v>156</c:v>
                </c:pt>
                <c:pt idx="89">
                  <c:v>191</c:v>
                </c:pt>
                <c:pt idx="90">
                  <c:v>178</c:v>
                </c:pt>
                <c:pt idx="91">
                  <c:v>243</c:v>
                </c:pt>
                <c:pt idx="92">
                  <c:v>177</c:v>
                </c:pt>
                <c:pt idx="93">
                  <c:v>166</c:v>
                </c:pt>
                <c:pt idx="94">
                  <c:v>214</c:v>
                </c:pt>
                <c:pt idx="95">
                  <c:v>138</c:v>
                </c:pt>
                <c:pt idx="96">
                  <c:v>179</c:v>
                </c:pt>
                <c:pt idx="97">
                  <c:v>181</c:v>
                </c:pt>
                <c:pt idx="98">
                  <c:v>161</c:v>
                </c:pt>
                <c:pt idx="99">
                  <c:v>205</c:v>
                </c:pt>
                <c:pt idx="100">
                  <c:v>201</c:v>
                </c:pt>
                <c:pt idx="101">
                  <c:v>218</c:v>
                </c:pt>
                <c:pt idx="102">
                  <c:v>295</c:v>
                </c:pt>
                <c:pt idx="103">
                  <c:v>289</c:v>
                </c:pt>
                <c:pt idx="104">
                  <c:v>268</c:v>
                </c:pt>
                <c:pt idx="105">
                  <c:v>325</c:v>
                </c:pt>
                <c:pt idx="106">
                  <c:v>364</c:v>
                </c:pt>
                <c:pt idx="107">
                  <c:v>416</c:v>
                </c:pt>
                <c:pt idx="108">
                  <c:v>469</c:v>
                </c:pt>
                <c:pt idx="109">
                  <c:v>348</c:v>
                </c:pt>
                <c:pt idx="110">
                  <c:v>370</c:v>
                </c:pt>
                <c:pt idx="111">
                  <c:v>332</c:v>
                </c:pt>
                <c:pt idx="112">
                  <c:v>499</c:v>
                </c:pt>
                <c:pt idx="113">
                  <c:v>534</c:v>
                </c:pt>
                <c:pt idx="114">
                  <c:v>688</c:v>
                </c:pt>
                <c:pt idx="115">
                  <c:v>808</c:v>
                </c:pt>
                <c:pt idx="116">
                  <c:v>970</c:v>
                </c:pt>
                <c:pt idx="117">
                  <c:v>1112</c:v>
                </c:pt>
                <c:pt idx="118">
                  <c:v>1069</c:v>
                </c:pt>
                <c:pt idx="119">
                  <c:v>1068</c:v>
                </c:pt>
                <c:pt idx="120">
                  <c:v>1282</c:v>
                </c:pt>
                <c:pt idx="121">
                  <c:v>1228</c:v>
                </c:pt>
                <c:pt idx="122">
                  <c:v>1375</c:v>
                </c:pt>
                <c:pt idx="123">
                  <c:v>1350</c:v>
                </c:pt>
                <c:pt idx="124">
                  <c:v>1427</c:v>
                </c:pt>
                <c:pt idx="125">
                  <c:v>1982</c:v>
                </c:pt>
                <c:pt idx="126">
                  <c:v>1969</c:v>
                </c:pt>
                <c:pt idx="127">
                  <c:v>1816</c:v>
                </c:pt>
                <c:pt idx="128">
                  <c:v>2735</c:v>
                </c:pt>
                <c:pt idx="129">
                  <c:v>2116</c:v>
                </c:pt>
                <c:pt idx="130">
                  <c:v>2320</c:v>
                </c:pt>
                <c:pt idx="131">
                  <c:v>2423</c:v>
                </c:pt>
                <c:pt idx="132">
                  <c:v>2077</c:v>
                </c:pt>
                <c:pt idx="133">
                  <c:v>2109</c:v>
                </c:pt>
                <c:pt idx="134">
                  <c:v>2230</c:v>
                </c:pt>
                <c:pt idx="135">
                  <c:v>1996</c:v>
                </c:pt>
                <c:pt idx="136">
                  <c:v>1923</c:v>
                </c:pt>
                <c:pt idx="137">
                  <c:v>2533</c:v>
                </c:pt>
                <c:pt idx="138">
                  <c:v>2642</c:v>
                </c:pt>
                <c:pt idx="139">
                  <c:v>2515</c:v>
                </c:pt>
                <c:pt idx="140">
                  <c:v>2550</c:v>
                </c:pt>
                <c:pt idx="141">
                  <c:v>2441</c:v>
                </c:pt>
                <c:pt idx="142">
                  <c:v>2689</c:v>
                </c:pt>
                <c:pt idx="143">
                  <c:v>2532</c:v>
                </c:pt>
                <c:pt idx="144">
                  <c:v>2413</c:v>
                </c:pt>
                <c:pt idx="145">
                  <c:v>2512</c:v>
                </c:pt>
                <c:pt idx="146">
                  <c:v>2942</c:v>
                </c:pt>
                <c:pt idx="147">
                  <c:v>2582</c:v>
                </c:pt>
                <c:pt idx="148">
                  <c:v>2809</c:v>
                </c:pt>
                <c:pt idx="149">
                  <c:v>3027</c:v>
                </c:pt>
                <c:pt idx="150">
                  <c:v>2983</c:v>
                </c:pt>
                <c:pt idx="151">
                  <c:v>3324</c:v>
                </c:pt>
                <c:pt idx="152">
                  <c:v>3384</c:v>
                </c:pt>
                <c:pt idx="153">
                  <c:v>3339</c:v>
                </c:pt>
                <c:pt idx="154">
                  <c:v>3707</c:v>
                </c:pt>
                <c:pt idx="155">
                  <c:v>3025</c:v>
                </c:pt>
                <c:pt idx="156">
                  <c:v>3453</c:v>
                </c:pt>
                <c:pt idx="157">
                  <c:v>2976</c:v>
                </c:pt>
                <c:pt idx="158">
                  <c:v>2837</c:v>
                </c:pt>
                <c:pt idx="159">
                  <c:v>2388</c:v>
                </c:pt>
                <c:pt idx="160">
                  <c:v>2500</c:v>
                </c:pt>
                <c:pt idx="161">
                  <c:v>2737</c:v>
                </c:pt>
                <c:pt idx="162">
                  <c:v>2425</c:v>
                </c:pt>
                <c:pt idx="163">
                  <c:v>2279</c:v>
                </c:pt>
                <c:pt idx="164">
                  <c:v>1964</c:v>
                </c:pt>
                <c:pt idx="165">
                  <c:v>1913</c:v>
                </c:pt>
                <c:pt idx="166">
                  <c:v>1690</c:v>
                </c:pt>
                <c:pt idx="167">
                  <c:v>1362</c:v>
                </c:pt>
                <c:pt idx="168">
                  <c:v>1343</c:v>
                </c:pt>
                <c:pt idx="169">
                  <c:v>1215</c:v>
                </c:pt>
                <c:pt idx="170">
                  <c:v>1145</c:v>
                </c:pt>
                <c:pt idx="171">
                  <c:v>1147</c:v>
                </c:pt>
                <c:pt idx="172">
                  <c:v>1083</c:v>
                </c:pt>
                <c:pt idx="173">
                  <c:v>1144</c:v>
                </c:pt>
                <c:pt idx="174">
                  <c:v>1204</c:v>
                </c:pt>
                <c:pt idx="175">
                  <c:v>1399</c:v>
                </c:pt>
                <c:pt idx="176">
                  <c:v>1465</c:v>
                </c:pt>
                <c:pt idx="177">
                  <c:v>1518</c:v>
                </c:pt>
                <c:pt idx="178">
                  <c:v>2717</c:v>
                </c:pt>
                <c:pt idx="179">
                  <c:v>1312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'REO-FC'!$C$2</c:f>
              <c:strCache>
                <c:ptCount val="1"/>
                <c:pt idx="0">
                  <c:v>REO</c:v>
                </c:pt>
              </c:strCache>
            </c:strRef>
          </c:tx>
          <c:marker>
            <c:symbol val="none"/>
          </c:marker>
          <c:cat>
            <c:numRef>
              <c:f>'REO-FC'!$A$3:$A$182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'REO-FC'!$C$3:$C$182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9</c:v>
                </c:pt>
                <c:pt idx="9">
                  <c:v>12</c:v>
                </c:pt>
                <c:pt idx="10">
                  <c:v>20</c:v>
                </c:pt>
                <c:pt idx="11">
                  <c:v>25</c:v>
                </c:pt>
                <c:pt idx="12">
                  <c:v>30</c:v>
                </c:pt>
                <c:pt idx="13">
                  <c:v>36</c:v>
                </c:pt>
                <c:pt idx="14">
                  <c:v>31</c:v>
                </c:pt>
                <c:pt idx="15">
                  <c:v>47</c:v>
                </c:pt>
                <c:pt idx="16">
                  <c:v>48</c:v>
                </c:pt>
                <c:pt idx="17">
                  <c:v>79</c:v>
                </c:pt>
                <c:pt idx="18">
                  <c:v>80</c:v>
                </c:pt>
                <c:pt idx="19">
                  <c:v>86</c:v>
                </c:pt>
                <c:pt idx="20">
                  <c:v>85</c:v>
                </c:pt>
                <c:pt idx="21">
                  <c:v>90</c:v>
                </c:pt>
                <c:pt idx="22">
                  <c:v>114</c:v>
                </c:pt>
                <c:pt idx="23">
                  <c:v>115</c:v>
                </c:pt>
                <c:pt idx="24">
                  <c:v>139</c:v>
                </c:pt>
                <c:pt idx="25">
                  <c:v>125</c:v>
                </c:pt>
                <c:pt idx="26">
                  <c:v>171</c:v>
                </c:pt>
                <c:pt idx="27">
                  <c:v>140</c:v>
                </c:pt>
                <c:pt idx="28">
                  <c:v>163</c:v>
                </c:pt>
                <c:pt idx="29">
                  <c:v>204</c:v>
                </c:pt>
                <c:pt idx="30">
                  <c:v>228</c:v>
                </c:pt>
                <c:pt idx="31">
                  <c:v>257</c:v>
                </c:pt>
                <c:pt idx="32">
                  <c:v>254</c:v>
                </c:pt>
                <c:pt idx="33">
                  <c:v>265</c:v>
                </c:pt>
                <c:pt idx="34">
                  <c:v>273</c:v>
                </c:pt>
                <c:pt idx="35">
                  <c:v>314</c:v>
                </c:pt>
                <c:pt idx="36">
                  <c:v>366</c:v>
                </c:pt>
                <c:pt idx="37">
                  <c:v>381</c:v>
                </c:pt>
                <c:pt idx="38">
                  <c:v>420</c:v>
                </c:pt>
                <c:pt idx="39">
                  <c:v>385</c:v>
                </c:pt>
                <c:pt idx="40">
                  <c:v>393</c:v>
                </c:pt>
                <c:pt idx="41">
                  <c:v>450</c:v>
                </c:pt>
                <c:pt idx="42">
                  <c:v>535</c:v>
                </c:pt>
                <c:pt idx="43">
                  <c:v>580</c:v>
                </c:pt>
                <c:pt idx="44">
                  <c:v>534</c:v>
                </c:pt>
                <c:pt idx="45">
                  <c:v>574</c:v>
                </c:pt>
                <c:pt idx="46">
                  <c:v>596</c:v>
                </c:pt>
                <c:pt idx="47">
                  <c:v>668</c:v>
                </c:pt>
                <c:pt idx="48">
                  <c:v>724</c:v>
                </c:pt>
                <c:pt idx="49">
                  <c:v>654</c:v>
                </c:pt>
                <c:pt idx="50">
                  <c:v>752</c:v>
                </c:pt>
                <c:pt idx="51">
                  <c:v>684</c:v>
                </c:pt>
                <c:pt idx="52">
                  <c:v>661</c:v>
                </c:pt>
                <c:pt idx="53">
                  <c:v>907</c:v>
                </c:pt>
                <c:pt idx="54">
                  <c:v>832</c:v>
                </c:pt>
                <c:pt idx="55">
                  <c:v>799</c:v>
                </c:pt>
                <c:pt idx="56">
                  <c:v>815</c:v>
                </c:pt>
                <c:pt idx="57">
                  <c:v>820</c:v>
                </c:pt>
                <c:pt idx="58">
                  <c:v>753</c:v>
                </c:pt>
                <c:pt idx="59">
                  <c:v>757</c:v>
                </c:pt>
                <c:pt idx="60">
                  <c:v>778</c:v>
                </c:pt>
                <c:pt idx="61">
                  <c:v>742</c:v>
                </c:pt>
                <c:pt idx="62">
                  <c:v>849</c:v>
                </c:pt>
                <c:pt idx="63">
                  <c:v>653</c:v>
                </c:pt>
                <c:pt idx="64">
                  <c:v>757</c:v>
                </c:pt>
                <c:pt idx="65">
                  <c:v>1028</c:v>
                </c:pt>
                <c:pt idx="66">
                  <c:v>885</c:v>
                </c:pt>
                <c:pt idx="67">
                  <c:v>898</c:v>
                </c:pt>
                <c:pt idx="68">
                  <c:v>925</c:v>
                </c:pt>
                <c:pt idx="69">
                  <c:v>748</c:v>
                </c:pt>
                <c:pt idx="70">
                  <c:v>809</c:v>
                </c:pt>
                <c:pt idx="71">
                  <c:v>810</c:v>
                </c:pt>
                <c:pt idx="72">
                  <c:v>748</c:v>
                </c:pt>
                <c:pt idx="73">
                  <c:v>729</c:v>
                </c:pt>
                <c:pt idx="74">
                  <c:v>669</c:v>
                </c:pt>
                <c:pt idx="75">
                  <c:v>572</c:v>
                </c:pt>
                <c:pt idx="76">
                  <c:v>701</c:v>
                </c:pt>
                <c:pt idx="77">
                  <c:v>848</c:v>
                </c:pt>
                <c:pt idx="78">
                  <c:v>677</c:v>
                </c:pt>
                <c:pt idx="79">
                  <c:v>802</c:v>
                </c:pt>
                <c:pt idx="80">
                  <c:v>775</c:v>
                </c:pt>
                <c:pt idx="81">
                  <c:v>669</c:v>
                </c:pt>
                <c:pt idx="82">
                  <c:v>761</c:v>
                </c:pt>
                <c:pt idx="83">
                  <c:v>777</c:v>
                </c:pt>
                <c:pt idx="84">
                  <c:v>661</c:v>
                </c:pt>
                <c:pt idx="85">
                  <c:v>685</c:v>
                </c:pt>
                <c:pt idx="86">
                  <c:v>672</c:v>
                </c:pt>
                <c:pt idx="87">
                  <c:v>518</c:v>
                </c:pt>
                <c:pt idx="88">
                  <c:v>647</c:v>
                </c:pt>
                <c:pt idx="89">
                  <c:v>846</c:v>
                </c:pt>
                <c:pt idx="90">
                  <c:v>768</c:v>
                </c:pt>
                <c:pt idx="91">
                  <c:v>774</c:v>
                </c:pt>
                <c:pt idx="92">
                  <c:v>725</c:v>
                </c:pt>
                <c:pt idx="93">
                  <c:v>709</c:v>
                </c:pt>
                <c:pt idx="94">
                  <c:v>774</c:v>
                </c:pt>
                <c:pt idx="95">
                  <c:v>708</c:v>
                </c:pt>
                <c:pt idx="96">
                  <c:v>786</c:v>
                </c:pt>
                <c:pt idx="97">
                  <c:v>739</c:v>
                </c:pt>
                <c:pt idx="98">
                  <c:v>878</c:v>
                </c:pt>
                <c:pt idx="99">
                  <c:v>814</c:v>
                </c:pt>
                <c:pt idx="100">
                  <c:v>851</c:v>
                </c:pt>
                <c:pt idx="101">
                  <c:v>971</c:v>
                </c:pt>
                <c:pt idx="102">
                  <c:v>1029</c:v>
                </c:pt>
                <c:pt idx="103">
                  <c:v>1199</c:v>
                </c:pt>
                <c:pt idx="104">
                  <c:v>1223</c:v>
                </c:pt>
                <c:pt idx="105">
                  <c:v>1123</c:v>
                </c:pt>
                <c:pt idx="106">
                  <c:v>1185</c:v>
                </c:pt>
                <c:pt idx="107">
                  <c:v>1144</c:v>
                </c:pt>
                <c:pt idx="108">
                  <c:v>1318</c:v>
                </c:pt>
                <c:pt idx="109">
                  <c:v>1018</c:v>
                </c:pt>
                <c:pt idx="110">
                  <c:v>1546</c:v>
                </c:pt>
                <c:pt idx="111">
                  <c:v>1342</c:v>
                </c:pt>
                <c:pt idx="112">
                  <c:v>1508</c:v>
                </c:pt>
                <c:pt idx="113">
                  <c:v>1844</c:v>
                </c:pt>
                <c:pt idx="114">
                  <c:v>1728</c:v>
                </c:pt>
                <c:pt idx="115">
                  <c:v>1800</c:v>
                </c:pt>
                <c:pt idx="116">
                  <c:v>2078</c:v>
                </c:pt>
                <c:pt idx="117">
                  <c:v>2084</c:v>
                </c:pt>
                <c:pt idx="118">
                  <c:v>1952</c:v>
                </c:pt>
                <c:pt idx="119">
                  <c:v>2213</c:v>
                </c:pt>
                <c:pt idx="120">
                  <c:v>2637</c:v>
                </c:pt>
                <c:pt idx="121">
                  <c:v>2337</c:v>
                </c:pt>
                <c:pt idx="122">
                  <c:v>2818</c:v>
                </c:pt>
                <c:pt idx="123">
                  <c:v>2217</c:v>
                </c:pt>
                <c:pt idx="124">
                  <c:v>2514</c:v>
                </c:pt>
                <c:pt idx="125">
                  <c:v>3605</c:v>
                </c:pt>
                <c:pt idx="126">
                  <c:v>3394</c:v>
                </c:pt>
                <c:pt idx="127">
                  <c:v>3368</c:v>
                </c:pt>
                <c:pt idx="128">
                  <c:v>3494</c:v>
                </c:pt>
                <c:pt idx="129">
                  <c:v>3210</c:v>
                </c:pt>
                <c:pt idx="130">
                  <c:v>3530</c:v>
                </c:pt>
                <c:pt idx="131">
                  <c:v>3920</c:v>
                </c:pt>
                <c:pt idx="132">
                  <c:v>3424</c:v>
                </c:pt>
                <c:pt idx="133">
                  <c:v>3344</c:v>
                </c:pt>
                <c:pt idx="134">
                  <c:v>4479</c:v>
                </c:pt>
                <c:pt idx="135">
                  <c:v>4232</c:v>
                </c:pt>
                <c:pt idx="136">
                  <c:v>4307</c:v>
                </c:pt>
                <c:pt idx="137">
                  <c:v>5387</c:v>
                </c:pt>
                <c:pt idx="138">
                  <c:v>4431</c:v>
                </c:pt>
                <c:pt idx="139">
                  <c:v>4243</c:v>
                </c:pt>
                <c:pt idx="140">
                  <c:v>4245</c:v>
                </c:pt>
                <c:pt idx="141">
                  <c:v>3728</c:v>
                </c:pt>
                <c:pt idx="142">
                  <c:v>3922</c:v>
                </c:pt>
                <c:pt idx="143">
                  <c:v>3654</c:v>
                </c:pt>
                <c:pt idx="144">
                  <c:v>3424</c:v>
                </c:pt>
                <c:pt idx="145">
                  <c:v>3454</c:v>
                </c:pt>
                <c:pt idx="146">
                  <c:v>4047</c:v>
                </c:pt>
                <c:pt idx="147">
                  <c:v>3552</c:v>
                </c:pt>
                <c:pt idx="148">
                  <c:v>4001</c:v>
                </c:pt>
                <c:pt idx="149">
                  <c:v>4432</c:v>
                </c:pt>
                <c:pt idx="150">
                  <c:v>4101</c:v>
                </c:pt>
                <c:pt idx="151">
                  <c:v>4395</c:v>
                </c:pt>
                <c:pt idx="152">
                  <c:v>4097</c:v>
                </c:pt>
                <c:pt idx="153">
                  <c:v>3797</c:v>
                </c:pt>
                <c:pt idx="154">
                  <c:v>4079</c:v>
                </c:pt>
                <c:pt idx="155">
                  <c:v>3458</c:v>
                </c:pt>
                <c:pt idx="156">
                  <c:v>3816</c:v>
                </c:pt>
                <c:pt idx="157">
                  <c:v>3389</c:v>
                </c:pt>
                <c:pt idx="158">
                  <c:v>3096</c:v>
                </c:pt>
                <c:pt idx="159">
                  <c:v>3093</c:v>
                </c:pt>
                <c:pt idx="160">
                  <c:v>3107</c:v>
                </c:pt>
                <c:pt idx="161">
                  <c:v>3691</c:v>
                </c:pt>
                <c:pt idx="162">
                  <c:v>3571</c:v>
                </c:pt>
                <c:pt idx="163">
                  <c:v>3597</c:v>
                </c:pt>
                <c:pt idx="164">
                  <c:v>3087</c:v>
                </c:pt>
                <c:pt idx="165">
                  <c:v>3080</c:v>
                </c:pt>
                <c:pt idx="166">
                  <c:v>3061</c:v>
                </c:pt>
                <c:pt idx="167">
                  <c:v>2702</c:v>
                </c:pt>
                <c:pt idx="168">
                  <c:v>2911</c:v>
                </c:pt>
                <c:pt idx="169">
                  <c:v>2825</c:v>
                </c:pt>
                <c:pt idx="170">
                  <c:v>3067</c:v>
                </c:pt>
                <c:pt idx="171">
                  <c:v>3071</c:v>
                </c:pt>
                <c:pt idx="172">
                  <c:v>3125</c:v>
                </c:pt>
                <c:pt idx="173">
                  <c:v>3383</c:v>
                </c:pt>
                <c:pt idx="174">
                  <c:v>3293</c:v>
                </c:pt>
                <c:pt idx="175">
                  <c:v>3183</c:v>
                </c:pt>
                <c:pt idx="176">
                  <c:v>2832</c:v>
                </c:pt>
                <c:pt idx="177">
                  <c:v>2811</c:v>
                </c:pt>
                <c:pt idx="178">
                  <c:v>2641</c:v>
                </c:pt>
                <c:pt idx="179">
                  <c:v>2434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81760"/>
        <c:axId val="384183296"/>
      </c:lineChart>
      <c:dateAx>
        <c:axId val="384181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4183296"/>
        <c:crosses val="autoZero"/>
        <c:auto val="1"/>
        <c:lblOffset val="100"/>
        <c:baseTimeUnit val="months"/>
      </c:dateAx>
      <c:valAx>
        <c:axId val="384183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4181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Expenses!$AD$2</c:f>
              <c:strCache>
                <c:ptCount val="1"/>
                <c:pt idx="0">
                  <c:v>aggActualExpenses</c:v>
                </c:pt>
              </c:strCache>
            </c:strRef>
          </c:tx>
          <c:marker>
            <c:symbol val="none"/>
          </c:marker>
          <c:cat>
            <c:numRef>
              <c:f>Expenses!$AC$18:$AC$182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Expenses!$AD$18:$AD$182</c:f>
              <c:numCache>
                <c:formatCode>General</c:formatCode>
                <c:ptCount val="165"/>
                <c:pt idx="0">
                  <c:v>5547.1719999999996</c:v>
                </c:pt>
                <c:pt idx="1">
                  <c:v>6236.1350000000002</c:v>
                </c:pt>
                <c:pt idx="2">
                  <c:v>5388.6729999999998</c:v>
                </c:pt>
                <c:pt idx="3">
                  <c:v>5925</c:v>
                </c:pt>
                <c:pt idx="4">
                  <c:v>5869.7539999999999</c:v>
                </c:pt>
                <c:pt idx="5">
                  <c:v>5666.2790000000005</c:v>
                </c:pt>
                <c:pt idx="6">
                  <c:v>6407.5730000000003</c:v>
                </c:pt>
                <c:pt idx="7">
                  <c:v>6198.8280000000004</c:v>
                </c:pt>
                <c:pt idx="8">
                  <c:v>5692.0839999999998</c:v>
                </c:pt>
                <c:pt idx="9">
                  <c:v>6079.2449999999999</c:v>
                </c:pt>
                <c:pt idx="10">
                  <c:v>6821.0429999999997</c:v>
                </c:pt>
                <c:pt idx="11">
                  <c:v>7297.1949999999997</c:v>
                </c:pt>
                <c:pt idx="12">
                  <c:v>6318.107</c:v>
                </c:pt>
                <c:pt idx="13">
                  <c:v>6177.7240000000002</c:v>
                </c:pt>
                <c:pt idx="14">
                  <c:v>6640.3109999999997</c:v>
                </c:pt>
                <c:pt idx="15">
                  <c:v>6954.5630000000001</c:v>
                </c:pt>
                <c:pt idx="16">
                  <c:v>7241.701</c:v>
                </c:pt>
                <c:pt idx="17">
                  <c:v>7253.7539999999999</c:v>
                </c:pt>
                <c:pt idx="18">
                  <c:v>6598.835</c:v>
                </c:pt>
                <c:pt idx="19">
                  <c:v>6719.2150000000001</c:v>
                </c:pt>
                <c:pt idx="20">
                  <c:v>7808.9719999999998</c:v>
                </c:pt>
                <c:pt idx="21">
                  <c:v>7256.2920000000004</c:v>
                </c:pt>
                <c:pt idx="22">
                  <c:v>7678.192</c:v>
                </c:pt>
                <c:pt idx="23">
                  <c:v>7602.5720000000001</c:v>
                </c:pt>
                <c:pt idx="24">
                  <c:v>7226.3310000000001</c:v>
                </c:pt>
                <c:pt idx="25">
                  <c:v>7178.5829999999996</c:v>
                </c:pt>
                <c:pt idx="26">
                  <c:v>7391.24</c:v>
                </c:pt>
                <c:pt idx="27">
                  <c:v>7209.8710000000001</c:v>
                </c:pt>
                <c:pt idx="28">
                  <c:v>7146.3639999999996</c:v>
                </c:pt>
                <c:pt idx="29">
                  <c:v>7456.4380000000001</c:v>
                </c:pt>
                <c:pt idx="30">
                  <c:v>7419.6559999999999</c:v>
                </c:pt>
                <c:pt idx="31">
                  <c:v>7686.0789999999997</c:v>
                </c:pt>
                <c:pt idx="32">
                  <c:v>7342.3770000000004</c:v>
                </c:pt>
                <c:pt idx="33">
                  <c:v>8420.1440000000002</c:v>
                </c:pt>
                <c:pt idx="34">
                  <c:v>8017.3649999999998</c:v>
                </c:pt>
                <c:pt idx="35">
                  <c:v>8162.5249999999996</c:v>
                </c:pt>
                <c:pt idx="36">
                  <c:v>7225.3329999999996</c:v>
                </c:pt>
                <c:pt idx="37">
                  <c:v>7817.61</c:v>
                </c:pt>
                <c:pt idx="38">
                  <c:v>7506.8990000000003</c:v>
                </c:pt>
                <c:pt idx="39">
                  <c:v>8245.4599999999991</c:v>
                </c:pt>
                <c:pt idx="40">
                  <c:v>8461.1910000000007</c:v>
                </c:pt>
                <c:pt idx="41">
                  <c:v>8421.8989999999994</c:v>
                </c:pt>
                <c:pt idx="42">
                  <c:v>8376.8179999999993</c:v>
                </c:pt>
                <c:pt idx="43">
                  <c:v>8430.0249999999996</c:v>
                </c:pt>
                <c:pt idx="44">
                  <c:v>8526.83</c:v>
                </c:pt>
                <c:pt idx="45">
                  <c:v>8659.7729999999992</c:v>
                </c:pt>
                <c:pt idx="46">
                  <c:v>8937.9549999999999</c:v>
                </c:pt>
                <c:pt idx="47">
                  <c:v>9653.875</c:v>
                </c:pt>
                <c:pt idx="48">
                  <c:v>9235.6980000000003</c:v>
                </c:pt>
                <c:pt idx="49">
                  <c:v>9437.7999999999993</c:v>
                </c:pt>
                <c:pt idx="50">
                  <c:v>9322.098</c:v>
                </c:pt>
                <c:pt idx="51">
                  <c:v>9782.2649999999994</c:v>
                </c:pt>
                <c:pt idx="52">
                  <c:v>9662.5139999999992</c:v>
                </c:pt>
                <c:pt idx="53">
                  <c:v>10040.26</c:v>
                </c:pt>
                <c:pt idx="54">
                  <c:v>9757.06</c:v>
                </c:pt>
                <c:pt idx="55">
                  <c:v>10149.15</c:v>
                </c:pt>
                <c:pt idx="56">
                  <c:v>9980.0810000000001</c:v>
                </c:pt>
                <c:pt idx="57">
                  <c:v>10338.549999999999</c:v>
                </c:pt>
                <c:pt idx="58">
                  <c:v>10460.81</c:v>
                </c:pt>
                <c:pt idx="59">
                  <c:v>10246.33</c:v>
                </c:pt>
                <c:pt idx="60">
                  <c:v>9927.0889999999999</c:v>
                </c:pt>
                <c:pt idx="61">
                  <c:v>10477.299999999999</c:v>
                </c:pt>
                <c:pt idx="62">
                  <c:v>10105.280000000001</c:v>
                </c:pt>
                <c:pt idx="63">
                  <c:v>10662.68</c:v>
                </c:pt>
                <c:pt idx="64">
                  <c:v>10044.33</c:v>
                </c:pt>
                <c:pt idx="65">
                  <c:v>10340.620000000001</c:v>
                </c:pt>
                <c:pt idx="66">
                  <c:v>10818.69</c:v>
                </c:pt>
                <c:pt idx="67">
                  <c:v>10715.65</c:v>
                </c:pt>
                <c:pt idx="68">
                  <c:v>10647.56</c:v>
                </c:pt>
                <c:pt idx="69">
                  <c:v>10543.61</c:v>
                </c:pt>
                <c:pt idx="70">
                  <c:v>10343.6</c:v>
                </c:pt>
                <c:pt idx="71">
                  <c:v>11123.38</c:v>
                </c:pt>
                <c:pt idx="72">
                  <c:v>9737.6820000000007</c:v>
                </c:pt>
                <c:pt idx="73">
                  <c:v>10396.969999999999</c:v>
                </c:pt>
                <c:pt idx="74">
                  <c:v>10251.65</c:v>
                </c:pt>
                <c:pt idx="75">
                  <c:v>10016.02</c:v>
                </c:pt>
                <c:pt idx="76">
                  <c:v>10113.370000000001</c:v>
                </c:pt>
                <c:pt idx="77">
                  <c:v>10031.620000000001</c:v>
                </c:pt>
                <c:pt idx="78">
                  <c:v>10298.040000000001</c:v>
                </c:pt>
                <c:pt idx="79">
                  <c:v>9653.6</c:v>
                </c:pt>
                <c:pt idx="80">
                  <c:v>10697.15</c:v>
                </c:pt>
                <c:pt idx="81">
                  <c:v>10026.219999999999</c:v>
                </c:pt>
                <c:pt idx="82">
                  <c:v>9889.768</c:v>
                </c:pt>
                <c:pt idx="83">
                  <c:v>10358.02</c:v>
                </c:pt>
                <c:pt idx="84">
                  <c:v>10066.030000000001</c:v>
                </c:pt>
                <c:pt idx="85">
                  <c:v>10216.65</c:v>
                </c:pt>
                <c:pt idx="86">
                  <c:v>10481.09</c:v>
                </c:pt>
                <c:pt idx="87">
                  <c:v>9802.0490000000009</c:v>
                </c:pt>
                <c:pt idx="88">
                  <c:v>9899.5079999999998</c:v>
                </c:pt>
                <c:pt idx="89">
                  <c:v>10082.219999999999</c:v>
                </c:pt>
                <c:pt idx="90">
                  <c:v>9976.3729999999996</c:v>
                </c:pt>
                <c:pt idx="91">
                  <c:v>10134.43</c:v>
                </c:pt>
                <c:pt idx="92">
                  <c:v>9850.7810000000009</c:v>
                </c:pt>
                <c:pt idx="93">
                  <c:v>9958.5789999999997</c:v>
                </c:pt>
                <c:pt idx="94">
                  <c:v>10165.209999999999</c:v>
                </c:pt>
                <c:pt idx="95">
                  <c:v>10803.72</c:v>
                </c:pt>
                <c:pt idx="96">
                  <c:v>11142.31</c:v>
                </c:pt>
                <c:pt idx="97">
                  <c:v>10667.26</c:v>
                </c:pt>
                <c:pt idx="98">
                  <c:v>11323.4</c:v>
                </c:pt>
                <c:pt idx="99">
                  <c:v>10536.49</c:v>
                </c:pt>
                <c:pt idx="100">
                  <c:v>10677.67</c:v>
                </c:pt>
                <c:pt idx="101">
                  <c:v>10548.3</c:v>
                </c:pt>
                <c:pt idx="102">
                  <c:v>10082.44</c:v>
                </c:pt>
                <c:pt idx="103">
                  <c:v>10505.84</c:v>
                </c:pt>
                <c:pt idx="104">
                  <c:v>10528.65</c:v>
                </c:pt>
                <c:pt idx="105">
                  <c:v>10666.33</c:v>
                </c:pt>
                <c:pt idx="106">
                  <c:v>10943.28</c:v>
                </c:pt>
                <c:pt idx="107">
                  <c:v>11298.31</c:v>
                </c:pt>
                <c:pt idx="108">
                  <c:v>10486.44</c:v>
                </c:pt>
                <c:pt idx="109">
                  <c:v>10917.51</c:v>
                </c:pt>
                <c:pt idx="110">
                  <c:v>11086.81</c:v>
                </c:pt>
                <c:pt idx="111">
                  <c:v>11111.73</c:v>
                </c:pt>
                <c:pt idx="112">
                  <c:v>11079.86</c:v>
                </c:pt>
                <c:pt idx="113">
                  <c:v>10623.82</c:v>
                </c:pt>
                <c:pt idx="114">
                  <c:v>11323.33</c:v>
                </c:pt>
                <c:pt idx="115">
                  <c:v>11438.38</c:v>
                </c:pt>
                <c:pt idx="116">
                  <c:v>11714.2</c:v>
                </c:pt>
                <c:pt idx="117">
                  <c:v>11729.43</c:v>
                </c:pt>
                <c:pt idx="118">
                  <c:v>11632.13</c:v>
                </c:pt>
                <c:pt idx="119">
                  <c:v>13021.49</c:v>
                </c:pt>
                <c:pt idx="120">
                  <c:v>13143.73</c:v>
                </c:pt>
                <c:pt idx="121">
                  <c:v>13709.59</c:v>
                </c:pt>
                <c:pt idx="122">
                  <c:v>13999.2</c:v>
                </c:pt>
                <c:pt idx="123">
                  <c:v>13451.07</c:v>
                </c:pt>
                <c:pt idx="124">
                  <c:v>13612.82</c:v>
                </c:pt>
                <c:pt idx="125">
                  <c:v>13541.9</c:v>
                </c:pt>
                <c:pt idx="126">
                  <c:v>13647.11</c:v>
                </c:pt>
                <c:pt idx="127">
                  <c:v>13672.41</c:v>
                </c:pt>
                <c:pt idx="128">
                  <c:v>14029.06</c:v>
                </c:pt>
                <c:pt idx="129">
                  <c:v>14384.68</c:v>
                </c:pt>
                <c:pt idx="130">
                  <c:v>14620.45</c:v>
                </c:pt>
                <c:pt idx="131">
                  <c:v>14716.68</c:v>
                </c:pt>
                <c:pt idx="132">
                  <c:v>15056.76</c:v>
                </c:pt>
                <c:pt idx="133">
                  <c:v>15257.71</c:v>
                </c:pt>
                <c:pt idx="134">
                  <c:v>15595.23</c:v>
                </c:pt>
                <c:pt idx="135">
                  <c:v>15471.37</c:v>
                </c:pt>
                <c:pt idx="136">
                  <c:v>15668.05</c:v>
                </c:pt>
                <c:pt idx="137">
                  <c:v>15762.02</c:v>
                </c:pt>
                <c:pt idx="138">
                  <c:v>15586.83</c:v>
                </c:pt>
                <c:pt idx="139">
                  <c:v>15551.32</c:v>
                </c:pt>
                <c:pt idx="140">
                  <c:v>15900.04</c:v>
                </c:pt>
                <c:pt idx="141">
                  <c:v>15982.19</c:v>
                </c:pt>
                <c:pt idx="142">
                  <c:v>16325.52</c:v>
                </c:pt>
                <c:pt idx="143">
                  <c:v>16333.3</c:v>
                </c:pt>
                <c:pt idx="144">
                  <c:v>17521.96</c:v>
                </c:pt>
                <c:pt idx="145">
                  <c:v>17052.099999999999</c:v>
                </c:pt>
                <c:pt idx="146">
                  <c:v>18168.78</c:v>
                </c:pt>
                <c:pt idx="147">
                  <c:v>18520.54</c:v>
                </c:pt>
                <c:pt idx="148">
                  <c:v>19398.07</c:v>
                </c:pt>
                <c:pt idx="149">
                  <c:v>19745.89</c:v>
                </c:pt>
                <c:pt idx="150">
                  <c:v>20018.27</c:v>
                </c:pt>
                <c:pt idx="151">
                  <c:v>21502.41</c:v>
                </c:pt>
                <c:pt idx="152">
                  <c:v>22018.77</c:v>
                </c:pt>
                <c:pt idx="153">
                  <c:v>23470.93</c:v>
                </c:pt>
                <c:pt idx="154">
                  <c:v>23396.2</c:v>
                </c:pt>
                <c:pt idx="155">
                  <c:v>25140.09</c:v>
                </c:pt>
                <c:pt idx="156">
                  <c:v>25665.03</c:v>
                </c:pt>
                <c:pt idx="157">
                  <c:v>25597.1</c:v>
                </c:pt>
                <c:pt idx="158">
                  <c:v>26899.96</c:v>
                </c:pt>
                <c:pt idx="159">
                  <c:v>26777.89</c:v>
                </c:pt>
                <c:pt idx="160">
                  <c:v>25875.200000000001</c:v>
                </c:pt>
                <c:pt idx="161">
                  <c:v>23799.69</c:v>
                </c:pt>
                <c:pt idx="162">
                  <c:v>22809.42</c:v>
                </c:pt>
                <c:pt idx="163">
                  <c:v>20747.82</c:v>
                </c:pt>
                <c:pt idx="164">
                  <c:v>18554.98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Expenses!$AE$2</c:f>
              <c:strCache>
                <c:ptCount val="1"/>
                <c:pt idx="0">
                  <c:v>aggEstimExpenses</c:v>
                </c:pt>
              </c:strCache>
            </c:strRef>
          </c:tx>
          <c:marker>
            <c:symbol val="none"/>
          </c:marker>
          <c:cat>
            <c:numRef>
              <c:f>Expenses!$AC$18:$AC$182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Expenses!$AE$18:$AE$182</c:f>
              <c:numCache>
                <c:formatCode>General</c:formatCode>
                <c:ptCount val="165"/>
                <c:pt idx="0">
                  <c:v>7594.2380000000003</c:v>
                </c:pt>
                <c:pt idx="1">
                  <c:v>7690.95</c:v>
                </c:pt>
                <c:pt idx="2">
                  <c:v>7871.9880000000003</c:v>
                </c:pt>
                <c:pt idx="3">
                  <c:v>7824.567</c:v>
                </c:pt>
                <c:pt idx="4">
                  <c:v>8150.9790000000003</c:v>
                </c:pt>
                <c:pt idx="5">
                  <c:v>7957.4309999999996</c:v>
                </c:pt>
                <c:pt idx="6">
                  <c:v>8001.3459999999995</c:v>
                </c:pt>
                <c:pt idx="7">
                  <c:v>8342.5159999999996</c:v>
                </c:pt>
                <c:pt idx="8">
                  <c:v>8192.1689999999999</c:v>
                </c:pt>
                <c:pt idx="9">
                  <c:v>8633.4159999999993</c:v>
                </c:pt>
                <c:pt idx="10">
                  <c:v>8916.5849999999991</c:v>
                </c:pt>
                <c:pt idx="11">
                  <c:v>8881.9619999999995</c:v>
                </c:pt>
                <c:pt idx="12">
                  <c:v>8469.2720000000008</c:v>
                </c:pt>
                <c:pt idx="13">
                  <c:v>8579.6509999999998</c:v>
                </c:pt>
                <c:pt idx="14">
                  <c:v>8477.8250000000007</c:v>
                </c:pt>
                <c:pt idx="15">
                  <c:v>9084.7360000000008</c:v>
                </c:pt>
                <c:pt idx="16">
                  <c:v>8958.3269999999993</c:v>
                </c:pt>
                <c:pt idx="17">
                  <c:v>9027.9760000000006</c:v>
                </c:pt>
                <c:pt idx="18">
                  <c:v>9305.9760000000006</c:v>
                </c:pt>
                <c:pt idx="19">
                  <c:v>9169.7759999999998</c:v>
                </c:pt>
                <c:pt idx="20">
                  <c:v>9166.5010000000002</c:v>
                </c:pt>
                <c:pt idx="21">
                  <c:v>9637.3019999999997</c:v>
                </c:pt>
                <c:pt idx="22">
                  <c:v>9593.5789999999997</c:v>
                </c:pt>
                <c:pt idx="23">
                  <c:v>9529.6460000000006</c:v>
                </c:pt>
                <c:pt idx="24">
                  <c:v>9632.5519999999997</c:v>
                </c:pt>
                <c:pt idx="25">
                  <c:v>9446.4179999999997</c:v>
                </c:pt>
                <c:pt idx="26">
                  <c:v>9624.0370000000003</c:v>
                </c:pt>
                <c:pt idx="27">
                  <c:v>9838.2090000000007</c:v>
                </c:pt>
                <c:pt idx="28">
                  <c:v>9598.8230000000003</c:v>
                </c:pt>
                <c:pt idx="29">
                  <c:v>9626.4850000000006</c:v>
                </c:pt>
                <c:pt idx="30">
                  <c:v>9749.58</c:v>
                </c:pt>
                <c:pt idx="31">
                  <c:v>9858.3770000000004</c:v>
                </c:pt>
                <c:pt idx="32">
                  <c:v>9799.5879999999997</c:v>
                </c:pt>
                <c:pt idx="33">
                  <c:v>10077.94</c:v>
                </c:pt>
                <c:pt idx="34">
                  <c:v>10002.959999999999</c:v>
                </c:pt>
                <c:pt idx="35">
                  <c:v>9907.5190000000002</c:v>
                </c:pt>
                <c:pt idx="36">
                  <c:v>10145.16</c:v>
                </c:pt>
                <c:pt idx="37">
                  <c:v>10167.19</c:v>
                </c:pt>
                <c:pt idx="38">
                  <c:v>10189.379999999999</c:v>
                </c:pt>
                <c:pt idx="39">
                  <c:v>10233.25</c:v>
                </c:pt>
                <c:pt idx="40">
                  <c:v>10422.57</c:v>
                </c:pt>
                <c:pt idx="41">
                  <c:v>10562.07</c:v>
                </c:pt>
                <c:pt idx="42">
                  <c:v>9953.8330000000005</c:v>
                </c:pt>
                <c:pt idx="43">
                  <c:v>10654.52</c:v>
                </c:pt>
                <c:pt idx="44">
                  <c:v>10230.82</c:v>
                </c:pt>
                <c:pt idx="45">
                  <c:v>10463.01</c:v>
                </c:pt>
                <c:pt idx="46">
                  <c:v>10274.82</c:v>
                </c:pt>
                <c:pt idx="47">
                  <c:v>11247.75</c:v>
                </c:pt>
                <c:pt idx="48">
                  <c:v>10755.08</c:v>
                </c:pt>
                <c:pt idx="49">
                  <c:v>10743.95</c:v>
                </c:pt>
                <c:pt idx="50">
                  <c:v>10966.27</c:v>
                </c:pt>
                <c:pt idx="51">
                  <c:v>10910.63</c:v>
                </c:pt>
                <c:pt idx="52">
                  <c:v>10697.18</c:v>
                </c:pt>
                <c:pt idx="53">
                  <c:v>10909.21</c:v>
                </c:pt>
                <c:pt idx="54">
                  <c:v>10545.72</c:v>
                </c:pt>
                <c:pt idx="55">
                  <c:v>11104.55</c:v>
                </c:pt>
                <c:pt idx="56">
                  <c:v>10707.05</c:v>
                </c:pt>
                <c:pt idx="57">
                  <c:v>11007.75</c:v>
                </c:pt>
                <c:pt idx="58">
                  <c:v>10728.56</c:v>
                </c:pt>
                <c:pt idx="59">
                  <c:v>10941.4</c:v>
                </c:pt>
                <c:pt idx="60">
                  <c:v>10887.28</c:v>
                </c:pt>
                <c:pt idx="61">
                  <c:v>11373.89</c:v>
                </c:pt>
                <c:pt idx="62">
                  <c:v>11115.15</c:v>
                </c:pt>
                <c:pt idx="63">
                  <c:v>11462.93</c:v>
                </c:pt>
                <c:pt idx="64">
                  <c:v>10916.26</c:v>
                </c:pt>
                <c:pt idx="65">
                  <c:v>10889.45</c:v>
                </c:pt>
                <c:pt idx="66">
                  <c:v>11467.49</c:v>
                </c:pt>
                <c:pt idx="67">
                  <c:v>11130.83</c:v>
                </c:pt>
                <c:pt idx="68">
                  <c:v>11214.61</c:v>
                </c:pt>
                <c:pt idx="69">
                  <c:v>11354.96</c:v>
                </c:pt>
                <c:pt idx="70">
                  <c:v>11171.11</c:v>
                </c:pt>
                <c:pt idx="71">
                  <c:v>11459.77</c:v>
                </c:pt>
                <c:pt idx="72">
                  <c:v>11167.52</c:v>
                </c:pt>
                <c:pt idx="73">
                  <c:v>11026.21</c:v>
                </c:pt>
                <c:pt idx="74">
                  <c:v>11130.82</c:v>
                </c:pt>
                <c:pt idx="75">
                  <c:v>11195.22</c:v>
                </c:pt>
                <c:pt idx="76">
                  <c:v>10874.79</c:v>
                </c:pt>
                <c:pt idx="77">
                  <c:v>11124.5</c:v>
                </c:pt>
                <c:pt idx="78">
                  <c:v>10912.08</c:v>
                </c:pt>
                <c:pt idx="79">
                  <c:v>10924.75</c:v>
                </c:pt>
                <c:pt idx="80">
                  <c:v>10948.84</c:v>
                </c:pt>
                <c:pt idx="81">
                  <c:v>11067.93</c:v>
                </c:pt>
                <c:pt idx="82">
                  <c:v>10758.31</c:v>
                </c:pt>
                <c:pt idx="83">
                  <c:v>11170.16</c:v>
                </c:pt>
                <c:pt idx="84">
                  <c:v>10856.42</c:v>
                </c:pt>
                <c:pt idx="85">
                  <c:v>11034.49</c:v>
                </c:pt>
                <c:pt idx="86">
                  <c:v>11394.25</c:v>
                </c:pt>
                <c:pt idx="87">
                  <c:v>10578</c:v>
                </c:pt>
                <c:pt idx="88">
                  <c:v>10675.26</c:v>
                </c:pt>
                <c:pt idx="89">
                  <c:v>10743.65</c:v>
                </c:pt>
                <c:pt idx="90">
                  <c:v>10393.18</c:v>
                </c:pt>
                <c:pt idx="91">
                  <c:v>10282.969999999999</c:v>
                </c:pt>
                <c:pt idx="92">
                  <c:v>10665.53</c:v>
                </c:pt>
                <c:pt idx="93">
                  <c:v>10789.51</c:v>
                </c:pt>
                <c:pt idx="94">
                  <c:v>10358.969999999999</c:v>
                </c:pt>
                <c:pt idx="95">
                  <c:v>10626.06</c:v>
                </c:pt>
                <c:pt idx="96">
                  <c:v>10922.69</c:v>
                </c:pt>
                <c:pt idx="97">
                  <c:v>11157.4</c:v>
                </c:pt>
                <c:pt idx="98">
                  <c:v>11508.78</c:v>
                </c:pt>
                <c:pt idx="99">
                  <c:v>11065.05</c:v>
                </c:pt>
                <c:pt idx="100">
                  <c:v>11132.92</c:v>
                </c:pt>
                <c:pt idx="101">
                  <c:v>10932.52</c:v>
                </c:pt>
                <c:pt idx="102">
                  <c:v>10807.08</c:v>
                </c:pt>
                <c:pt idx="103">
                  <c:v>10809.13</c:v>
                </c:pt>
                <c:pt idx="104">
                  <c:v>10764.96</c:v>
                </c:pt>
                <c:pt idx="105">
                  <c:v>10831.64</c:v>
                </c:pt>
                <c:pt idx="106">
                  <c:v>11126.88</c:v>
                </c:pt>
                <c:pt idx="107">
                  <c:v>11288.95</c:v>
                </c:pt>
                <c:pt idx="108">
                  <c:v>11179.02</c:v>
                </c:pt>
                <c:pt idx="109">
                  <c:v>11440.96</c:v>
                </c:pt>
                <c:pt idx="110">
                  <c:v>11685.53</c:v>
                </c:pt>
                <c:pt idx="111">
                  <c:v>11761.29</c:v>
                </c:pt>
                <c:pt idx="112">
                  <c:v>11990.07</c:v>
                </c:pt>
                <c:pt idx="113">
                  <c:v>11737.11</c:v>
                </c:pt>
                <c:pt idx="114">
                  <c:v>12202.77</c:v>
                </c:pt>
                <c:pt idx="115">
                  <c:v>12347.28</c:v>
                </c:pt>
                <c:pt idx="116">
                  <c:v>12495.14</c:v>
                </c:pt>
                <c:pt idx="117">
                  <c:v>12429.3</c:v>
                </c:pt>
                <c:pt idx="118">
                  <c:v>12446.51</c:v>
                </c:pt>
                <c:pt idx="119">
                  <c:v>13068.98</c:v>
                </c:pt>
                <c:pt idx="120">
                  <c:v>13352.84</c:v>
                </c:pt>
                <c:pt idx="121">
                  <c:v>13619.45</c:v>
                </c:pt>
                <c:pt idx="122">
                  <c:v>13947.43</c:v>
                </c:pt>
                <c:pt idx="123">
                  <c:v>13742.19</c:v>
                </c:pt>
                <c:pt idx="124">
                  <c:v>13617.2</c:v>
                </c:pt>
                <c:pt idx="125">
                  <c:v>13538.48</c:v>
                </c:pt>
                <c:pt idx="126">
                  <c:v>13784.42</c:v>
                </c:pt>
                <c:pt idx="127">
                  <c:v>13680.52</c:v>
                </c:pt>
                <c:pt idx="128">
                  <c:v>13941.69</c:v>
                </c:pt>
                <c:pt idx="129">
                  <c:v>14227.29</c:v>
                </c:pt>
                <c:pt idx="130">
                  <c:v>14404.32</c:v>
                </c:pt>
                <c:pt idx="131">
                  <c:v>14484.22</c:v>
                </c:pt>
                <c:pt idx="132">
                  <c:v>14848</c:v>
                </c:pt>
                <c:pt idx="133">
                  <c:v>14895.14</c:v>
                </c:pt>
                <c:pt idx="134">
                  <c:v>15116.57</c:v>
                </c:pt>
                <c:pt idx="135">
                  <c:v>15087.78</c:v>
                </c:pt>
                <c:pt idx="136">
                  <c:v>15323.88</c:v>
                </c:pt>
                <c:pt idx="137">
                  <c:v>15564.44</c:v>
                </c:pt>
                <c:pt idx="138">
                  <c:v>15592.22</c:v>
                </c:pt>
                <c:pt idx="139">
                  <c:v>15569.55</c:v>
                </c:pt>
                <c:pt idx="140">
                  <c:v>15859.92</c:v>
                </c:pt>
                <c:pt idx="141">
                  <c:v>15955.83</c:v>
                </c:pt>
                <c:pt idx="142">
                  <c:v>15902.14</c:v>
                </c:pt>
                <c:pt idx="143">
                  <c:v>15977.12</c:v>
                </c:pt>
                <c:pt idx="144">
                  <c:v>16881.900000000001</c:v>
                </c:pt>
                <c:pt idx="145">
                  <c:v>16648.490000000002</c:v>
                </c:pt>
                <c:pt idx="146">
                  <c:v>17271.88</c:v>
                </c:pt>
                <c:pt idx="147">
                  <c:v>17653.52</c:v>
                </c:pt>
                <c:pt idx="148">
                  <c:v>18072.18</c:v>
                </c:pt>
                <c:pt idx="149">
                  <c:v>18210.32</c:v>
                </c:pt>
                <c:pt idx="150">
                  <c:v>18576.11</c:v>
                </c:pt>
                <c:pt idx="151">
                  <c:v>19355.86</c:v>
                </c:pt>
                <c:pt idx="152">
                  <c:v>19539.490000000002</c:v>
                </c:pt>
                <c:pt idx="153">
                  <c:v>20546.400000000001</c:v>
                </c:pt>
                <c:pt idx="154">
                  <c:v>20244.8</c:v>
                </c:pt>
                <c:pt idx="155">
                  <c:v>21192.62</c:v>
                </c:pt>
                <c:pt idx="156">
                  <c:v>21990.93</c:v>
                </c:pt>
                <c:pt idx="157">
                  <c:v>21750.59</c:v>
                </c:pt>
                <c:pt idx="158">
                  <c:v>22279.33</c:v>
                </c:pt>
                <c:pt idx="159">
                  <c:v>22881.87</c:v>
                </c:pt>
                <c:pt idx="160">
                  <c:v>23234.25</c:v>
                </c:pt>
                <c:pt idx="161">
                  <c:v>23271.46</c:v>
                </c:pt>
                <c:pt idx="162">
                  <c:v>23766.16</c:v>
                </c:pt>
                <c:pt idx="163">
                  <c:v>26540.3</c:v>
                </c:pt>
                <c:pt idx="164">
                  <c:v>24461.17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158528"/>
        <c:axId val="401160064"/>
      </c:lineChart>
      <c:dateAx>
        <c:axId val="40115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1160064"/>
        <c:crosses val="autoZero"/>
        <c:auto val="1"/>
        <c:lblOffset val="100"/>
        <c:baseTimeUnit val="months"/>
      </c:dateAx>
      <c:valAx>
        <c:axId val="40116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158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'REO-FC'!$B$2</c:f>
              <c:strCache>
                <c:ptCount val="1"/>
                <c:pt idx="0">
                  <c:v>FC</c:v>
                </c:pt>
              </c:strCache>
            </c:strRef>
          </c:tx>
          <c:marker>
            <c:symbol val="none"/>
          </c:marker>
          <c:cat>
            <c:numRef>
              <c:f>'REO-FC'!$A$3:$A$182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'REO-FC'!$B$3:$B$182</c:f>
              <c:numCache>
                <c:formatCode>General</c:formatCode>
                <c:ptCount val="180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12</c:v>
                </c:pt>
                <c:pt idx="7">
                  <c:v>8</c:v>
                </c:pt>
                <c:pt idx="8">
                  <c:v>9</c:v>
                </c:pt>
                <c:pt idx="9">
                  <c:v>7</c:v>
                </c:pt>
                <c:pt idx="10">
                  <c:v>16</c:v>
                </c:pt>
                <c:pt idx="11">
                  <c:v>10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13</c:v>
                </c:pt>
                <c:pt idx="16">
                  <c:v>28</c:v>
                </c:pt>
                <c:pt idx="17">
                  <c:v>31</c:v>
                </c:pt>
                <c:pt idx="18">
                  <c:v>29</c:v>
                </c:pt>
                <c:pt idx="19">
                  <c:v>34</c:v>
                </c:pt>
                <c:pt idx="20">
                  <c:v>27</c:v>
                </c:pt>
                <c:pt idx="21">
                  <c:v>42</c:v>
                </c:pt>
                <c:pt idx="22">
                  <c:v>39</c:v>
                </c:pt>
                <c:pt idx="23">
                  <c:v>28</c:v>
                </c:pt>
                <c:pt idx="24">
                  <c:v>59</c:v>
                </c:pt>
                <c:pt idx="25">
                  <c:v>59</c:v>
                </c:pt>
                <c:pt idx="26">
                  <c:v>51</c:v>
                </c:pt>
                <c:pt idx="27">
                  <c:v>58</c:v>
                </c:pt>
                <c:pt idx="28">
                  <c:v>77</c:v>
                </c:pt>
                <c:pt idx="29">
                  <c:v>84</c:v>
                </c:pt>
                <c:pt idx="30">
                  <c:v>99</c:v>
                </c:pt>
                <c:pt idx="31">
                  <c:v>93</c:v>
                </c:pt>
                <c:pt idx="32">
                  <c:v>89</c:v>
                </c:pt>
                <c:pt idx="33">
                  <c:v>94</c:v>
                </c:pt>
                <c:pt idx="34">
                  <c:v>90</c:v>
                </c:pt>
                <c:pt idx="35">
                  <c:v>89</c:v>
                </c:pt>
                <c:pt idx="36">
                  <c:v>100</c:v>
                </c:pt>
                <c:pt idx="37">
                  <c:v>104</c:v>
                </c:pt>
                <c:pt idx="38">
                  <c:v>107</c:v>
                </c:pt>
                <c:pt idx="39">
                  <c:v>117</c:v>
                </c:pt>
                <c:pt idx="40">
                  <c:v>111</c:v>
                </c:pt>
                <c:pt idx="41">
                  <c:v>129</c:v>
                </c:pt>
                <c:pt idx="42">
                  <c:v>145</c:v>
                </c:pt>
                <c:pt idx="43">
                  <c:v>172</c:v>
                </c:pt>
                <c:pt idx="44">
                  <c:v>139</c:v>
                </c:pt>
                <c:pt idx="45">
                  <c:v>163</c:v>
                </c:pt>
                <c:pt idx="46">
                  <c:v>157</c:v>
                </c:pt>
                <c:pt idx="47">
                  <c:v>170</c:v>
                </c:pt>
                <c:pt idx="48">
                  <c:v>176</c:v>
                </c:pt>
                <c:pt idx="49">
                  <c:v>141</c:v>
                </c:pt>
                <c:pt idx="50">
                  <c:v>154</c:v>
                </c:pt>
                <c:pt idx="51">
                  <c:v>140</c:v>
                </c:pt>
                <c:pt idx="52">
                  <c:v>167</c:v>
                </c:pt>
                <c:pt idx="53">
                  <c:v>207</c:v>
                </c:pt>
                <c:pt idx="54">
                  <c:v>205</c:v>
                </c:pt>
                <c:pt idx="55">
                  <c:v>170</c:v>
                </c:pt>
                <c:pt idx="56">
                  <c:v>198</c:v>
                </c:pt>
                <c:pt idx="57">
                  <c:v>192</c:v>
                </c:pt>
                <c:pt idx="58">
                  <c:v>171</c:v>
                </c:pt>
                <c:pt idx="59">
                  <c:v>169</c:v>
                </c:pt>
                <c:pt idx="60">
                  <c:v>177</c:v>
                </c:pt>
                <c:pt idx="61">
                  <c:v>170</c:v>
                </c:pt>
                <c:pt idx="62">
                  <c:v>135</c:v>
                </c:pt>
                <c:pt idx="63">
                  <c:v>156</c:v>
                </c:pt>
                <c:pt idx="64">
                  <c:v>156</c:v>
                </c:pt>
                <c:pt idx="65">
                  <c:v>184</c:v>
                </c:pt>
                <c:pt idx="66">
                  <c:v>169</c:v>
                </c:pt>
                <c:pt idx="67">
                  <c:v>171</c:v>
                </c:pt>
                <c:pt idx="68">
                  <c:v>171</c:v>
                </c:pt>
                <c:pt idx="69">
                  <c:v>167</c:v>
                </c:pt>
                <c:pt idx="70">
                  <c:v>174</c:v>
                </c:pt>
                <c:pt idx="71">
                  <c:v>157</c:v>
                </c:pt>
                <c:pt idx="72">
                  <c:v>146</c:v>
                </c:pt>
                <c:pt idx="73">
                  <c:v>127</c:v>
                </c:pt>
                <c:pt idx="74">
                  <c:v>156</c:v>
                </c:pt>
                <c:pt idx="75">
                  <c:v>147</c:v>
                </c:pt>
                <c:pt idx="76">
                  <c:v>138</c:v>
                </c:pt>
                <c:pt idx="77">
                  <c:v>154</c:v>
                </c:pt>
                <c:pt idx="78">
                  <c:v>159</c:v>
                </c:pt>
                <c:pt idx="79">
                  <c:v>156</c:v>
                </c:pt>
                <c:pt idx="80">
                  <c:v>169</c:v>
                </c:pt>
                <c:pt idx="81">
                  <c:v>161</c:v>
                </c:pt>
                <c:pt idx="82">
                  <c:v>150</c:v>
                </c:pt>
                <c:pt idx="83">
                  <c:v>159</c:v>
                </c:pt>
                <c:pt idx="84">
                  <c:v>143</c:v>
                </c:pt>
                <c:pt idx="85">
                  <c:v>140</c:v>
                </c:pt>
                <c:pt idx="86">
                  <c:v>122</c:v>
                </c:pt>
                <c:pt idx="87">
                  <c:v>176</c:v>
                </c:pt>
                <c:pt idx="88">
                  <c:v>156</c:v>
                </c:pt>
                <c:pt idx="89">
                  <c:v>191</c:v>
                </c:pt>
                <c:pt idx="90">
                  <c:v>178</c:v>
                </c:pt>
                <c:pt idx="91">
                  <c:v>243</c:v>
                </c:pt>
                <c:pt idx="92">
                  <c:v>177</c:v>
                </c:pt>
                <c:pt idx="93">
                  <c:v>166</c:v>
                </c:pt>
                <c:pt idx="94">
                  <c:v>214</c:v>
                </c:pt>
                <c:pt idx="95">
                  <c:v>138</c:v>
                </c:pt>
                <c:pt idx="96">
                  <c:v>179</c:v>
                </c:pt>
                <c:pt idx="97">
                  <c:v>181</c:v>
                </c:pt>
                <c:pt idx="98">
                  <c:v>161</c:v>
                </c:pt>
                <c:pt idx="99">
                  <c:v>205</c:v>
                </c:pt>
                <c:pt idx="100">
                  <c:v>201</c:v>
                </c:pt>
                <c:pt idx="101">
                  <c:v>218</c:v>
                </c:pt>
                <c:pt idx="102">
                  <c:v>295</c:v>
                </c:pt>
                <c:pt idx="103">
                  <c:v>289</c:v>
                </c:pt>
                <c:pt idx="104">
                  <c:v>268</c:v>
                </c:pt>
                <c:pt idx="105">
                  <c:v>325</c:v>
                </c:pt>
                <c:pt idx="106">
                  <c:v>364</c:v>
                </c:pt>
                <c:pt idx="107">
                  <c:v>416</c:v>
                </c:pt>
                <c:pt idx="108">
                  <c:v>469</c:v>
                </c:pt>
                <c:pt idx="109">
                  <c:v>348</c:v>
                </c:pt>
                <c:pt idx="110">
                  <c:v>370</c:v>
                </c:pt>
                <c:pt idx="111">
                  <c:v>332</c:v>
                </c:pt>
                <c:pt idx="112">
                  <c:v>499</c:v>
                </c:pt>
                <c:pt idx="113">
                  <c:v>534</c:v>
                </c:pt>
                <c:pt idx="114">
                  <c:v>688</c:v>
                </c:pt>
                <c:pt idx="115">
                  <c:v>808</c:v>
                </c:pt>
                <c:pt idx="116">
                  <c:v>970</c:v>
                </c:pt>
                <c:pt idx="117">
                  <c:v>1112</c:v>
                </c:pt>
                <c:pt idx="118">
                  <c:v>1069</c:v>
                </c:pt>
                <c:pt idx="119">
                  <c:v>1068</c:v>
                </c:pt>
                <c:pt idx="120">
                  <c:v>1282</c:v>
                </c:pt>
                <c:pt idx="121">
                  <c:v>1228</c:v>
                </c:pt>
                <c:pt idx="122">
                  <c:v>1375</c:v>
                </c:pt>
                <c:pt idx="123">
                  <c:v>1350</c:v>
                </c:pt>
                <c:pt idx="124">
                  <c:v>1427</c:v>
                </c:pt>
                <c:pt idx="125">
                  <c:v>1982</c:v>
                </c:pt>
                <c:pt idx="126">
                  <c:v>1969</c:v>
                </c:pt>
                <c:pt idx="127">
                  <c:v>1816</c:v>
                </c:pt>
                <c:pt idx="128">
                  <c:v>2735</c:v>
                </c:pt>
                <c:pt idx="129">
                  <c:v>2116</c:v>
                </c:pt>
                <c:pt idx="130">
                  <c:v>2320</c:v>
                </c:pt>
                <c:pt idx="131">
                  <c:v>2423</c:v>
                </c:pt>
                <c:pt idx="132">
                  <c:v>2077</c:v>
                </c:pt>
                <c:pt idx="133">
                  <c:v>2109</c:v>
                </c:pt>
                <c:pt idx="134">
                  <c:v>2230</c:v>
                </c:pt>
                <c:pt idx="135">
                  <c:v>1996</c:v>
                </c:pt>
                <c:pt idx="136">
                  <c:v>1923</c:v>
                </c:pt>
                <c:pt idx="137">
                  <c:v>2533</c:v>
                </c:pt>
                <c:pt idx="138">
                  <c:v>2642</c:v>
                </c:pt>
                <c:pt idx="139">
                  <c:v>2515</c:v>
                </c:pt>
                <c:pt idx="140">
                  <c:v>2550</c:v>
                </c:pt>
                <c:pt idx="141">
                  <c:v>2441</c:v>
                </c:pt>
                <c:pt idx="142">
                  <c:v>2689</c:v>
                </c:pt>
                <c:pt idx="143">
                  <c:v>2532</c:v>
                </c:pt>
                <c:pt idx="144">
                  <c:v>2413</c:v>
                </c:pt>
                <c:pt idx="145">
                  <c:v>2512</c:v>
                </c:pt>
                <c:pt idx="146">
                  <c:v>2942</c:v>
                </c:pt>
                <c:pt idx="147">
                  <c:v>2582</c:v>
                </c:pt>
                <c:pt idx="148">
                  <c:v>2809</c:v>
                </c:pt>
                <c:pt idx="149">
                  <c:v>3027</c:v>
                </c:pt>
                <c:pt idx="150">
                  <c:v>2983</c:v>
                </c:pt>
                <c:pt idx="151">
                  <c:v>3324</c:v>
                </c:pt>
                <c:pt idx="152">
                  <c:v>3384</c:v>
                </c:pt>
                <c:pt idx="153">
                  <c:v>3339</c:v>
                </c:pt>
                <c:pt idx="154">
                  <c:v>3707</c:v>
                </c:pt>
                <c:pt idx="155">
                  <c:v>3025</c:v>
                </c:pt>
                <c:pt idx="156">
                  <c:v>3453</c:v>
                </c:pt>
                <c:pt idx="157">
                  <c:v>2976</c:v>
                </c:pt>
                <c:pt idx="158">
                  <c:v>2837</c:v>
                </c:pt>
                <c:pt idx="159">
                  <c:v>2388</c:v>
                </c:pt>
                <c:pt idx="160">
                  <c:v>2500</c:v>
                </c:pt>
                <c:pt idx="161">
                  <c:v>2737</c:v>
                </c:pt>
                <c:pt idx="162">
                  <c:v>2425</c:v>
                </c:pt>
                <c:pt idx="163">
                  <c:v>2279</c:v>
                </c:pt>
                <c:pt idx="164">
                  <c:v>1964</c:v>
                </c:pt>
                <c:pt idx="165">
                  <c:v>1913</c:v>
                </c:pt>
                <c:pt idx="166">
                  <c:v>1690</c:v>
                </c:pt>
                <c:pt idx="167">
                  <c:v>1362</c:v>
                </c:pt>
                <c:pt idx="168">
                  <c:v>1343</c:v>
                </c:pt>
                <c:pt idx="169">
                  <c:v>1215</c:v>
                </c:pt>
                <c:pt idx="170">
                  <c:v>1145</c:v>
                </c:pt>
                <c:pt idx="171">
                  <c:v>1147</c:v>
                </c:pt>
                <c:pt idx="172">
                  <c:v>1083</c:v>
                </c:pt>
                <c:pt idx="173">
                  <c:v>1144</c:v>
                </c:pt>
                <c:pt idx="174">
                  <c:v>1204</c:v>
                </c:pt>
                <c:pt idx="175">
                  <c:v>1399</c:v>
                </c:pt>
                <c:pt idx="176">
                  <c:v>1465</c:v>
                </c:pt>
                <c:pt idx="177">
                  <c:v>1518</c:v>
                </c:pt>
                <c:pt idx="178">
                  <c:v>2717</c:v>
                </c:pt>
                <c:pt idx="179">
                  <c:v>1312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'REO-FC'!$C$2</c:f>
              <c:strCache>
                <c:ptCount val="1"/>
                <c:pt idx="0">
                  <c:v>REO</c:v>
                </c:pt>
              </c:strCache>
            </c:strRef>
          </c:tx>
          <c:marker>
            <c:symbol val="none"/>
          </c:marker>
          <c:cat>
            <c:numRef>
              <c:f>'REO-FC'!$A$3:$A$182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'REO-FC'!$C$3:$C$182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9</c:v>
                </c:pt>
                <c:pt idx="9">
                  <c:v>12</c:v>
                </c:pt>
                <c:pt idx="10">
                  <c:v>20</c:v>
                </c:pt>
                <c:pt idx="11">
                  <c:v>25</c:v>
                </c:pt>
                <c:pt idx="12">
                  <c:v>30</c:v>
                </c:pt>
                <c:pt idx="13">
                  <c:v>36</c:v>
                </c:pt>
                <c:pt idx="14">
                  <c:v>31</c:v>
                </c:pt>
                <c:pt idx="15">
                  <c:v>47</c:v>
                </c:pt>
                <c:pt idx="16">
                  <c:v>48</c:v>
                </c:pt>
                <c:pt idx="17">
                  <c:v>79</c:v>
                </c:pt>
                <c:pt idx="18">
                  <c:v>80</c:v>
                </c:pt>
                <c:pt idx="19">
                  <c:v>86</c:v>
                </c:pt>
                <c:pt idx="20">
                  <c:v>85</c:v>
                </c:pt>
                <c:pt idx="21">
                  <c:v>90</c:v>
                </c:pt>
                <c:pt idx="22">
                  <c:v>114</c:v>
                </c:pt>
                <c:pt idx="23">
                  <c:v>115</c:v>
                </c:pt>
                <c:pt idx="24">
                  <c:v>139</c:v>
                </c:pt>
                <c:pt idx="25">
                  <c:v>125</c:v>
                </c:pt>
                <c:pt idx="26">
                  <c:v>171</c:v>
                </c:pt>
                <c:pt idx="27">
                  <c:v>140</c:v>
                </c:pt>
                <c:pt idx="28">
                  <c:v>163</c:v>
                </c:pt>
                <c:pt idx="29">
                  <c:v>204</c:v>
                </c:pt>
                <c:pt idx="30">
                  <c:v>228</c:v>
                </c:pt>
                <c:pt idx="31">
                  <c:v>257</c:v>
                </c:pt>
                <c:pt idx="32">
                  <c:v>254</c:v>
                </c:pt>
                <c:pt idx="33">
                  <c:v>265</c:v>
                </c:pt>
                <c:pt idx="34">
                  <c:v>273</c:v>
                </c:pt>
                <c:pt idx="35">
                  <c:v>314</c:v>
                </c:pt>
                <c:pt idx="36">
                  <c:v>366</c:v>
                </c:pt>
                <c:pt idx="37">
                  <c:v>381</c:v>
                </c:pt>
                <c:pt idx="38">
                  <c:v>420</c:v>
                </c:pt>
                <c:pt idx="39">
                  <c:v>385</c:v>
                </c:pt>
                <c:pt idx="40">
                  <c:v>393</c:v>
                </c:pt>
                <c:pt idx="41">
                  <c:v>450</c:v>
                </c:pt>
                <c:pt idx="42">
                  <c:v>535</c:v>
                </c:pt>
                <c:pt idx="43">
                  <c:v>580</c:v>
                </c:pt>
                <c:pt idx="44">
                  <c:v>534</c:v>
                </c:pt>
                <c:pt idx="45">
                  <c:v>574</c:v>
                </c:pt>
                <c:pt idx="46">
                  <c:v>596</c:v>
                </c:pt>
                <c:pt idx="47">
                  <c:v>668</c:v>
                </c:pt>
                <c:pt idx="48">
                  <c:v>724</c:v>
                </c:pt>
                <c:pt idx="49">
                  <c:v>654</c:v>
                </c:pt>
                <c:pt idx="50">
                  <c:v>752</c:v>
                </c:pt>
                <c:pt idx="51">
                  <c:v>684</c:v>
                </c:pt>
                <c:pt idx="52">
                  <c:v>661</c:v>
                </c:pt>
                <c:pt idx="53">
                  <c:v>907</c:v>
                </c:pt>
                <c:pt idx="54">
                  <c:v>832</c:v>
                </c:pt>
                <c:pt idx="55">
                  <c:v>799</c:v>
                </c:pt>
                <c:pt idx="56">
                  <c:v>815</c:v>
                </c:pt>
                <c:pt idx="57">
                  <c:v>820</c:v>
                </c:pt>
                <c:pt idx="58">
                  <c:v>753</c:v>
                </c:pt>
                <c:pt idx="59">
                  <c:v>757</c:v>
                </c:pt>
                <c:pt idx="60">
                  <c:v>778</c:v>
                </c:pt>
                <c:pt idx="61">
                  <c:v>742</c:v>
                </c:pt>
                <c:pt idx="62">
                  <c:v>849</c:v>
                </c:pt>
                <c:pt idx="63">
                  <c:v>653</c:v>
                </c:pt>
                <c:pt idx="64">
                  <c:v>757</c:v>
                </c:pt>
                <c:pt idx="65">
                  <c:v>1028</c:v>
                </c:pt>
                <c:pt idx="66">
                  <c:v>885</c:v>
                </c:pt>
                <c:pt idx="67">
                  <c:v>898</c:v>
                </c:pt>
                <c:pt idx="68">
                  <c:v>925</c:v>
                </c:pt>
                <c:pt idx="69">
                  <c:v>748</c:v>
                </c:pt>
                <c:pt idx="70">
                  <c:v>809</c:v>
                </c:pt>
                <c:pt idx="71">
                  <c:v>810</c:v>
                </c:pt>
                <c:pt idx="72">
                  <c:v>748</c:v>
                </c:pt>
                <c:pt idx="73">
                  <c:v>729</c:v>
                </c:pt>
                <c:pt idx="74">
                  <c:v>669</c:v>
                </c:pt>
                <c:pt idx="75">
                  <c:v>572</c:v>
                </c:pt>
                <c:pt idx="76">
                  <c:v>701</c:v>
                </c:pt>
                <c:pt idx="77">
                  <c:v>848</c:v>
                </c:pt>
                <c:pt idx="78">
                  <c:v>677</c:v>
                </c:pt>
                <c:pt idx="79">
                  <c:v>802</c:v>
                </c:pt>
                <c:pt idx="80">
                  <c:v>775</c:v>
                </c:pt>
                <c:pt idx="81">
                  <c:v>669</c:v>
                </c:pt>
                <c:pt idx="82">
                  <c:v>761</c:v>
                </c:pt>
                <c:pt idx="83">
                  <c:v>777</c:v>
                </c:pt>
                <c:pt idx="84">
                  <c:v>661</c:v>
                </c:pt>
                <c:pt idx="85">
                  <c:v>685</c:v>
                </c:pt>
                <c:pt idx="86">
                  <c:v>672</c:v>
                </c:pt>
                <c:pt idx="87">
                  <c:v>518</c:v>
                </c:pt>
                <c:pt idx="88">
                  <c:v>647</c:v>
                </c:pt>
                <c:pt idx="89">
                  <c:v>846</c:v>
                </c:pt>
                <c:pt idx="90">
                  <c:v>768</c:v>
                </c:pt>
                <c:pt idx="91">
                  <c:v>774</c:v>
                </c:pt>
                <c:pt idx="92">
                  <c:v>725</c:v>
                </c:pt>
                <c:pt idx="93">
                  <c:v>709</c:v>
                </c:pt>
                <c:pt idx="94">
                  <c:v>774</c:v>
                </c:pt>
                <c:pt idx="95">
                  <c:v>708</c:v>
                </c:pt>
                <c:pt idx="96">
                  <c:v>786</c:v>
                </c:pt>
                <c:pt idx="97">
                  <c:v>739</c:v>
                </c:pt>
                <c:pt idx="98">
                  <c:v>878</c:v>
                </c:pt>
                <c:pt idx="99">
                  <c:v>814</c:v>
                </c:pt>
                <c:pt idx="100">
                  <c:v>851</c:v>
                </c:pt>
                <c:pt idx="101">
                  <c:v>971</c:v>
                </c:pt>
                <c:pt idx="102">
                  <c:v>1029</c:v>
                </c:pt>
                <c:pt idx="103">
                  <c:v>1199</c:v>
                </c:pt>
                <c:pt idx="104">
                  <c:v>1223</c:v>
                </c:pt>
                <c:pt idx="105">
                  <c:v>1123</c:v>
                </c:pt>
                <c:pt idx="106">
                  <c:v>1185</c:v>
                </c:pt>
                <c:pt idx="107">
                  <c:v>1144</c:v>
                </c:pt>
                <c:pt idx="108">
                  <c:v>1318</c:v>
                </c:pt>
                <c:pt idx="109">
                  <c:v>1018</c:v>
                </c:pt>
                <c:pt idx="110">
                  <c:v>1546</c:v>
                </c:pt>
                <c:pt idx="111">
                  <c:v>1342</c:v>
                </c:pt>
                <c:pt idx="112">
                  <c:v>1508</c:v>
                </c:pt>
                <c:pt idx="113">
                  <c:v>1844</c:v>
                </c:pt>
                <c:pt idx="114">
                  <c:v>1728</c:v>
                </c:pt>
                <c:pt idx="115">
                  <c:v>1800</c:v>
                </c:pt>
                <c:pt idx="116">
                  <c:v>2078</c:v>
                </c:pt>
                <c:pt idx="117">
                  <c:v>2084</c:v>
                </c:pt>
                <c:pt idx="118">
                  <c:v>1952</c:v>
                </c:pt>
                <c:pt idx="119">
                  <c:v>2213</c:v>
                </c:pt>
                <c:pt idx="120">
                  <c:v>2637</c:v>
                </c:pt>
                <c:pt idx="121">
                  <c:v>2337</c:v>
                </c:pt>
                <c:pt idx="122">
                  <c:v>2818</c:v>
                </c:pt>
                <c:pt idx="123">
                  <c:v>2217</c:v>
                </c:pt>
                <c:pt idx="124">
                  <c:v>2514</c:v>
                </c:pt>
                <c:pt idx="125">
                  <c:v>3605</c:v>
                </c:pt>
                <c:pt idx="126">
                  <c:v>3394</c:v>
                </c:pt>
                <c:pt idx="127">
                  <c:v>3368</c:v>
                </c:pt>
                <c:pt idx="128">
                  <c:v>3494</c:v>
                </c:pt>
                <c:pt idx="129">
                  <c:v>3210</c:v>
                </c:pt>
                <c:pt idx="130">
                  <c:v>3530</c:v>
                </c:pt>
                <c:pt idx="131">
                  <c:v>3920</c:v>
                </c:pt>
                <c:pt idx="132">
                  <c:v>3424</c:v>
                </c:pt>
                <c:pt idx="133">
                  <c:v>3344</c:v>
                </c:pt>
                <c:pt idx="134">
                  <c:v>4479</c:v>
                </c:pt>
                <c:pt idx="135">
                  <c:v>4232</c:v>
                </c:pt>
                <c:pt idx="136">
                  <c:v>4307</c:v>
                </c:pt>
                <c:pt idx="137">
                  <c:v>5387</c:v>
                </c:pt>
                <c:pt idx="138">
                  <c:v>4431</c:v>
                </c:pt>
                <c:pt idx="139">
                  <c:v>4243</c:v>
                </c:pt>
                <c:pt idx="140">
                  <c:v>4245</c:v>
                </c:pt>
                <c:pt idx="141">
                  <c:v>3728</c:v>
                </c:pt>
                <c:pt idx="142">
                  <c:v>3922</c:v>
                </c:pt>
                <c:pt idx="143">
                  <c:v>3654</c:v>
                </c:pt>
                <c:pt idx="144">
                  <c:v>3424</c:v>
                </c:pt>
                <c:pt idx="145">
                  <c:v>3454</c:v>
                </c:pt>
                <c:pt idx="146">
                  <c:v>4047</c:v>
                </c:pt>
                <c:pt idx="147">
                  <c:v>3552</c:v>
                </c:pt>
                <c:pt idx="148">
                  <c:v>4001</c:v>
                </c:pt>
                <c:pt idx="149">
                  <c:v>4432</c:v>
                </c:pt>
                <c:pt idx="150">
                  <c:v>4101</c:v>
                </c:pt>
                <c:pt idx="151">
                  <c:v>4395</c:v>
                </c:pt>
                <c:pt idx="152">
                  <c:v>4097</c:v>
                </c:pt>
                <c:pt idx="153">
                  <c:v>3797</c:v>
                </c:pt>
                <c:pt idx="154">
                  <c:v>4079</c:v>
                </c:pt>
                <c:pt idx="155">
                  <c:v>3458</c:v>
                </c:pt>
                <c:pt idx="156">
                  <c:v>3816</c:v>
                </c:pt>
                <c:pt idx="157">
                  <c:v>3389</c:v>
                </c:pt>
                <c:pt idx="158">
                  <c:v>3096</c:v>
                </c:pt>
                <c:pt idx="159">
                  <c:v>3093</c:v>
                </c:pt>
                <c:pt idx="160">
                  <c:v>3107</c:v>
                </c:pt>
                <c:pt idx="161">
                  <c:v>3691</c:v>
                </c:pt>
                <c:pt idx="162">
                  <c:v>3571</c:v>
                </c:pt>
                <c:pt idx="163">
                  <c:v>3597</c:v>
                </c:pt>
                <c:pt idx="164">
                  <c:v>3087</c:v>
                </c:pt>
                <c:pt idx="165">
                  <c:v>3080</c:v>
                </c:pt>
                <c:pt idx="166">
                  <c:v>3061</c:v>
                </c:pt>
                <c:pt idx="167">
                  <c:v>2702</c:v>
                </c:pt>
                <c:pt idx="168">
                  <c:v>2911</c:v>
                </c:pt>
                <c:pt idx="169">
                  <c:v>2825</c:v>
                </c:pt>
                <c:pt idx="170">
                  <c:v>3067</c:v>
                </c:pt>
                <c:pt idx="171">
                  <c:v>3071</c:v>
                </c:pt>
                <c:pt idx="172">
                  <c:v>3125</c:v>
                </c:pt>
                <c:pt idx="173">
                  <c:v>3383</c:v>
                </c:pt>
                <c:pt idx="174">
                  <c:v>3293</c:v>
                </c:pt>
                <c:pt idx="175">
                  <c:v>3183</c:v>
                </c:pt>
                <c:pt idx="176">
                  <c:v>2832</c:v>
                </c:pt>
                <c:pt idx="177">
                  <c:v>2811</c:v>
                </c:pt>
                <c:pt idx="178">
                  <c:v>2641</c:v>
                </c:pt>
                <c:pt idx="179">
                  <c:v>2434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30752"/>
        <c:axId val="154141056"/>
      </c:lineChart>
      <c:dateAx>
        <c:axId val="119130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4141056"/>
        <c:crosses val="autoZero"/>
        <c:auto val="1"/>
        <c:lblOffset val="100"/>
        <c:baseTimeUnit val="months"/>
      </c:dateAx>
      <c:valAx>
        <c:axId val="15414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130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'REO-FC'!$E$2</c:f>
              <c:strCache>
                <c:ptCount val="1"/>
                <c:pt idx="0">
                  <c:v>FC%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cat>
            <c:numRef>
              <c:f>'REO-FC'!$A$3:$A$182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'REO-FC'!$E$3:$E$182</c:f>
              <c:numCache>
                <c:formatCode>0%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0.875</c:v>
                </c:pt>
                <c:pt idx="6">
                  <c:v>0.63157894736842102</c:v>
                </c:pt>
                <c:pt idx="7">
                  <c:v>0.8</c:v>
                </c:pt>
                <c:pt idx="8">
                  <c:v>0.5</c:v>
                </c:pt>
                <c:pt idx="9">
                  <c:v>0.36842105263157893</c:v>
                </c:pt>
                <c:pt idx="10">
                  <c:v>0.44444444444444442</c:v>
                </c:pt>
                <c:pt idx="11">
                  <c:v>0.2857142857142857</c:v>
                </c:pt>
                <c:pt idx="12">
                  <c:v>0.33333333333333331</c:v>
                </c:pt>
                <c:pt idx="13">
                  <c:v>0.30769230769230771</c:v>
                </c:pt>
                <c:pt idx="14">
                  <c:v>0.34042553191489361</c:v>
                </c:pt>
                <c:pt idx="15">
                  <c:v>0.21666666666666667</c:v>
                </c:pt>
                <c:pt idx="16">
                  <c:v>0.36842105263157893</c:v>
                </c:pt>
                <c:pt idx="17">
                  <c:v>0.2818181818181818</c:v>
                </c:pt>
                <c:pt idx="18">
                  <c:v>0.26605504587155965</c:v>
                </c:pt>
                <c:pt idx="19">
                  <c:v>0.28333333333333333</c:v>
                </c:pt>
                <c:pt idx="20">
                  <c:v>0.24107142857142858</c:v>
                </c:pt>
                <c:pt idx="21">
                  <c:v>0.31818181818181818</c:v>
                </c:pt>
                <c:pt idx="22">
                  <c:v>0.25490196078431371</c:v>
                </c:pt>
                <c:pt idx="23">
                  <c:v>0.19580419580419581</c:v>
                </c:pt>
                <c:pt idx="24">
                  <c:v>0.29797979797979796</c:v>
                </c:pt>
                <c:pt idx="25">
                  <c:v>0.32065217391304346</c:v>
                </c:pt>
                <c:pt idx="26">
                  <c:v>0.22972972972972974</c:v>
                </c:pt>
                <c:pt idx="27">
                  <c:v>0.29292929292929293</c:v>
                </c:pt>
                <c:pt idx="28">
                  <c:v>0.32083333333333336</c:v>
                </c:pt>
                <c:pt idx="29">
                  <c:v>0.29166666666666669</c:v>
                </c:pt>
                <c:pt idx="30">
                  <c:v>0.30275229357798167</c:v>
                </c:pt>
                <c:pt idx="31">
                  <c:v>0.26571428571428574</c:v>
                </c:pt>
                <c:pt idx="32">
                  <c:v>0.25947521865889212</c:v>
                </c:pt>
                <c:pt idx="33">
                  <c:v>0.2618384401114206</c:v>
                </c:pt>
                <c:pt idx="34">
                  <c:v>0.24793388429752067</c:v>
                </c:pt>
                <c:pt idx="35">
                  <c:v>0.22084367245657568</c:v>
                </c:pt>
                <c:pt idx="36">
                  <c:v>0.21459227467811159</c:v>
                </c:pt>
                <c:pt idx="37">
                  <c:v>0.21443298969072164</c:v>
                </c:pt>
                <c:pt idx="38">
                  <c:v>0.20303605313092979</c:v>
                </c:pt>
                <c:pt idx="39">
                  <c:v>0.23306772908366533</c:v>
                </c:pt>
                <c:pt idx="40">
                  <c:v>0.22023809523809523</c:v>
                </c:pt>
                <c:pt idx="41">
                  <c:v>0.22279792746113988</c:v>
                </c:pt>
                <c:pt idx="42">
                  <c:v>0.21323529411764705</c:v>
                </c:pt>
                <c:pt idx="43">
                  <c:v>0.22872340425531915</c:v>
                </c:pt>
                <c:pt idx="44">
                  <c:v>0.20653789004457651</c:v>
                </c:pt>
                <c:pt idx="45">
                  <c:v>0.22116689280868385</c:v>
                </c:pt>
                <c:pt idx="46">
                  <c:v>0.20849933598937584</c:v>
                </c:pt>
                <c:pt idx="47">
                  <c:v>0.20286396181384247</c:v>
                </c:pt>
                <c:pt idx="48">
                  <c:v>0.19555555555555557</c:v>
                </c:pt>
                <c:pt idx="49">
                  <c:v>0.17735849056603772</c:v>
                </c:pt>
                <c:pt idx="50">
                  <c:v>0.16997792494481237</c:v>
                </c:pt>
                <c:pt idx="51">
                  <c:v>0.16990291262135923</c:v>
                </c:pt>
                <c:pt idx="52">
                  <c:v>0.20169082125603865</c:v>
                </c:pt>
                <c:pt idx="53">
                  <c:v>0.18581687612208259</c:v>
                </c:pt>
                <c:pt idx="54">
                  <c:v>0.19768563162970107</c:v>
                </c:pt>
                <c:pt idx="55">
                  <c:v>0.17543859649122806</c:v>
                </c:pt>
                <c:pt idx="56">
                  <c:v>0.19545903257650543</c:v>
                </c:pt>
                <c:pt idx="57">
                  <c:v>0.18972332015810275</c:v>
                </c:pt>
                <c:pt idx="58">
                  <c:v>0.18506493506493507</c:v>
                </c:pt>
                <c:pt idx="59">
                  <c:v>0.18250539956803455</c:v>
                </c:pt>
                <c:pt idx="60">
                  <c:v>0.18534031413612564</c:v>
                </c:pt>
                <c:pt idx="61">
                  <c:v>0.18640350877192982</c:v>
                </c:pt>
                <c:pt idx="62">
                  <c:v>0.13719512195121952</c:v>
                </c:pt>
                <c:pt idx="63">
                  <c:v>0.19283065512978986</c:v>
                </c:pt>
                <c:pt idx="64">
                  <c:v>0.17086527929901424</c:v>
                </c:pt>
                <c:pt idx="65">
                  <c:v>0.15181518151815182</c:v>
                </c:pt>
                <c:pt idx="66">
                  <c:v>0.1603415559772296</c:v>
                </c:pt>
                <c:pt idx="67">
                  <c:v>0.1599625818521983</c:v>
                </c:pt>
                <c:pt idx="68">
                  <c:v>0.15602189781021897</c:v>
                </c:pt>
                <c:pt idx="69">
                  <c:v>0.18251366120218579</c:v>
                </c:pt>
                <c:pt idx="70">
                  <c:v>0.17700915564598169</c:v>
                </c:pt>
                <c:pt idx="71">
                  <c:v>0.1623578076525336</c:v>
                </c:pt>
                <c:pt idx="72">
                  <c:v>0.16331096196868009</c:v>
                </c:pt>
                <c:pt idx="73">
                  <c:v>0.14836448598130841</c:v>
                </c:pt>
                <c:pt idx="74">
                  <c:v>0.18909090909090909</c:v>
                </c:pt>
                <c:pt idx="75">
                  <c:v>0.20445062586926285</c:v>
                </c:pt>
                <c:pt idx="76">
                  <c:v>0.16448152562574495</c:v>
                </c:pt>
                <c:pt idx="77">
                  <c:v>0.15369261477045909</c:v>
                </c:pt>
                <c:pt idx="78">
                  <c:v>0.19019138755980861</c:v>
                </c:pt>
                <c:pt idx="79">
                  <c:v>0.162839248434238</c:v>
                </c:pt>
                <c:pt idx="80">
                  <c:v>0.17902542372881355</c:v>
                </c:pt>
                <c:pt idx="81">
                  <c:v>0.19397590361445782</c:v>
                </c:pt>
                <c:pt idx="82">
                  <c:v>0.16465422612513722</c:v>
                </c:pt>
                <c:pt idx="83">
                  <c:v>0.16987179487179488</c:v>
                </c:pt>
                <c:pt idx="84">
                  <c:v>0.17786069651741293</c:v>
                </c:pt>
                <c:pt idx="85">
                  <c:v>0.16969696969696971</c:v>
                </c:pt>
                <c:pt idx="86">
                  <c:v>0.15365239294710328</c:v>
                </c:pt>
                <c:pt idx="87">
                  <c:v>0.25360230547550433</c:v>
                </c:pt>
                <c:pt idx="88">
                  <c:v>0.19427148194271482</c:v>
                </c:pt>
                <c:pt idx="89">
                  <c:v>0.18418514946962392</c:v>
                </c:pt>
                <c:pt idx="90">
                  <c:v>0.18816067653276955</c:v>
                </c:pt>
                <c:pt idx="91">
                  <c:v>0.23893805309734514</c:v>
                </c:pt>
                <c:pt idx="92">
                  <c:v>0.19623059866962306</c:v>
                </c:pt>
                <c:pt idx="93">
                  <c:v>0.18971428571428572</c:v>
                </c:pt>
                <c:pt idx="94">
                  <c:v>0.2165991902834008</c:v>
                </c:pt>
                <c:pt idx="95">
                  <c:v>0.16312056737588654</c:v>
                </c:pt>
                <c:pt idx="96">
                  <c:v>0.18549222797927462</c:v>
                </c:pt>
                <c:pt idx="97">
                  <c:v>0.19673913043478261</c:v>
                </c:pt>
                <c:pt idx="98">
                  <c:v>0.15495668912415783</c:v>
                </c:pt>
                <c:pt idx="99">
                  <c:v>0.20117762512266929</c:v>
                </c:pt>
                <c:pt idx="100">
                  <c:v>0.19106463878326996</c:v>
                </c:pt>
                <c:pt idx="101">
                  <c:v>0.18334735071488645</c:v>
                </c:pt>
                <c:pt idx="102">
                  <c:v>0.22280966767371602</c:v>
                </c:pt>
                <c:pt idx="103">
                  <c:v>0.19422043010752688</c:v>
                </c:pt>
                <c:pt idx="104">
                  <c:v>0.17974513749161636</c:v>
                </c:pt>
                <c:pt idx="105">
                  <c:v>0.22444751381215469</c:v>
                </c:pt>
                <c:pt idx="106">
                  <c:v>0.23499031633311815</c:v>
                </c:pt>
                <c:pt idx="107">
                  <c:v>0.26666666666666666</c:v>
                </c:pt>
                <c:pt idx="108">
                  <c:v>0.26245103525461666</c:v>
                </c:pt>
                <c:pt idx="109">
                  <c:v>0.2547584187408492</c:v>
                </c:pt>
                <c:pt idx="110">
                  <c:v>0.1931106471816284</c:v>
                </c:pt>
                <c:pt idx="111">
                  <c:v>0.19832735961768219</c:v>
                </c:pt>
                <c:pt idx="112">
                  <c:v>0.24862979571499752</c:v>
                </c:pt>
                <c:pt idx="113">
                  <c:v>0.22455845248107653</c:v>
                </c:pt>
                <c:pt idx="114">
                  <c:v>0.28476821192052981</c:v>
                </c:pt>
                <c:pt idx="115">
                  <c:v>0.30981595092024539</c:v>
                </c:pt>
                <c:pt idx="116">
                  <c:v>0.31824146981627299</c:v>
                </c:pt>
                <c:pt idx="117">
                  <c:v>0.34793491864831039</c:v>
                </c:pt>
                <c:pt idx="118">
                  <c:v>0.35385633896060908</c:v>
                </c:pt>
                <c:pt idx="119">
                  <c:v>0.32551051508686374</c:v>
                </c:pt>
                <c:pt idx="120">
                  <c:v>0.32712426639448838</c:v>
                </c:pt>
                <c:pt idx="121">
                  <c:v>0.34446002805049086</c:v>
                </c:pt>
                <c:pt idx="122">
                  <c:v>0.32792749821130457</c:v>
                </c:pt>
                <c:pt idx="123">
                  <c:v>0.37846930193439865</c:v>
                </c:pt>
                <c:pt idx="124">
                  <c:v>0.36209083988835322</c:v>
                </c:pt>
                <c:pt idx="125">
                  <c:v>0.35475210309647398</c:v>
                </c:pt>
                <c:pt idx="126">
                  <c:v>0.36714525452172292</c:v>
                </c:pt>
                <c:pt idx="127">
                  <c:v>0.35030864197530864</c:v>
                </c:pt>
                <c:pt idx="128">
                  <c:v>0.43907529298442766</c:v>
                </c:pt>
                <c:pt idx="129">
                  <c:v>0.39729628238828391</c:v>
                </c:pt>
                <c:pt idx="130">
                  <c:v>0.39658119658119656</c:v>
                </c:pt>
                <c:pt idx="131">
                  <c:v>0.38199590099322089</c:v>
                </c:pt>
                <c:pt idx="132">
                  <c:v>0.37756771496091618</c:v>
                </c:pt>
                <c:pt idx="133">
                  <c:v>0.38675958188153309</c:v>
                </c:pt>
                <c:pt idx="134">
                  <c:v>0.33238932776866897</c:v>
                </c:pt>
                <c:pt idx="135">
                  <c:v>0.32048811817597944</c:v>
                </c:pt>
                <c:pt idx="136">
                  <c:v>0.30866773675762438</c:v>
                </c:pt>
                <c:pt idx="137">
                  <c:v>0.31982323232323234</c:v>
                </c:pt>
                <c:pt idx="138">
                  <c:v>0.37353315424855082</c:v>
                </c:pt>
                <c:pt idx="139">
                  <c:v>0.37215152411956198</c:v>
                </c:pt>
                <c:pt idx="140">
                  <c:v>0.37527593818984545</c:v>
                </c:pt>
                <c:pt idx="141">
                  <c:v>0.39568811800940185</c:v>
                </c:pt>
                <c:pt idx="142">
                  <c:v>0.40674633187112391</c:v>
                </c:pt>
                <c:pt idx="143">
                  <c:v>0.40931134820562559</c:v>
                </c:pt>
                <c:pt idx="144">
                  <c:v>0.41339729313003254</c:v>
                </c:pt>
                <c:pt idx="145">
                  <c:v>0.42105263157894735</c:v>
                </c:pt>
                <c:pt idx="146">
                  <c:v>0.42094720274717412</c:v>
                </c:pt>
                <c:pt idx="147">
                  <c:v>0.42093250733615911</c:v>
                </c:pt>
                <c:pt idx="148">
                  <c:v>0.41248164464023496</c:v>
                </c:pt>
                <c:pt idx="149">
                  <c:v>0.40581847432631718</c:v>
                </c:pt>
                <c:pt idx="150">
                  <c:v>0.42108977978543194</c:v>
                </c:pt>
                <c:pt idx="151">
                  <c:v>0.43062572872133698</c:v>
                </c:pt>
                <c:pt idx="152">
                  <c:v>0.45234594305574122</c:v>
                </c:pt>
                <c:pt idx="153">
                  <c:v>0.46790919282511212</c:v>
                </c:pt>
                <c:pt idx="154">
                  <c:v>0.47611096840482919</c:v>
                </c:pt>
                <c:pt idx="155">
                  <c:v>0.46660496683634117</c:v>
                </c:pt>
                <c:pt idx="156">
                  <c:v>0.47503095336359885</c:v>
                </c:pt>
                <c:pt idx="157">
                  <c:v>0.46755695208169679</c:v>
                </c:pt>
                <c:pt idx="158">
                  <c:v>0.47817293106354292</c:v>
                </c:pt>
                <c:pt idx="159">
                  <c:v>0.43568691844553914</c:v>
                </c:pt>
                <c:pt idx="160">
                  <c:v>0.44587123238808635</c:v>
                </c:pt>
                <c:pt idx="161">
                  <c:v>0.4257934038581207</c:v>
                </c:pt>
                <c:pt idx="162">
                  <c:v>0.4044362908605737</c:v>
                </c:pt>
                <c:pt idx="163">
                  <c:v>0.38784887678692986</c:v>
                </c:pt>
                <c:pt idx="164">
                  <c:v>0.38883389427836074</c:v>
                </c:pt>
                <c:pt idx="165">
                  <c:v>0.38313639094732627</c:v>
                </c:pt>
                <c:pt idx="166">
                  <c:v>0.35571458640286258</c:v>
                </c:pt>
                <c:pt idx="167">
                  <c:v>0.33513779527559057</c:v>
                </c:pt>
                <c:pt idx="168">
                  <c:v>0.31570286788904561</c:v>
                </c:pt>
                <c:pt idx="169">
                  <c:v>0.30074257425742573</c:v>
                </c:pt>
                <c:pt idx="170">
                  <c:v>0.2718423551756885</c:v>
                </c:pt>
                <c:pt idx="171">
                  <c:v>0.27192982456140352</c:v>
                </c:pt>
                <c:pt idx="172">
                  <c:v>0.25736692015209123</c:v>
                </c:pt>
                <c:pt idx="173">
                  <c:v>0.25270598630439584</c:v>
                </c:pt>
                <c:pt idx="174">
                  <c:v>0.26773404491883479</c:v>
                </c:pt>
                <c:pt idx="175">
                  <c:v>0.30532518550851157</c:v>
                </c:pt>
                <c:pt idx="176">
                  <c:v>0.34093553642075869</c:v>
                </c:pt>
                <c:pt idx="177">
                  <c:v>0.35065835065835066</c:v>
                </c:pt>
                <c:pt idx="178">
                  <c:v>0.50709219858156029</c:v>
                </c:pt>
                <c:pt idx="179">
                  <c:v>0.35024025627335825</c:v>
                </c:pt>
              </c:numCache>
            </c:numRef>
          </c:val>
        </c:ser>
        <c:ser>
          <c:idx val="1"/>
          <c:order val="1"/>
          <c:tx>
            <c:strRef>
              <c:f>'REO-FC'!$F$2</c:f>
              <c:strCache>
                <c:ptCount val="1"/>
                <c:pt idx="0">
                  <c:v>REO%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cat>
            <c:numRef>
              <c:f>'REO-FC'!$A$3:$A$182</c:f>
              <c:numCache>
                <c:formatCode>m/d/yyyy</c:formatCode>
                <c:ptCount val="180"/>
                <c:pt idx="0">
                  <c:v>36434</c:v>
                </c:pt>
                <c:pt idx="1">
                  <c:v>36465</c:v>
                </c:pt>
                <c:pt idx="2">
                  <c:v>36495</c:v>
                </c:pt>
                <c:pt idx="3">
                  <c:v>36526</c:v>
                </c:pt>
                <c:pt idx="4">
                  <c:v>36557</c:v>
                </c:pt>
                <c:pt idx="5">
                  <c:v>36586</c:v>
                </c:pt>
                <c:pt idx="6">
                  <c:v>36617</c:v>
                </c:pt>
                <c:pt idx="7">
                  <c:v>36647</c:v>
                </c:pt>
                <c:pt idx="8">
                  <c:v>36678</c:v>
                </c:pt>
                <c:pt idx="9">
                  <c:v>36708</c:v>
                </c:pt>
                <c:pt idx="10">
                  <c:v>36739</c:v>
                </c:pt>
                <c:pt idx="11">
                  <c:v>36770</c:v>
                </c:pt>
                <c:pt idx="12">
                  <c:v>36800</c:v>
                </c:pt>
                <c:pt idx="13">
                  <c:v>36831</c:v>
                </c:pt>
                <c:pt idx="14">
                  <c:v>36861</c:v>
                </c:pt>
                <c:pt idx="15">
                  <c:v>36892</c:v>
                </c:pt>
                <c:pt idx="16">
                  <c:v>36923</c:v>
                </c:pt>
                <c:pt idx="17">
                  <c:v>36951</c:v>
                </c:pt>
                <c:pt idx="18">
                  <c:v>36982</c:v>
                </c:pt>
                <c:pt idx="19">
                  <c:v>37012</c:v>
                </c:pt>
                <c:pt idx="20">
                  <c:v>37043</c:v>
                </c:pt>
                <c:pt idx="21">
                  <c:v>37073</c:v>
                </c:pt>
                <c:pt idx="22">
                  <c:v>37104</c:v>
                </c:pt>
                <c:pt idx="23">
                  <c:v>37135</c:v>
                </c:pt>
                <c:pt idx="24">
                  <c:v>37165</c:v>
                </c:pt>
                <c:pt idx="25">
                  <c:v>37196</c:v>
                </c:pt>
                <c:pt idx="26">
                  <c:v>37226</c:v>
                </c:pt>
                <c:pt idx="27">
                  <c:v>37257</c:v>
                </c:pt>
                <c:pt idx="28">
                  <c:v>37288</c:v>
                </c:pt>
                <c:pt idx="29">
                  <c:v>37316</c:v>
                </c:pt>
                <c:pt idx="30">
                  <c:v>37347</c:v>
                </c:pt>
                <c:pt idx="31">
                  <c:v>37377</c:v>
                </c:pt>
                <c:pt idx="32">
                  <c:v>37408</c:v>
                </c:pt>
                <c:pt idx="33">
                  <c:v>37438</c:v>
                </c:pt>
                <c:pt idx="34">
                  <c:v>37469</c:v>
                </c:pt>
                <c:pt idx="35">
                  <c:v>37500</c:v>
                </c:pt>
                <c:pt idx="36">
                  <c:v>37530</c:v>
                </c:pt>
                <c:pt idx="37">
                  <c:v>37561</c:v>
                </c:pt>
                <c:pt idx="38">
                  <c:v>37591</c:v>
                </c:pt>
                <c:pt idx="39">
                  <c:v>37622</c:v>
                </c:pt>
                <c:pt idx="40">
                  <c:v>37653</c:v>
                </c:pt>
                <c:pt idx="41">
                  <c:v>37681</c:v>
                </c:pt>
                <c:pt idx="42">
                  <c:v>37712</c:v>
                </c:pt>
                <c:pt idx="43">
                  <c:v>37742</c:v>
                </c:pt>
                <c:pt idx="44">
                  <c:v>37773</c:v>
                </c:pt>
                <c:pt idx="45">
                  <c:v>37803</c:v>
                </c:pt>
                <c:pt idx="46">
                  <c:v>37834</c:v>
                </c:pt>
                <c:pt idx="47">
                  <c:v>37865</c:v>
                </c:pt>
                <c:pt idx="48">
                  <c:v>37895</c:v>
                </c:pt>
                <c:pt idx="49">
                  <c:v>37926</c:v>
                </c:pt>
                <c:pt idx="50">
                  <c:v>37956</c:v>
                </c:pt>
                <c:pt idx="51">
                  <c:v>37987</c:v>
                </c:pt>
                <c:pt idx="52">
                  <c:v>38018</c:v>
                </c:pt>
                <c:pt idx="53">
                  <c:v>38047</c:v>
                </c:pt>
                <c:pt idx="54">
                  <c:v>38078</c:v>
                </c:pt>
                <c:pt idx="55">
                  <c:v>38108</c:v>
                </c:pt>
                <c:pt idx="56">
                  <c:v>38139</c:v>
                </c:pt>
                <c:pt idx="57">
                  <c:v>38169</c:v>
                </c:pt>
                <c:pt idx="58">
                  <c:v>38200</c:v>
                </c:pt>
                <c:pt idx="59">
                  <c:v>38231</c:v>
                </c:pt>
                <c:pt idx="60">
                  <c:v>38261</c:v>
                </c:pt>
                <c:pt idx="61">
                  <c:v>38292</c:v>
                </c:pt>
                <c:pt idx="62">
                  <c:v>38322</c:v>
                </c:pt>
                <c:pt idx="63">
                  <c:v>38353</c:v>
                </c:pt>
                <c:pt idx="64">
                  <c:v>38384</c:v>
                </c:pt>
                <c:pt idx="65">
                  <c:v>38412</c:v>
                </c:pt>
                <c:pt idx="66">
                  <c:v>38443</c:v>
                </c:pt>
                <c:pt idx="67">
                  <c:v>38473</c:v>
                </c:pt>
                <c:pt idx="68">
                  <c:v>38504</c:v>
                </c:pt>
                <c:pt idx="69">
                  <c:v>38534</c:v>
                </c:pt>
                <c:pt idx="70">
                  <c:v>38565</c:v>
                </c:pt>
                <c:pt idx="71">
                  <c:v>38596</c:v>
                </c:pt>
                <c:pt idx="72">
                  <c:v>38626</c:v>
                </c:pt>
                <c:pt idx="73">
                  <c:v>38657</c:v>
                </c:pt>
                <c:pt idx="74">
                  <c:v>38687</c:v>
                </c:pt>
                <c:pt idx="75">
                  <c:v>38718</c:v>
                </c:pt>
                <c:pt idx="76">
                  <c:v>38749</c:v>
                </c:pt>
                <c:pt idx="77">
                  <c:v>38777</c:v>
                </c:pt>
                <c:pt idx="78">
                  <c:v>38808</c:v>
                </c:pt>
                <c:pt idx="79">
                  <c:v>38838</c:v>
                </c:pt>
                <c:pt idx="80">
                  <c:v>38869</c:v>
                </c:pt>
                <c:pt idx="81">
                  <c:v>38899</c:v>
                </c:pt>
                <c:pt idx="82">
                  <c:v>38930</c:v>
                </c:pt>
                <c:pt idx="83">
                  <c:v>38961</c:v>
                </c:pt>
                <c:pt idx="84">
                  <c:v>38991</c:v>
                </c:pt>
                <c:pt idx="85">
                  <c:v>39022</c:v>
                </c:pt>
                <c:pt idx="86">
                  <c:v>39052</c:v>
                </c:pt>
                <c:pt idx="87">
                  <c:v>39083</c:v>
                </c:pt>
                <c:pt idx="88">
                  <c:v>39114</c:v>
                </c:pt>
                <c:pt idx="89">
                  <c:v>39142</c:v>
                </c:pt>
                <c:pt idx="90">
                  <c:v>39173</c:v>
                </c:pt>
                <c:pt idx="91">
                  <c:v>39203</c:v>
                </c:pt>
                <c:pt idx="92">
                  <c:v>39234</c:v>
                </c:pt>
                <c:pt idx="93">
                  <c:v>39264</c:v>
                </c:pt>
                <c:pt idx="94">
                  <c:v>39295</c:v>
                </c:pt>
                <c:pt idx="95">
                  <c:v>39326</c:v>
                </c:pt>
                <c:pt idx="96">
                  <c:v>39356</c:v>
                </c:pt>
                <c:pt idx="97">
                  <c:v>39387</c:v>
                </c:pt>
                <c:pt idx="98">
                  <c:v>39417</c:v>
                </c:pt>
                <c:pt idx="99">
                  <c:v>39448</c:v>
                </c:pt>
                <c:pt idx="100">
                  <c:v>39479</c:v>
                </c:pt>
                <c:pt idx="101">
                  <c:v>39508</c:v>
                </c:pt>
                <c:pt idx="102">
                  <c:v>39539</c:v>
                </c:pt>
                <c:pt idx="103">
                  <c:v>39569</c:v>
                </c:pt>
                <c:pt idx="104">
                  <c:v>39600</c:v>
                </c:pt>
                <c:pt idx="105">
                  <c:v>39630</c:v>
                </c:pt>
                <c:pt idx="106">
                  <c:v>39661</c:v>
                </c:pt>
                <c:pt idx="107">
                  <c:v>39692</c:v>
                </c:pt>
                <c:pt idx="108">
                  <c:v>39722</c:v>
                </c:pt>
                <c:pt idx="109">
                  <c:v>39753</c:v>
                </c:pt>
                <c:pt idx="110">
                  <c:v>39783</c:v>
                </c:pt>
                <c:pt idx="111">
                  <c:v>39814</c:v>
                </c:pt>
                <c:pt idx="112">
                  <c:v>39845</c:v>
                </c:pt>
                <c:pt idx="113">
                  <c:v>39873</c:v>
                </c:pt>
                <c:pt idx="114">
                  <c:v>39904</c:v>
                </c:pt>
                <c:pt idx="115">
                  <c:v>39934</c:v>
                </c:pt>
                <c:pt idx="116">
                  <c:v>39965</c:v>
                </c:pt>
                <c:pt idx="117">
                  <c:v>39995</c:v>
                </c:pt>
                <c:pt idx="118">
                  <c:v>40026</c:v>
                </c:pt>
                <c:pt idx="119">
                  <c:v>40057</c:v>
                </c:pt>
                <c:pt idx="120">
                  <c:v>40087</c:v>
                </c:pt>
                <c:pt idx="121">
                  <c:v>40118</c:v>
                </c:pt>
                <c:pt idx="122">
                  <c:v>40148</c:v>
                </c:pt>
                <c:pt idx="123">
                  <c:v>40179</c:v>
                </c:pt>
                <c:pt idx="124">
                  <c:v>40210</c:v>
                </c:pt>
                <c:pt idx="125">
                  <c:v>40238</c:v>
                </c:pt>
                <c:pt idx="126">
                  <c:v>40269</c:v>
                </c:pt>
                <c:pt idx="127">
                  <c:v>40299</c:v>
                </c:pt>
                <c:pt idx="128">
                  <c:v>40330</c:v>
                </c:pt>
                <c:pt idx="129">
                  <c:v>40360</c:v>
                </c:pt>
                <c:pt idx="130">
                  <c:v>40391</c:v>
                </c:pt>
                <c:pt idx="131">
                  <c:v>40422</c:v>
                </c:pt>
                <c:pt idx="132">
                  <c:v>40452</c:v>
                </c:pt>
                <c:pt idx="133">
                  <c:v>40483</c:v>
                </c:pt>
                <c:pt idx="134">
                  <c:v>40513</c:v>
                </c:pt>
                <c:pt idx="135">
                  <c:v>40544</c:v>
                </c:pt>
                <c:pt idx="136">
                  <c:v>40575</c:v>
                </c:pt>
                <c:pt idx="137">
                  <c:v>40603</c:v>
                </c:pt>
                <c:pt idx="138">
                  <c:v>40634</c:v>
                </c:pt>
                <c:pt idx="139">
                  <c:v>40664</c:v>
                </c:pt>
                <c:pt idx="140">
                  <c:v>40695</c:v>
                </c:pt>
                <c:pt idx="141">
                  <c:v>40725</c:v>
                </c:pt>
                <c:pt idx="142">
                  <c:v>40756</c:v>
                </c:pt>
                <c:pt idx="143">
                  <c:v>40787</c:v>
                </c:pt>
                <c:pt idx="144">
                  <c:v>40817</c:v>
                </c:pt>
                <c:pt idx="145">
                  <c:v>40848</c:v>
                </c:pt>
                <c:pt idx="146">
                  <c:v>40878</c:v>
                </c:pt>
                <c:pt idx="147">
                  <c:v>40909</c:v>
                </c:pt>
                <c:pt idx="148">
                  <c:v>40940</c:v>
                </c:pt>
                <c:pt idx="149">
                  <c:v>40969</c:v>
                </c:pt>
                <c:pt idx="150">
                  <c:v>41000</c:v>
                </c:pt>
                <c:pt idx="151">
                  <c:v>41030</c:v>
                </c:pt>
                <c:pt idx="152">
                  <c:v>41061</c:v>
                </c:pt>
                <c:pt idx="153">
                  <c:v>41091</c:v>
                </c:pt>
                <c:pt idx="154">
                  <c:v>41122</c:v>
                </c:pt>
                <c:pt idx="155">
                  <c:v>41153</c:v>
                </c:pt>
                <c:pt idx="156">
                  <c:v>41183</c:v>
                </c:pt>
                <c:pt idx="157">
                  <c:v>41214</c:v>
                </c:pt>
                <c:pt idx="158">
                  <c:v>41244</c:v>
                </c:pt>
                <c:pt idx="159">
                  <c:v>41275</c:v>
                </c:pt>
                <c:pt idx="160">
                  <c:v>41306</c:v>
                </c:pt>
                <c:pt idx="161">
                  <c:v>41334</c:v>
                </c:pt>
                <c:pt idx="162">
                  <c:v>41365</c:v>
                </c:pt>
                <c:pt idx="163">
                  <c:v>41395</c:v>
                </c:pt>
                <c:pt idx="164">
                  <c:v>41426</c:v>
                </c:pt>
                <c:pt idx="165">
                  <c:v>41456</c:v>
                </c:pt>
                <c:pt idx="166">
                  <c:v>41487</c:v>
                </c:pt>
                <c:pt idx="167">
                  <c:v>41518</c:v>
                </c:pt>
                <c:pt idx="168">
                  <c:v>41548</c:v>
                </c:pt>
                <c:pt idx="169">
                  <c:v>41579</c:v>
                </c:pt>
                <c:pt idx="170">
                  <c:v>41609</c:v>
                </c:pt>
                <c:pt idx="171">
                  <c:v>41640</c:v>
                </c:pt>
                <c:pt idx="172">
                  <c:v>41671</c:v>
                </c:pt>
                <c:pt idx="173">
                  <c:v>41699</c:v>
                </c:pt>
                <c:pt idx="174">
                  <c:v>41730</c:v>
                </c:pt>
                <c:pt idx="175">
                  <c:v>41760</c:v>
                </c:pt>
                <c:pt idx="176">
                  <c:v>41791</c:v>
                </c:pt>
                <c:pt idx="177">
                  <c:v>41821</c:v>
                </c:pt>
                <c:pt idx="178">
                  <c:v>41852</c:v>
                </c:pt>
                <c:pt idx="179">
                  <c:v>41883</c:v>
                </c:pt>
              </c:numCache>
            </c:numRef>
          </c:cat>
          <c:val>
            <c:numRef>
              <c:f>'REO-FC'!$F$3:$F$182</c:f>
              <c:numCache>
                <c:formatCode>0%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  <c:pt idx="5">
                  <c:v>0.125</c:v>
                </c:pt>
                <c:pt idx="6">
                  <c:v>0.36842105263157893</c:v>
                </c:pt>
                <c:pt idx="7">
                  <c:v>0.2</c:v>
                </c:pt>
                <c:pt idx="8">
                  <c:v>0.5</c:v>
                </c:pt>
                <c:pt idx="9">
                  <c:v>0.63157894736842102</c:v>
                </c:pt>
                <c:pt idx="10">
                  <c:v>0.55555555555555558</c:v>
                </c:pt>
                <c:pt idx="11">
                  <c:v>0.7142857142857143</c:v>
                </c:pt>
                <c:pt idx="12">
                  <c:v>0.66666666666666663</c:v>
                </c:pt>
                <c:pt idx="13">
                  <c:v>0.69230769230769229</c:v>
                </c:pt>
                <c:pt idx="14">
                  <c:v>0.65957446808510634</c:v>
                </c:pt>
                <c:pt idx="15">
                  <c:v>0.78333333333333333</c:v>
                </c:pt>
                <c:pt idx="16">
                  <c:v>0.63157894736842102</c:v>
                </c:pt>
                <c:pt idx="17">
                  <c:v>0.71818181818181814</c:v>
                </c:pt>
                <c:pt idx="18">
                  <c:v>0.73394495412844041</c:v>
                </c:pt>
                <c:pt idx="19">
                  <c:v>0.71666666666666667</c:v>
                </c:pt>
                <c:pt idx="20">
                  <c:v>0.7589285714285714</c:v>
                </c:pt>
                <c:pt idx="21">
                  <c:v>0.68181818181818177</c:v>
                </c:pt>
                <c:pt idx="22">
                  <c:v>0.74509803921568629</c:v>
                </c:pt>
                <c:pt idx="23">
                  <c:v>0.80419580419580416</c:v>
                </c:pt>
                <c:pt idx="24">
                  <c:v>0.70202020202020199</c:v>
                </c:pt>
                <c:pt idx="25">
                  <c:v>0.67934782608695654</c:v>
                </c:pt>
                <c:pt idx="26">
                  <c:v>0.77027027027027029</c:v>
                </c:pt>
                <c:pt idx="27">
                  <c:v>0.70707070707070707</c:v>
                </c:pt>
                <c:pt idx="28">
                  <c:v>0.6791666666666667</c:v>
                </c:pt>
                <c:pt idx="29">
                  <c:v>0.70833333333333337</c:v>
                </c:pt>
                <c:pt idx="30">
                  <c:v>0.69724770642201839</c:v>
                </c:pt>
                <c:pt idx="31">
                  <c:v>0.73428571428571432</c:v>
                </c:pt>
                <c:pt idx="32">
                  <c:v>0.74052478134110788</c:v>
                </c:pt>
                <c:pt idx="33">
                  <c:v>0.73816155988857934</c:v>
                </c:pt>
                <c:pt idx="34">
                  <c:v>0.75206611570247939</c:v>
                </c:pt>
                <c:pt idx="35">
                  <c:v>0.77915632754342434</c:v>
                </c:pt>
                <c:pt idx="36">
                  <c:v>0.78540772532188841</c:v>
                </c:pt>
                <c:pt idx="37">
                  <c:v>0.78556701030927834</c:v>
                </c:pt>
                <c:pt idx="38">
                  <c:v>0.79696394686907024</c:v>
                </c:pt>
                <c:pt idx="39">
                  <c:v>0.76693227091633465</c:v>
                </c:pt>
                <c:pt idx="40">
                  <c:v>0.77976190476190477</c:v>
                </c:pt>
                <c:pt idx="41">
                  <c:v>0.77720207253886009</c:v>
                </c:pt>
                <c:pt idx="42">
                  <c:v>0.78676470588235292</c:v>
                </c:pt>
                <c:pt idx="43">
                  <c:v>0.77127659574468088</c:v>
                </c:pt>
                <c:pt idx="44">
                  <c:v>0.79346210995542343</c:v>
                </c:pt>
                <c:pt idx="45">
                  <c:v>0.77883310719131615</c:v>
                </c:pt>
                <c:pt idx="46">
                  <c:v>0.79150066401062413</c:v>
                </c:pt>
                <c:pt idx="47">
                  <c:v>0.79713603818615753</c:v>
                </c:pt>
                <c:pt idx="48">
                  <c:v>0.80444444444444441</c:v>
                </c:pt>
                <c:pt idx="49">
                  <c:v>0.8226415094339623</c:v>
                </c:pt>
                <c:pt idx="50">
                  <c:v>0.83002207505518766</c:v>
                </c:pt>
                <c:pt idx="51">
                  <c:v>0.83009708737864074</c:v>
                </c:pt>
                <c:pt idx="52">
                  <c:v>0.79830917874396135</c:v>
                </c:pt>
                <c:pt idx="53">
                  <c:v>0.81418312387791747</c:v>
                </c:pt>
                <c:pt idx="54">
                  <c:v>0.8023143683702989</c:v>
                </c:pt>
                <c:pt idx="55">
                  <c:v>0.82456140350877194</c:v>
                </c:pt>
                <c:pt idx="56">
                  <c:v>0.80454096742349457</c:v>
                </c:pt>
                <c:pt idx="57">
                  <c:v>0.81027667984189722</c:v>
                </c:pt>
                <c:pt idx="58">
                  <c:v>0.81493506493506496</c:v>
                </c:pt>
                <c:pt idx="59">
                  <c:v>0.81749460043196542</c:v>
                </c:pt>
                <c:pt idx="60">
                  <c:v>0.81465968586387438</c:v>
                </c:pt>
                <c:pt idx="61">
                  <c:v>0.81359649122807021</c:v>
                </c:pt>
                <c:pt idx="62">
                  <c:v>0.86280487804878048</c:v>
                </c:pt>
                <c:pt idx="63">
                  <c:v>0.80716934487021008</c:v>
                </c:pt>
                <c:pt idx="64">
                  <c:v>0.82913472070098582</c:v>
                </c:pt>
                <c:pt idx="65">
                  <c:v>0.84818481848184824</c:v>
                </c:pt>
                <c:pt idx="66">
                  <c:v>0.83965844402277034</c:v>
                </c:pt>
                <c:pt idx="67">
                  <c:v>0.84003741814780164</c:v>
                </c:pt>
                <c:pt idx="68">
                  <c:v>0.84397810218978098</c:v>
                </c:pt>
                <c:pt idx="69">
                  <c:v>0.81748633879781418</c:v>
                </c:pt>
                <c:pt idx="70">
                  <c:v>0.82299084435401826</c:v>
                </c:pt>
                <c:pt idx="71">
                  <c:v>0.8376421923474664</c:v>
                </c:pt>
                <c:pt idx="72">
                  <c:v>0.83668903803131989</c:v>
                </c:pt>
                <c:pt idx="73">
                  <c:v>0.85163551401869164</c:v>
                </c:pt>
                <c:pt idx="74">
                  <c:v>0.81090909090909091</c:v>
                </c:pt>
                <c:pt idx="75">
                  <c:v>0.79554937413073712</c:v>
                </c:pt>
                <c:pt idx="76">
                  <c:v>0.83551847437425508</c:v>
                </c:pt>
                <c:pt idx="77">
                  <c:v>0.84630738522954096</c:v>
                </c:pt>
                <c:pt idx="78">
                  <c:v>0.80980861244019142</c:v>
                </c:pt>
                <c:pt idx="79">
                  <c:v>0.83716075156576197</c:v>
                </c:pt>
                <c:pt idx="80">
                  <c:v>0.82097457627118642</c:v>
                </c:pt>
                <c:pt idx="81">
                  <c:v>0.80602409638554218</c:v>
                </c:pt>
                <c:pt idx="82">
                  <c:v>0.83534577387486275</c:v>
                </c:pt>
                <c:pt idx="83">
                  <c:v>0.83012820512820518</c:v>
                </c:pt>
                <c:pt idx="84">
                  <c:v>0.82213930348258701</c:v>
                </c:pt>
                <c:pt idx="85">
                  <c:v>0.83030303030303032</c:v>
                </c:pt>
                <c:pt idx="86">
                  <c:v>0.84634760705289669</c:v>
                </c:pt>
                <c:pt idx="87">
                  <c:v>0.74639769452449567</c:v>
                </c:pt>
                <c:pt idx="88">
                  <c:v>0.80572851805728518</c:v>
                </c:pt>
                <c:pt idx="89">
                  <c:v>0.81581485053037606</c:v>
                </c:pt>
                <c:pt idx="90">
                  <c:v>0.81183932346723042</c:v>
                </c:pt>
                <c:pt idx="91">
                  <c:v>0.76106194690265483</c:v>
                </c:pt>
                <c:pt idx="92">
                  <c:v>0.80376940133037689</c:v>
                </c:pt>
                <c:pt idx="93">
                  <c:v>0.81028571428571428</c:v>
                </c:pt>
                <c:pt idx="94">
                  <c:v>0.7834008097165992</c:v>
                </c:pt>
                <c:pt idx="95">
                  <c:v>0.83687943262411346</c:v>
                </c:pt>
                <c:pt idx="96">
                  <c:v>0.81450777202072544</c:v>
                </c:pt>
                <c:pt idx="97">
                  <c:v>0.80326086956521736</c:v>
                </c:pt>
                <c:pt idx="98">
                  <c:v>0.84504331087584217</c:v>
                </c:pt>
                <c:pt idx="99">
                  <c:v>0.79882237487733077</c:v>
                </c:pt>
                <c:pt idx="100">
                  <c:v>0.80893536121673004</c:v>
                </c:pt>
                <c:pt idx="101">
                  <c:v>0.8166526492851135</c:v>
                </c:pt>
                <c:pt idx="102">
                  <c:v>0.77719033232628398</c:v>
                </c:pt>
                <c:pt idx="103">
                  <c:v>0.80577956989247312</c:v>
                </c:pt>
                <c:pt idx="104">
                  <c:v>0.82025486250838364</c:v>
                </c:pt>
                <c:pt idx="105">
                  <c:v>0.77555248618784534</c:v>
                </c:pt>
                <c:pt idx="106">
                  <c:v>0.76500968366688182</c:v>
                </c:pt>
                <c:pt idx="107">
                  <c:v>0.73333333333333328</c:v>
                </c:pt>
                <c:pt idx="108">
                  <c:v>0.73754896474538334</c:v>
                </c:pt>
                <c:pt idx="109">
                  <c:v>0.74524158125915085</c:v>
                </c:pt>
                <c:pt idx="110">
                  <c:v>0.8068893528183716</c:v>
                </c:pt>
                <c:pt idx="111">
                  <c:v>0.80167264038231778</c:v>
                </c:pt>
                <c:pt idx="112">
                  <c:v>0.75137020428500245</c:v>
                </c:pt>
                <c:pt idx="113">
                  <c:v>0.77544154751892347</c:v>
                </c:pt>
                <c:pt idx="114">
                  <c:v>0.71523178807947019</c:v>
                </c:pt>
                <c:pt idx="115">
                  <c:v>0.69018404907975461</c:v>
                </c:pt>
                <c:pt idx="116">
                  <c:v>0.68175853018372701</c:v>
                </c:pt>
                <c:pt idx="117">
                  <c:v>0.65206508135168961</c:v>
                </c:pt>
                <c:pt idx="118">
                  <c:v>0.64614366103939092</c:v>
                </c:pt>
                <c:pt idx="119">
                  <c:v>0.67448948491313621</c:v>
                </c:pt>
                <c:pt idx="120">
                  <c:v>0.67287573360551156</c:v>
                </c:pt>
                <c:pt idx="121">
                  <c:v>0.65553997194950908</c:v>
                </c:pt>
                <c:pt idx="122">
                  <c:v>0.67207250178869549</c:v>
                </c:pt>
                <c:pt idx="123">
                  <c:v>0.62153069806560135</c:v>
                </c:pt>
                <c:pt idx="124">
                  <c:v>0.63790916011164678</c:v>
                </c:pt>
                <c:pt idx="125">
                  <c:v>0.64524789690352602</c:v>
                </c:pt>
                <c:pt idx="126">
                  <c:v>0.63285474547827714</c:v>
                </c:pt>
                <c:pt idx="127">
                  <c:v>0.64969135802469136</c:v>
                </c:pt>
                <c:pt idx="128">
                  <c:v>0.56092470701557229</c:v>
                </c:pt>
                <c:pt idx="129">
                  <c:v>0.60270371761171615</c:v>
                </c:pt>
                <c:pt idx="130">
                  <c:v>0.60341880341880338</c:v>
                </c:pt>
                <c:pt idx="131">
                  <c:v>0.61800409900677911</c:v>
                </c:pt>
                <c:pt idx="132">
                  <c:v>0.62243228503908377</c:v>
                </c:pt>
                <c:pt idx="133">
                  <c:v>0.61324041811846686</c:v>
                </c:pt>
                <c:pt idx="134">
                  <c:v>0.66761067223133108</c:v>
                </c:pt>
                <c:pt idx="135">
                  <c:v>0.67951188182402056</c:v>
                </c:pt>
                <c:pt idx="136">
                  <c:v>0.69133226324237562</c:v>
                </c:pt>
                <c:pt idx="137">
                  <c:v>0.68017676767676771</c:v>
                </c:pt>
                <c:pt idx="138">
                  <c:v>0.62646684575144918</c:v>
                </c:pt>
                <c:pt idx="139">
                  <c:v>0.62784847588043802</c:v>
                </c:pt>
                <c:pt idx="140">
                  <c:v>0.6247240618101545</c:v>
                </c:pt>
                <c:pt idx="141">
                  <c:v>0.60431188199059815</c:v>
                </c:pt>
                <c:pt idx="142">
                  <c:v>0.59325366812887614</c:v>
                </c:pt>
                <c:pt idx="143">
                  <c:v>0.59068865179437435</c:v>
                </c:pt>
                <c:pt idx="144">
                  <c:v>0.58660270686996741</c:v>
                </c:pt>
                <c:pt idx="145">
                  <c:v>0.57894736842105265</c:v>
                </c:pt>
                <c:pt idx="146">
                  <c:v>0.57905279725282588</c:v>
                </c:pt>
                <c:pt idx="147">
                  <c:v>0.57906749266384083</c:v>
                </c:pt>
                <c:pt idx="148">
                  <c:v>0.58751835535976504</c:v>
                </c:pt>
                <c:pt idx="149">
                  <c:v>0.59418152567368276</c:v>
                </c:pt>
                <c:pt idx="150">
                  <c:v>0.57891022021456806</c:v>
                </c:pt>
                <c:pt idx="151">
                  <c:v>0.56937427127866302</c:v>
                </c:pt>
                <c:pt idx="152">
                  <c:v>0.54765405694425884</c:v>
                </c:pt>
                <c:pt idx="153">
                  <c:v>0.53209080717488788</c:v>
                </c:pt>
                <c:pt idx="154">
                  <c:v>0.52388903159517086</c:v>
                </c:pt>
                <c:pt idx="155">
                  <c:v>0.53339503316365877</c:v>
                </c:pt>
                <c:pt idx="156">
                  <c:v>0.5249690466364012</c:v>
                </c:pt>
                <c:pt idx="157">
                  <c:v>0.53244304791830321</c:v>
                </c:pt>
                <c:pt idx="158">
                  <c:v>0.52182706893645714</c:v>
                </c:pt>
                <c:pt idx="159">
                  <c:v>0.56431308155446092</c:v>
                </c:pt>
                <c:pt idx="160">
                  <c:v>0.55412876761191365</c:v>
                </c:pt>
                <c:pt idx="161">
                  <c:v>0.5742065961418793</c:v>
                </c:pt>
                <c:pt idx="162">
                  <c:v>0.59556370913942625</c:v>
                </c:pt>
                <c:pt idx="163">
                  <c:v>0.61215112321307008</c:v>
                </c:pt>
                <c:pt idx="164">
                  <c:v>0.61116610572163932</c:v>
                </c:pt>
                <c:pt idx="165">
                  <c:v>0.61686360905267379</c:v>
                </c:pt>
                <c:pt idx="166">
                  <c:v>0.64428541359713742</c:v>
                </c:pt>
                <c:pt idx="167">
                  <c:v>0.66486220472440949</c:v>
                </c:pt>
                <c:pt idx="168">
                  <c:v>0.68429713211095444</c:v>
                </c:pt>
                <c:pt idx="169">
                  <c:v>0.69925742574257421</c:v>
                </c:pt>
                <c:pt idx="170">
                  <c:v>0.72815764482431145</c:v>
                </c:pt>
                <c:pt idx="171">
                  <c:v>0.72807017543859653</c:v>
                </c:pt>
                <c:pt idx="172">
                  <c:v>0.74263307984790872</c:v>
                </c:pt>
                <c:pt idx="173">
                  <c:v>0.74729401369560411</c:v>
                </c:pt>
                <c:pt idx="174">
                  <c:v>0.73226595508116521</c:v>
                </c:pt>
                <c:pt idx="175">
                  <c:v>0.69467481449148838</c:v>
                </c:pt>
                <c:pt idx="176">
                  <c:v>0.65906446357924131</c:v>
                </c:pt>
                <c:pt idx="177">
                  <c:v>0.6493416493416494</c:v>
                </c:pt>
                <c:pt idx="178">
                  <c:v>0.49290780141843971</c:v>
                </c:pt>
                <c:pt idx="179">
                  <c:v>0.6497597437266418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34688"/>
        <c:axId val="407621632"/>
      </c:areaChart>
      <c:dateAx>
        <c:axId val="406034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7621632"/>
        <c:crosses val="autoZero"/>
        <c:auto val="1"/>
        <c:lblOffset val="100"/>
        <c:baseTimeUnit val="months"/>
      </c:dateAx>
      <c:valAx>
        <c:axId val="407621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060346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204786</xdr:colOff>
      <xdr:row>1</xdr:row>
      <xdr:rowOff>14286</xdr:rowOff>
    </xdr:from>
    <xdr:to>
      <xdr:col>14</xdr:col>
      <xdr:colOff>561975</xdr:colOff>
      <xdr:row>17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490536</xdr:colOff>
      <xdr:row>24</xdr:row>
      <xdr:rowOff>61912</xdr:rowOff>
    </xdr:from>
    <xdr:to>
      <xdr:col>19</xdr:col>
      <xdr:colOff>57149</xdr:colOff>
      <xdr:row>48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190499</xdr:colOff>
      <xdr:row>74</xdr:row>
      <xdr:rowOff>85724</xdr:rowOff>
    </xdr:from>
    <xdr:to>
      <xdr:col>18</xdr:col>
      <xdr:colOff>552449</xdr:colOff>
      <xdr:row>93</xdr:row>
      <xdr:rowOff>190499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309562</xdr:colOff>
      <xdr:row>49</xdr:row>
      <xdr:rowOff>100011</xdr:rowOff>
    </xdr:from>
    <xdr:to>
      <xdr:col>18</xdr:col>
      <xdr:colOff>762000</xdr:colOff>
      <xdr:row>72</xdr:row>
      <xdr:rowOff>123824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21</xdr:col>
      <xdr:colOff>190500</xdr:colOff>
      <xdr:row>29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500061</xdr:colOff>
      <xdr:row>33</xdr:row>
      <xdr:rowOff>176211</xdr:rowOff>
    </xdr:from>
    <xdr:to>
      <xdr:col>21</xdr:col>
      <xdr:colOff>219074</xdr:colOff>
      <xdr:row>54</xdr:row>
      <xdr:rowOff>123824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59</xdr:row>
      <xdr:rowOff>0</xdr:rowOff>
    </xdr:from>
    <xdr:to>
      <xdr:col>21</xdr:col>
      <xdr:colOff>190500</xdr:colOff>
      <xdr:row>81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404812</xdr:colOff>
      <xdr:row>2</xdr:row>
      <xdr:rowOff>157162</xdr:rowOff>
    </xdr:from>
    <xdr:to>
      <xdr:col>17</xdr:col>
      <xdr:colOff>304800</xdr:colOff>
      <xdr:row>17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195262</xdr:colOff>
      <xdr:row>20</xdr:row>
      <xdr:rowOff>128587</xdr:rowOff>
    </xdr:from>
    <xdr:to>
      <xdr:col>17</xdr:col>
      <xdr:colOff>209550</xdr:colOff>
      <xdr:row>35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280987</xdr:colOff>
      <xdr:row>37</xdr:row>
      <xdr:rowOff>71437</xdr:rowOff>
    </xdr:from>
    <xdr:to>
      <xdr:col>17</xdr:col>
      <xdr:colOff>200025</xdr:colOff>
      <xdr:row>51</xdr:row>
      <xdr:rowOff>147637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333374</xdr:colOff>
      <xdr:row>79</xdr:row>
      <xdr:rowOff>38100</xdr:rowOff>
    </xdr:from>
    <xdr:to>
      <xdr:col>16</xdr:col>
      <xdr:colOff>66675</xdr:colOff>
      <xdr:row>93</xdr:row>
      <xdr:rowOff>114300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352425</xdr:colOff>
      <xdr:row>56</xdr:row>
      <xdr:rowOff>104775</xdr:rowOff>
    </xdr:from>
    <xdr:to>
      <xdr:col>17</xdr:col>
      <xdr:colOff>219075</xdr:colOff>
      <xdr:row>70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3</xdr:row>
      <xdr:rowOff>0</xdr:rowOff>
    </xdr:from>
    <xdr:to>
      <xdr:col>32</xdr:col>
      <xdr:colOff>533400</xdr:colOff>
      <xdr:row>17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138111</xdr:colOff>
      <xdr:row>23</xdr:row>
      <xdr:rowOff>80962</xdr:rowOff>
    </xdr:from>
    <xdr:to>
      <xdr:col>32</xdr:col>
      <xdr:colOff>409574</xdr:colOff>
      <xdr:row>37</xdr:row>
      <xdr:rowOff>157162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iscountPct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DiscountPct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_2" connectionId="5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_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4.xml"/><Relationship Id="rId4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2"/>
  <sheetViews>
    <sheetView topLeftCell="A46" workbookViewId="0">
      <selection activeCell="R24" sqref="R24:T200"/>
    </sheetView>
  </sheetViews>
  <sheetFormatPr defaultRowHeight="15" x14ac:dyDescent="0.25"/>
  <cols>
    <col min="1" max="1" width="11.28515625" bestFit="1" customWidth="1"/>
    <col min="2" max="2" width="11.28515625" customWidth="1"/>
    <col min="3" max="3" width="5.42578125" customWidth="1"/>
    <col min="4" max="4" width="9" customWidth="1"/>
    <col min="19" max="19" width="11.5703125" customWidth="1"/>
    <col min="23" max="23" width="11.28515625" bestFit="1" customWidth="1"/>
  </cols>
  <sheetData>
    <row r="1" spans="1:3" x14ac:dyDescent="0.25">
      <c r="B1" t="s">
        <v>2</v>
      </c>
      <c r="C1" t="s">
        <v>3</v>
      </c>
    </row>
    <row r="2" spans="1:3" x14ac:dyDescent="0.25">
      <c r="A2">
        <v>2000</v>
      </c>
      <c r="B2">
        <v>54.812222222222204</v>
      </c>
      <c r="C2">
        <v>49.516692775079001</v>
      </c>
    </row>
    <row r="3" spans="1:3" x14ac:dyDescent="0.25">
      <c r="A3">
        <v>2001</v>
      </c>
      <c r="B3">
        <v>48.35</v>
      </c>
      <c r="C3">
        <v>50.461736055902001</v>
      </c>
    </row>
    <row r="4" spans="1:3" x14ac:dyDescent="0.25">
      <c r="A4">
        <v>2002</v>
      </c>
      <c r="B4">
        <v>50.973303167420802</v>
      </c>
      <c r="C4">
        <v>49.722432367615497</v>
      </c>
    </row>
    <row r="5" spans="1:3" x14ac:dyDescent="0.25">
      <c r="A5">
        <v>2003</v>
      </c>
      <c r="B5">
        <v>49.0919495412844</v>
      </c>
      <c r="C5">
        <v>48.905621276876701</v>
      </c>
    </row>
    <row r="6" spans="1:3" x14ac:dyDescent="0.25">
      <c r="A6">
        <v>2004</v>
      </c>
      <c r="B6">
        <v>48.450809443507602</v>
      </c>
      <c r="C6">
        <v>49.305088849873499</v>
      </c>
    </row>
    <row r="7" spans="1:3" x14ac:dyDescent="0.25">
      <c r="A7">
        <v>2005</v>
      </c>
      <c r="B7">
        <v>51.968390624999998</v>
      </c>
      <c r="C7">
        <v>47.126141327565399</v>
      </c>
    </row>
    <row r="8" spans="1:3" x14ac:dyDescent="0.25">
      <c r="A8">
        <v>2006</v>
      </c>
      <c r="B8">
        <v>51.773728489483801</v>
      </c>
      <c r="C8">
        <v>46.662978224426901</v>
      </c>
    </row>
    <row r="9" spans="1:3" x14ac:dyDescent="0.25">
      <c r="A9">
        <v>2007</v>
      </c>
      <c r="B9">
        <v>49.9790825688073</v>
      </c>
      <c r="C9">
        <v>47.789303626805399</v>
      </c>
    </row>
    <row r="10" spans="1:3" x14ac:dyDescent="0.25">
      <c r="A10">
        <v>2008</v>
      </c>
      <c r="B10">
        <v>49.665262054507302</v>
      </c>
      <c r="C10">
        <v>51.587412182563803</v>
      </c>
    </row>
    <row r="11" spans="1:3" x14ac:dyDescent="0.25">
      <c r="A11">
        <v>2009</v>
      </c>
      <c r="B11">
        <v>52.315883544303802</v>
      </c>
      <c r="C11">
        <v>55.9209274455689</v>
      </c>
    </row>
    <row r="12" spans="1:3" x14ac:dyDescent="0.25">
      <c r="A12">
        <v>2010</v>
      </c>
      <c r="B12">
        <v>52.822645285087702</v>
      </c>
      <c r="C12">
        <v>55.660774347735398</v>
      </c>
    </row>
    <row r="13" spans="1:3" x14ac:dyDescent="0.25">
      <c r="A13">
        <v>2011</v>
      </c>
      <c r="B13">
        <v>53.939908030506999</v>
      </c>
      <c r="C13">
        <v>56.025463643719</v>
      </c>
    </row>
    <row r="14" spans="1:3" x14ac:dyDescent="0.25">
      <c r="A14">
        <v>2012</v>
      </c>
      <c r="B14">
        <v>57.388536377213597</v>
      </c>
      <c r="C14">
        <v>55.509445254974302</v>
      </c>
    </row>
    <row r="15" spans="1:3" x14ac:dyDescent="0.25">
      <c r="A15">
        <v>2013</v>
      </c>
      <c r="B15">
        <v>57.0402198133092</v>
      </c>
      <c r="C15">
        <v>52.633982995827303</v>
      </c>
    </row>
    <row r="16" spans="1:3" x14ac:dyDescent="0.25">
      <c r="A16">
        <v>2014</v>
      </c>
      <c r="B16">
        <v>51.029180855959503</v>
      </c>
      <c r="C16">
        <v>51.725001606028997</v>
      </c>
    </row>
    <row r="23" spans="1:25" x14ac:dyDescent="0.25">
      <c r="A23" s="1"/>
      <c r="B23" t="s">
        <v>0</v>
      </c>
      <c r="C23" t="s">
        <v>1</v>
      </c>
    </row>
    <row r="24" spans="1:25" x14ac:dyDescent="0.25">
      <c r="A24" s="2">
        <v>36617</v>
      </c>
      <c r="B24">
        <v>0</v>
      </c>
      <c r="C24">
        <v>47.799770000000002</v>
      </c>
      <c r="S24" s="3"/>
      <c r="T24" t="s">
        <v>0</v>
      </c>
      <c r="U24" t="s">
        <v>1</v>
      </c>
      <c r="W24" s="3"/>
      <c r="X24" t="s">
        <v>0</v>
      </c>
      <c r="Y24" t="s">
        <v>1</v>
      </c>
    </row>
    <row r="25" spans="1:25" x14ac:dyDescent="0.25">
      <c r="A25" s="2">
        <v>36708</v>
      </c>
      <c r="B25">
        <v>32.380000000000003</v>
      </c>
      <c r="C25">
        <v>47.503309999999999</v>
      </c>
      <c r="S25" s="4">
        <v>36526</v>
      </c>
      <c r="T25">
        <v>70.144999999999996</v>
      </c>
      <c r="U25">
        <v>48.843490000000003</v>
      </c>
      <c r="W25" s="4">
        <v>36526</v>
      </c>
      <c r="X25">
        <v>70.144999999999996</v>
      </c>
      <c r="Y25">
        <v>50.960459999999998</v>
      </c>
    </row>
    <row r="26" spans="1:25" x14ac:dyDescent="0.25">
      <c r="A26" s="2">
        <v>36739</v>
      </c>
      <c r="B26">
        <v>69.040000000000006</v>
      </c>
      <c r="C26">
        <v>54.553220000000003</v>
      </c>
      <c r="S26" s="4">
        <v>36557</v>
      </c>
      <c r="T26">
        <v>70.540000000000006</v>
      </c>
      <c r="U26">
        <v>48.674219999999998</v>
      </c>
      <c r="W26" s="4">
        <v>36557</v>
      </c>
      <c r="X26">
        <v>70.540000000000006</v>
      </c>
      <c r="Y26">
        <v>49.691160000000004</v>
      </c>
    </row>
    <row r="27" spans="1:25" x14ac:dyDescent="0.25">
      <c r="A27" s="2">
        <v>36770</v>
      </c>
      <c r="B27">
        <v>51.36</v>
      </c>
      <c r="C27">
        <v>35.331699999999998</v>
      </c>
      <c r="S27" s="4">
        <v>36586</v>
      </c>
      <c r="T27">
        <v>68.650000000000006</v>
      </c>
      <c r="U27">
        <v>51.302610000000001</v>
      </c>
      <c r="W27" s="4">
        <v>36586</v>
      </c>
      <c r="X27">
        <v>68.650000000000006</v>
      </c>
      <c r="Y27">
        <v>53.196269999999998</v>
      </c>
    </row>
    <row r="28" spans="1:25" x14ac:dyDescent="0.25">
      <c r="A28" s="2">
        <v>36800</v>
      </c>
      <c r="B28">
        <v>77.900000000000006</v>
      </c>
      <c r="C28">
        <v>55.377339999999997</v>
      </c>
      <c r="S28" s="4">
        <v>36617</v>
      </c>
      <c r="T28">
        <v>60.743679999999998</v>
      </c>
      <c r="U28">
        <v>51.961289999999998</v>
      </c>
      <c r="W28" s="4">
        <v>36617</v>
      </c>
      <c r="X28">
        <v>60.743679999999998</v>
      </c>
      <c r="Y28">
        <v>53.122169999999997</v>
      </c>
    </row>
    <row r="29" spans="1:25" x14ac:dyDescent="0.25">
      <c r="A29" s="2">
        <v>36831</v>
      </c>
      <c r="B29">
        <v>49.84</v>
      </c>
      <c r="C29">
        <v>51.014299999999999</v>
      </c>
      <c r="S29" s="4">
        <v>36647</v>
      </c>
      <c r="T29">
        <v>67.331999999999994</v>
      </c>
      <c r="U29">
        <v>50.526870000000002</v>
      </c>
      <c r="W29" s="4">
        <v>36647</v>
      </c>
      <c r="X29">
        <v>67.331999999999994</v>
      </c>
      <c r="Y29">
        <v>52.210700000000003</v>
      </c>
    </row>
    <row r="30" spans="1:25" x14ac:dyDescent="0.25">
      <c r="A30" s="2">
        <v>36861</v>
      </c>
      <c r="B30">
        <v>83.53</v>
      </c>
      <c r="C30">
        <v>56.16892</v>
      </c>
      <c r="S30" s="4">
        <v>36678</v>
      </c>
      <c r="T30">
        <v>55.628329999999998</v>
      </c>
      <c r="U30">
        <v>47.971240000000002</v>
      </c>
      <c r="W30" s="4">
        <v>36678</v>
      </c>
      <c r="X30">
        <v>55.628329999999998</v>
      </c>
      <c r="Y30">
        <v>48.844540000000002</v>
      </c>
    </row>
    <row r="31" spans="1:25" x14ac:dyDescent="0.25">
      <c r="A31" s="2">
        <v>36892</v>
      </c>
      <c r="B31">
        <v>65.045000000000002</v>
      </c>
      <c r="C31">
        <v>46.574330000000003</v>
      </c>
      <c r="S31" s="4">
        <v>36708</v>
      </c>
      <c r="T31">
        <v>67.976839999999996</v>
      </c>
      <c r="U31">
        <v>52.717669999999998</v>
      </c>
      <c r="W31" s="4">
        <v>36708</v>
      </c>
      <c r="X31">
        <v>67.976839999999996</v>
      </c>
      <c r="Y31">
        <v>53.244070000000001</v>
      </c>
    </row>
    <row r="32" spans="1:25" x14ac:dyDescent="0.25">
      <c r="A32" s="2">
        <v>36923</v>
      </c>
      <c r="B32">
        <v>43.241669999999999</v>
      </c>
      <c r="C32">
        <v>55.517479999999999</v>
      </c>
      <c r="S32" s="4">
        <v>36739</v>
      </c>
      <c r="T32">
        <v>54.498570000000001</v>
      </c>
      <c r="U32">
        <v>53.413119999999999</v>
      </c>
      <c r="W32" s="4">
        <v>36739</v>
      </c>
      <c r="X32">
        <v>54.498570000000001</v>
      </c>
      <c r="Y32">
        <v>54.050620000000002</v>
      </c>
    </row>
    <row r="33" spans="1:25" x14ac:dyDescent="0.25">
      <c r="A33" s="2">
        <v>36951</v>
      </c>
      <c r="B33">
        <v>48.26</v>
      </c>
      <c r="C33">
        <v>50.76484</v>
      </c>
      <c r="S33" s="4">
        <v>36770</v>
      </c>
      <c r="T33">
        <v>56.598289999999999</v>
      </c>
      <c r="U33">
        <v>53.856459999999998</v>
      </c>
      <c r="W33" s="4">
        <v>36770</v>
      </c>
      <c r="X33">
        <v>56.598289999999999</v>
      </c>
      <c r="Y33">
        <v>54.08099</v>
      </c>
    </row>
    <row r="34" spans="1:25" x14ac:dyDescent="0.25">
      <c r="A34" s="2">
        <v>36982</v>
      </c>
      <c r="B34">
        <v>60.71</v>
      </c>
      <c r="C34">
        <v>46.87735</v>
      </c>
      <c r="S34" s="4">
        <v>36800</v>
      </c>
      <c r="T34">
        <v>52.733559999999997</v>
      </c>
      <c r="U34">
        <v>55.134650000000001</v>
      </c>
      <c r="W34" s="4">
        <v>36800</v>
      </c>
      <c r="X34">
        <v>52.733559999999997</v>
      </c>
      <c r="Y34">
        <v>55.426549999999999</v>
      </c>
    </row>
    <row r="35" spans="1:25" x14ac:dyDescent="0.25">
      <c r="A35" s="2">
        <v>37012</v>
      </c>
      <c r="B35">
        <v>28.836670000000002</v>
      </c>
      <c r="C35">
        <v>40.405410000000003</v>
      </c>
      <c r="S35" s="4">
        <v>36831</v>
      </c>
      <c r="T35">
        <v>58.51923</v>
      </c>
      <c r="U35">
        <v>53.52205</v>
      </c>
      <c r="W35" s="4">
        <v>36831</v>
      </c>
      <c r="X35">
        <v>58.51923</v>
      </c>
      <c r="Y35">
        <v>53.821919999999999</v>
      </c>
    </row>
    <row r="36" spans="1:25" x14ac:dyDescent="0.25">
      <c r="A36" s="2">
        <v>37043</v>
      </c>
      <c r="B36">
        <v>68.433999999999997</v>
      </c>
      <c r="C36">
        <v>58.200740000000003</v>
      </c>
      <c r="S36" s="4">
        <v>36861</v>
      </c>
      <c r="T36">
        <v>55.280430000000003</v>
      </c>
      <c r="U36">
        <v>51.521230000000003</v>
      </c>
      <c r="W36" s="4">
        <v>36861</v>
      </c>
      <c r="X36">
        <v>55.280430000000003</v>
      </c>
      <c r="Y36">
        <v>51.907150000000001</v>
      </c>
    </row>
    <row r="37" spans="1:25" x14ac:dyDescent="0.25">
      <c r="A37" s="2">
        <v>37073</v>
      </c>
      <c r="B37">
        <v>51.10125</v>
      </c>
      <c r="C37">
        <v>52.936430000000001</v>
      </c>
      <c r="S37" s="4">
        <v>36892</v>
      </c>
      <c r="T37">
        <v>46.566719999999997</v>
      </c>
      <c r="U37">
        <v>50.966410000000003</v>
      </c>
      <c r="W37" s="4">
        <v>36892</v>
      </c>
      <c r="X37">
        <v>46.566719999999997</v>
      </c>
      <c r="Y37">
        <v>51.04477</v>
      </c>
    </row>
    <row r="38" spans="1:25" x14ac:dyDescent="0.25">
      <c r="A38" s="2">
        <v>37104</v>
      </c>
      <c r="B38">
        <v>30.54889</v>
      </c>
      <c r="C38">
        <v>45.522190000000002</v>
      </c>
      <c r="S38" s="4">
        <v>36923</v>
      </c>
      <c r="T38">
        <v>57.664459999999998</v>
      </c>
      <c r="U38">
        <v>52.57094</v>
      </c>
      <c r="W38" s="4">
        <v>36923</v>
      </c>
      <c r="X38">
        <v>57.664459999999998</v>
      </c>
      <c r="Y38">
        <v>53.08428</v>
      </c>
    </row>
    <row r="39" spans="1:25" x14ac:dyDescent="0.25">
      <c r="A39" s="2">
        <v>37135</v>
      </c>
      <c r="B39">
        <v>31.728750000000002</v>
      </c>
      <c r="C39">
        <v>38.512360000000001</v>
      </c>
      <c r="S39" s="4">
        <v>36951</v>
      </c>
      <c r="T39">
        <v>59.10436</v>
      </c>
      <c r="U39">
        <v>52.111460000000001</v>
      </c>
      <c r="W39" s="4">
        <v>36951</v>
      </c>
      <c r="X39">
        <v>59.10436</v>
      </c>
      <c r="Y39">
        <v>52.428710000000002</v>
      </c>
    </row>
    <row r="40" spans="1:25" x14ac:dyDescent="0.25">
      <c r="A40" s="2">
        <v>37165</v>
      </c>
      <c r="B40">
        <v>53.648180000000004</v>
      </c>
      <c r="C40">
        <v>52.845300000000002</v>
      </c>
      <c r="S40" s="4">
        <v>36982</v>
      </c>
      <c r="T40">
        <v>56.511850000000003</v>
      </c>
      <c r="U40">
        <v>49.750230000000002</v>
      </c>
      <c r="W40" s="4">
        <v>36982</v>
      </c>
      <c r="X40">
        <v>56.511850000000003</v>
      </c>
      <c r="Y40">
        <v>50.024360000000001</v>
      </c>
    </row>
    <row r="41" spans="1:25" x14ac:dyDescent="0.25">
      <c r="A41" s="2">
        <v>37196</v>
      </c>
      <c r="B41">
        <v>49.338569999999997</v>
      </c>
      <c r="C41">
        <v>50.124130000000001</v>
      </c>
      <c r="S41" s="4">
        <v>37012</v>
      </c>
      <c r="T41">
        <v>53.7211</v>
      </c>
      <c r="U41">
        <v>52.157800000000002</v>
      </c>
      <c r="W41" s="4">
        <v>37012</v>
      </c>
      <c r="X41">
        <v>53.7211</v>
      </c>
      <c r="Y41">
        <v>52.46499</v>
      </c>
    </row>
    <row r="42" spans="1:25" x14ac:dyDescent="0.25">
      <c r="A42" s="2">
        <v>37226</v>
      </c>
      <c r="B42">
        <v>49.689230000000002</v>
      </c>
      <c r="C42">
        <v>47.552570000000003</v>
      </c>
      <c r="S42" s="4">
        <v>37043</v>
      </c>
      <c r="T42">
        <v>58.527659999999997</v>
      </c>
      <c r="U42">
        <v>50.83117</v>
      </c>
      <c r="W42" s="4">
        <v>37043</v>
      </c>
      <c r="X42">
        <v>58.527659999999997</v>
      </c>
      <c r="Y42">
        <v>51.054459999999999</v>
      </c>
    </row>
    <row r="43" spans="1:25" x14ac:dyDescent="0.25">
      <c r="A43" s="2">
        <v>37257</v>
      </c>
      <c r="B43">
        <v>51.25</v>
      </c>
      <c r="C43">
        <v>50.715089999999996</v>
      </c>
      <c r="S43" s="4">
        <v>37073</v>
      </c>
      <c r="T43">
        <v>57.761450000000004</v>
      </c>
      <c r="U43">
        <v>50.99982</v>
      </c>
      <c r="W43" s="4">
        <v>37073</v>
      </c>
      <c r="X43">
        <v>57.761450000000004</v>
      </c>
      <c r="Y43">
        <v>51.367089999999997</v>
      </c>
    </row>
    <row r="44" spans="1:25" x14ac:dyDescent="0.25">
      <c r="A44" s="2">
        <v>37288</v>
      </c>
      <c r="B44">
        <v>57.664999999999999</v>
      </c>
      <c r="C44">
        <v>50.436</v>
      </c>
      <c r="S44" s="4">
        <v>37104</v>
      </c>
      <c r="T44">
        <v>51.322519999999997</v>
      </c>
      <c r="U44">
        <v>50.191609999999997</v>
      </c>
      <c r="W44" s="4">
        <v>37104</v>
      </c>
      <c r="X44">
        <v>51.322519999999997</v>
      </c>
      <c r="Y44">
        <v>50.397210000000001</v>
      </c>
    </row>
    <row r="45" spans="1:25" x14ac:dyDescent="0.25">
      <c r="A45" s="2">
        <v>37316</v>
      </c>
      <c r="B45">
        <v>52.553330000000003</v>
      </c>
      <c r="C45">
        <v>48.105490000000003</v>
      </c>
      <c r="S45" s="4">
        <v>37135</v>
      </c>
      <c r="T45">
        <v>47.963709999999999</v>
      </c>
      <c r="U45">
        <v>48.287570000000002</v>
      </c>
      <c r="W45" s="4">
        <v>37135</v>
      </c>
      <c r="X45">
        <v>47.963709999999999</v>
      </c>
      <c r="Y45">
        <v>48.396659999999997</v>
      </c>
    </row>
    <row r="46" spans="1:25" x14ac:dyDescent="0.25">
      <c r="A46" s="2">
        <v>37347</v>
      </c>
      <c r="B46">
        <v>46.73583</v>
      </c>
      <c r="C46">
        <v>49.091650000000001</v>
      </c>
      <c r="S46" s="4">
        <v>37165</v>
      </c>
      <c r="T46">
        <v>50.188879999999997</v>
      </c>
      <c r="U46">
        <v>50.030230000000003</v>
      </c>
      <c r="W46" s="4">
        <v>37165</v>
      </c>
      <c r="X46">
        <v>50.188879999999997</v>
      </c>
      <c r="Y46">
        <v>50.361240000000002</v>
      </c>
    </row>
    <row r="47" spans="1:25" x14ac:dyDescent="0.25">
      <c r="A47" s="2">
        <v>37377</v>
      </c>
      <c r="B47">
        <v>58.533639999999998</v>
      </c>
      <c r="C47">
        <v>47.906829999999999</v>
      </c>
      <c r="S47" s="4">
        <v>37196</v>
      </c>
      <c r="T47">
        <v>53.714509999999997</v>
      </c>
      <c r="U47">
        <v>49.171950000000002</v>
      </c>
      <c r="W47" s="4">
        <v>37196</v>
      </c>
      <c r="X47">
        <v>53.714509999999997</v>
      </c>
      <c r="Y47">
        <v>49.633009999999999</v>
      </c>
    </row>
    <row r="48" spans="1:25" x14ac:dyDescent="0.25">
      <c r="A48" s="2">
        <v>37408</v>
      </c>
      <c r="B48">
        <v>64.736869999999996</v>
      </c>
      <c r="C48">
        <v>47.339489999999998</v>
      </c>
      <c r="S48" s="4">
        <v>37226</v>
      </c>
      <c r="T48">
        <v>53.560859999999998</v>
      </c>
      <c r="U48">
        <v>50.968600000000002</v>
      </c>
      <c r="W48" s="4">
        <v>37226</v>
      </c>
      <c r="X48">
        <v>53.560859999999998</v>
      </c>
      <c r="Y48">
        <v>51.167099999999998</v>
      </c>
    </row>
    <row r="49" spans="1:25" x14ac:dyDescent="0.25">
      <c r="A49" s="2">
        <v>37438</v>
      </c>
      <c r="B49">
        <v>49.314779999999999</v>
      </c>
      <c r="C49">
        <v>46.593249999999998</v>
      </c>
      <c r="S49" s="4">
        <v>37257</v>
      </c>
      <c r="T49">
        <v>57.439340000000001</v>
      </c>
      <c r="U49">
        <v>50.215440000000001</v>
      </c>
      <c r="W49" s="4">
        <v>37257</v>
      </c>
      <c r="X49">
        <v>57.439340000000001</v>
      </c>
      <c r="Y49">
        <v>50.572490000000002</v>
      </c>
    </row>
    <row r="50" spans="1:25" x14ac:dyDescent="0.25">
      <c r="A50" s="2">
        <v>37469</v>
      </c>
      <c r="B50">
        <v>50.488819999999997</v>
      </c>
      <c r="C50">
        <v>45.417610000000003</v>
      </c>
      <c r="S50" s="4">
        <v>37288</v>
      </c>
      <c r="T50">
        <v>58.131259999999997</v>
      </c>
      <c r="U50">
        <v>50.171950000000002</v>
      </c>
      <c r="W50" s="4">
        <v>37288</v>
      </c>
      <c r="X50">
        <v>58.131259999999997</v>
      </c>
      <c r="Y50">
        <v>50.632750000000001</v>
      </c>
    </row>
    <row r="51" spans="1:25" x14ac:dyDescent="0.25">
      <c r="A51" s="2">
        <v>37500</v>
      </c>
      <c r="B51">
        <v>57.817999999999998</v>
      </c>
      <c r="C51">
        <v>49.150080000000003</v>
      </c>
      <c r="S51" s="4">
        <v>37316</v>
      </c>
      <c r="T51">
        <v>58.3249</v>
      </c>
      <c r="U51">
        <v>51.089309999999998</v>
      </c>
      <c r="W51" s="4">
        <v>37316</v>
      </c>
      <c r="X51">
        <v>58.3249</v>
      </c>
      <c r="Y51">
        <v>51.43441</v>
      </c>
    </row>
    <row r="52" spans="1:25" x14ac:dyDescent="0.25">
      <c r="A52" s="2">
        <v>37530</v>
      </c>
      <c r="B52">
        <v>43.483910000000002</v>
      </c>
      <c r="C52">
        <v>50.456159999999997</v>
      </c>
      <c r="S52" s="4">
        <v>37347</v>
      </c>
      <c r="T52">
        <v>56.858310000000003</v>
      </c>
      <c r="U52">
        <v>51.054389999999998</v>
      </c>
      <c r="W52" s="4">
        <v>37347</v>
      </c>
      <c r="X52">
        <v>56.858310000000003</v>
      </c>
      <c r="Y52">
        <v>51.413080000000001</v>
      </c>
    </row>
    <row r="53" spans="1:25" x14ac:dyDescent="0.25">
      <c r="A53" s="2">
        <v>37561</v>
      </c>
      <c r="B53">
        <v>45.187309999999997</v>
      </c>
      <c r="C53">
        <v>46.361519999999999</v>
      </c>
      <c r="S53" s="4">
        <v>37377</v>
      </c>
      <c r="T53">
        <v>58.741889999999998</v>
      </c>
      <c r="U53">
        <v>50.344140000000003</v>
      </c>
      <c r="W53" s="4">
        <v>37377</v>
      </c>
      <c r="X53">
        <v>58.741889999999998</v>
      </c>
      <c r="Y53">
        <v>50.650829999999999</v>
      </c>
    </row>
    <row r="54" spans="1:25" x14ac:dyDescent="0.25">
      <c r="A54" s="2">
        <v>37591</v>
      </c>
      <c r="B54">
        <v>49.195</v>
      </c>
      <c r="C54">
        <v>48.223599999999998</v>
      </c>
      <c r="S54" s="4">
        <v>37408</v>
      </c>
      <c r="T54">
        <v>56.436239999999998</v>
      </c>
      <c r="U54">
        <v>50.37679</v>
      </c>
      <c r="W54" s="4">
        <v>37408</v>
      </c>
      <c r="X54">
        <v>56.436239999999998</v>
      </c>
      <c r="Y54">
        <v>50.639009999999999</v>
      </c>
    </row>
    <row r="55" spans="1:25" x14ac:dyDescent="0.25">
      <c r="A55" s="2">
        <v>37622</v>
      </c>
      <c r="B55">
        <v>42.428890000000003</v>
      </c>
      <c r="C55">
        <v>46.908369999999998</v>
      </c>
      <c r="S55" s="4">
        <v>37438</v>
      </c>
      <c r="T55">
        <v>56.462350000000001</v>
      </c>
      <c r="U55">
        <v>50.143450000000001</v>
      </c>
      <c r="W55" s="4">
        <v>37438</v>
      </c>
      <c r="X55">
        <v>56.462350000000001</v>
      </c>
      <c r="Y55">
        <v>50.475200000000001</v>
      </c>
    </row>
    <row r="56" spans="1:25" x14ac:dyDescent="0.25">
      <c r="A56" s="2">
        <v>37653</v>
      </c>
      <c r="B56">
        <v>59.917409999999997</v>
      </c>
      <c r="C56">
        <v>48.509010000000004</v>
      </c>
      <c r="S56" s="4">
        <v>37469</v>
      </c>
      <c r="T56">
        <v>53.862670000000001</v>
      </c>
      <c r="U56">
        <v>49.140909999999998</v>
      </c>
      <c r="W56" s="4">
        <v>37469</v>
      </c>
      <c r="X56">
        <v>53.862670000000001</v>
      </c>
      <c r="Y56">
        <v>49.436590000000002</v>
      </c>
    </row>
    <row r="57" spans="1:25" x14ac:dyDescent="0.25">
      <c r="A57" s="2">
        <v>37681</v>
      </c>
      <c r="B57">
        <v>52.364350000000002</v>
      </c>
      <c r="C57">
        <v>47.072499999999998</v>
      </c>
      <c r="S57" s="4">
        <v>37500</v>
      </c>
      <c r="T57">
        <v>54.45581</v>
      </c>
      <c r="U57">
        <v>49.153199999999998</v>
      </c>
      <c r="W57" s="4">
        <v>37500</v>
      </c>
      <c r="X57">
        <v>54.45581</v>
      </c>
      <c r="Y57">
        <v>49.370229999999999</v>
      </c>
    </row>
    <row r="58" spans="1:25" x14ac:dyDescent="0.25">
      <c r="A58" s="2">
        <v>37712</v>
      </c>
      <c r="B58">
        <v>46.185130000000001</v>
      </c>
      <c r="C58">
        <v>46.589700000000001</v>
      </c>
      <c r="S58" s="4">
        <v>37530</v>
      </c>
      <c r="T58">
        <v>55.622660000000003</v>
      </c>
      <c r="U58">
        <v>49.515830000000001</v>
      </c>
      <c r="W58" s="4">
        <v>37530</v>
      </c>
      <c r="X58">
        <v>55.622660000000003</v>
      </c>
      <c r="Y58">
        <v>49.701590000000003</v>
      </c>
    </row>
    <row r="59" spans="1:25" x14ac:dyDescent="0.25">
      <c r="A59" s="2">
        <v>37742</v>
      </c>
      <c r="B59">
        <v>44.519820000000003</v>
      </c>
      <c r="C59">
        <v>48.184980000000003</v>
      </c>
      <c r="S59" s="4">
        <v>37561</v>
      </c>
      <c r="T59">
        <v>50.239379999999997</v>
      </c>
      <c r="U59">
        <v>49.784779999999998</v>
      </c>
      <c r="W59" s="4">
        <v>37561</v>
      </c>
      <c r="X59">
        <v>50.239379999999997</v>
      </c>
      <c r="Y59">
        <v>49.962269999999997</v>
      </c>
    </row>
    <row r="60" spans="1:25" x14ac:dyDescent="0.25">
      <c r="A60" s="2">
        <v>37773</v>
      </c>
      <c r="B60">
        <v>48.959119999999999</v>
      </c>
      <c r="C60">
        <v>46.584029999999998</v>
      </c>
      <c r="S60" s="4">
        <v>37591</v>
      </c>
      <c r="T60">
        <v>53.115589999999997</v>
      </c>
      <c r="U60">
        <v>49.692810000000001</v>
      </c>
      <c r="W60" s="4">
        <v>37591</v>
      </c>
      <c r="X60">
        <v>53.115589999999997</v>
      </c>
      <c r="Y60">
        <v>49.834310000000002</v>
      </c>
    </row>
    <row r="61" spans="1:25" x14ac:dyDescent="0.25">
      <c r="A61" s="2">
        <v>37803</v>
      </c>
      <c r="B61">
        <v>54.040939999999999</v>
      </c>
      <c r="C61">
        <v>45.73995</v>
      </c>
      <c r="S61" s="4">
        <v>37622</v>
      </c>
      <c r="T61">
        <v>54.03125</v>
      </c>
      <c r="U61">
        <v>49.409190000000002</v>
      </c>
      <c r="W61" s="4">
        <v>37622</v>
      </c>
      <c r="X61">
        <v>54.03125</v>
      </c>
      <c r="Y61">
        <v>49.633180000000003</v>
      </c>
    </row>
    <row r="62" spans="1:25" x14ac:dyDescent="0.25">
      <c r="A62" s="2">
        <v>37834</v>
      </c>
      <c r="B62">
        <v>57.668819999999997</v>
      </c>
      <c r="C62">
        <v>48.902819999999998</v>
      </c>
      <c r="S62" s="4">
        <v>37653</v>
      </c>
      <c r="T62">
        <v>54.953240000000001</v>
      </c>
      <c r="U62">
        <v>49.627310000000001</v>
      </c>
      <c r="W62" s="4">
        <v>37653</v>
      </c>
      <c r="X62">
        <v>54.953240000000001</v>
      </c>
      <c r="Y62">
        <v>49.819279999999999</v>
      </c>
    </row>
    <row r="63" spans="1:25" x14ac:dyDescent="0.25">
      <c r="A63" s="2">
        <v>37865</v>
      </c>
      <c r="B63">
        <v>45.013500000000001</v>
      </c>
      <c r="C63">
        <v>47.296140000000001</v>
      </c>
      <c r="S63" s="4">
        <v>37681</v>
      </c>
      <c r="T63">
        <v>55.743630000000003</v>
      </c>
      <c r="U63">
        <v>49.497050000000002</v>
      </c>
      <c r="W63" s="4">
        <v>37681</v>
      </c>
      <c r="X63">
        <v>55.743630000000003</v>
      </c>
      <c r="Y63">
        <v>49.689250000000001</v>
      </c>
    </row>
    <row r="64" spans="1:25" x14ac:dyDescent="0.25">
      <c r="A64" s="2">
        <v>37895</v>
      </c>
      <c r="B64">
        <v>52.283659999999998</v>
      </c>
      <c r="C64">
        <v>48.412999999999997</v>
      </c>
      <c r="S64" s="4">
        <v>37712</v>
      </c>
      <c r="T64">
        <v>52.009390000000003</v>
      </c>
      <c r="U64">
        <v>49.179859999999998</v>
      </c>
      <c r="W64" s="4">
        <v>37712</v>
      </c>
      <c r="X64">
        <v>52.009390000000003</v>
      </c>
      <c r="Y64">
        <v>49.353589999999997</v>
      </c>
    </row>
    <row r="65" spans="1:25" x14ac:dyDescent="0.25">
      <c r="A65" s="2">
        <v>37926</v>
      </c>
      <c r="B65">
        <v>44.176299999999998</v>
      </c>
      <c r="C65">
        <v>46.388339999999999</v>
      </c>
      <c r="S65" s="4">
        <v>37742</v>
      </c>
      <c r="T65">
        <v>50.604320000000001</v>
      </c>
      <c r="U65">
        <v>49.741799999999998</v>
      </c>
      <c r="W65" s="4">
        <v>37742</v>
      </c>
      <c r="X65">
        <v>50.604320000000001</v>
      </c>
      <c r="Y65">
        <v>49.929209999999998</v>
      </c>
    </row>
    <row r="66" spans="1:25" x14ac:dyDescent="0.25">
      <c r="A66" s="2">
        <v>37956</v>
      </c>
      <c r="B66">
        <v>46.061329999999998</v>
      </c>
      <c r="C66">
        <v>47.60765</v>
      </c>
      <c r="S66" s="4">
        <v>37773</v>
      </c>
      <c r="T66">
        <v>53.191029999999998</v>
      </c>
      <c r="U66">
        <v>49.301360000000003</v>
      </c>
      <c r="W66" s="4">
        <v>37773</v>
      </c>
      <c r="X66">
        <v>53.191029999999998</v>
      </c>
      <c r="Y66">
        <v>49.452599999999997</v>
      </c>
    </row>
    <row r="67" spans="1:25" x14ac:dyDescent="0.25">
      <c r="A67" s="2">
        <v>37987</v>
      </c>
      <c r="B67">
        <v>54.056220000000003</v>
      </c>
      <c r="C67">
        <v>47.965699999999998</v>
      </c>
      <c r="S67" s="4">
        <v>37803</v>
      </c>
      <c r="T67">
        <v>54.698709999999998</v>
      </c>
      <c r="U67">
        <v>49.693820000000002</v>
      </c>
      <c r="W67" s="4">
        <v>37803</v>
      </c>
      <c r="X67">
        <v>54.698709999999998</v>
      </c>
      <c r="Y67">
        <v>49.841030000000003</v>
      </c>
    </row>
    <row r="68" spans="1:25" x14ac:dyDescent="0.25">
      <c r="A68" s="2">
        <v>38018</v>
      </c>
      <c r="B68">
        <v>42.064999999999998</v>
      </c>
      <c r="C68">
        <v>48.199550000000002</v>
      </c>
      <c r="S68" s="4">
        <v>37834</v>
      </c>
      <c r="T68">
        <v>55.916319999999999</v>
      </c>
      <c r="U68">
        <v>49.490720000000003</v>
      </c>
      <c r="W68" s="4">
        <v>37834</v>
      </c>
      <c r="X68">
        <v>55.916319999999999</v>
      </c>
      <c r="Y68">
        <v>49.634880000000003</v>
      </c>
    </row>
    <row r="69" spans="1:25" x14ac:dyDescent="0.25">
      <c r="A69" s="2">
        <v>38047</v>
      </c>
      <c r="B69">
        <v>45.748750000000001</v>
      </c>
      <c r="C69">
        <v>48.058190000000003</v>
      </c>
      <c r="S69" s="4">
        <v>37865</v>
      </c>
      <c r="T69">
        <v>51.463720000000002</v>
      </c>
      <c r="U69">
        <v>48.830779999999997</v>
      </c>
      <c r="W69" s="4">
        <v>37865</v>
      </c>
      <c r="X69">
        <v>51.463720000000002</v>
      </c>
      <c r="Y69">
        <v>48.982619999999997</v>
      </c>
    </row>
    <row r="70" spans="1:25" x14ac:dyDescent="0.25">
      <c r="A70" s="2">
        <v>38078</v>
      </c>
      <c r="B70">
        <v>45.58419</v>
      </c>
      <c r="C70">
        <v>45.962519999999998</v>
      </c>
      <c r="S70" s="4">
        <v>37895</v>
      </c>
      <c r="T70">
        <v>52.938220000000001</v>
      </c>
      <c r="U70">
        <v>49.172490000000003</v>
      </c>
      <c r="W70" s="4">
        <v>37895</v>
      </c>
      <c r="X70">
        <v>52.938220000000001</v>
      </c>
      <c r="Y70">
        <v>49.293239999999997</v>
      </c>
    </row>
    <row r="71" spans="1:25" x14ac:dyDescent="0.25">
      <c r="A71" s="2">
        <v>38108</v>
      </c>
      <c r="B71">
        <v>51.647289999999998</v>
      </c>
      <c r="C71">
        <v>48.714599999999997</v>
      </c>
      <c r="S71" s="4">
        <v>37926</v>
      </c>
      <c r="T71">
        <v>51.578420000000001</v>
      </c>
      <c r="U71">
        <v>48.546689999999998</v>
      </c>
      <c r="W71" s="4">
        <v>37926</v>
      </c>
      <c r="X71">
        <v>51.578420000000001</v>
      </c>
      <c r="Y71">
        <v>48.645510000000002</v>
      </c>
    </row>
    <row r="72" spans="1:25" x14ac:dyDescent="0.25">
      <c r="A72" s="2">
        <v>38139</v>
      </c>
      <c r="B72">
        <v>51.805689999999998</v>
      </c>
      <c r="C72">
        <v>48.199399999999997</v>
      </c>
      <c r="S72" s="4">
        <v>37956</v>
      </c>
      <c r="T72">
        <v>48.585430000000002</v>
      </c>
      <c r="U72">
        <v>49.027189999999997</v>
      </c>
      <c r="W72" s="4">
        <v>37956</v>
      </c>
      <c r="X72">
        <v>48.585430000000002</v>
      </c>
      <c r="Y72">
        <v>49.067</v>
      </c>
    </row>
    <row r="73" spans="1:25" x14ac:dyDescent="0.25">
      <c r="A73" s="2">
        <v>38169</v>
      </c>
      <c r="B73">
        <v>52.953679999999999</v>
      </c>
      <c r="C73">
        <v>48.763579999999997</v>
      </c>
      <c r="S73" s="4">
        <v>37987</v>
      </c>
      <c r="T73">
        <v>45.058570000000003</v>
      </c>
      <c r="U73">
        <v>48.162300000000002</v>
      </c>
      <c r="W73" s="4">
        <v>37987</v>
      </c>
      <c r="X73">
        <v>45.058570000000003</v>
      </c>
      <c r="Y73">
        <v>48.23124</v>
      </c>
    </row>
    <row r="74" spans="1:25" x14ac:dyDescent="0.25">
      <c r="A74" s="2">
        <v>38200</v>
      </c>
      <c r="B74">
        <v>45.968110000000003</v>
      </c>
      <c r="C74">
        <v>46.107509999999998</v>
      </c>
      <c r="S74" s="4">
        <v>38018</v>
      </c>
      <c r="T74">
        <v>48.686450000000001</v>
      </c>
      <c r="U74">
        <v>48.620510000000003</v>
      </c>
      <c r="W74" s="4">
        <v>38018</v>
      </c>
      <c r="X74">
        <v>48.686450000000001</v>
      </c>
      <c r="Y74">
        <v>48.750610000000002</v>
      </c>
    </row>
    <row r="75" spans="1:25" x14ac:dyDescent="0.25">
      <c r="A75" s="2">
        <v>38231</v>
      </c>
      <c r="B75">
        <v>44.305329999999998</v>
      </c>
      <c r="C75">
        <v>45.386330000000001</v>
      </c>
      <c r="S75" s="4">
        <v>38047</v>
      </c>
      <c r="T75">
        <v>45.359929999999999</v>
      </c>
      <c r="U75">
        <v>48.418619999999997</v>
      </c>
      <c r="W75" s="4">
        <v>38047</v>
      </c>
      <c r="X75">
        <v>45.359929999999999</v>
      </c>
      <c r="Y75">
        <v>48.511060000000001</v>
      </c>
    </row>
    <row r="76" spans="1:25" x14ac:dyDescent="0.25">
      <c r="A76" s="2">
        <v>38261</v>
      </c>
      <c r="B76">
        <v>38.461570000000002</v>
      </c>
      <c r="C76">
        <v>47.60257</v>
      </c>
      <c r="S76" s="4">
        <v>38078</v>
      </c>
      <c r="T76">
        <v>51.076070000000001</v>
      </c>
      <c r="U76">
        <v>48.242400000000004</v>
      </c>
      <c r="W76" s="4">
        <v>38078</v>
      </c>
      <c r="X76">
        <v>51.076070000000001</v>
      </c>
      <c r="Y76">
        <v>48.370049999999999</v>
      </c>
    </row>
    <row r="77" spans="1:25" x14ac:dyDescent="0.25">
      <c r="A77" s="2">
        <v>38292</v>
      </c>
      <c r="B77">
        <v>48.784799999999997</v>
      </c>
      <c r="C77">
        <v>48.291699999999999</v>
      </c>
      <c r="S77" s="4">
        <v>38108</v>
      </c>
      <c r="T77">
        <v>52.900060000000003</v>
      </c>
      <c r="U77">
        <v>48.585259999999998</v>
      </c>
      <c r="W77" s="4">
        <v>38108</v>
      </c>
      <c r="X77">
        <v>52.900060000000003</v>
      </c>
      <c r="Y77">
        <v>48.653309999999998</v>
      </c>
    </row>
    <row r="78" spans="1:25" x14ac:dyDescent="0.25">
      <c r="A78" s="2">
        <v>38322</v>
      </c>
      <c r="B78">
        <v>55.765999999999998</v>
      </c>
      <c r="C78">
        <v>47.378459999999997</v>
      </c>
      <c r="S78" s="4">
        <v>38139</v>
      </c>
      <c r="T78">
        <v>51.523589999999999</v>
      </c>
      <c r="U78">
        <v>48.458770000000001</v>
      </c>
      <c r="W78" s="4">
        <v>38139</v>
      </c>
      <c r="X78">
        <v>51.523589999999999</v>
      </c>
      <c r="Y78">
        <v>48.572130000000001</v>
      </c>
    </row>
    <row r="79" spans="1:25" x14ac:dyDescent="0.25">
      <c r="A79" s="2">
        <v>38353</v>
      </c>
      <c r="B79">
        <v>53.828499999999998</v>
      </c>
      <c r="C79">
        <v>44.735950000000003</v>
      </c>
      <c r="S79" s="4">
        <v>38169</v>
      </c>
      <c r="T79">
        <v>53.51867</v>
      </c>
      <c r="U79">
        <v>48.603949999999998</v>
      </c>
      <c r="W79" s="4">
        <v>38169</v>
      </c>
      <c r="X79">
        <v>53.51867</v>
      </c>
      <c r="Y79">
        <v>48.692039999999999</v>
      </c>
    </row>
    <row r="80" spans="1:25" x14ac:dyDescent="0.25">
      <c r="A80" s="2">
        <v>38384</v>
      </c>
      <c r="B80">
        <v>51.305489999999999</v>
      </c>
      <c r="C80">
        <v>45.565890000000003</v>
      </c>
      <c r="S80" s="4">
        <v>38200</v>
      </c>
      <c r="T80">
        <v>50.458449999999999</v>
      </c>
      <c r="U80">
        <v>48.12921</v>
      </c>
      <c r="W80" s="4">
        <v>38200</v>
      </c>
      <c r="X80">
        <v>50.458449999999999</v>
      </c>
      <c r="Y80">
        <v>48.2273</v>
      </c>
    </row>
    <row r="81" spans="1:25" x14ac:dyDescent="0.25">
      <c r="A81" s="2">
        <v>38412</v>
      </c>
      <c r="B81">
        <v>49.108730000000001</v>
      </c>
      <c r="C81">
        <v>46.7166</v>
      </c>
      <c r="S81" s="4">
        <v>38231</v>
      </c>
      <c r="T81">
        <v>50.965440000000001</v>
      </c>
      <c r="U81">
        <v>47.912109999999998</v>
      </c>
      <c r="W81" s="4">
        <v>38231</v>
      </c>
      <c r="X81">
        <v>50.965440000000001</v>
      </c>
      <c r="Y81">
        <v>48.008830000000003</v>
      </c>
    </row>
    <row r="82" spans="1:25" x14ac:dyDescent="0.25">
      <c r="A82" s="2">
        <v>38443</v>
      </c>
      <c r="B82">
        <v>47.379049999999999</v>
      </c>
      <c r="C82">
        <v>45.619439999999997</v>
      </c>
      <c r="S82" s="4">
        <v>38261</v>
      </c>
      <c r="T82">
        <v>46.035310000000003</v>
      </c>
      <c r="U82">
        <v>47.991869999999999</v>
      </c>
      <c r="W82" s="4">
        <v>38261</v>
      </c>
      <c r="X82">
        <v>46.035310000000003</v>
      </c>
      <c r="Y82">
        <v>48.060099999999998</v>
      </c>
    </row>
    <row r="83" spans="1:25" x14ac:dyDescent="0.25">
      <c r="A83" s="2">
        <v>38473</v>
      </c>
      <c r="B83">
        <v>51.332619999999999</v>
      </c>
      <c r="C83">
        <v>45.121090000000002</v>
      </c>
      <c r="S83" s="4">
        <v>38292</v>
      </c>
      <c r="T83">
        <v>50.681100000000001</v>
      </c>
      <c r="U83">
        <v>48.324910000000003</v>
      </c>
      <c r="W83" s="4">
        <v>38292</v>
      </c>
      <c r="X83">
        <v>50.681100000000001</v>
      </c>
      <c r="Y83">
        <v>48.390230000000003</v>
      </c>
    </row>
    <row r="84" spans="1:25" x14ac:dyDescent="0.25">
      <c r="A84" s="2">
        <v>38504</v>
      </c>
      <c r="B84">
        <v>52.851880000000001</v>
      </c>
      <c r="C84">
        <v>45.554510000000001</v>
      </c>
      <c r="S84" s="4">
        <v>38322</v>
      </c>
      <c r="T84">
        <v>50.798560000000002</v>
      </c>
      <c r="U84">
        <v>48.119750000000003</v>
      </c>
      <c r="W84" s="4">
        <v>38322</v>
      </c>
      <c r="X84">
        <v>50.798560000000002</v>
      </c>
      <c r="Y84">
        <v>48.106830000000002</v>
      </c>
    </row>
    <row r="85" spans="1:25" x14ac:dyDescent="0.25">
      <c r="A85" s="2">
        <v>38534</v>
      </c>
      <c r="B85">
        <v>56.127890000000001</v>
      </c>
      <c r="C85">
        <v>47.161459999999998</v>
      </c>
      <c r="S85" s="4">
        <v>38353</v>
      </c>
      <c r="T85">
        <v>52.938110000000002</v>
      </c>
      <c r="U85">
        <v>48.05603</v>
      </c>
      <c r="W85" s="4">
        <v>38353</v>
      </c>
      <c r="X85">
        <v>52.938110000000002</v>
      </c>
      <c r="Y85">
        <v>48.170189999999998</v>
      </c>
    </row>
    <row r="86" spans="1:25" x14ac:dyDescent="0.25">
      <c r="A86" s="2">
        <v>38565</v>
      </c>
      <c r="B86">
        <v>52.030200000000001</v>
      </c>
      <c r="C86">
        <v>43.698909999999998</v>
      </c>
      <c r="S86" s="4">
        <v>38384</v>
      </c>
      <c r="T86">
        <v>52.738079999999997</v>
      </c>
      <c r="U86">
        <v>47.421230000000001</v>
      </c>
      <c r="W86" s="4">
        <v>38384</v>
      </c>
      <c r="X86">
        <v>52.738079999999997</v>
      </c>
      <c r="Y86">
        <v>47.495809999999999</v>
      </c>
    </row>
    <row r="87" spans="1:25" x14ac:dyDescent="0.25">
      <c r="A87" s="2">
        <v>38596</v>
      </c>
      <c r="B87">
        <v>54.232460000000003</v>
      </c>
      <c r="C87">
        <v>44.272190000000002</v>
      </c>
      <c r="S87" s="4">
        <v>38412</v>
      </c>
      <c r="T87">
        <v>50.852939999999997</v>
      </c>
      <c r="U87">
        <v>47.168430000000001</v>
      </c>
      <c r="W87" s="4">
        <v>38412</v>
      </c>
      <c r="X87">
        <v>50.852939999999997</v>
      </c>
      <c r="Y87">
        <v>47.199629999999999</v>
      </c>
    </row>
    <row r="88" spans="1:25" x14ac:dyDescent="0.25">
      <c r="A88" s="2">
        <v>38626</v>
      </c>
      <c r="B88">
        <v>55.731999999999999</v>
      </c>
      <c r="C88">
        <v>45.63015</v>
      </c>
      <c r="S88" s="4">
        <v>38443</v>
      </c>
      <c r="T88">
        <v>52.542310000000001</v>
      </c>
      <c r="U88">
        <v>47.753149999999998</v>
      </c>
      <c r="W88" s="4">
        <v>38443</v>
      </c>
      <c r="X88">
        <v>52.542310000000001</v>
      </c>
      <c r="Y88">
        <v>47.794330000000002</v>
      </c>
    </row>
    <row r="89" spans="1:25" x14ac:dyDescent="0.25">
      <c r="A89" s="2">
        <v>38657</v>
      </c>
      <c r="B89">
        <v>51.607570000000003</v>
      </c>
      <c r="C89">
        <v>45.044289999999997</v>
      </c>
      <c r="S89" s="4">
        <v>38473</v>
      </c>
      <c r="T89">
        <v>53.16377</v>
      </c>
      <c r="U89">
        <v>47.227820000000001</v>
      </c>
      <c r="W89" s="4">
        <v>38473</v>
      </c>
      <c r="X89">
        <v>53.16377</v>
      </c>
      <c r="Y89">
        <v>47.267719999999997</v>
      </c>
    </row>
    <row r="90" spans="1:25" x14ac:dyDescent="0.25">
      <c r="A90" s="2">
        <v>38687</v>
      </c>
      <c r="B90">
        <v>50.398890000000002</v>
      </c>
      <c r="C90">
        <v>42.97099</v>
      </c>
      <c r="S90" s="4">
        <v>38504</v>
      </c>
      <c r="T90">
        <v>53.333829999999999</v>
      </c>
      <c r="U90">
        <v>47.006270000000001</v>
      </c>
      <c r="W90" s="4">
        <v>38504</v>
      </c>
      <c r="X90">
        <v>53.333829999999999</v>
      </c>
      <c r="Y90">
        <v>47.047829999999998</v>
      </c>
    </row>
    <row r="91" spans="1:25" x14ac:dyDescent="0.25">
      <c r="A91" s="2">
        <v>38718</v>
      </c>
      <c r="B91">
        <v>45.927059999999997</v>
      </c>
      <c r="C91">
        <v>44.98742</v>
      </c>
      <c r="S91" s="4">
        <v>38534</v>
      </c>
      <c r="T91">
        <v>53.90849</v>
      </c>
      <c r="U91">
        <v>46.970089999999999</v>
      </c>
      <c r="W91" s="4">
        <v>38534</v>
      </c>
      <c r="X91">
        <v>53.90849</v>
      </c>
      <c r="Y91">
        <v>47.087949999999999</v>
      </c>
    </row>
    <row r="92" spans="1:25" x14ac:dyDescent="0.25">
      <c r="A92" s="2">
        <v>38749</v>
      </c>
      <c r="B92">
        <v>48.855710000000002</v>
      </c>
      <c r="C92">
        <v>42.246740000000003</v>
      </c>
      <c r="S92" s="4">
        <v>38565</v>
      </c>
      <c r="T92">
        <v>54.94265</v>
      </c>
      <c r="U92">
        <v>46.956829999999997</v>
      </c>
      <c r="W92" s="4">
        <v>38565</v>
      </c>
      <c r="X92">
        <v>54.94265</v>
      </c>
      <c r="Y92">
        <v>47.058529999999998</v>
      </c>
    </row>
    <row r="93" spans="1:25" x14ac:dyDescent="0.25">
      <c r="A93" s="2">
        <v>38777</v>
      </c>
      <c r="B93">
        <v>49.872709999999998</v>
      </c>
      <c r="C93">
        <v>43.128909999999998</v>
      </c>
      <c r="S93" s="4">
        <v>38596</v>
      </c>
      <c r="T93">
        <v>53.515509999999999</v>
      </c>
      <c r="U93">
        <v>46.527929999999998</v>
      </c>
      <c r="W93" s="4">
        <v>38596</v>
      </c>
      <c r="X93">
        <v>53.515509999999999</v>
      </c>
      <c r="Y93">
        <v>46.601869999999998</v>
      </c>
    </row>
    <row r="94" spans="1:25" x14ac:dyDescent="0.25">
      <c r="A94" s="2">
        <v>38808</v>
      </c>
      <c r="B94">
        <v>58.047690000000003</v>
      </c>
      <c r="C94">
        <v>46.087629999999997</v>
      </c>
      <c r="S94" s="4">
        <v>38626</v>
      </c>
      <c r="T94">
        <v>54.789079999999998</v>
      </c>
      <c r="U94">
        <v>46.417400000000001</v>
      </c>
      <c r="W94" s="4">
        <v>38626</v>
      </c>
      <c r="X94">
        <v>54.789079999999998</v>
      </c>
      <c r="Y94">
        <v>46.476680000000002</v>
      </c>
    </row>
    <row r="95" spans="1:25" x14ac:dyDescent="0.25">
      <c r="A95" s="2">
        <v>38838</v>
      </c>
      <c r="B95">
        <v>52.146120000000003</v>
      </c>
      <c r="C95">
        <v>43.311050000000002</v>
      </c>
      <c r="S95" s="4">
        <v>38657</v>
      </c>
      <c r="T95">
        <v>53.678959999999996</v>
      </c>
      <c r="U95">
        <v>46.758540000000004</v>
      </c>
      <c r="W95" s="4">
        <v>38657</v>
      </c>
      <c r="X95">
        <v>53.678959999999996</v>
      </c>
      <c r="Y95">
        <v>46.743340000000003</v>
      </c>
    </row>
    <row r="96" spans="1:25" x14ac:dyDescent="0.25">
      <c r="A96" s="2">
        <v>38869</v>
      </c>
      <c r="B96">
        <v>56.025640000000003</v>
      </c>
      <c r="C96">
        <v>47.299379999999999</v>
      </c>
      <c r="S96" s="4">
        <v>38687</v>
      </c>
      <c r="T96">
        <v>53.212229999999998</v>
      </c>
      <c r="U96">
        <v>46.260919999999999</v>
      </c>
      <c r="W96" s="4">
        <v>38687</v>
      </c>
      <c r="X96">
        <v>53.212229999999998</v>
      </c>
      <c r="Y96">
        <v>46.378129999999999</v>
      </c>
    </row>
    <row r="97" spans="1:25" x14ac:dyDescent="0.25">
      <c r="A97" s="2">
        <v>38899</v>
      </c>
      <c r="B97">
        <v>56.530700000000003</v>
      </c>
      <c r="C97">
        <v>46.15448</v>
      </c>
      <c r="S97" s="4">
        <v>38718</v>
      </c>
      <c r="T97">
        <v>53.735080000000004</v>
      </c>
      <c r="U97">
        <v>47.033769999999997</v>
      </c>
      <c r="W97" s="4">
        <v>38718</v>
      </c>
      <c r="X97">
        <v>53.735080000000004</v>
      </c>
      <c r="Y97">
        <v>47.195810000000002</v>
      </c>
    </row>
    <row r="98" spans="1:25" x14ac:dyDescent="0.25">
      <c r="A98" s="2">
        <v>38930</v>
      </c>
      <c r="B98">
        <v>54.517449999999997</v>
      </c>
      <c r="C98">
        <v>45.397390000000001</v>
      </c>
      <c r="S98" s="4">
        <v>38749</v>
      </c>
      <c r="T98">
        <v>52.245089999999998</v>
      </c>
      <c r="U98">
        <v>46.352040000000002</v>
      </c>
      <c r="W98" s="4">
        <v>38749</v>
      </c>
      <c r="X98">
        <v>52.245089999999998</v>
      </c>
      <c r="Y98">
        <v>46.413910000000001</v>
      </c>
    </row>
    <row r="99" spans="1:25" x14ac:dyDescent="0.25">
      <c r="A99" s="2">
        <v>38961</v>
      </c>
      <c r="B99">
        <v>48.050220000000003</v>
      </c>
      <c r="C99">
        <v>43.668129999999998</v>
      </c>
      <c r="S99" s="4">
        <v>38777</v>
      </c>
      <c r="T99">
        <v>53.613790000000002</v>
      </c>
      <c r="U99">
        <v>45.943489999999997</v>
      </c>
      <c r="W99" s="4">
        <v>38777</v>
      </c>
      <c r="X99">
        <v>53.613790000000002</v>
      </c>
      <c r="Y99">
        <v>45.952640000000002</v>
      </c>
    </row>
    <row r="100" spans="1:25" x14ac:dyDescent="0.25">
      <c r="A100" s="2">
        <v>38991</v>
      </c>
      <c r="B100">
        <v>54.615850000000002</v>
      </c>
      <c r="C100">
        <v>44.625329999999998</v>
      </c>
      <c r="S100" s="4">
        <v>38808</v>
      </c>
      <c r="T100">
        <v>56.059159999999999</v>
      </c>
      <c r="U100">
        <v>47.266199999999998</v>
      </c>
      <c r="W100" s="4">
        <v>38808</v>
      </c>
      <c r="X100">
        <v>56.059159999999999</v>
      </c>
      <c r="Y100">
        <v>47.345930000000003</v>
      </c>
    </row>
    <row r="101" spans="1:25" x14ac:dyDescent="0.25">
      <c r="A101" s="2">
        <v>39022</v>
      </c>
      <c r="B101">
        <v>47.764780000000002</v>
      </c>
      <c r="C101">
        <v>44.591569999999997</v>
      </c>
      <c r="S101" s="4">
        <v>38838</v>
      </c>
      <c r="T101">
        <v>54.408200000000001</v>
      </c>
      <c r="U101">
        <v>46.500390000000003</v>
      </c>
      <c r="W101" s="4">
        <v>38838</v>
      </c>
      <c r="X101">
        <v>54.408200000000001</v>
      </c>
      <c r="Y101">
        <v>46.549199999999999</v>
      </c>
    </row>
    <row r="102" spans="1:25" x14ac:dyDescent="0.25">
      <c r="A102" s="2">
        <v>39052</v>
      </c>
      <c r="B102">
        <v>49.121789999999997</v>
      </c>
      <c r="C102">
        <v>45.651269999999997</v>
      </c>
      <c r="S102" s="4">
        <v>38869</v>
      </c>
      <c r="T102">
        <v>55.69706</v>
      </c>
      <c r="U102">
        <v>46.95073</v>
      </c>
      <c r="W102" s="4">
        <v>38869</v>
      </c>
      <c r="X102">
        <v>55.69706</v>
      </c>
      <c r="Y102">
        <v>47.008789999999998</v>
      </c>
    </row>
    <row r="103" spans="1:25" x14ac:dyDescent="0.25">
      <c r="A103" s="2">
        <v>39083</v>
      </c>
      <c r="B103">
        <v>52.140940000000001</v>
      </c>
      <c r="C103">
        <v>46.044249999999998</v>
      </c>
      <c r="S103" s="4">
        <v>38899</v>
      </c>
      <c r="T103">
        <v>53.528350000000003</v>
      </c>
      <c r="U103">
        <v>46.985790000000001</v>
      </c>
      <c r="W103" s="4">
        <v>38899</v>
      </c>
      <c r="X103">
        <v>53.528350000000003</v>
      </c>
      <c r="Y103">
        <v>47.10613</v>
      </c>
    </row>
    <row r="104" spans="1:25" x14ac:dyDescent="0.25">
      <c r="A104" s="2">
        <v>39114</v>
      </c>
      <c r="B104">
        <v>55.464210000000001</v>
      </c>
      <c r="C104">
        <v>46.300739999999998</v>
      </c>
      <c r="S104" s="4">
        <v>38930</v>
      </c>
      <c r="T104">
        <v>53.320050000000002</v>
      </c>
      <c r="U104">
        <v>46.934359999999998</v>
      </c>
      <c r="W104" s="4">
        <v>38930</v>
      </c>
      <c r="X104">
        <v>53.320050000000002</v>
      </c>
      <c r="Y104">
        <v>46.960360000000001</v>
      </c>
    </row>
    <row r="105" spans="1:25" x14ac:dyDescent="0.25">
      <c r="A105" s="2">
        <v>39142</v>
      </c>
      <c r="B105">
        <v>45.705359999999999</v>
      </c>
      <c r="C105">
        <v>42.586820000000003</v>
      </c>
      <c r="S105" s="4">
        <v>38961</v>
      </c>
      <c r="T105">
        <v>51.838569999999997</v>
      </c>
      <c r="U105">
        <v>46.610280000000003</v>
      </c>
      <c r="W105" s="4">
        <v>38961</v>
      </c>
      <c r="X105">
        <v>51.838569999999997</v>
      </c>
      <c r="Y105">
        <v>46.632640000000002</v>
      </c>
    </row>
    <row r="106" spans="1:25" x14ac:dyDescent="0.25">
      <c r="A106" s="2">
        <v>39173</v>
      </c>
      <c r="B106">
        <v>46.136249999999997</v>
      </c>
      <c r="C106">
        <v>44.486579999999996</v>
      </c>
      <c r="S106" s="4">
        <v>38991</v>
      </c>
      <c r="T106">
        <v>51.777239999999999</v>
      </c>
      <c r="U106">
        <v>46.419499999999999</v>
      </c>
      <c r="W106" s="4">
        <v>38991</v>
      </c>
      <c r="X106">
        <v>51.777239999999999</v>
      </c>
      <c r="Y106">
        <v>46.471260000000001</v>
      </c>
    </row>
    <row r="107" spans="1:25" x14ac:dyDescent="0.25">
      <c r="A107" s="2">
        <v>39203</v>
      </c>
      <c r="B107">
        <v>60.368250000000003</v>
      </c>
      <c r="C107">
        <v>48.89423</v>
      </c>
      <c r="S107" s="4">
        <v>39022</v>
      </c>
      <c r="T107">
        <v>50.008330000000001</v>
      </c>
      <c r="U107">
        <v>46.264879999999998</v>
      </c>
      <c r="W107" s="4">
        <v>39022</v>
      </c>
      <c r="X107">
        <v>50.008330000000001</v>
      </c>
      <c r="Y107">
        <v>46.282260000000001</v>
      </c>
    </row>
    <row r="108" spans="1:25" x14ac:dyDescent="0.25">
      <c r="A108" s="2">
        <v>39234</v>
      </c>
      <c r="B108">
        <v>48.210799999999999</v>
      </c>
      <c r="C108">
        <v>47.321669999999997</v>
      </c>
      <c r="S108" s="4">
        <v>39052</v>
      </c>
      <c r="T108">
        <v>52.583449999999999</v>
      </c>
      <c r="U108">
        <v>47.480260000000001</v>
      </c>
      <c r="W108" s="4">
        <v>39052</v>
      </c>
      <c r="X108">
        <v>52.583449999999999</v>
      </c>
      <c r="Y108">
        <v>47.433140000000002</v>
      </c>
    </row>
    <row r="109" spans="1:25" x14ac:dyDescent="0.25">
      <c r="A109" s="2">
        <v>39264</v>
      </c>
      <c r="B109">
        <v>51.427909999999997</v>
      </c>
      <c r="C109">
        <v>46.536679999999997</v>
      </c>
      <c r="S109" s="4">
        <v>39083</v>
      </c>
      <c r="T109">
        <v>52.67022</v>
      </c>
      <c r="U109">
        <v>47.913809999999998</v>
      </c>
      <c r="W109" s="4">
        <v>39083</v>
      </c>
      <c r="X109">
        <v>52.67022</v>
      </c>
      <c r="Y109">
        <v>48.107050000000001</v>
      </c>
    </row>
    <row r="110" spans="1:25" x14ac:dyDescent="0.25">
      <c r="A110" s="2">
        <v>39295</v>
      </c>
      <c r="B110">
        <v>48.539619999999999</v>
      </c>
      <c r="C110">
        <v>45.4831</v>
      </c>
      <c r="S110" s="4">
        <v>39114</v>
      </c>
      <c r="T110">
        <v>53.180210000000002</v>
      </c>
      <c r="U110">
        <v>47.445010000000003</v>
      </c>
      <c r="W110" s="4">
        <v>39114</v>
      </c>
      <c r="X110">
        <v>53.180210000000002</v>
      </c>
      <c r="Y110">
        <v>47.470660000000002</v>
      </c>
    </row>
    <row r="111" spans="1:25" x14ac:dyDescent="0.25">
      <c r="A111" s="2">
        <v>39326</v>
      </c>
      <c r="B111">
        <v>47.789149999999999</v>
      </c>
      <c r="C111">
        <v>45.786349999999999</v>
      </c>
      <c r="S111" s="4">
        <v>39142</v>
      </c>
      <c r="T111">
        <v>51.499470000000002</v>
      </c>
      <c r="U111">
        <v>47.091639999999998</v>
      </c>
      <c r="W111" s="4">
        <v>39142</v>
      </c>
      <c r="X111">
        <v>51.499470000000002</v>
      </c>
      <c r="Y111">
        <v>47.092979999999997</v>
      </c>
    </row>
    <row r="112" spans="1:25" x14ac:dyDescent="0.25">
      <c r="A112" s="2">
        <v>39356</v>
      </c>
      <c r="B112">
        <v>50.190640000000002</v>
      </c>
      <c r="C112">
        <v>47.90645</v>
      </c>
      <c r="S112" s="4">
        <v>39173</v>
      </c>
      <c r="T112">
        <v>52.016260000000003</v>
      </c>
      <c r="U112">
        <v>47.119929999999997</v>
      </c>
      <c r="W112" s="4">
        <v>39173</v>
      </c>
      <c r="X112">
        <v>52.016260000000003</v>
      </c>
      <c r="Y112">
        <v>47.130459999999999</v>
      </c>
    </row>
    <row r="113" spans="1:25" x14ac:dyDescent="0.25">
      <c r="A113" s="2">
        <v>39387</v>
      </c>
      <c r="B113">
        <v>47.863950000000003</v>
      </c>
      <c r="C113">
        <v>45.255740000000003</v>
      </c>
      <c r="S113" s="4">
        <v>39203</v>
      </c>
      <c r="T113">
        <v>54.265590000000003</v>
      </c>
      <c r="U113">
        <v>48.048200000000001</v>
      </c>
      <c r="W113" s="4">
        <v>39203</v>
      </c>
      <c r="X113">
        <v>54.265590000000003</v>
      </c>
      <c r="Y113">
        <v>48.150970000000001</v>
      </c>
    </row>
    <row r="114" spans="1:25" x14ac:dyDescent="0.25">
      <c r="A114" s="2">
        <v>39417</v>
      </c>
      <c r="B114">
        <v>51.898919999999997</v>
      </c>
      <c r="C114">
        <v>50.512039999999999</v>
      </c>
      <c r="S114" s="4">
        <v>39234</v>
      </c>
      <c r="T114">
        <v>53.832940000000001</v>
      </c>
      <c r="U114">
        <v>48.194569999999999</v>
      </c>
      <c r="W114" s="4">
        <v>39234</v>
      </c>
      <c r="X114">
        <v>53.832940000000001</v>
      </c>
      <c r="Y114">
        <v>48.19773</v>
      </c>
    </row>
    <row r="115" spans="1:25" x14ac:dyDescent="0.25">
      <c r="A115" s="2">
        <v>39448</v>
      </c>
      <c r="B115">
        <v>53.50432</v>
      </c>
      <c r="C115">
        <v>49.685139999999997</v>
      </c>
      <c r="S115" s="4">
        <v>39264</v>
      </c>
      <c r="T115">
        <v>53.551110000000001</v>
      </c>
      <c r="U115">
        <v>48.2804</v>
      </c>
      <c r="W115" s="4">
        <v>39264</v>
      </c>
      <c r="X115">
        <v>53.551110000000001</v>
      </c>
      <c r="Y115">
        <v>48.227110000000003</v>
      </c>
    </row>
    <row r="116" spans="1:25" x14ac:dyDescent="0.25">
      <c r="A116" s="2">
        <v>39479</v>
      </c>
      <c r="B116">
        <v>48.695999999999998</v>
      </c>
      <c r="C116">
        <v>48.74492</v>
      </c>
      <c r="S116" s="4">
        <v>39295</v>
      </c>
      <c r="T116">
        <v>50.395040000000002</v>
      </c>
      <c r="U116">
        <v>47.902299999999997</v>
      </c>
      <c r="W116" s="4">
        <v>39295</v>
      </c>
      <c r="X116">
        <v>50.395040000000002</v>
      </c>
      <c r="Y116">
        <v>47.914879999999997</v>
      </c>
    </row>
    <row r="117" spans="1:25" x14ac:dyDescent="0.25">
      <c r="A117" s="2">
        <v>39508</v>
      </c>
      <c r="B117">
        <v>48.223280000000003</v>
      </c>
      <c r="C117">
        <v>49.929180000000002</v>
      </c>
      <c r="S117" s="4">
        <v>39326</v>
      </c>
      <c r="T117">
        <v>49.62209</v>
      </c>
      <c r="U117">
        <v>47.67389</v>
      </c>
      <c r="W117" s="4">
        <v>39326</v>
      </c>
      <c r="X117">
        <v>49.62209</v>
      </c>
      <c r="Y117">
        <v>47.558590000000002</v>
      </c>
    </row>
    <row r="118" spans="1:25" x14ac:dyDescent="0.25">
      <c r="A118" s="2">
        <v>39539</v>
      </c>
      <c r="B118">
        <v>47.33323</v>
      </c>
      <c r="C118">
        <v>50.275170000000003</v>
      </c>
      <c r="S118" s="4">
        <v>39356</v>
      </c>
      <c r="T118">
        <v>47.80424</v>
      </c>
      <c r="U118">
        <v>48.327219999999997</v>
      </c>
      <c r="W118" s="4">
        <v>39356</v>
      </c>
      <c r="X118">
        <v>47.80424</v>
      </c>
      <c r="Y118">
        <v>48.259599999999999</v>
      </c>
    </row>
    <row r="119" spans="1:25" x14ac:dyDescent="0.25">
      <c r="A119" s="2">
        <v>39569</v>
      </c>
      <c r="B119">
        <v>46.87988</v>
      </c>
      <c r="C119">
        <v>48.057830000000003</v>
      </c>
      <c r="S119" s="4">
        <v>39387</v>
      </c>
      <c r="T119">
        <v>49.593519999999998</v>
      </c>
      <c r="U119">
        <v>48.246450000000003</v>
      </c>
      <c r="W119" s="4">
        <v>39387</v>
      </c>
      <c r="X119">
        <v>49.593519999999998</v>
      </c>
      <c r="Y119">
        <v>48.17933</v>
      </c>
    </row>
    <row r="120" spans="1:25" x14ac:dyDescent="0.25">
      <c r="A120" s="2">
        <v>39600</v>
      </c>
      <c r="B120">
        <v>51.156869999999998</v>
      </c>
      <c r="C120">
        <v>48.801400000000001</v>
      </c>
      <c r="S120" s="4">
        <v>39417</v>
      </c>
      <c r="T120">
        <v>48.915509999999998</v>
      </c>
      <c r="U120">
        <v>49.29795</v>
      </c>
      <c r="W120" s="4">
        <v>39417</v>
      </c>
      <c r="X120">
        <v>48.915509999999998</v>
      </c>
      <c r="Y120">
        <v>49.097729999999999</v>
      </c>
    </row>
    <row r="121" spans="1:25" x14ac:dyDescent="0.25">
      <c r="A121" s="2">
        <v>39630</v>
      </c>
      <c r="B121">
        <v>48.482550000000003</v>
      </c>
      <c r="C121">
        <v>49.436079999999997</v>
      </c>
      <c r="S121" s="4">
        <v>39448</v>
      </c>
      <c r="T121">
        <v>49.552039999999998</v>
      </c>
      <c r="U121">
        <v>49.862780000000001</v>
      </c>
      <c r="W121" s="4">
        <v>39448</v>
      </c>
      <c r="X121">
        <v>49.552039999999998</v>
      </c>
      <c r="Y121">
        <v>49.762039999999999</v>
      </c>
    </row>
    <row r="122" spans="1:25" x14ac:dyDescent="0.25">
      <c r="A122" s="2">
        <v>39661</v>
      </c>
      <c r="B122">
        <v>52.701149999999998</v>
      </c>
      <c r="C122">
        <v>52.52908</v>
      </c>
      <c r="S122" s="4">
        <v>39479</v>
      </c>
      <c r="T122">
        <v>51.115659999999998</v>
      </c>
      <c r="U122">
        <v>50.664870000000001</v>
      </c>
      <c r="W122" s="4">
        <v>39479</v>
      </c>
      <c r="X122">
        <v>51.115659999999998</v>
      </c>
      <c r="Y122">
        <v>50.493769999999998</v>
      </c>
    </row>
    <row r="123" spans="1:25" x14ac:dyDescent="0.25">
      <c r="A123" s="2">
        <v>39692</v>
      </c>
      <c r="B123">
        <v>51.254019999999997</v>
      </c>
      <c r="C123">
        <v>51.206719999999997</v>
      </c>
      <c r="S123" s="4">
        <v>39508</v>
      </c>
      <c r="T123">
        <v>49.775230000000001</v>
      </c>
      <c r="U123">
        <v>50.620649999999998</v>
      </c>
      <c r="W123" s="4">
        <v>39508</v>
      </c>
      <c r="X123">
        <v>49.775230000000001</v>
      </c>
      <c r="Y123">
        <v>50.426729999999999</v>
      </c>
    </row>
    <row r="124" spans="1:25" x14ac:dyDescent="0.25">
      <c r="A124" s="2">
        <v>39722</v>
      </c>
      <c r="B124">
        <v>46.351410000000001</v>
      </c>
      <c r="C124">
        <v>51.349429999999998</v>
      </c>
      <c r="S124" s="4">
        <v>39539</v>
      </c>
      <c r="T124">
        <v>49.318849999999998</v>
      </c>
      <c r="U124">
        <v>50.441369999999999</v>
      </c>
      <c r="W124" s="4">
        <v>39539</v>
      </c>
      <c r="X124">
        <v>49.318849999999998</v>
      </c>
      <c r="Y124">
        <v>50.313969999999998</v>
      </c>
    </row>
    <row r="125" spans="1:25" x14ac:dyDescent="0.25">
      <c r="A125" s="2">
        <v>39753</v>
      </c>
      <c r="B125">
        <v>48.341589999999997</v>
      </c>
      <c r="C125">
        <v>51.135509999999996</v>
      </c>
      <c r="S125" s="4">
        <v>39569</v>
      </c>
      <c r="T125">
        <v>50.969099999999997</v>
      </c>
      <c r="U125">
        <v>51.724640000000001</v>
      </c>
      <c r="W125" s="4">
        <v>39569</v>
      </c>
      <c r="X125">
        <v>50.969099999999997</v>
      </c>
      <c r="Y125">
        <v>51.477539999999998</v>
      </c>
    </row>
    <row r="126" spans="1:25" x14ac:dyDescent="0.25">
      <c r="A126" s="2">
        <v>39783</v>
      </c>
      <c r="B126">
        <v>50.060499999999998</v>
      </c>
      <c r="C126">
        <v>53.78978</v>
      </c>
      <c r="S126" s="4">
        <v>39600</v>
      </c>
      <c r="T126">
        <v>51.373269999999998</v>
      </c>
      <c r="U126">
        <v>52.148670000000003</v>
      </c>
      <c r="W126" s="4">
        <v>39600</v>
      </c>
      <c r="X126">
        <v>51.373269999999998</v>
      </c>
      <c r="Y126">
        <v>51.832549999999998</v>
      </c>
    </row>
    <row r="127" spans="1:25" x14ac:dyDescent="0.25">
      <c r="A127" s="2">
        <v>39814</v>
      </c>
      <c r="B127">
        <v>52.891280000000002</v>
      </c>
      <c r="C127">
        <v>57.505920000000003</v>
      </c>
      <c r="S127" s="4">
        <v>39630</v>
      </c>
      <c r="T127">
        <v>52.052030000000002</v>
      </c>
      <c r="U127">
        <v>52.350619999999999</v>
      </c>
      <c r="W127" s="4">
        <v>39630</v>
      </c>
      <c r="X127">
        <v>52.052030000000002</v>
      </c>
      <c r="Y127">
        <v>52.124859999999998</v>
      </c>
    </row>
    <row r="128" spans="1:25" x14ac:dyDescent="0.25">
      <c r="A128" s="2">
        <v>39845</v>
      </c>
      <c r="B128">
        <v>46.45722</v>
      </c>
      <c r="C128">
        <v>53.437959999999997</v>
      </c>
      <c r="S128" s="4">
        <v>39661</v>
      </c>
      <c r="T128">
        <v>52.258989999999997</v>
      </c>
      <c r="U128">
        <v>52.778419999999997</v>
      </c>
      <c r="W128" s="4">
        <v>39661</v>
      </c>
      <c r="X128">
        <v>52.258989999999997</v>
      </c>
      <c r="Y128">
        <v>52.560389999999998</v>
      </c>
    </row>
    <row r="129" spans="1:25" x14ac:dyDescent="0.25">
      <c r="A129" s="2">
        <v>39873</v>
      </c>
      <c r="B129">
        <v>48.0807</v>
      </c>
      <c r="C129">
        <v>53.835880000000003</v>
      </c>
      <c r="S129" s="4">
        <v>39692</v>
      </c>
      <c r="T129">
        <v>53.068800000000003</v>
      </c>
      <c r="U129">
        <v>53.224229999999999</v>
      </c>
      <c r="W129" s="4">
        <v>39692</v>
      </c>
      <c r="X129">
        <v>53.068800000000003</v>
      </c>
      <c r="Y129">
        <v>53.06297</v>
      </c>
    </row>
    <row r="130" spans="1:25" x14ac:dyDescent="0.25">
      <c r="A130" s="2">
        <v>39904</v>
      </c>
      <c r="B130">
        <v>50.738399999999999</v>
      </c>
      <c r="C130">
        <v>55.14967</v>
      </c>
      <c r="S130" s="4">
        <v>39722</v>
      </c>
      <c r="T130">
        <v>51.869790000000002</v>
      </c>
      <c r="U130">
        <v>53.936950000000003</v>
      </c>
      <c r="W130" s="4">
        <v>39722</v>
      </c>
      <c r="X130">
        <v>51.869790000000002</v>
      </c>
      <c r="Y130">
        <v>53.7468</v>
      </c>
    </row>
    <row r="131" spans="1:25" x14ac:dyDescent="0.25">
      <c r="A131" s="2">
        <v>39934</v>
      </c>
      <c r="B131">
        <v>53.096119999999999</v>
      </c>
      <c r="C131">
        <v>57.829909999999998</v>
      </c>
      <c r="S131" s="4">
        <v>39753</v>
      </c>
      <c r="T131">
        <v>51.732759999999999</v>
      </c>
      <c r="U131">
        <v>54.376829999999998</v>
      </c>
      <c r="W131" s="4">
        <v>39753</v>
      </c>
      <c r="X131">
        <v>51.732759999999999</v>
      </c>
      <c r="Y131">
        <v>54.13767</v>
      </c>
    </row>
    <row r="132" spans="1:25" x14ac:dyDescent="0.25">
      <c r="A132" s="2">
        <v>39965</v>
      </c>
      <c r="B132">
        <v>50.732939999999999</v>
      </c>
      <c r="C132">
        <v>55.540329999999997</v>
      </c>
      <c r="S132" s="4">
        <v>39783</v>
      </c>
      <c r="T132">
        <v>49.794620000000002</v>
      </c>
      <c r="U132">
        <v>54.08914</v>
      </c>
      <c r="W132" s="4">
        <v>39783</v>
      </c>
      <c r="X132">
        <v>49.794620000000002</v>
      </c>
      <c r="Y132">
        <v>53.6693</v>
      </c>
    </row>
    <row r="133" spans="1:25" x14ac:dyDescent="0.25">
      <c r="A133" s="2">
        <v>39995</v>
      </c>
      <c r="B133">
        <v>53.963940000000001</v>
      </c>
      <c r="C133">
        <v>56.574570000000001</v>
      </c>
      <c r="S133" s="4">
        <v>39814</v>
      </c>
      <c r="T133">
        <v>49.8155</v>
      </c>
      <c r="U133">
        <v>55.05415</v>
      </c>
      <c r="W133" s="4">
        <v>39814</v>
      </c>
      <c r="X133">
        <v>49.8155</v>
      </c>
      <c r="Y133">
        <v>54.63053</v>
      </c>
    </row>
    <row r="134" spans="1:25" x14ac:dyDescent="0.25">
      <c r="A134" s="2">
        <v>40026</v>
      </c>
      <c r="B134">
        <v>54.80142</v>
      </c>
      <c r="C134">
        <v>57.91433</v>
      </c>
      <c r="S134" s="4">
        <v>39845</v>
      </c>
      <c r="T134">
        <v>48.477310000000003</v>
      </c>
      <c r="U134">
        <v>54.772680000000001</v>
      </c>
      <c r="W134" s="4">
        <v>39845</v>
      </c>
      <c r="X134">
        <v>48.477310000000003</v>
      </c>
      <c r="Y134">
        <v>54.517049999999998</v>
      </c>
    </row>
    <row r="135" spans="1:25" x14ac:dyDescent="0.25">
      <c r="A135" s="2">
        <v>40057</v>
      </c>
      <c r="B135">
        <v>51.075499999999998</v>
      </c>
      <c r="C135">
        <v>54.856960000000001</v>
      </c>
      <c r="S135" s="4">
        <v>39873</v>
      </c>
      <c r="T135">
        <v>48.671509999999998</v>
      </c>
      <c r="U135">
        <v>55.517960000000002</v>
      </c>
      <c r="W135" s="4">
        <v>39873</v>
      </c>
      <c r="X135">
        <v>48.671509999999998</v>
      </c>
      <c r="Y135">
        <v>55.162909999999997</v>
      </c>
    </row>
    <row r="136" spans="1:25" x14ac:dyDescent="0.25">
      <c r="A136" s="2">
        <v>40087</v>
      </c>
      <c r="B136">
        <v>51.777030000000003</v>
      </c>
      <c r="C136">
        <v>55.63429</v>
      </c>
      <c r="S136" s="4">
        <v>39904</v>
      </c>
      <c r="T136">
        <v>49.200600000000001</v>
      </c>
      <c r="U136">
        <v>55.435870000000001</v>
      </c>
      <c r="W136" s="4">
        <v>39904</v>
      </c>
      <c r="X136">
        <v>49.200600000000001</v>
      </c>
      <c r="Y136">
        <v>55.216999999999999</v>
      </c>
    </row>
    <row r="137" spans="1:25" x14ac:dyDescent="0.25">
      <c r="A137" s="2">
        <v>40118</v>
      </c>
      <c r="B137">
        <v>55.99306</v>
      </c>
      <c r="C137">
        <v>55.095559999999999</v>
      </c>
      <c r="S137" s="4">
        <v>39934</v>
      </c>
      <c r="T137">
        <v>51.493160000000003</v>
      </c>
      <c r="U137">
        <v>56.666069999999998</v>
      </c>
      <c r="W137" s="4">
        <v>39934</v>
      </c>
      <c r="X137">
        <v>51.493160000000003</v>
      </c>
      <c r="Y137">
        <v>56.460700000000003</v>
      </c>
    </row>
    <row r="138" spans="1:25" x14ac:dyDescent="0.25">
      <c r="A138" s="2">
        <v>40148</v>
      </c>
      <c r="B138">
        <v>53.605289999999997</v>
      </c>
      <c r="C138">
        <v>55.76538</v>
      </c>
      <c r="S138" s="4">
        <v>39965</v>
      </c>
      <c r="T138">
        <v>51.739159999999998</v>
      </c>
      <c r="U138">
        <v>56.259920000000001</v>
      </c>
      <c r="W138" s="4">
        <v>39965</v>
      </c>
      <c r="X138">
        <v>51.739159999999998</v>
      </c>
      <c r="Y138">
        <v>56.082689999999999</v>
      </c>
    </row>
    <row r="139" spans="1:25" x14ac:dyDescent="0.25">
      <c r="A139" s="2">
        <v>40179</v>
      </c>
      <c r="B139">
        <v>50.870420000000003</v>
      </c>
      <c r="C139">
        <v>54.344549999999998</v>
      </c>
      <c r="S139" s="4">
        <v>39995</v>
      </c>
      <c r="T139">
        <v>53.57741</v>
      </c>
      <c r="U139">
        <v>57.058390000000003</v>
      </c>
      <c r="W139" s="4">
        <v>39995</v>
      </c>
      <c r="X139">
        <v>53.57741</v>
      </c>
      <c r="Y139">
        <v>56.923340000000003</v>
      </c>
    </row>
    <row r="140" spans="1:25" x14ac:dyDescent="0.25">
      <c r="A140" s="2">
        <v>40210</v>
      </c>
      <c r="B140">
        <v>54.157879999999999</v>
      </c>
      <c r="C140">
        <v>55.818449999999999</v>
      </c>
      <c r="S140" s="4">
        <v>40026</v>
      </c>
      <c r="T140">
        <v>53.758540000000004</v>
      </c>
      <c r="U140">
        <v>56.61298</v>
      </c>
      <c r="W140" s="4">
        <v>40026</v>
      </c>
      <c r="X140">
        <v>53.758540000000004</v>
      </c>
      <c r="Y140">
        <v>56.472709999999999</v>
      </c>
    </row>
    <row r="141" spans="1:25" x14ac:dyDescent="0.25">
      <c r="A141" s="2">
        <v>40238</v>
      </c>
      <c r="B141">
        <v>51.701880000000003</v>
      </c>
      <c r="C141">
        <v>54.402180000000001</v>
      </c>
      <c r="S141" s="4">
        <v>40057</v>
      </c>
      <c r="T141">
        <v>52.549520000000001</v>
      </c>
      <c r="U141">
        <v>56.347430000000003</v>
      </c>
      <c r="W141" s="4">
        <v>40057</v>
      </c>
      <c r="X141">
        <v>52.549520000000001</v>
      </c>
      <c r="Y141">
        <v>56.125070000000001</v>
      </c>
    </row>
    <row r="142" spans="1:25" x14ac:dyDescent="0.25">
      <c r="A142" s="2">
        <v>40269</v>
      </c>
      <c r="B142">
        <v>55.14076</v>
      </c>
      <c r="C142">
        <v>55.272100000000002</v>
      </c>
      <c r="S142" s="4">
        <v>40087</v>
      </c>
      <c r="T142">
        <v>53.822339999999997</v>
      </c>
      <c r="U142">
        <v>56.144739999999999</v>
      </c>
      <c r="W142" s="4">
        <v>40087</v>
      </c>
      <c r="X142">
        <v>53.822339999999997</v>
      </c>
      <c r="Y142">
        <v>55.94764</v>
      </c>
    </row>
    <row r="143" spans="1:25" x14ac:dyDescent="0.25">
      <c r="A143" s="2">
        <v>40299</v>
      </c>
      <c r="B143">
        <v>52.44247</v>
      </c>
      <c r="C143">
        <v>55.570700000000002</v>
      </c>
      <c r="S143" s="4">
        <v>40118</v>
      </c>
      <c r="T143">
        <v>55.119059999999998</v>
      </c>
      <c r="U143">
        <v>56.896619999999999</v>
      </c>
      <c r="W143" s="4">
        <v>40118</v>
      </c>
      <c r="X143">
        <v>55.119059999999998</v>
      </c>
      <c r="Y143">
        <v>56.723140000000001</v>
      </c>
    </row>
    <row r="144" spans="1:25" x14ac:dyDescent="0.25">
      <c r="A144" s="2">
        <v>40330</v>
      </c>
      <c r="B144">
        <v>55.494990000000001</v>
      </c>
      <c r="C144">
        <v>56.848280000000003</v>
      </c>
      <c r="S144" s="4">
        <v>40148</v>
      </c>
      <c r="T144">
        <v>53.808100000000003</v>
      </c>
      <c r="U144">
        <v>56.566429999999997</v>
      </c>
      <c r="W144" s="4">
        <v>40148</v>
      </c>
      <c r="X144">
        <v>53.808100000000003</v>
      </c>
      <c r="Y144">
        <v>56.354680000000002</v>
      </c>
    </row>
    <row r="145" spans="1:25" x14ac:dyDescent="0.25">
      <c r="A145" s="2">
        <v>40360</v>
      </c>
      <c r="B145">
        <v>51.510370000000002</v>
      </c>
      <c r="C145">
        <v>56.090820000000001</v>
      </c>
      <c r="S145" s="4">
        <v>40179</v>
      </c>
      <c r="T145">
        <v>52.052860000000003</v>
      </c>
      <c r="U145">
        <v>55.997810000000001</v>
      </c>
      <c r="W145" s="4">
        <v>40179</v>
      </c>
      <c r="X145">
        <v>52.052860000000003</v>
      </c>
      <c r="Y145">
        <v>55.928570000000001</v>
      </c>
    </row>
    <row r="146" spans="1:25" x14ac:dyDescent="0.25">
      <c r="A146" s="2">
        <v>40391</v>
      </c>
      <c r="B146">
        <v>52.016599999999997</v>
      </c>
      <c r="C146">
        <v>57.18459</v>
      </c>
      <c r="S146" s="4">
        <v>40210</v>
      </c>
      <c r="T146">
        <v>51.390949999999997</v>
      </c>
      <c r="U146">
        <v>55.97589</v>
      </c>
      <c r="W146" s="4">
        <v>40210</v>
      </c>
      <c r="X146">
        <v>51.390949999999997</v>
      </c>
      <c r="Y146">
        <v>55.864069999999998</v>
      </c>
    </row>
    <row r="147" spans="1:25" x14ac:dyDescent="0.25">
      <c r="A147" s="2">
        <v>40422</v>
      </c>
      <c r="B147">
        <v>50.597880000000004</v>
      </c>
      <c r="C147">
        <v>54.998190000000001</v>
      </c>
      <c r="S147" s="4">
        <v>40238</v>
      </c>
      <c r="T147">
        <v>52.882669999999997</v>
      </c>
      <c r="U147">
        <v>55.909869999999998</v>
      </c>
      <c r="W147" s="4">
        <v>40238</v>
      </c>
      <c r="X147">
        <v>52.882669999999997</v>
      </c>
      <c r="Y147">
        <v>55.788510000000002</v>
      </c>
    </row>
    <row r="148" spans="1:25" x14ac:dyDescent="0.25">
      <c r="A148" s="2">
        <v>40452</v>
      </c>
      <c r="B148">
        <v>51.503239999999998</v>
      </c>
      <c r="C148">
        <v>57.022320000000001</v>
      </c>
      <c r="S148" s="4">
        <v>40269</v>
      </c>
      <c r="T148">
        <v>54.366190000000003</v>
      </c>
      <c r="U148">
        <v>56.371989999999997</v>
      </c>
      <c r="W148" s="4">
        <v>40269</v>
      </c>
      <c r="X148">
        <v>54.366190000000003</v>
      </c>
      <c r="Y148">
        <v>56.253030000000003</v>
      </c>
    </row>
    <row r="149" spans="1:25" x14ac:dyDescent="0.25">
      <c r="A149" s="2">
        <v>40483</v>
      </c>
      <c r="B149">
        <v>52.30865</v>
      </c>
      <c r="C149">
        <v>56.367579999999997</v>
      </c>
      <c r="S149" s="4">
        <v>40299</v>
      </c>
      <c r="T149">
        <v>54.496049999999997</v>
      </c>
      <c r="U149">
        <v>56.059049999999999</v>
      </c>
      <c r="W149" s="4">
        <v>40299</v>
      </c>
      <c r="X149">
        <v>54.496049999999997</v>
      </c>
      <c r="Y149">
        <v>55.906190000000002</v>
      </c>
    </row>
    <row r="150" spans="1:25" x14ac:dyDescent="0.25">
      <c r="A150" s="2">
        <v>40513</v>
      </c>
      <c r="B150">
        <v>53.863010000000003</v>
      </c>
      <c r="C150">
        <v>56.42906</v>
      </c>
      <c r="S150" s="4">
        <v>40330</v>
      </c>
      <c r="T150">
        <v>56.348140000000001</v>
      </c>
      <c r="U150">
        <v>57.240319999999997</v>
      </c>
      <c r="W150" s="4">
        <v>40330</v>
      </c>
      <c r="X150">
        <v>56.348140000000001</v>
      </c>
      <c r="Y150">
        <v>57.265720000000002</v>
      </c>
    </row>
    <row r="151" spans="1:25" x14ac:dyDescent="0.25">
      <c r="A151" s="2">
        <v>40544</v>
      </c>
      <c r="B151">
        <v>51.616210000000002</v>
      </c>
      <c r="C151">
        <v>55.685650000000003</v>
      </c>
      <c r="S151" s="4">
        <v>40360</v>
      </c>
      <c r="T151">
        <v>53.43777</v>
      </c>
      <c r="U151">
        <v>56.742579999999997</v>
      </c>
      <c r="W151" s="4">
        <v>40360</v>
      </c>
      <c r="X151">
        <v>53.43777</v>
      </c>
      <c r="Y151">
        <v>56.687240000000003</v>
      </c>
    </row>
    <row r="152" spans="1:25" x14ac:dyDescent="0.25">
      <c r="A152" s="2">
        <v>40575</v>
      </c>
      <c r="B152">
        <v>51.650289999999998</v>
      </c>
      <c r="C152">
        <v>56.617199999999997</v>
      </c>
      <c r="S152" s="4">
        <v>40391</v>
      </c>
      <c r="T152">
        <v>52.491759999999999</v>
      </c>
      <c r="U152">
        <v>56.646769999999997</v>
      </c>
      <c r="W152" s="4">
        <v>40391</v>
      </c>
      <c r="X152">
        <v>52.491759999999999</v>
      </c>
      <c r="Y152">
        <v>56.594790000000003</v>
      </c>
    </row>
    <row r="153" spans="1:25" x14ac:dyDescent="0.25">
      <c r="A153" s="2">
        <v>40603</v>
      </c>
      <c r="B153">
        <v>52.7196</v>
      </c>
      <c r="C153">
        <v>56.483429999999998</v>
      </c>
      <c r="S153" s="4">
        <v>40422</v>
      </c>
      <c r="T153">
        <v>51.237589999999997</v>
      </c>
      <c r="U153">
        <v>56.627749999999999</v>
      </c>
      <c r="W153" s="4">
        <v>40422</v>
      </c>
      <c r="X153">
        <v>51.237589999999997</v>
      </c>
      <c r="Y153">
        <v>56.534599999999998</v>
      </c>
    </row>
    <row r="154" spans="1:25" x14ac:dyDescent="0.25">
      <c r="A154" s="2">
        <v>40634</v>
      </c>
      <c r="B154">
        <v>52.734400000000001</v>
      </c>
      <c r="C154">
        <v>55.763080000000002</v>
      </c>
      <c r="S154" s="4">
        <v>40452</v>
      </c>
      <c r="T154">
        <v>51.813800000000001</v>
      </c>
      <c r="U154">
        <v>57.075040000000001</v>
      </c>
      <c r="W154" s="4">
        <v>40452</v>
      </c>
      <c r="X154">
        <v>51.813800000000001</v>
      </c>
      <c r="Y154">
        <v>56.973700000000001</v>
      </c>
    </row>
    <row r="155" spans="1:25" x14ac:dyDescent="0.25">
      <c r="A155" s="2">
        <v>40664</v>
      </c>
      <c r="B155">
        <v>55.697360000000003</v>
      </c>
      <c r="C155">
        <v>57.086309999999997</v>
      </c>
      <c r="S155" s="4">
        <v>40483</v>
      </c>
      <c r="T155">
        <v>51.158799999999999</v>
      </c>
      <c r="U155">
        <v>56.998040000000003</v>
      </c>
      <c r="W155" s="4">
        <v>40483</v>
      </c>
      <c r="X155">
        <v>51.158799999999999</v>
      </c>
      <c r="Y155">
        <v>56.934989999999999</v>
      </c>
    </row>
    <row r="156" spans="1:25" x14ac:dyDescent="0.25">
      <c r="A156" s="2">
        <v>40695</v>
      </c>
      <c r="B156">
        <v>53.509749999999997</v>
      </c>
      <c r="C156">
        <v>56.277799999999999</v>
      </c>
      <c r="S156" s="4">
        <v>40513</v>
      </c>
      <c r="T156">
        <v>51.965130000000002</v>
      </c>
      <c r="U156">
        <v>57.083799999999997</v>
      </c>
      <c r="W156" s="4">
        <v>40513</v>
      </c>
      <c r="X156">
        <v>51.965130000000002</v>
      </c>
      <c r="Y156">
        <v>56.884740000000001</v>
      </c>
    </row>
    <row r="157" spans="1:25" x14ac:dyDescent="0.25">
      <c r="A157" s="2">
        <v>40725</v>
      </c>
      <c r="B157">
        <v>55.910409999999999</v>
      </c>
      <c r="C157">
        <v>56.986370000000001</v>
      </c>
      <c r="S157" s="4">
        <v>40544</v>
      </c>
      <c r="T157">
        <v>51.572870000000002</v>
      </c>
      <c r="U157">
        <v>56.601199999999999</v>
      </c>
      <c r="W157" s="4">
        <v>40544</v>
      </c>
      <c r="X157">
        <v>51.572870000000002</v>
      </c>
      <c r="Y157">
        <v>56.378720000000001</v>
      </c>
    </row>
    <row r="158" spans="1:25" x14ac:dyDescent="0.25">
      <c r="A158" s="2">
        <v>40756</v>
      </c>
      <c r="B158">
        <v>55.506169999999997</v>
      </c>
      <c r="C158">
        <v>57.01914</v>
      </c>
      <c r="S158" s="4">
        <v>40575</v>
      </c>
      <c r="T158">
        <v>52.684440000000002</v>
      </c>
      <c r="U158">
        <v>56.529339999999998</v>
      </c>
      <c r="W158" s="4">
        <v>40575</v>
      </c>
      <c r="X158">
        <v>52.684440000000002</v>
      </c>
      <c r="Y158">
        <v>56.264139999999998</v>
      </c>
    </row>
    <row r="159" spans="1:25" x14ac:dyDescent="0.25">
      <c r="A159" s="2">
        <v>40787</v>
      </c>
      <c r="B159">
        <v>56.514600000000002</v>
      </c>
      <c r="C159">
        <v>56.167119999999997</v>
      </c>
      <c r="S159" s="4">
        <v>40603</v>
      </c>
      <c r="T159">
        <v>53.420830000000002</v>
      </c>
      <c r="U159">
        <v>56.69247</v>
      </c>
      <c r="W159" s="4">
        <v>40603</v>
      </c>
      <c r="X159">
        <v>53.420830000000002</v>
      </c>
      <c r="Y159">
        <v>56.465350000000001</v>
      </c>
    </row>
    <row r="160" spans="1:25" x14ac:dyDescent="0.25">
      <c r="A160" s="2">
        <v>40817</v>
      </c>
      <c r="B160">
        <v>53.739939999999997</v>
      </c>
      <c r="C160">
        <v>56.311019999999999</v>
      </c>
      <c r="S160" s="4">
        <v>40634</v>
      </c>
      <c r="T160">
        <v>54.958060000000003</v>
      </c>
      <c r="U160">
        <v>57.35163</v>
      </c>
      <c r="W160" s="4">
        <v>40634</v>
      </c>
      <c r="X160">
        <v>54.958060000000003</v>
      </c>
      <c r="Y160">
        <v>57.244950000000003</v>
      </c>
    </row>
    <row r="161" spans="1:25" x14ac:dyDescent="0.25">
      <c r="A161" s="2">
        <v>40848</v>
      </c>
      <c r="B161">
        <v>53.289479999999998</v>
      </c>
      <c r="C161">
        <v>56.746229999999997</v>
      </c>
      <c r="S161" s="4">
        <v>40664</v>
      </c>
      <c r="T161">
        <v>55.559809999999999</v>
      </c>
      <c r="U161">
        <v>57.222709999999999</v>
      </c>
      <c r="W161" s="4">
        <v>40664</v>
      </c>
      <c r="X161">
        <v>55.559809999999999</v>
      </c>
      <c r="Y161">
        <v>57.085599999999999</v>
      </c>
    </row>
    <row r="162" spans="1:25" x14ac:dyDescent="0.25">
      <c r="A162" s="2">
        <v>40878</v>
      </c>
      <c r="B162">
        <v>53.942360000000001</v>
      </c>
      <c r="C162">
        <v>57.130980000000001</v>
      </c>
      <c r="S162" s="4">
        <v>40695</v>
      </c>
      <c r="T162">
        <v>55.87762</v>
      </c>
      <c r="U162">
        <v>57.452129999999997</v>
      </c>
      <c r="W162" s="4">
        <v>40695</v>
      </c>
      <c r="X162">
        <v>55.87762</v>
      </c>
      <c r="Y162">
        <v>57.31467</v>
      </c>
    </row>
    <row r="163" spans="1:25" x14ac:dyDescent="0.25">
      <c r="A163" s="2">
        <v>40909</v>
      </c>
      <c r="B163">
        <v>55.128740000000001</v>
      </c>
      <c r="C163">
        <v>56.712789999999998</v>
      </c>
      <c r="S163" s="4">
        <v>40725</v>
      </c>
      <c r="T163">
        <v>55.43976</v>
      </c>
      <c r="U163">
        <v>57.324269999999999</v>
      </c>
      <c r="W163" s="4">
        <v>40725</v>
      </c>
      <c r="X163">
        <v>55.43976</v>
      </c>
      <c r="Y163">
        <v>57.24915</v>
      </c>
    </row>
    <row r="164" spans="1:25" x14ac:dyDescent="0.25">
      <c r="A164" s="2">
        <v>40940</v>
      </c>
      <c r="B164">
        <v>53.748040000000003</v>
      </c>
      <c r="C164">
        <v>56.56053</v>
      </c>
      <c r="S164" s="4">
        <v>40756</v>
      </c>
      <c r="T164">
        <v>55.491120000000002</v>
      </c>
      <c r="U164">
        <v>57.304099999999998</v>
      </c>
      <c r="W164" s="4">
        <v>40756</v>
      </c>
      <c r="X164">
        <v>55.491120000000002</v>
      </c>
      <c r="Y164">
        <v>57.254040000000003</v>
      </c>
    </row>
    <row r="165" spans="1:25" x14ac:dyDescent="0.25">
      <c r="A165" s="2">
        <v>40969</v>
      </c>
      <c r="B165">
        <v>57.908769999999997</v>
      </c>
      <c r="C165">
        <v>56.600239999999999</v>
      </c>
      <c r="S165" s="4">
        <v>40787</v>
      </c>
      <c r="T165">
        <v>55.78407</v>
      </c>
      <c r="U165">
        <v>57.465330000000002</v>
      </c>
      <c r="W165" s="4">
        <v>40787</v>
      </c>
      <c r="X165">
        <v>55.78407</v>
      </c>
      <c r="Y165">
        <v>57.410980000000002</v>
      </c>
    </row>
    <row r="166" spans="1:25" x14ac:dyDescent="0.25">
      <c r="A166" s="2">
        <v>41000</v>
      </c>
      <c r="B166">
        <v>58.249899999999997</v>
      </c>
      <c r="C166">
        <v>56.43092</v>
      </c>
      <c r="S166" s="4">
        <v>40817</v>
      </c>
      <c r="T166">
        <v>55.6282</v>
      </c>
      <c r="U166">
        <v>57.189570000000003</v>
      </c>
      <c r="W166" s="4">
        <v>40817</v>
      </c>
      <c r="X166">
        <v>55.6282</v>
      </c>
      <c r="Y166">
        <v>57.164499999999997</v>
      </c>
    </row>
    <row r="167" spans="1:25" x14ac:dyDescent="0.25">
      <c r="A167" s="2">
        <v>41030</v>
      </c>
      <c r="B167">
        <v>58.496160000000003</v>
      </c>
      <c r="C167">
        <v>56.271030000000003</v>
      </c>
      <c r="S167" s="4">
        <v>40848</v>
      </c>
      <c r="T167">
        <v>54.996209999999998</v>
      </c>
      <c r="U167">
        <v>56.980339999999998</v>
      </c>
      <c r="W167" s="4">
        <v>40848</v>
      </c>
      <c r="X167">
        <v>54.996209999999998</v>
      </c>
      <c r="Y167">
        <v>56.997599999999998</v>
      </c>
    </row>
    <row r="168" spans="1:25" x14ac:dyDescent="0.25">
      <c r="A168" s="2">
        <v>41061</v>
      </c>
      <c r="B168">
        <v>61.098840000000003</v>
      </c>
      <c r="C168">
        <v>57.129899999999999</v>
      </c>
      <c r="S168" s="4">
        <v>40878</v>
      </c>
      <c r="T168">
        <v>54.796329999999998</v>
      </c>
      <c r="U168">
        <v>57.164119999999997</v>
      </c>
      <c r="W168" s="4">
        <v>40878</v>
      </c>
      <c r="X168">
        <v>54.796329999999998</v>
      </c>
      <c r="Y168">
        <v>57.178939999999997</v>
      </c>
    </row>
    <row r="169" spans="1:25" x14ac:dyDescent="0.25">
      <c r="A169" s="2">
        <v>41091</v>
      </c>
      <c r="B169">
        <v>55.930120000000002</v>
      </c>
      <c r="C169">
        <v>55.326189999999997</v>
      </c>
      <c r="S169" s="4">
        <v>40909</v>
      </c>
      <c r="T169">
        <v>54.62809</v>
      </c>
      <c r="U169">
        <v>56.750239999999998</v>
      </c>
      <c r="W169" s="4">
        <v>40909</v>
      </c>
      <c r="X169">
        <v>54.62809</v>
      </c>
      <c r="Y169">
        <v>56.777340000000002</v>
      </c>
    </row>
    <row r="170" spans="1:25" x14ac:dyDescent="0.25">
      <c r="A170" s="2">
        <v>41122</v>
      </c>
      <c r="B170">
        <v>59.567610000000002</v>
      </c>
      <c r="C170">
        <v>55.78586</v>
      </c>
      <c r="S170" s="4">
        <v>40940</v>
      </c>
      <c r="T170">
        <v>54.613900000000001</v>
      </c>
      <c r="U170">
        <v>56.584380000000003</v>
      </c>
      <c r="W170" s="4">
        <v>40940</v>
      </c>
      <c r="X170">
        <v>54.613900000000001</v>
      </c>
      <c r="Y170">
        <v>56.594709999999999</v>
      </c>
    </row>
    <row r="171" spans="1:25" x14ac:dyDescent="0.25">
      <c r="A171" s="2">
        <v>41153</v>
      </c>
      <c r="B171">
        <v>56.155259999999998</v>
      </c>
      <c r="C171">
        <v>55.222380000000001</v>
      </c>
      <c r="S171" s="4">
        <v>40969</v>
      </c>
      <c r="T171">
        <v>56.237540000000003</v>
      </c>
      <c r="U171">
        <v>56.411009999999997</v>
      </c>
      <c r="W171" s="4">
        <v>40969</v>
      </c>
      <c r="X171">
        <v>56.237540000000003</v>
      </c>
      <c r="Y171">
        <v>56.41328</v>
      </c>
    </row>
    <row r="172" spans="1:25" x14ac:dyDescent="0.25">
      <c r="A172" s="2">
        <v>41183</v>
      </c>
      <c r="B172">
        <v>56.555889999999998</v>
      </c>
      <c r="C172">
        <v>55.05292</v>
      </c>
      <c r="S172" s="4">
        <v>41000</v>
      </c>
      <c r="T172">
        <v>57.603270000000002</v>
      </c>
      <c r="U172">
        <v>56.357640000000004</v>
      </c>
      <c r="W172" s="4">
        <v>41000</v>
      </c>
      <c r="X172">
        <v>57.603270000000002</v>
      </c>
      <c r="Y172">
        <v>56.389029999999998</v>
      </c>
    </row>
    <row r="173" spans="1:25" x14ac:dyDescent="0.25">
      <c r="A173" s="2">
        <v>41214</v>
      </c>
      <c r="B173">
        <v>58.502040000000001</v>
      </c>
      <c r="C173">
        <v>55.791400000000003</v>
      </c>
      <c r="S173" s="4">
        <v>41030</v>
      </c>
      <c r="T173">
        <v>58.923439999999999</v>
      </c>
      <c r="U173">
        <v>56.642769999999999</v>
      </c>
      <c r="W173" s="4">
        <v>41030</v>
      </c>
      <c r="X173">
        <v>58.923439999999999</v>
      </c>
      <c r="Y173">
        <v>56.698549999999997</v>
      </c>
    </row>
    <row r="174" spans="1:25" x14ac:dyDescent="0.25">
      <c r="A174" s="2">
        <v>41244</v>
      </c>
      <c r="B174">
        <v>55.298650000000002</v>
      </c>
      <c r="C174">
        <v>55.264650000000003</v>
      </c>
      <c r="S174" s="4">
        <v>41061</v>
      </c>
      <c r="T174">
        <v>59.205629999999999</v>
      </c>
      <c r="U174">
        <v>56.637219999999999</v>
      </c>
      <c r="W174" s="4">
        <v>41061</v>
      </c>
      <c r="X174">
        <v>59.205629999999999</v>
      </c>
      <c r="Y174">
        <v>56.745710000000003</v>
      </c>
    </row>
    <row r="175" spans="1:25" x14ac:dyDescent="0.25">
      <c r="A175" s="2">
        <v>41275</v>
      </c>
      <c r="B175">
        <v>57.669199999999996</v>
      </c>
      <c r="C175">
        <v>54.797089999999997</v>
      </c>
      <c r="S175" s="4">
        <v>41091</v>
      </c>
      <c r="T175">
        <v>58.372030000000002</v>
      </c>
      <c r="U175">
        <v>56.680520000000001</v>
      </c>
      <c r="W175" s="4">
        <v>41091</v>
      </c>
      <c r="X175">
        <v>58.372030000000002</v>
      </c>
      <c r="Y175">
        <v>56.824629999999999</v>
      </c>
    </row>
    <row r="176" spans="1:25" x14ac:dyDescent="0.25">
      <c r="A176" s="2">
        <v>41306</v>
      </c>
      <c r="B176">
        <v>57.529380000000003</v>
      </c>
      <c r="C176">
        <v>53.79616</v>
      </c>
      <c r="S176" s="4">
        <v>41122</v>
      </c>
      <c r="T176">
        <v>58.199249999999999</v>
      </c>
      <c r="U176">
        <v>56.209690000000002</v>
      </c>
      <c r="W176" s="4">
        <v>41122</v>
      </c>
      <c r="X176">
        <v>58.199249999999999</v>
      </c>
      <c r="Y176">
        <v>56.382510000000003</v>
      </c>
    </row>
    <row r="177" spans="1:25" x14ac:dyDescent="0.25">
      <c r="A177" s="2">
        <v>41334</v>
      </c>
      <c r="B177">
        <v>58.060139999999997</v>
      </c>
      <c r="C177">
        <v>53.399329999999999</v>
      </c>
      <c r="S177" s="4">
        <v>41153</v>
      </c>
      <c r="T177">
        <v>57.9803</v>
      </c>
      <c r="U177">
        <v>56.189929999999997</v>
      </c>
      <c r="W177" s="4">
        <v>41153</v>
      </c>
      <c r="X177">
        <v>57.9803</v>
      </c>
      <c r="Y177">
        <v>56.346829999999997</v>
      </c>
    </row>
    <row r="178" spans="1:25" x14ac:dyDescent="0.25">
      <c r="A178" s="2">
        <v>41365</v>
      </c>
      <c r="B178">
        <v>57.5959</v>
      </c>
      <c r="C178">
        <v>53.833840000000002</v>
      </c>
      <c r="S178" s="4">
        <v>41183</v>
      </c>
      <c r="T178">
        <v>57.778619999999997</v>
      </c>
      <c r="U178">
        <v>55.952889999999996</v>
      </c>
      <c r="W178" s="4">
        <v>41183</v>
      </c>
      <c r="X178">
        <v>57.778619999999997</v>
      </c>
      <c r="Y178">
        <v>56.127839999999999</v>
      </c>
    </row>
    <row r="179" spans="1:25" x14ac:dyDescent="0.25">
      <c r="A179" s="2">
        <v>41395</v>
      </c>
      <c r="B179">
        <v>57.280740000000002</v>
      </c>
      <c r="C179">
        <v>52.263869999999997</v>
      </c>
      <c r="S179" s="4">
        <v>41214</v>
      </c>
      <c r="T179">
        <v>57.823639999999997</v>
      </c>
      <c r="U179">
        <v>55.670299999999997</v>
      </c>
      <c r="W179" s="4">
        <v>41214</v>
      </c>
      <c r="X179">
        <v>57.823639999999997</v>
      </c>
      <c r="Y179">
        <v>55.820300000000003</v>
      </c>
    </row>
    <row r="180" spans="1:25" x14ac:dyDescent="0.25">
      <c r="A180" s="2">
        <v>41426</v>
      </c>
      <c r="B180">
        <v>59.869819999999997</v>
      </c>
      <c r="C180">
        <v>53.68683</v>
      </c>
      <c r="S180" s="4">
        <v>41244</v>
      </c>
      <c r="T180">
        <v>58.099029999999999</v>
      </c>
      <c r="U180">
        <v>55.983319999999999</v>
      </c>
      <c r="W180" s="4">
        <v>41244</v>
      </c>
      <c r="X180">
        <v>58.099029999999999</v>
      </c>
      <c r="Y180">
        <v>56.15278</v>
      </c>
    </row>
    <row r="181" spans="1:25" x14ac:dyDescent="0.25">
      <c r="A181" s="2">
        <v>41456</v>
      </c>
      <c r="B181">
        <v>56.683680000000003</v>
      </c>
      <c r="C181">
        <v>52.460009999999997</v>
      </c>
      <c r="S181" s="4">
        <v>41275</v>
      </c>
      <c r="T181">
        <v>56.342089999999999</v>
      </c>
      <c r="U181">
        <v>55.017290000000003</v>
      </c>
      <c r="W181" s="4">
        <v>41275</v>
      </c>
      <c r="X181">
        <v>56.342089999999999</v>
      </c>
      <c r="Y181">
        <v>55.1509</v>
      </c>
    </row>
    <row r="182" spans="1:25" x14ac:dyDescent="0.25">
      <c r="A182" s="2">
        <v>41487</v>
      </c>
      <c r="B182">
        <v>52.734290000000001</v>
      </c>
      <c r="C182">
        <v>51.347560000000001</v>
      </c>
      <c r="S182" s="4">
        <v>41306</v>
      </c>
      <c r="T182">
        <v>57.388959999999997</v>
      </c>
      <c r="U182">
        <v>54.811250000000001</v>
      </c>
      <c r="W182" s="4">
        <v>41306</v>
      </c>
      <c r="X182">
        <v>57.388959999999997</v>
      </c>
      <c r="Y182">
        <v>54.956249999999997</v>
      </c>
    </row>
    <row r="183" spans="1:25" x14ac:dyDescent="0.25">
      <c r="A183" s="2">
        <v>41518</v>
      </c>
      <c r="B183">
        <v>57.450130000000001</v>
      </c>
      <c r="C183">
        <v>52.425409999999999</v>
      </c>
      <c r="S183" s="4">
        <v>41334</v>
      </c>
      <c r="T183">
        <v>58.353270000000002</v>
      </c>
      <c r="U183">
        <v>54.636060000000001</v>
      </c>
      <c r="W183" s="4">
        <v>41334</v>
      </c>
      <c r="X183">
        <v>58.353270000000002</v>
      </c>
      <c r="Y183">
        <v>54.752049999999997</v>
      </c>
    </row>
    <row r="184" spans="1:25" x14ac:dyDescent="0.25">
      <c r="A184" s="2">
        <v>41548</v>
      </c>
      <c r="B184">
        <v>56.179139999999997</v>
      </c>
      <c r="C184">
        <v>51.535710000000002</v>
      </c>
      <c r="S184" s="4">
        <v>41365</v>
      </c>
      <c r="T184">
        <v>57.812159999999999</v>
      </c>
      <c r="U184">
        <v>54.022759999999998</v>
      </c>
      <c r="W184" s="4">
        <v>41365</v>
      </c>
      <c r="X184">
        <v>57.812159999999999</v>
      </c>
      <c r="Y184">
        <v>54.127670000000002</v>
      </c>
    </row>
    <row r="185" spans="1:25" x14ac:dyDescent="0.25">
      <c r="A185" s="2">
        <v>41579</v>
      </c>
      <c r="B185">
        <v>56.624429999999997</v>
      </c>
      <c r="C185">
        <v>51.587510000000002</v>
      </c>
      <c r="S185" s="4">
        <v>41395</v>
      </c>
      <c r="T185">
        <v>57.930750000000003</v>
      </c>
      <c r="U185">
        <v>53.548690000000001</v>
      </c>
      <c r="W185" s="4">
        <v>41395</v>
      </c>
      <c r="X185">
        <v>57.930750000000003</v>
      </c>
      <c r="Y185">
        <v>53.627839999999999</v>
      </c>
    </row>
    <row r="186" spans="1:25" x14ac:dyDescent="0.25">
      <c r="A186" s="2">
        <v>41609</v>
      </c>
      <c r="B186">
        <v>55.629489999999997</v>
      </c>
      <c r="C186">
        <v>50.754469999999998</v>
      </c>
      <c r="S186" s="4">
        <v>41426</v>
      </c>
      <c r="T186">
        <v>58.82911</v>
      </c>
      <c r="U186">
        <v>53.684739999999998</v>
      </c>
      <c r="W186" s="4">
        <v>41426</v>
      </c>
      <c r="X186">
        <v>58.82911</v>
      </c>
      <c r="Y186">
        <v>53.769530000000003</v>
      </c>
    </row>
    <row r="187" spans="1:25" x14ac:dyDescent="0.25">
      <c r="A187" s="2">
        <v>41640</v>
      </c>
      <c r="B187">
        <v>54.062269999999998</v>
      </c>
      <c r="C187">
        <v>50.448689999999999</v>
      </c>
      <c r="S187" s="4">
        <v>41456</v>
      </c>
      <c r="T187">
        <v>58.258000000000003</v>
      </c>
      <c r="U187">
        <v>53.348520000000001</v>
      </c>
      <c r="W187" s="4">
        <v>41456</v>
      </c>
      <c r="X187">
        <v>58.258000000000003</v>
      </c>
      <c r="Y187">
        <v>53.428870000000003</v>
      </c>
    </row>
    <row r="188" spans="1:25" x14ac:dyDescent="0.25">
      <c r="A188" s="2">
        <v>41671</v>
      </c>
      <c r="B188">
        <v>51.562989999999999</v>
      </c>
      <c r="C188">
        <v>50.374609999999997</v>
      </c>
      <c r="S188" s="4">
        <v>41487</v>
      </c>
      <c r="T188">
        <v>57.878860000000003</v>
      </c>
      <c r="U188">
        <v>53.109749999999998</v>
      </c>
      <c r="W188" s="4">
        <v>41487</v>
      </c>
      <c r="X188">
        <v>57.878860000000003</v>
      </c>
      <c r="Y188">
        <v>53.168550000000003</v>
      </c>
    </row>
    <row r="189" spans="1:25" x14ac:dyDescent="0.25">
      <c r="A189" s="2">
        <v>41699</v>
      </c>
      <c r="B189">
        <v>54.996220000000001</v>
      </c>
      <c r="C189">
        <v>50.903419999999997</v>
      </c>
      <c r="S189" s="4">
        <v>41518</v>
      </c>
      <c r="T189">
        <v>57.414409999999997</v>
      </c>
      <c r="U189">
        <v>52.431339999999999</v>
      </c>
      <c r="W189" s="4">
        <v>41518</v>
      </c>
      <c r="X189">
        <v>57.414409999999997</v>
      </c>
      <c r="Y189">
        <v>52.458489999999998</v>
      </c>
    </row>
    <row r="190" spans="1:25" x14ac:dyDescent="0.25">
      <c r="A190" s="2">
        <v>41730</v>
      </c>
      <c r="B190">
        <v>54.349179999999997</v>
      </c>
      <c r="C190">
        <v>51.3262</v>
      </c>
      <c r="S190" s="4">
        <v>41548</v>
      </c>
      <c r="T190">
        <v>55.905279999999998</v>
      </c>
      <c r="U190">
        <v>51.766979999999997</v>
      </c>
      <c r="W190" s="4">
        <v>41548</v>
      </c>
      <c r="X190">
        <v>55.905279999999998</v>
      </c>
      <c r="Y190">
        <v>51.807490000000001</v>
      </c>
    </row>
    <row r="191" spans="1:25" x14ac:dyDescent="0.25">
      <c r="A191" s="2">
        <v>41760</v>
      </c>
      <c r="B191">
        <v>52.91</v>
      </c>
      <c r="C191">
        <v>51.51294</v>
      </c>
      <c r="S191" s="4">
        <v>41579</v>
      </c>
      <c r="T191">
        <v>55.533560000000001</v>
      </c>
      <c r="U191">
        <v>51.806080000000001</v>
      </c>
      <c r="W191" s="4">
        <v>41579</v>
      </c>
      <c r="X191">
        <v>55.533560000000001</v>
      </c>
      <c r="Y191">
        <v>51.789230000000003</v>
      </c>
    </row>
    <row r="192" spans="1:25" x14ac:dyDescent="0.25">
      <c r="A192" s="2">
        <v>41791</v>
      </c>
      <c r="B192">
        <v>53.025069999999999</v>
      </c>
      <c r="C192">
        <v>51.793300000000002</v>
      </c>
      <c r="S192" s="4">
        <v>41609</v>
      </c>
      <c r="T192">
        <v>54.865389999999998</v>
      </c>
      <c r="U192">
        <v>51.971820000000001</v>
      </c>
      <c r="W192" s="4">
        <v>41609</v>
      </c>
      <c r="X192">
        <v>54.865389999999998</v>
      </c>
      <c r="Y192">
        <v>51.920810000000003</v>
      </c>
    </row>
    <row r="193" spans="1:25" x14ac:dyDescent="0.25">
      <c r="A193" s="2">
        <v>41821</v>
      </c>
      <c r="B193">
        <v>47.28828</v>
      </c>
      <c r="C193">
        <v>51.694200000000002</v>
      </c>
      <c r="S193" s="4">
        <v>41640</v>
      </c>
      <c r="T193">
        <v>54.347610000000003</v>
      </c>
      <c r="U193">
        <v>50.956710000000001</v>
      </c>
      <c r="W193" s="4">
        <v>41640</v>
      </c>
      <c r="X193">
        <v>54.347610000000003</v>
      </c>
      <c r="Y193">
        <v>50.978729999999999</v>
      </c>
    </row>
    <row r="194" spans="1:25" x14ac:dyDescent="0.25">
      <c r="A194" s="2">
        <v>41852</v>
      </c>
      <c r="B194">
        <v>52.017290000000003</v>
      </c>
      <c r="C194">
        <v>52.10201</v>
      </c>
      <c r="S194" s="4">
        <v>41671</v>
      </c>
      <c r="T194">
        <v>53.809339999999999</v>
      </c>
      <c r="U194">
        <v>50.705770000000001</v>
      </c>
      <c r="W194" s="4">
        <v>41671</v>
      </c>
      <c r="X194">
        <v>53.809339999999999</v>
      </c>
      <c r="Y194">
        <v>50.666359999999997</v>
      </c>
    </row>
    <row r="195" spans="1:25" x14ac:dyDescent="0.25">
      <c r="A195" s="2">
        <v>41883</v>
      </c>
      <c r="B195">
        <v>35.852960000000003</v>
      </c>
      <c r="C195">
        <v>49.533520000000003</v>
      </c>
      <c r="S195" s="4">
        <v>41699</v>
      </c>
      <c r="T195">
        <v>55.082079999999998</v>
      </c>
      <c r="U195">
        <v>51.090040000000002</v>
      </c>
      <c r="W195" s="4">
        <v>41699</v>
      </c>
      <c r="X195">
        <v>55.082079999999998</v>
      </c>
      <c r="Y195">
        <v>51.058140000000002</v>
      </c>
    </row>
    <row r="196" spans="1:25" x14ac:dyDescent="0.25">
      <c r="S196" s="4">
        <v>41730</v>
      </c>
      <c r="T196">
        <v>54.500160000000001</v>
      </c>
      <c r="U196">
        <v>50.962359999999997</v>
      </c>
      <c r="W196" s="4">
        <v>41730</v>
      </c>
      <c r="X196">
        <v>54.500160000000001</v>
      </c>
      <c r="Y196">
        <v>50.992510000000003</v>
      </c>
    </row>
    <row r="197" spans="1:25" x14ac:dyDescent="0.25">
      <c r="S197" s="4">
        <v>41760</v>
      </c>
      <c r="T197">
        <v>54.781959999999998</v>
      </c>
      <c r="U197">
        <v>51.646320000000003</v>
      </c>
      <c r="W197" s="4">
        <v>41760</v>
      </c>
      <c r="X197">
        <v>54.781959999999998</v>
      </c>
      <c r="Y197">
        <v>51.76538</v>
      </c>
    </row>
    <row r="198" spans="1:25" x14ac:dyDescent="0.25">
      <c r="S198" s="4">
        <v>41791</v>
      </c>
      <c r="T198">
        <v>51.808199999999999</v>
      </c>
      <c r="U198">
        <v>51.127319999999997</v>
      </c>
      <c r="W198" s="4">
        <v>41791</v>
      </c>
      <c r="X198">
        <v>51.808199999999999</v>
      </c>
      <c r="Y198">
        <v>51.363849999999999</v>
      </c>
    </row>
    <row r="199" spans="1:25" x14ac:dyDescent="0.25">
      <c r="S199" s="4">
        <v>41821</v>
      </c>
      <c r="T199">
        <v>48.903599999999997</v>
      </c>
      <c r="U199">
        <v>51.031149999999997</v>
      </c>
      <c r="W199" s="4">
        <v>41821</v>
      </c>
      <c r="X199">
        <v>48.903599999999997</v>
      </c>
      <c r="Y199">
        <v>51.313760000000002</v>
      </c>
    </row>
    <row r="200" spans="1:25" x14ac:dyDescent="0.25">
      <c r="S200" s="4">
        <v>41852</v>
      </c>
      <c r="T200">
        <v>50.3566</v>
      </c>
      <c r="U200">
        <v>52.441679999999998</v>
      </c>
      <c r="W200" s="4">
        <v>41852</v>
      </c>
      <c r="X200">
        <v>50.3566</v>
      </c>
      <c r="Y200">
        <v>53.218130000000002</v>
      </c>
    </row>
    <row r="201" spans="1:25" x14ac:dyDescent="0.25">
      <c r="S201" s="4">
        <v>41883</v>
      </c>
      <c r="T201">
        <v>37.999760000000002</v>
      </c>
      <c r="U201">
        <v>50.805160000000001</v>
      </c>
      <c r="W201" s="4">
        <v>41883</v>
      </c>
      <c r="X201">
        <v>37.999760000000002</v>
      </c>
      <c r="Y201">
        <v>51.113970000000002</v>
      </c>
    </row>
    <row r="206" spans="1:25" x14ac:dyDescent="0.25">
      <c r="B206" t="s">
        <v>197</v>
      </c>
      <c r="C206" t="s">
        <v>198</v>
      </c>
      <c r="D206" t="s">
        <v>199</v>
      </c>
    </row>
    <row r="207" spans="1:25" x14ac:dyDescent="0.25">
      <c r="B207" t="s">
        <v>12</v>
      </c>
      <c r="C207">
        <v>1</v>
      </c>
      <c r="D207">
        <v>9</v>
      </c>
    </row>
    <row r="208" spans="1:25" x14ac:dyDescent="0.25">
      <c r="B208" t="s">
        <v>13</v>
      </c>
      <c r="C208">
        <v>1</v>
      </c>
      <c r="D208">
        <v>12</v>
      </c>
    </row>
    <row r="209" spans="2:4" x14ac:dyDescent="0.25">
      <c r="B209" t="s">
        <v>14</v>
      </c>
      <c r="C209">
        <v>7</v>
      </c>
      <c r="D209">
        <v>11.57</v>
      </c>
    </row>
    <row r="210" spans="2:4" x14ac:dyDescent="0.25">
      <c r="B210" t="s">
        <v>15</v>
      </c>
      <c r="C210">
        <v>2</v>
      </c>
      <c r="D210">
        <v>10.5</v>
      </c>
    </row>
    <row r="211" spans="2:4" x14ac:dyDescent="0.25">
      <c r="B211" t="s">
        <v>16</v>
      </c>
      <c r="C211">
        <v>9</v>
      </c>
      <c r="D211">
        <v>10.89</v>
      </c>
    </row>
    <row r="212" spans="2:4" x14ac:dyDescent="0.25">
      <c r="B212" t="s">
        <v>17</v>
      </c>
      <c r="C212">
        <v>12</v>
      </c>
      <c r="D212">
        <v>12.25</v>
      </c>
    </row>
    <row r="213" spans="2:4" x14ac:dyDescent="0.25">
      <c r="B213" t="s">
        <v>18</v>
      </c>
      <c r="C213">
        <v>20</v>
      </c>
      <c r="D213">
        <v>12.15</v>
      </c>
    </row>
    <row r="214" spans="2:4" x14ac:dyDescent="0.25">
      <c r="B214" t="s">
        <v>19</v>
      </c>
      <c r="C214">
        <v>25</v>
      </c>
      <c r="D214">
        <v>11.76</v>
      </c>
    </row>
    <row r="215" spans="2:4" x14ac:dyDescent="0.25">
      <c r="B215" t="s">
        <v>20</v>
      </c>
      <c r="C215">
        <v>30</v>
      </c>
      <c r="D215">
        <v>12.43</v>
      </c>
    </row>
    <row r="216" spans="2:4" x14ac:dyDescent="0.25">
      <c r="B216" t="s">
        <v>21</v>
      </c>
      <c r="C216">
        <v>36</v>
      </c>
      <c r="D216">
        <v>12.61</v>
      </c>
    </row>
    <row r="217" spans="2:4" x14ac:dyDescent="0.25">
      <c r="B217" t="s">
        <v>22</v>
      </c>
      <c r="C217">
        <v>31</v>
      </c>
      <c r="D217">
        <v>12.9</v>
      </c>
    </row>
    <row r="218" spans="2:4" x14ac:dyDescent="0.25">
      <c r="B218" t="s">
        <v>23</v>
      </c>
      <c r="C218">
        <v>47</v>
      </c>
      <c r="D218">
        <v>13</v>
      </c>
    </row>
    <row r="219" spans="2:4" x14ac:dyDescent="0.25">
      <c r="B219" t="s">
        <v>24</v>
      </c>
      <c r="C219">
        <v>48</v>
      </c>
      <c r="D219">
        <v>14</v>
      </c>
    </row>
    <row r="220" spans="2:4" x14ac:dyDescent="0.25">
      <c r="B220" t="s">
        <v>25</v>
      </c>
      <c r="C220">
        <v>79</v>
      </c>
      <c r="D220">
        <v>13.19</v>
      </c>
    </row>
    <row r="221" spans="2:4" x14ac:dyDescent="0.25">
      <c r="B221" t="s">
        <v>26</v>
      </c>
      <c r="C221">
        <v>80</v>
      </c>
      <c r="D221">
        <v>13.67</v>
      </c>
    </row>
    <row r="222" spans="2:4" x14ac:dyDescent="0.25">
      <c r="B222" t="s">
        <v>27</v>
      </c>
      <c r="C222">
        <v>86</v>
      </c>
      <c r="D222">
        <v>13.31</v>
      </c>
    </row>
    <row r="223" spans="2:4" x14ac:dyDescent="0.25">
      <c r="B223" t="s">
        <v>28</v>
      </c>
      <c r="C223">
        <v>85</v>
      </c>
      <c r="D223">
        <v>13.32</v>
      </c>
    </row>
    <row r="224" spans="2:4" x14ac:dyDescent="0.25">
      <c r="B224" t="s">
        <v>29</v>
      </c>
      <c r="C224">
        <v>90</v>
      </c>
      <c r="D224">
        <v>13.89</v>
      </c>
    </row>
    <row r="225" spans="2:4" x14ac:dyDescent="0.25">
      <c r="B225" t="s">
        <v>30</v>
      </c>
      <c r="C225">
        <v>114</v>
      </c>
      <c r="D225">
        <v>14.12</v>
      </c>
    </row>
    <row r="226" spans="2:4" x14ac:dyDescent="0.25">
      <c r="B226" t="s">
        <v>31</v>
      </c>
      <c r="C226">
        <v>115</v>
      </c>
      <c r="D226">
        <v>13.97</v>
      </c>
    </row>
    <row r="227" spans="2:4" x14ac:dyDescent="0.25">
      <c r="B227" t="s">
        <v>32</v>
      </c>
      <c r="C227">
        <v>139</v>
      </c>
      <c r="D227">
        <v>14.19</v>
      </c>
    </row>
    <row r="228" spans="2:4" x14ac:dyDescent="0.25">
      <c r="B228" t="s">
        <v>33</v>
      </c>
      <c r="C228">
        <v>125</v>
      </c>
      <c r="D228">
        <v>15.14</v>
      </c>
    </row>
    <row r="229" spans="2:4" x14ac:dyDescent="0.25">
      <c r="B229" t="s">
        <v>34</v>
      </c>
      <c r="C229">
        <v>171</v>
      </c>
      <c r="D229">
        <v>14.47</v>
      </c>
    </row>
    <row r="230" spans="2:4" x14ac:dyDescent="0.25">
      <c r="B230" t="s">
        <v>35</v>
      </c>
      <c r="C230">
        <v>140</v>
      </c>
      <c r="D230">
        <v>14.41</v>
      </c>
    </row>
    <row r="231" spans="2:4" x14ac:dyDescent="0.25">
      <c r="B231" t="s">
        <v>36</v>
      </c>
      <c r="C231">
        <v>163</v>
      </c>
      <c r="D231">
        <v>14.69</v>
      </c>
    </row>
    <row r="232" spans="2:4" x14ac:dyDescent="0.25">
      <c r="B232" t="s">
        <v>37</v>
      </c>
      <c r="C232">
        <v>204</v>
      </c>
      <c r="D232">
        <v>14.38</v>
      </c>
    </row>
    <row r="233" spans="2:4" x14ac:dyDescent="0.25">
      <c r="B233" t="s">
        <v>38</v>
      </c>
      <c r="C233">
        <v>228</v>
      </c>
      <c r="D233">
        <v>15.24</v>
      </c>
    </row>
    <row r="234" spans="2:4" x14ac:dyDescent="0.25">
      <c r="B234" t="s">
        <v>39</v>
      </c>
      <c r="C234">
        <v>257</v>
      </c>
      <c r="D234">
        <v>15.13</v>
      </c>
    </row>
    <row r="235" spans="2:4" x14ac:dyDescent="0.25">
      <c r="B235" t="s">
        <v>40</v>
      </c>
      <c r="C235">
        <v>254</v>
      </c>
      <c r="D235">
        <v>14.67</v>
      </c>
    </row>
    <row r="236" spans="2:4" x14ac:dyDescent="0.25">
      <c r="B236" t="s">
        <v>41</v>
      </c>
      <c r="C236">
        <v>265</v>
      </c>
      <c r="D236">
        <v>15.09</v>
      </c>
    </row>
    <row r="237" spans="2:4" x14ac:dyDescent="0.25">
      <c r="B237" t="s">
        <v>42</v>
      </c>
      <c r="C237">
        <v>273</v>
      </c>
      <c r="D237">
        <v>15.44</v>
      </c>
    </row>
    <row r="238" spans="2:4" x14ac:dyDescent="0.25">
      <c r="B238" t="s">
        <v>43</v>
      </c>
      <c r="C238">
        <v>314</v>
      </c>
      <c r="D238">
        <v>15.33</v>
      </c>
    </row>
    <row r="239" spans="2:4" x14ac:dyDescent="0.25">
      <c r="B239" t="s">
        <v>44</v>
      </c>
      <c r="C239">
        <v>366</v>
      </c>
      <c r="D239">
        <v>15.78</v>
      </c>
    </row>
    <row r="240" spans="2:4" x14ac:dyDescent="0.25">
      <c r="B240" t="s">
        <v>45</v>
      </c>
      <c r="C240">
        <v>381</v>
      </c>
      <c r="D240">
        <v>15.41</v>
      </c>
    </row>
    <row r="241" spans="2:4" x14ac:dyDescent="0.25">
      <c r="B241" t="s">
        <v>46</v>
      </c>
      <c r="C241">
        <v>420</v>
      </c>
      <c r="D241">
        <v>15.42</v>
      </c>
    </row>
    <row r="242" spans="2:4" x14ac:dyDescent="0.25">
      <c r="B242" t="s">
        <v>47</v>
      </c>
      <c r="C242">
        <v>385</v>
      </c>
      <c r="D242">
        <v>15.77</v>
      </c>
    </row>
    <row r="243" spans="2:4" x14ac:dyDescent="0.25">
      <c r="B243" t="s">
        <v>48</v>
      </c>
      <c r="C243">
        <v>393</v>
      </c>
      <c r="D243">
        <v>15.41</v>
      </c>
    </row>
    <row r="244" spans="2:4" x14ac:dyDescent="0.25">
      <c r="B244" t="s">
        <v>49</v>
      </c>
      <c r="C244">
        <v>450</v>
      </c>
      <c r="D244">
        <v>15.76</v>
      </c>
    </row>
    <row r="245" spans="2:4" x14ac:dyDescent="0.25">
      <c r="B245" t="s">
        <v>50</v>
      </c>
      <c r="C245">
        <v>535</v>
      </c>
      <c r="D245">
        <v>15.97</v>
      </c>
    </row>
    <row r="246" spans="2:4" x14ac:dyDescent="0.25">
      <c r="B246" t="s">
        <v>51</v>
      </c>
      <c r="C246">
        <v>580</v>
      </c>
      <c r="D246">
        <v>15.55</v>
      </c>
    </row>
    <row r="247" spans="2:4" x14ac:dyDescent="0.25">
      <c r="B247" t="s">
        <v>52</v>
      </c>
      <c r="C247">
        <v>534</v>
      </c>
      <c r="D247">
        <v>15.36</v>
      </c>
    </row>
    <row r="248" spans="2:4" x14ac:dyDescent="0.25">
      <c r="B248" t="s">
        <v>53</v>
      </c>
      <c r="C248">
        <v>574</v>
      </c>
      <c r="D248">
        <v>15.56</v>
      </c>
    </row>
    <row r="249" spans="2:4" x14ac:dyDescent="0.25">
      <c r="B249" t="s">
        <v>54</v>
      </c>
      <c r="C249">
        <v>596</v>
      </c>
      <c r="D249">
        <v>15.81</v>
      </c>
    </row>
    <row r="250" spans="2:4" x14ac:dyDescent="0.25">
      <c r="B250" t="s">
        <v>55</v>
      </c>
      <c r="C250">
        <v>668</v>
      </c>
      <c r="D250">
        <v>15.75</v>
      </c>
    </row>
    <row r="251" spans="2:4" x14ac:dyDescent="0.25">
      <c r="B251" t="s">
        <v>56</v>
      </c>
      <c r="C251">
        <v>724</v>
      </c>
      <c r="D251">
        <v>15.89</v>
      </c>
    </row>
    <row r="252" spans="2:4" x14ac:dyDescent="0.25">
      <c r="B252" t="s">
        <v>57</v>
      </c>
      <c r="C252">
        <v>654</v>
      </c>
      <c r="D252">
        <v>16.059999999999999</v>
      </c>
    </row>
    <row r="253" spans="2:4" x14ac:dyDescent="0.25">
      <c r="B253" t="s">
        <v>58</v>
      </c>
      <c r="C253">
        <v>752</v>
      </c>
      <c r="D253">
        <v>15.71</v>
      </c>
    </row>
    <row r="254" spans="2:4" x14ac:dyDescent="0.25">
      <c r="B254" t="s">
        <v>59</v>
      </c>
      <c r="C254">
        <v>684</v>
      </c>
      <c r="D254">
        <v>16.32</v>
      </c>
    </row>
    <row r="255" spans="2:4" x14ac:dyDescent="0.25">
      <c r="B255" t="s">
        <v>60</v>
      </c>
      <c r="C255">
        <v>661</v>
      </c>
      <c r="D255">
        <v>16.399999999999999</v>
      </c>
    </row>
    <row r="256" spans="2:4" x14ac:dyDescent="0.25">
      <c r="B256" t="s">
        <v>61</v>
      </c>
      <c r="C256">
        <v>907</v>
      </c>
      <c r="D256">
        <v>16.23</v>
      </c>
    </row>
    <row r="257" spans="2:4" x14ac:dyDescent="0.25">
      <c r="B257" t="s">
        <v>62</v>
      </c>
      <c r="C257">
        <v>832</v>
      </c>
      <c r="D257">
        <v>16.34</v>
      </c>
    </row>
    <row r="258" spans="2:4" x14ac:dyDescent="0.25">
      <c r="B258" t="s">
        <v>63</v>
      </c>
      <c r="C258">
        <v>799</v>
      </c>
      <c r="D258">
        <v>16.59</v>
      </c>
    </row>
    <row r="259" spans="2:4" x14ac:dyDescent="0.25">
      <c r="B259" t="s">
        <v>64</v>
      </c>
      <c r="C259">
        <v>815</v>
      </c>
      <c r="D259">
        <v>16.55</v>
      </c>
    </row>
    <row r="260" spans="2:4" x14ac:dyDescent="0.25">
      <c r="B260" t="s">
        <v>65</v>
      </c>
      <c r="C260">
        <v>820</v>
      </c>
      <c r="D260">
        <v>15.8</v>
      </c>
    </row>
    <row r="261" spans="2:4" x14ac:dyDescent="0.25">
      <c r="B261" t="s">
        <v>66</v>
      </c>
      <c r="C261">
        <v>753</v>
      </c>
      <c r="D261">
        <v>16.7</v>
      </c>
    </row>
    <row r="262" spans="2:4" x14ac:dyDescent="0.25">
      <c r="B262" t="s">
        <v>67</v>
      </c>
      <c r="C262">
        <v>757</v>
      </c>
      <c r="D262">
        <v>16.32</v>
      </c>
    </row>
    <row r="263" spans="2:4" x14ac:dyDescent="0.25">
      <c r="B263" t="s">
        <v>68</v>
      </c>
      <c r="C263">
        <v>778</v>
      </c>
      <c r="D263">
        <v>16.43</v>
      </c>
    </row>
    <row r="264" spans="2:4" x14ac:dyDescent="0.25">
      <c r="B264" t="s">
        <v>69</v>
      </c>
      <c r="C264">
        <v>742</v>
      </c>
      <c r="D264">
        <v>16.16</v>
      </c>
    </row>
    <row r="265" spans="2:4" x14ac:dyDescent="0.25">
      <c r="B265" t="s">
        <v>70</v>
      </c>
      <c r="C265">
        <v>849</v>
      </c>
      <c r="D265">
        <v>17.18</v>
      </c>
    </row>
    <row r="266" spans="2:4" x14ac:dyDescent="0.25">
      <c r="B266" t="s">
        <v>71</v>
      </c>
      <c r="C266">
        <v>653</v>
      </c>
      <c r="D266">
        <v>16.75</v>
      </c>
    </row>
    <row r="267" spans="2:4" x14ac:dyDescent="0.25">
      <c r="B267" t="s">
        <v>72</v>
      </c>
      <c r="C267">
        <v>757</v>
      </c>
      <c r="D267">
        <v>16.96</v>
      </c>
    </row>
    <row r="268" spans="2:4" x14ac:dyDescent="0.25">
      <c r="B268" t="s">
        <v>73</v>
      </c>
      <c r="C268">
        <v>1028</v>
      </c>
      <c r="D268">
        <v>17.13</v>
      </c>
    </row>
    <row r="269" spans="2:4" x14ac:dyDescent="0.25">
      <c r="B269" t="s">
        <v>74</v>
      </c>
      <c r="C269">
        <v>885</v>
      </c>
      <c r="D269">
        <v>17.05</v>
      </c>
    </row>
    <row r="270" spans="2:4" x14ac:dyDescent="0.25">
      <c r="B270" t="s">
        <v>75</v>
      </c>
      <c r="C270">
        <v>898</v>
      </c>
      <c r="D270">
        <v>16.72</v>
      </c>
    </row>
    <row r="271" spans="2:4" x14ac:dyDescent="0.25">
      <c r="B271" t="s">
        <v>76</v>
      </c>
      <c r="C271">
        <v>925</v>
      </c>
      <c r="D271">
        <v>17</v>
      </c>
    </row>
    <row r="272" spans="2:4" x14ac:dyDescent="0.25">
      <c r="B272" t="s">
        <v>77</v>
      </c>
      <c r="C272">
        <v>748</v>
      </c>
      <c r="D272">
        <v>16.77</v>
      </c>
    </row>
    <row r="273" spans="2:4" x14ac:dyDescent="0.25">
      <c r="B273" t="s">
        <v>78</v>
      </c>
      <c r="C273">
        <v>809</v>
      </c>
      <c r="D273">
        <v>17.14</v>
      </c>
    </row>
    <row r="274" spans="2:4" x14ac:dyDescent="0.25">
      <c r="B274" t="s">
        <v>79</v>
      </c>
      <c r="C274">
        <v>810</v>
      </c>
      <c r="D274">
        <v>16.66</v>
      </c>
    </row>
    <row r="275" spans="2:4" x14ac:dyDescent="0.25">
      <c r="B275" t="s">
        <v>80</v>
      </c>
      <c r="C275">
        <v>748</v>
      </c>
      <c r="D275">
        <v>17.18</v>
      </c>
    </row>
    <row r="276" spans="2:4" x14ac:dyDescent="0.25">
      <c r="B276" t="s">
        <v>81</v>
      </c>
      <c r="C276">
        <v>729</v>
      </c>
      <c r="D276">
        <v>16.61</v>
      </c>
    </row>
    <row r="277" spans="2:4" x14ac:dyDescent="0.25">
      <c r="B277" t="s">
        <v>82</v>
      </c>
      <c r="C277">
        <v>669</v>
      </c>
      <c r="D277">
        <v>17.059999999999999</v>
      </c>
    </row>
    <row r="278" spans="2:4" x14ac:dyDescent="0.25">
      <c r="B278" t="s">
        <v>83</v>
      </c>
      <c r="C278">
        <v>572</v>
      </c>
      <c r="D278">
        <v>17.260000000000002</v>
      </c>
    </row>
    <row r="279" spans="2:4" x14ac:dyDescent="0.25">
      <c r="B279" t="s">
        <v>84</v>
      </c>
      <c r="C279">
        <v>701</v>
      </c>
      <c r="D279">
        <v>17.760000000000002</v>
      </c>
    </row>
    <row r="280" spans="2:4" x14ac:dyDescent="0.25">
      <c r="B280" t="s">
        <v>85</v>
      </c>
      <c r="C280">
        <v>848</v>
      </c>
      <c r="D280">
        <v>17.59</v>
      </c>
    </row>
    <row r="281" spans="2:4" x14ac:dyDescent="0.25">
      <c r="B281" t="s">
        <v>86</v>
      </c>
      <c r="C281">
        <v>677</v>
      </c>
      <c r="D281">
        <v>17.68</v>
      </c>
    </row>
    <row r="282" spans="2:4" x14ac:dyDescent="0.25">
      <c r="B282" t="s">
        <v>87</v>
      </c>
      <c r="C282">
        <v>802</v>
      </c>
      <c r="D282">
        <v>17.05</v>
      </c>
    </row>
    <row r="283" spans="2:4" x14ac:dyDescent="0.25">
      <c r="B283" t="s">
        <v>88</v>
      </c>
      <c r="C283">
        <v>775</v>
      </c>
      <c r="D283">
        <v>16.95</v>
      </c>
    </row>
    <row r="284" spans="2:4" x14ac:dyDescent="0.25">
      <c r="B284" t="s">
        <v>89</v>
      </c>
      <c r="C284">
        <v>669</v>
      </c>
      <c r="D284">
        <v>17.89</v>
      </c>
    </row>
    <row r="285" spans="2:4" x14ac:dyDescent="0.25">
      <c r="B285" t="s">
        <v>90</v>
      </c>
      <c r="C285">
        <v>761</v>
      </c>
      <c r="D285">
        <v>17.07</v>
      </c>
    </row>
    <row r="286" spans="2:4" x14ac:dyDescent="0.25">
      <c r="B286" t="s">
        <v>91</v>
      </c>
      <c r="C286">
        <v>777</v>
      </c>
      <c r="D286">
        <v>17.38</v>
      </c>
    </row>
    <row r="287" spans="2:4" x14ac:dyDescent="0.25">
      <c r="B287" t="s">
        <v>92</v>
      </c>
      <c r="C287">
        <v>661</v>
      </c>
      <c r="D287">
        <v>17.66</v>
      </c>
    </row>
    <row r="288" spans="2:4" x14ac:dyDescent="0.25">
      <c r="B288" t="s">
        <v>93</v>
      </c>
      <c r="C288">
        <v>685</v>
      </c>
      <c r="D288">
        <v>17.489999999999998</v>
      </c>
    </row>
    <row r="289" spans="2:4" x14ac:dyDescent="0.25">
      <c r="B289" t="s">
        <v>94</v>
      </c>
      <c r="C289">
        <v>672</v>
      </c>
      <c r="D289">
        <v>17.47</v>
      </c>
    </row>
    <row r="290" spans="2:4" x14ac:dyDescent="0.25">
      <c r="B290" t="s">
        <v>95</v>
      </c>
      <c r="C290">
        <v>518</v>
      </c>
      <c r="D290">
        <v>17.38</v>
      </c>
    </row>
    <row r="291" spans="2:4" x14ac:dyDescent="0.25">
      <c r="B291" t="s">
        <v>96</v>
      </c>
      <c r="C291">
        <v>647</v>
      </c>
      <c r="D291">
        <v>17.22</v>
      </c>
    </row>
    <row r="292" spans="2:4" x14ac:dyDescent="0.25">
      <c r="B292" t="s">
        <v>97</v>
      </c>
      <c r="C292">
        <v>846</v>
      </c>
      <c r="D292">
        <v>17.41</v>
      </c>
    </row>
    <row r="293" spans="2:4" x14ac:dyDescent="0.25">
      <c r="B293" t="s">
        <v>98</v>
      </c>
      <c r="C293">
        <v>768</v>
      </c>
      <c r="D293">
        <v>17.47</v>
      </c>
    </row>
    <row r="294" spans="2:4" x14ac:dyDescent="0.25">
      <c r="B294" t="s">
        <v>99</v>
      </c>
      <c r="C294">
        <v>774</v>
      </c>
      <c r="D294">
        <v>16.72</v>
      </c>
    </row>
    <row r="295" spans="2:4" x14ac:dyDescent="0.25">
      <c r="B295" t="s">
        <v>100</v>
      </c>
      <c r="C295">
        <v>725</v>
      </c>
      <c r="D295">
        <v>16.989999999999998</v>
      </c>
    </row>
    <row r="296" spans="2:4" x14ac:dyDescent="0.25">
      <c r="B296" t="s">
        <v>101</v>
      </c>
      <c r="C296">
        <v>709</v>
      </c>
      <c r="D296">
        <v>16.670000000000002</v>
      </c>
    </row>
    <row r="297" spans="2:4" x14ac:dyDescent="0.25">
      <c r="B297" t="s">
        <v>102</v>
      </c>
      <c r="C297">
        <v>774</v>
      </c>
      <c r="D297">
        <v>16.61</v>
      </c>
    </row>
    <row r="298" spans="2:4" x14ac:dyDescent="0.25">
      <c r="B298" t="s">
        <v>103</v>
      </c>
      <c r="C298">
        <v>708</v>
      </c>
      <c r="D298">
        <v>16.89</v>
      </c>
    </row>
    <row r="299" spans="2:4" x14ac:dyDescent="0.25">
      <c r="B299" t="s">
        <v>104</v>
      </c>
      <c r="C299">
        <v>786</v>
      </c>
      <c r="D299">
        <v>16.899999999999999</v>
      </c>
    </row>
    <row r="300" spans="2:4" x14ac:dyDescent="0.25">
      <c r="B300" t="s">
        <v>105</v>
      </c>
      <c r="C300">
        <v>739</v>
      </c>
      <c r="D300">
        <v>16.64</v>
      </c>
    </row>
    <row r="301" spans="2:4" x14ac:dyDescent="0.25">
      <c r="B301" t="s">
        <v>106</v>
      </c>
      <c r="C301">
        <v>878</v>
      </c>
      <c r="D301">
        <v>16.53</v>
      </c>
    </row>
    <row r="302" spans="2:4" x14ac:dyDescent="0.25">
      <c r="B302" t="s">
        <v>107</v>
      </c>
      <c r="C302">
        <v>814</v>
      </c>
      <c r="D302">
        <v>16.29</v>
      </c>
    </row>
    <row r="303" spans="2:4" x14ac:dyDescent="0.25">
      <c r="B303" t="s">
        <v>108</v>
      </c>
      <c r="C303">
        <v>851</v>
      </c>
      <c r="D303">
        <v>16.25</v>
      </c>
    </row>
    <row r="304" spans="2:4" x14ac:dyDescent="0.25">
      <c r="B304" t="s">
        <v>109</v>
      </c>
      <c r="C304">
        <v>971</v>
      </c>
      <c r="D304">
        <v>16.71</v>
      </c>
    </row>
    <row r="305" spans="2:4" x14ac:dyDescent="0.25">
      <c r="B305" t="s">
        <v>110</v>
      </c>
      <c r="C305">
        <v>1029</v>
      </c>
      <c r="D305">
        <v>16.03</v>
      </c>
    </row>
    <row r="306" spans="2:4" x14ac:dyDescent="0.25">
      <c r="B306" t="s">
        <v>111</v>
      </c>
      <c r="C306">
        <v>1199</v>
      </c>
      <c r="D306">
        <v>15.61</v>
      </c>
    </row>
    <row r="307" spans="2:4" x14ac:dyDescent="0.25">
      <c r="B307" t="s">
        <v>112</v>
      </c>
      <c r="C307">
        <v>1223</v>
      </c>
      <c r="D307">
        <v>15.55</v>
      </c>
    </row>
    <row r="308" spans="2:4" x14ac:dyDescent="0.25">
      <c r="B308" t="s">
        <v>113</v>
      </c>
      <c r="C308">
        <v>1123</v>
      </c>
      <c r="D308">
        <v>15.37</v>
      </c>
    </row>
    <row r="309" spans="2:4" x14ac:dyDescent="0.25">
      <c r="B309" t="s">
        <v>114</v>
      </c>
      <c r="C309">
        <v>1185</v>
      </c>
      <c r="D309">
        <v>15.42</v>
      </c>
    </row>
    <row r="310" spans="2:4" x14ac:dyDescent="0.25">
      <c r="B310" t="s">
        <v>115</v>
      </c>
      <c r="C310">
        <v>1144</v>
      </c>
      <c r="D310">
        <v>15.89</v>
      </c>
    </row>
    <row r="311" spans="2:4" x14ac:dyDescent="0.25">
      <c r="B311" t="s">
        <v>116</v>
      </c>
      <c r="C311">
        <v>1318</v>
      </c>
      <c r="D311">
        <v>15.86</v>
      </c>
    </row>
    <row r="312" spans="2:4" x14ac:dyDescent="0.25">
      <c r="B312" t="s">
        <v>117</v>
      </c>
      <c r="C312">
        <v>1018</v>
      </c>
      <c r="D312">
        <v>15.51</v>
      </c>
    </row>
    <row r="313" spans="2:4" x14ac:dyDescent="0.25">
      <c r="B313" t="s">
        <v>118</v>
      </c>
      <c r="C313">
        <v>1546</v>
      </c>
      <c r="D313">
        <v>15.67</v>
      </c>
    </row>
    <row r="314" spans="2:4" x14ac:dyDescent="0.25">
      <c r="B314" t="s">
        <v>119</v>
      </c>
      <c r="C314">
        <v>1342</v>
      </c>
      <c r="D314">
        <v>15.92</v>
      </c>
    </row>
    <row r="315" spans="2:4" x14ac:dyDescent="0.25">
      <c r="B315" t="s">
        <v>120</v>
      </c>
      <c r="C315">
        <v>1508</v>
      </c>
      <c r="D315">
        <v>16.329999999999998</v>
      </c>
    </row>
    <row r="316" spans="2:4" x14ac:dyDescent="0.25">
      <c r="B316" t="s">
        <v>121</v>
      </c>
      <c r="C316">
        <v>1844</v>
      </c>
      <c r="D316">
        <v>16.53</v>
      </c>
    </row>
    <row r="317" spans="2:4" x14ac:dyDescent="0.25">
      <c r="B317" t="s">
        <v>122</v>
      </c>
      <c r="C317">
        <v>1728</v>
      </c>
      <c r="D317">
        <v>16.28</v>
      </c>
    </row>
    <row r="318" spans="2:4" x14ac:dyDescent="0.25">
      <c r="B318" t="s">
        <v>123</v>
      </c>
      <c r="C318">
        <v>1800</v>
      </c>
      <c r="D318">
        <v>16.43</v>
      </c>
    </row>
    <row r="319" spans="2:4" x14ac:dyDescent="0.25">
      <c r="B319" t="s">
        <v>124</v>
      </c>
      <c r="C319">
        <v>2078</v>
      </c>
      <c r="D319">
        <v>16.329999999999998</v>
      </c>
    </row>
    <row r="320" spans="2:4" x14ac:dyDescent="0.25">
      <c r="B320" t="s">
        <v>125</v>
      </c>
      <c r="C320">
        <v>2084</v>
      </c>
      <c r="D320">
        <v>16.23</v>
      </c>
    </row>
    <row r="321" spans="2:4" x14ac:dyDescent="0.25">
      <c r="B321" t="s">
        <v>126</v>
      </c>
      <c r="C321">
        <v>1952</v>
      </c>
      <c r="D321">
        <v>16.510000000000002</v>
      </c>
    </row>
    <row r="322" spans="2:4" x14ac:dyDescent="0.25">
      <c r="B322" t="s">
        <v>127</v>
      </c>
      <c r="C322">
        <v>2213</v>
      </c>
      <c r="D322">
        <v>16.22</v>
      </c>
    </row>
    <row r="323" spans="2:4" x14ac:dyDescent="0.25">
      <c r="B323" t="s">
        <v>128</v>
      </c>
      <c r="C323">
        <v>2637</v>
      </c>
      <c r="D323">
        <v>16.239999999999998</v>
      </c>
    </row>
    <row r="324" spans="2:4" x14ac:dyDescent="0.25">
      <c r="B324" t="s">
        <v>129</v>
      </c>
      <c r="C324">
        <v>2337</v>
      </c>
      <c r="D324">
        <v>16.68</v>
      </c>
    </row>
    <row r="325" spans="2:4" x14ac:dyDescent="0.25">
      <c r="B325" t="s">
        <v>130</v>
      </c>
      <c r="C325">
        <v>2818</v>
      </c>
      <c r="D325">
        <v>16.920000000000002</v>
      </c>
    </row>
    <row r="326" spans="2:4" x14ac:dyDescent="0.25">
      <c r="B326" t="s">
        <v>131</v>
      </c>
      <c r="C326">
        <v>2217</v>
      </c>
      <c r="D326">
        <v>17.12</v>
      </c>
    </row>
    <row r="327" spans="2:4" x14ac:dyDescent="0.25">
      <c r="B327" t="s">
        <v>132</v>
      </c>
      <c r="C327">
        <v>2514</v>
      </c>
      <c r="D327">
        <v>17.47</v>
      </c>
    </row>
    <row r="328" spans="2:4" x14ac:dyDescent="0.25">
      <c r="B328" t="s">
        <v>133</v>
      </c>
      <c r="C328">
        <v>3605</v>
      </c>
      <c r="D328">
        <v>17.649999999999999</v>
      </c>
    </row>
    <row r="329" spans="2:4" x14ac:dyDescent="0.25">
      <c r="B329" t="s">
        <v>134</v>
      </c>
      <c r="C329">
        <v>3394</v>
      </c>
      <c r="D329">
        <v>17.73</v>
      </c>
    </row>
    <row r="330" spans="2:4" x14ac:dyDescent="0.25">
      <c r="B330" t="s">
        <v>135</v>
      </c>
      <c r="C330">
        <v>3368</v>
      </c>
      <c r="D330">
        <v>18.02</v>
      </c>
    </row>
    <row r="331" spans="2:4" x14ac:dyDescent="0.25">
      <c r="B331" t="s">
        <v>136</v>
      </c>
      <c r="C331">
        <v>3494</v>
      </c>
      <c r="D331">
        <v>18.329999999999998</v>
      </c>
    </row>
    <row r="332" spans="2:4" x14ac:dyDescent="0.25">
      <c r="B332" t="s">
        <v>137</v>
      </c>
      <c r="C332">
        <v>3210</v>
      </c>
      <c r="D332">
        <v>18.61</v>
      </c>
    </row>
    <row r="333" spans="2:4" x14ac:dyDescent="0.25">
      <c r="B333" t="s">
        <v>138</v>
      </c>
      <c r="C333">
        <v>3530</v>
      </c>
      <c r="D333">
        <v>18.79</v>
      </c>
    </row>
    <row r="334" spans="2:4" x14ac:dyDescent="0.25">
      <c r="B334" t="s">
        <v>139</v>
      </c>
      <c r="C334">
        <v>3920</v>
      </c>
      <c r="D334">
        <v>18.899999999999999</v>
      </c>
    </row>
    <row r="335" spans="2:4" x14ac:dyDescent="0.25">
      <c r="B335" t="s">
        <v>140</v>
      </c>
      <c r="C335">
        <v>3424</v>
      </c>
      <c r="D335">
        <v>18.829999999999998</v>
      </c>
    </row>
    <row r="336" spans="2:4" x14ac:dyDescent="0.25">
      <c r="B336" t="s">
        <v>141</v>
      </c>
      <c r="C336">
        <v>3344</v>
      </c>
      <c r="D336">
        <v>19.04</v>
      </c>
    </row>
    <row r="337" spans="2:4" x14ac:dyDescent="0.25">
      <c r="B337" t="s">
        <v>142</v>
      </c>
      <c r="C337">
        <v>4479</v>
      </c>
      <c r="D337">
        <v>19.63</v>
      </c>
    </row>
    <row r="338" spans="2:4" x14ac:dyDescent="0.25">
      <c r="B338" t="s">
        <v>143</v>
      </c>
      <c r="C338">
        <v>4232</v>
      </c>
      <c r="D338">
        <v>20.149999999999999</v>
      </c>
    </row>
    <row r="339" spans="2:4" x14ac:dyDescent="0.25">
      <c r="B339" t="s">
        <v>144</v>
      </c>
      <c r="C339">
        <v>4307</v>
      </c>
      <c r="D339">
        <v>20.73</v>
      </c>
    </row>
    <row r="340" spans="2:4" x14ac:dyDescent="0.25">
      <c r="B340" t="s">
        <v>145</v>
      </c>
      <c r="C340">
        <v>5387</v>
      </c>
      <c r="D340">
        <v>21.08</v>
      </c>
    </row>
    <row r="341" spans="2:4" x14ac:dyDescent="0.25">
      <c r="B341" t="s">
        <v>146</v>
      </c>
      <c r="C341">
        <v>4431</v>
      </c>
      <c r="D341">
        <v>21.03</v>
      </c>
    </row>
    <row r="342" spans="2:4" x14ac:dyDescent="0.25">
      <c r="B342" t="s">
        <v>147</v>
      </c>
      <c r="C342">
        <v>4243</v>
      </c>
      <c r="D342">
        <v>21</v>
      </c>
    </row>
    <row r="343" spans="2:4" x14ac:dyDescent="0.25">
      <c r="B343" t="s">
        <v>148</v>
      </c>
      <c r="C343">
        <v>4245</v>
      </c>
      <c r="D343">
        <v>20.88</v>
      </c>
    </row>
    <row r="344" spans="2:4" x14ac:dyDescent="0.25">
      <c r="B344" t="s">
        <v>149</v>
      </c>
      <c r="C344">
        <v>3728</v>
      </c>
      <c r="D344">
        <v>21.43</v>
      </c>
    </row>
    <row r="345" spans="2:4" x14ac:dyDescent="0.25">
      <c r="B345" t="s">
        <v>150</v>
      </c>
      <c r="C345">
        <v>3922</v>
      </c>
      <c r="D345">
        <v>21.55</v>
      </c>
    </row>
    <row r="346" spans="2:4" x14ac:dyDescent="0.25">
      <c r="B346" t="s">
        <v>151</v>
      </c>
      <c r="C346">
        <v>3654</v>
      </c>
      <c r="D346">
        <v>21.95</v>
      </c>
    </row>
    <row r="347" spans="2:4" x14ac:dyDescent="0.25">
      <c r="B347" t="s">
        <v>152</v>
      </c>
      <c r="C347">
        <v>3424</v>
      </c>
      <c r="D347">
        <v>22.12</v>
      </c>
    </row>
    <row r="348" spans="2:4" x14ac:dyDescent="0.25">
      <c r="B348" t="s">
        <v>153</v>
      </c>
      <c r="C348">
        <v>3454</v>
      </c>
      <c r="D348">
        <v>22.52</v>
      </c>
    </row>
    <row r="349" spans="2:4" x14ac:dyDescent="0.25">
      <c r="B349" t="s">
        <v>154</v>
      </c>
      <c r="C349">
        <v>4047</v>
      </c>
      <c r="D349">
        <v>22.67</v>
      </c>
    </row>
    <row r="350" spans="2:4" x14ac:dyDescent="0.25">
      <c r="B350" t="s">
        <v>155</v>
      </c>
      <c r="C350">
        <v>3552</v>
      </c>
      <c r="D350">
        <v>23.11</v>
      </c>
    </row>
    <row r="351" spans="2:4" x14ac:dyDescent="0.25">
      <c r="B351" t="s">
        <v>156</v>
      </c>
      <c r="C351">
        <v>4001</v>
      </c>
      <c r="D351">
        <v>23.27</v>
      </c>
    </row>
    <row r="352" spans="2:4" x14ac:dyDescent="0.25">
      <c r="B352" t="s">
        <v>157</v>
      </c>
      <c r="C352">
        <v>4432</v>
      </c>
      <c r="D352">
        <v>23.24</v>
      </c>
    </row>
    <row r="353" spans="2:4" x14ac:dyDescent="0.25">
      <c r="B353" t="s">
        <v>158</v>
      </c>
      <c r="C353">
        <v>4101</v>
      </c>
      <c r="D353">
        <v>23.56</v>
      </c>
    </row>
    <row r="354" spans="2:4" x14ac:dyDescent="0.25">
      <c r="B354" t="s">
        <v>159</v>
      </c>
      <c r="C354">
        <v>4395</v>
      </c>
      <c r="D354">
        <v>24.05</v>
      </c>
    </row>
    <row r="355" spans="2:4" x14ac:dyDescent="0.25">
      <c r="B355" t="s">
        <v>160</v>
      </c>
      <c r="C355">
        <v>4097</v>
      </c>
      <c r="D355">
        <v>24.79</v>
      </c>
    </row>
    <row r="356" spans="2:4" x14ac:dyDescent="0.25">
      <c r="B356" t="s">
        <v>161</v>
      </c>
      <c r="C356">
        <v>3797</v>
      </c>
      <c r="D356">
        <v>24.87</v>
      </c>
    </row>
    <row r="357" spans="2:4" x14ac:dyDescent="0.25">
      <c r="B357" t="s">
        <v>162</v>
      </c>
      <c r="C357">
        <v>4079</v>
      </c>
      <c r="D357">
        <v>25.29</v>
      </c>
    </row>
    <row r="358" spans="2:4" x14ac:dyDescent="0.25">
      <c r="B358" t="s">
        <v>163</v>
      </c>
      <c r="C358">
        <v>3458</v>
      </c>
      <c r="D358">
        <v>25.29</v>
      </c>
    </row>
    <row r="359" spans="2:4" x14ac:dyDescent="0.25">
      <c r="B359" t="s">
        <v>164</v>
      </c>
      <c r="C359">
        <v>3816</v>
      </c>
      <c r="D359">
        <v>25.59</v>
      </c>
    </row>
    <row r="360" spans="2:4" x14ac:dyDescent="0.25">
      <c r="B360" t="s">
        <v>165</v>
      </c>
      <c r="C360">
        <v>3389</v>
      </c>
      <c r="D360">
        <v>25.57</v>
      </c>
    </row>
    <row r="361" spans="2:4" x14ac:dyDescent="0.25">
      <c r="B361" t="s">
        <v>166</v>
      </c>
      <c r="C361">
        <v>3096</v>
      </c>
      <c r="D361">
        <v>26.4</v>
      </c>
    </row>
    <row r="362" spans="2:4" x14ac:dyDescent="0.25">
      <c r="B362" t="s">
        <v>167</v>
      </c>
      <c r="C362">
        <v>3093</v>
      </c>
      <c r="D362">
        <v>26.26</v>
      </c>
    </row>
    <row r="363" spans="2:4" x14ac:dyDescent="0.25">
      <c r="B363" t="s">
        <v>168</v>
      </c>
      <c r="C363">
        <v>3107</v>
      </c>
      <c r="D363">
        <v>26.24</v>
      </c>
    </row>
    <row r="364" spans="2:4" x14ac:dyDescent="0.25">
      <c r="B364" t="s">
        <v>169</v>
      </c>
      <c r="C364">
        <v>3691</v>
      </c>
      <c r="D364">
        <v>27.04</v>
      </c>
    </row>
    <row r="365" spans="2:4" x14ac:dyDescent="0.25">
      <c r="B365" t="s">
        <v>170</v>
      </c>
      <c r="C365">
        <v>3571</v>
      </c>
      <c r="D365">
        <v>26.92</v>
      </c>
    </row>
    <row r="366" spans="2:4" x14ac:dyDescent="0.25">
      <c r="B366" t="s">
        <v>171</v>
      </c>
      <c r="C366">
        <v>3597</v>
      </c>
      <c r="D366">
        <v>27.41</v>
      </c>
    </row>
    <row r="367" spans="2:4" x14ac:dyDescent="0.25">
      <c r="B367" t="s">
        <v>172</v>
      </c>
      <c r="C367">
        <v>3087</v>
      </c>
      <c r="D367">
        <v>27.64</v>
      </c>
    </row>
    <row r="368" spans="2:4" x14ac:dyDescent="0.25">
      <c r="B368" t="s">
        <v>173</v>
      </c>
      <c r="C368">
        <v>3080</v>
      </c>
      <c r="D368">
        <v>28.32</v>
      </c>
    </row>
    <row r="369" spans="2:4" x14ac:dyDescent="0.25">
      <c r="B369" t="s">
        <v>174</v>
      </c>
      <c r="C369">
        <v>3061</v>
      </c>
      <c r="D369">
        <v>28.98</v>
      </c>
    </row>
    <row r="370" spans="2:4" x14ac:dyDescent="0.25">
      <c r="B370" t="s">
        <v>175</v>
      </c>
      <c r="C370">
        <v>2702</v>
      </c>
      <c r="D370">
        <v>29.34</v>
      </c>
    </row>
    <row r="371" spans="2:4" x14ac:dyDescent="0.25">
      <c r="B371" t="s">
        <v>176</v>
      </c>
      <c r="C371">
        <v>2911</v>
      </c>
      <c r="D371">
        <v>30.56</v>
      </c>
    </row>
    <row r="372" spans="2:4" x14ac:dyDescent="0.25">
      <c r="B372" t="s">
        <v>177</v>
      </c>
      <c r="C372">
        <v>2825</v>
      </c>
      <c r="D372">
        <v>30.27</v>
      </c>
    </row>
    <row r="373" spans="2:4" x14ac:dyDescent="0.25">
      <c r="B373" t="s">
        <v>178</v>
      </c>
      <c r="C373">
        <v>3067</v>
      </c>
      <c r="D373">
        <v>30.69</v>
      </c>
    </row>
    <row r="374" spans="2:4" x14ac:dyDescent="0.25">
      <c r="B374" t="s">
        <v>179</v>
      </c>
      <c r="C374">
        <v>3071</v>
      </c>
      <c r="D374">
        <v>31.44</v>
      </c>
    </row>
    <row r="375" spans="2:4" x14ac:dyDescent="0.25">
      <c r="B375" t="s">
        <v>180</v>
      </c>
      <c r="C375">
        <v>3125</v>
      </c>
      <c r="D375">
        <v>31.1</v>
      </c>
    </row>
    <row r="376" spans="2:4" x14ac:dyDescent="0.25">
      <c r="B376" t="s">
        <v>181</v>
      </c>
      <c r="C376">
        <v>3383</v>
      </c>
      <c r="D376">
        <v>31.81</v>
      </c>
    </row>
    <row r="377" spans="2:4" x14ac:dyDescent="0.25">
      <c r="B377" t="s">
        <v>182</v>
      </c>
      <c r="C377">
        <v>3293</v>
      </c>
      <c r="D377">
        <v>32.51</v>
      </c>
    </row>
    <row r="378" spans="2:4" x14ac:dyDescent="0.25">
      <c r="B378" t="s">
        <v>183</v>
      </c>
      <c r="C378">
        <v>3183</v>
      </c>
      <c r="D378">
        <v>33.01</v>
      </c>
    </row>
    <row r="379" spans="2:4" x14ac:dyDescent="0.25">
      <c r="B379" t="s">
        <v>184</v>
      </c>
      <c r="C379">
        <v>2832</v>
      </c>
      <c r="D379">
        <v>33.340000000000003</v>
      </c>
    </row>
    <row r="380" spans="2:4" x14ac:dyDescent="0.25">
      <c r="B380" t="s">
        <v>185</v>
      </c>
      <c r="C380">
        <v>2811</v>
      </c>
      <c r="D380">
        <v>33.69</v>
      </c>
    </row>
    <row r="381" spans="2:4" x14ac:dyDescent="0.25">
      <c r="B381" t="s">
        <v>186</v>
      </c>
      <c r="C381">
        <v>2641</v>
      </c>
      <c r="D381">
        <v>33.85</v>
      </c>
    </row>
    <row r="382" spans="2:4" x14ac:dyDescent="0.25">
      <c r="B382" t="s">
        <v>187</v>
      </c>
      <c r="C382">
        <v>2434</v>
      </c>
      <c r="D382">
        <v>35.35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9"/>
  <sheetViews>
    <sheetView topLeftCell="A25" workbookViewId="0">
      <selection activeCell="R86" sqref="R86"/>
    </sheetView>
  </sheetViews>
  <sheetFormatPr defaultRowHeight="15" x14ac:dyDescent="0.25"/>
  <cols>
    <col min="1" max="1" width="11.28515625" bestFit="1" customWidth="1"/>
    <col min="23" max="23" width="11.28515625" bestFit="1" customWidth="1"/>
    <col min="28" max="28" width="11.28515625" bestFit="1" customWidth="1"/>
  </cols>
  <sheetData>
    <row r="1" spans="1:30" x14ac:dyDescent="0.25">
      <c r="W1" t="s">
        <v>8</v>
      </c>
      <c r="AB1" t="s">
        <v>9</v>
      </c>
    </row>
    <row r="2" spans="1:30" x14ac:dyDescent="0.25">
      <c r="A2" s="1"/>
      <c r="B2" t="s">
        <v>6</v>
      </c>
      <c r="C2" t="s">
        <v>7</v>
      </c>
      <c r="W2" s="3"/>
      <c r="X2" t="s">
        <v>4</v>
      </c>
      <c r="Y2" t="s">
        <v>5</v>
      </c>
      <c r="AB2" s="3"/>
      <c r="AC2" t="s">
        <v>4</v>
      </c>
      <c r="AD2" t="s">
        <v>5</v>
      </c>
    </row>
    <row r="3" spans="1:30" x14ac:dyDescent="0.25">
      <c r="A3" s="2">
        <v>36617</v>
      </c>
      <c r="B3">
        <v>44042.62</v>
      </c>
      <c r="C3">
        <v>20030.84</v>
      </c>
      <c r="W3" s="4">
        <v>36526</v>
      </c>
      <c r="X3">
        <v>4860.04</v>
      </c>
      <c r="Y3">
        <v>27028.31</v>
      </c>
      <c r="AB3" s="4">
        <v>36526</v>
      </c>
      <c r="AC3">
        <v>4860.04</v>
      </c>
      <c r="AD3">
        <v>24818.52</v>
      </c>
    </row>
    <row r="4" spans="1:30" x14ac:dyDescent="0.25">
      <c r="A4" s="2">
        <v>36708</v>
      </c>
      <c r="B4">
        <v>42000</v>
      </c>
      <c r="C4">
        <v>30789.85</v>
      </c>
      <c r="W4" s="4">
        <v>36557</v>
      </c>
      <c r="X4">
        <v>7089.07</v>
      </c>
      <c r="Y4">
        <v>40485.589999999997</v>
      </c>
      <c r="AB4" s="4">
        <v>36557</v>
      </c>
      <c r="AC4">
        <v>7089.07</v>
      </c>
      <c r="AD4">
        <v>39366.44</v>
      </c>
    </row>
    <row r="5" spans="1:30" x14ac:dyDescent="0.25">
      <c r="A5" s="2">
        <v>36739</v>
      </c>
      <c r="B5">
        <v>30480.720000000001</v>
      </c>
      <c r="C5">
        <v>53921.42</v>
      </c>
      <c r="W5" s="4">
        <v>36586</v>
      </c>
      <c r="X5">
        <v>15692.89</v>
      </c>
      <c r="Y5">
        <v>38519.589999999997</v>
      </c>
      <c r="AB5" s="4">
        <v>36586</v>
      </c>
      <c r="AC5">
        <v>15692.89</v>
      </c>
      <c r="AD5">
        <v>35837.980000000003</v>
      </c>
    </row>
    <row r="6" spans="1:30" x14ac:dyDescent="0.25">
      <c r="A6" s="2">
        <v>36770</v>
      </c>
      <c r="B6">
        <v>16826.43</v>
      </c>
      <c r="C6">
        <v>25958.05</v>
      </c>
      <c r="W6" s="4">
        <v>36617</v>
      </c>
      <c r="X6">
        <v>24984.78</v>
      </c>
      <c r="Y6">
        <v>43752.08</v>
      </c>
      <c r="AB6" s="4">
        <v>36617</v>
      </c>
      <c r="AC6">
        <v>24984.78</v>
      </c>
      <c r="AD6">
        <v>41513.9</v>
      </c>
    </row>
    <row r="7" spans="1:30" x14ac:dyDescent="0.25">
      <c r="A7" s="2">
        <v>36800</v>
      </c>
      <c r="B7">
        <v>13430.98</v>
      </c>
      <c r="C7">
        <v>53321.37</v>
      </c>
      <c r="W7" s="4">
        <v>36647</v>
      </c>
      <c r="X7">
        <v>13787.56</v>
      </c>
      <c r="Y7">
        <v>39105.22</v>
      </c>
      <c r="AB7" s="4">
        <v>36647</v>
      </c>
      <c r="AC7">
        <v>13787.56</v>
      </c>
      <c r="AD7">
        <v>36489.19</v>
      </c>
    </row>
    <row r="8" spans="1:30" x14ac:dyDescent="0.25">
      <c r="A8" s="2">
        <v>36831</v>
      </c>
      <c r="B8">
        <v>44400</v>
      </c>
      <c r="C8">
        <v>42979.17</v>
      </c>
      <c r="W8" s="4">
        <v>36678</v>
      </c>
      <c r="X8">
        <v>21517.9</v>
      </c>
      <c r="Y8">
        <v>35041.199999999997</v>
      </c>
      <c r="AB8" s="4">
        <v>36678</v>
      </c>
      <c r="AC8">
        <v>21517.9</v>
      </c>
      <c r="AD8">
        <v>34068.660000000003</v>
      </c>
    </row>
    <row r="9" spans="1:30" x14ac:dyDescent="0.25">
      <c r="A9" s="2">
        <v>36861</v>
      </c>
      <c r="B9">
        <v>-10422.33</v>
      </c>
      <c r="C9">
        <v>40413.449999999997</v>
      </c>
      <c r="W9" s="4">
        <v>36708</v>
      </c>
      <c r="X9">
        <v>16637.419999999998</v>
      </c>
      <c r="Y9">
        <v>38750.39</v>
      </c>
      <c r="AB9" s="4">
        <v>36708</v>
      </c>
      <c r="AC9">
        <v>16637.419999999998</v>
      </c>
      <c r="AD9">
        <v>38102.699999999997</v>
      </c>
    </row>
    <row r="10" spans="1:30" x14ac:dyDescent="0.25">
      <c r="A10" s="2">
        <v>36892</v>
      </c>
      <c r="B10">
        <v>17597.5</v>
      </c>
      <c r="C10">
        <v>38190.199999999997</v>
      </c>
      <c r="W10" s="4">
        <v>36739</v>
      </c>
      <c r="X10">
        <v>42666.879999999997</v>
      </c>
      <c r="Y10">
        <v>38994.14</v>
      </c>
      <c r="AB10" s="4">
        <v>36739</v>
      </c>
      <c r="AC10">
        <v>42666.879999999997</v>
      </c>
      <c r="AD10">
        <v>38281.660000000003</v>
      </c>
    </row>
    <row r="11" spans="1:30" x14ac:dyDescent="0.25">
      <c r="A11" s="2">
        <v>36923</v>
      </c>
      <c r="B11">
        <v>82821.070000000007</v>
      </c>
      <c r="C11">
        <v>49653.82</v>
      </c>
      <c r="W11" s="4">
        <v>36770</v>
      </c>
      <c r="X11">
        <v>36443.89</v>
      </c>
      <c r="Y11">
        <v>37851.25</v>
      </c>
      <c r="AB11" s="4">
        <v>36770</v>
      </c>
      <c r="AC11">
        <v>36443.89</v>
      </c>
      <c r="AD11">
        <v>37496.959999999999</v>
      </c>
    </row>
    <row r="12" spans="1:30" x14ac:dyDescent="0.25">
      <c r="A12" s="2">
        <v>36951</v>
      </c>
      <c r="B12">
        <v>39601.83</v>
      </c>
      <c r="C12">
        <v>36377.54</v>
      </c>
      <c r="W12" s="4">
        <v>36800</v>
      </c>
      <c r="X12">
        <v>41965.21</v>
      </c>
      <c r="Y12">
        <v>40668.25</v>
      </c>
      <c r="AB12" s="4">
        <v>36800</v>
      </c>
      <c r="AC12">
        <v>41965.21</v>
      </c>
      <c r="AD12">
        <v>40011.800000000003</v>
      </c>
    </row>
    <row r="13" spans="1:30" x14ac:dyDescent="0.25">
      <c r="A13" s="2">
        <v>36982</v>
      </c>
      <c r="B13">
        <v>18595.98</v>
      </c>
      <c r="C13">
        <v>35974.050000000003</v>
      </c>
      <c r="W13" s="4">
        <v>36831</v>
      </c>
      <c r="X13">
        <v>33520.79</v>
      </c>
      <c r="Y13">
        <v>36893.199999999997</v>
      </c>
      <c r="AB13" s="4">
        <v>36831</v>
      </c>
      <c r="AC13">
        <v>33520.79</v>
      </c>
      <c r="AD13">
        <v>36239.1</v>
      </c>
    </row>
    <row r="14" spans="1:30" x14ac:dyDescent="0.25">
      <c r="A14" s="2">
        <v>37012</v>
      </c>
      <c r="B14">
        <v>40268.57</v>
      </c>
      <c r="C14">
        <v>40024.22</v>
      </c>
      <c r="W14" s="4">
        <v>36861</v>
      </c>
      <c r="X14">
        <v>30332.13</v>
      </c>
      <c r="Y14">
        <v>34928.46</v>
      </c>
      <c r="AB14" s="4">
        <v>36861</v>
      </c>
      <c r="AC14">
        <v>30332.13</v>
      </c>
      <c r="AD14">
        <v>34454.699999999997</v>
      </c>
    </row>
    <row r="15" spans="1:30" x14ac:dyDescent="0.25">
      <c r="A15" s="2">
        <v>37043</v>
      </c>
      <c r="B15">
        <v>17380.98</v>
      </c>
      <c r="C15">
        <v>39853.64</v>
      </c>
      <c r="W15" s="4">
        <v>36892</v>
      </c>
      <c r="X15">
        <v>43164.61</v>
      </c>
      <c r="Y15">
        <v>34150.07</v>
      </c>
      <c r="AB15" s="4">
        <v>36892</v>
      </c>
      <c r="AC15">
        <v>43164.61</v>
      </c>
      <c r="AD15">
        <v>34048.629999999997</v>
      </c>
    </row>
    <row r="16" spans="1:30" x14ac:dyDescent="0.25">
      <c r="A16" s="2">
        <v>37073</v>
      </c>
      <c r="B16">
        <v>18758.57</v>
      </c>
      <c r="C16">
        <v>31510.92</v>
      </c>
      <c r="W16" s="4">
        <v>36923</v>
      </c>
      <c r="X16">
        <v>33867.49</v>
      </c>
      <c r="Y16">
        <v>36380.39</v>
      </c>
      <c r="AB16" s="4">
        <v>36923</v>
      </c>
      <c r="AC16">
        <v>33867.49</v>
      </c>
      <c r="AD16">
        <v>35579.050000000003</v>
      </c>
    </row>
    <row r="17" spans="1:30" x14ac:dyDescent="0.25">
      <c r="A17" s="2">
        <v>37104</v>
      </c>
      <c r="B17">
        <v>57798.26</v>
      </c>
      <c r="C17">
        <v>35423.19</v>
      </c>
      <c r="W17" s="4">
        <v>36951</v>
      </c>
      <c r="X17">
        <v>30696.36</v>
      </c>
      <c r="Y17">
        <v>35452.269999999997</v>
      </c>
      <c r="AB17" s="4">
        <v>36951</v>
      </c>
      <c r="AC17">
        <v>30696.36</v>
      </c>
      <c r="AD17">
        <v>34928.58</v>
      </c>
    </row>
    <row r="18" spans="1:30" x14ac:dyDescent="0.25">
      <c r="A18" s="2">
        <v>37135</v>
      </c>
      <c r="B18">
        <v>39194.86</v>
      </c>
      <c r="C18">
        <v>28417.24</v>
      </c>
      <c r="W18" s="4">
        <v>36982</v>
      </c>
      <c r="X18">
        <v>25071.37</v>
      </c>
      <c r="Y18">
        <v>34750.42</v>
      </c>
      <c r="AB18" s="4">
        <v>36982</v>
      </c>
      <c r="AC18">
        <v>25071.37</v>
      </c>
      <c r="AD18">
        <v>34347.33</v>
      </c>
    </row>
    <row r="19" spans="1:30" x14ac:dyDescent="0.25">
      <c r="A19" s="2">
        <v>37165</v>
      </c>
      <c r="B19">
        <v>53921.919999999998</v>
      </c>
      <c r="C19">
        <v>39592.870000000003</v>
      </c>
      <c r="W19" s="4">
        <v>37012</v>
      </c>
      <c r="X19">
        <v>36215.279999999999</v>
      </c>
      <c r="Y19">
        <v>36656.92</v>
      </c>
      <c r="AB19" s="4">
        <v>37012</v>
      </c>
      <c r="AC19">
        <v>36215.279999999999</v>
      </c>
      <c r="AD19">
        <v>36225.589999999997</v>
      </c>
    </row>
    <row r="20" spans="1:30" x14ac:dyDescent="0.25">
      <c r="A20" s="2">
        <v>37196</v>
      </c>
      <c r="B20">
        <v>29755.67</v>
      </c>
      <c r="C20">
        <v>35433.440000000002</v>
      </c>
      <c r="W20" s="4">
        <v>37043</v>
      </c>
      <c r="X20">
        <v>25148.33</v>
      </c>
      <c r="Y20">
        <v>34064.660000000003</v>
      </c>
      <c r="AB20" s="4">
        <v>37043</v>
      </c>
      <c r="AC20">
        <v>25148.33</v>
      </c>
      <c r="AD20">
        <v>33689.269999999997</v>
      </c>
    </row>
    <row r="21" spans="1:30" x14ac:dyDescent="0.25">
      <c r="A21" s="2">
        <v>37226</v>
      </c>
      <c r="B21">
        <v>29152.06</v>
      </c>
      <c r="C21">
        <v>32521.62</v>
      </c>
      <c r="W21" s="4">
        <v>37073</v>
      </c>
      <c r="X21">
        <v>26178.47</v>
      </c>
      <c r="Y21">
        <v>34762.47</v>
      </c>
      <c r="AB21" s="4">
        <v>37073</v>
      </c>
      <c r="AC21">
        <v>26178.47</v>
      </c>
      <c r="AD21">
        <v>34199.71</v>
      </c>
    </row>
    <row r="22" spans="1:30" x14ac:dyDescent="0.25">
      <c r="A22" s="2">
        <v>37257</v>
      </c>
      <c r="B22">
        <v>33966.800000000003</v>
      </c>
      <c r="C22">
        <v>39872.769999999997</v>
      </c>
      <c r="W22" s="4">
        <v>37104</v>
      </c>
      <c r="X22">
        <v>32832.46</v>
      </c>
      <c r="Y22">
        <v>34598.83</v>
      </c>
      <c r="AB22" s="4">
        <v>37104</v>
      </c>
      <c r="AC22">
        <v>32832.46</v>
      </c>
      <c r="AD22">
        <v>34284.199999999997</v>
      </c>
    </row>
    <row r="23" spans="1:30" x14ac:dyDescent="0.25">
      <c r="A23" s="2">
        <v>37288</v>
      </c>
      <c r="B23">
        <v>32578.12</v>
      </c>
      <c r="C23">
        <v>38727.72</v>
      </c>
      <c r="W23" s="4">
        <v>37135</v>
      </c>
      <c r="X23">
        <v>33468.93</v>
      </c>
      <c r="Y23">
        <v>32207.119999999999</v>
      </c>
      <c r="AB23" s="4">
        <v>37135</v>
      </c>
      <c r="AC23">
        <v>33468.93</v>
      </c>
      <c r="AD23">
        <v>32063.07</v>
      </c>
    </row>
    <row r="24" spans="1:30" x14ac:dyDescent="0.25">
      <c r="A24" s="2">
        <v>37316</v>
      </c>
      <c r="B24">
        <v>50180.34</v>
      </c>
      <c r="C24">
        <v>39506.21</v>
      </c>
      <c r="W24" s="4">
        <v>37165</v>
      </c>
      <c r="X24">
        <v>34995.769999999997</v>
      </c>
      <c r="Y24">
        <v>32733.11</v>
      </c>
      <c r="AB24" s="4">
        <v>37165</v>
      </c>
      <c r="AC24">
        <v>34995.769999999997</v>
      </c>
      <c r="AD24">
        <v>32303.46</v>
      </c>
    </row>
    <row r="25" spans="1:30" x14ac:dyDescent="0.25">
      <c r="A25" s="2">
        <v>37347</v>
      </c>
      <c r="B25">
        <v>41207.410000000003</v>
      </c>
      <c r="C25">
        <v>37624.76</v>
      </c>
      <c r="W25" s="4">
        <v>37196</v>
      </c>
      <c r="X25">
        <v>23548.85</v>
      </c>
      <c r="Y25">
        <v>31486.42</v>
      </c>
      <c r="AB25" s="4">
        <v>37196</v>
      </c>
      <c r="AC25">
        <v>23548.85</v>
      </c>
      <c r="AD25">
        <v>30868.16</v>
      </c>
    </row>
    <row r="26" spans="1:30" x14ac:dyDescent="0.25">
      <c r="A26" s="2">
        <v>37377</v>
      </c>
      <c r="B26">
        <v>20268.5</v>
      </c>
      <c r="C26">
        <v>32997.21</v>
      </c>
      <c r="W26" s="4">
        <v>37226</v>
      </c>
      <c r="X26">
        <v>34631.06</v>
      </c>
      <c r="Y26">
        <v>34608.25</v>
      </c>
      <c r="AB26" s="4">
        <v>37226</v>
      </c>
      <c r="AC26">
        <v>34631.06</v>
      </c>
      <c r="AD26">
        <v>34303.96</v>
      </c>
    </row>
    <row r="27" spans="1:30" x14ac:dyDescent="0.25">
      <c r="A27" s="2">
        <v>37408</v>
      </c>
      <c r="B27">
        <v>8462.1630000000005</v>
      </c>
      <c r="C27">
        <v>32516</v>
      </c>
      <c r="W27" s="4">
        <v>37257</v>
      </c>
      <c r="X27">
        <v>21637.96</v>
      </c>
      <c r="Y27">
        <v>33121.46</v>
      </c>
      <c r="AB27" s="4">
        <v>37257</v>
      </c>
      <c r="AC27">
        <v>21637.96</v>
      </c>
      <c r="AD27">
        <v>32462.82</v>
      </c>
    </row>
    <row r="28" spans="1:30" x14ac:dyDescent="0.25">
      <c r="A28" s="2">
        <v>37438</v>
      </c>
      <c r="B28">
        <v>29035.99</v>
      </c>
      <c r="C28">
        <v>34677.94</v>
      </c>
      <c r="W28" s="4">
        <v>37288</v>
      </c>
      <c r="X28">
        <v>19999.95</v>
      </c>
      <c r="Y28">
        <v>29742.7</v>
      </c>
      <c r="AB28" s="4">
        <v>37288</v>
      </c>
      <c r="AC28">
        <v>19999.95</v>
      </c>
      <c r="AD28">
        <v>29017.79</v>
      </c>
    </row>
    <row r="29" spans="1:30" x14ac:dyDescent="0.25">
      <c r="A29" s="2">
        <v>37469</v>
      </c>
      <c r="B29">
        <v>26686.35</v>
      </c>
      <c r="C29">
        <v>35835.870000000003</v>
      </c>
      <c r="W29" s="4">
        <v>37316</v>
      </c>
      <c r="X29">
        <v>25850.400000000001</v>
      </c>
      <c r="Y29">
        <v>32036.23</v>
      </c>
      <c r="AB29" s="4">
        <v>37316</v>
      </c>
      <c r="AC29">
        <v>25850.400000000001</v>
      </c>
      <c r="AD29">
        <v>31439.13</v>
      </c>
    </row>
    <row r="30" spans="1:30" x14ac:dyDescent="0.25">
      <c r="A30" s="2">
        <v>37500</v>
      </c>
      <c r="B30">
        <v>19417.310000000001</v>
      </c>
      <c r="C30">
        <v>33699.08</v>
      </c>
      <c r="W30" s="4">
        <v>37347</v>
      </c>
      <c r="X30">
        <v>24743.5</v>
      </c>
      <c r="Y30">
        <v>32141.63</v>
      </c>
      <c r="AB30" s="4">
        <v>37347</v>
      </c>
      <c r="AC30">
        <v>24743.5</v>
      </c>
      <c r="AD30">
        <v>31582.31</v>
      </c>
    </row>
    <row r="31" spans="1:30" x14ac:dyDescent="0.25">
      <c r="A31" s="2">
        <v>37530</v>
      </c>
      <c r="B31">
        <v>52757.89</v>
      </c>
      <c r="C31">
        <v>39143.57</v>
      </c>
      <c r="W31" s="4">
        <v>37377</v>
      </c>
      <c r="X31">
        <v>22743.98</v>
      </c>
      <c r="Y31">
        <v>31805.09</v>
      </c>
      <c r="AB31" s="4">
        <v>37377</v>
      </c>
      <c r="AC31">
        <v>22743.98</v>
      </c>
      <c r="AD31">
        <v>31346.22</v>
      </c>
    </row>
    <row r="32" spans="1:30" x14ac:dyDescent="0.25">
      <c r="A32" s="2">
        <v>37561</v>
      </c>
      <c r="B32">
        <v>33501.29</v>
      </c>
      <c r="C32">
        <v>30966.22</v>
      </c>
      <c r="W32" s="4">
        <v>37408</v>
      </c>
      <c r="X32">
        <v>24609.77</v>
      </c>
      <c r="Y32">
        <v>30892.09</v>
      </c>
      <c r="AB32" s="4">
        <v>37408</v>
      </c>
      <c r="AC32">
        <v>24609.77</v>
      </c>
      <c r="AD32">
        <v>30394.06</v>
      </c>
    </row>
    <row r="33" spans="1:30" x14ac:dyDescent="0.25">
      <c r="A33" s="2">
        <v>37591</v>
      </c>
      <c r="B33">
        <v>43946.32</v>
      </c>
      <c r="C33">
        <v>37652.230000000003</v>
      </c>
      <c r="W33" s="4">
        <v>37438</v>
      </c>
      <c r="X33">
        <v>23662.92</v>
      </c>
      <c r="Y33">
        <v>32645.06</v>
      </c>
      <c r="AB33" s="4">
        <v>37438</v>
      </c>
      <c r="AC33">
        <v>23662.92</v>
      </c>
      <c r="AD33">
        <v>32091.93</v>
      </c>
    </row>
    <row r="34" spans="1:30" x14ac:dyDescent="0.25">
      <c r="A34" s="2">
        <v>37622</v>
      </c>
      <c r="B34">
        <v>48006.79</v>
      </c>
      <c r="C34">
        <v>33653.89</v>
      </c>
      <c r="W34" s="4">
        <v>37469</v>
      </c>
      <c r="X34">
        <v>26531.57</v>
      </c>
      <c r="Y34">
        <v>32173.47</v>
      </c>
      <c r="AB34" s="4">
        <v>37469</v>
      </c>
      <c r="AC34">
        <v>26531.57</v>
      </c>
      <c r="AD34">
        <v>31679.34</v>
      </c>
    </row>
    <row r="35" spans="1:30" x14ac:dyDescent="0.25">
      <c r="A35" s="2">
        <v>37653</v>
      </c>
      <c r="B35">
        <v>17279.12</v>
      </c>
      <c r="C35">
        <v>37898.730000000003</v>
      </c>
      <c r="W35" s="4">
        <v>37500</v>
      </c>
      <c r="X35">
        <v>25504.77</v>
      </c>
      <c r="Y35">
        <v>31770.400000000001</v>
      </c>
      <c r="AB35" s="4">
        <v>37500</v>
      </c>
      <c r="AC35">
        <v>25504.77</v>
      </c>
      <c r="AD35">
        <v>31485.14</v>
      </c>
    </row>
    <row r="36" spans="1:30" x14ac:dyDescent="0.25">
      <c r="A36" s="2">
        <v>37681</v>
      </c>
      <c r="B36">
        <v>24810.880000000001</v>
      </c>
      <c r="C36">
        <v>30841.58</v>
      </c>
      <c r="W36" s="4">
        <v>37530</v>
      </c>
      <c r="X36">
        <v>25837.03</v>
      </c>
      <c r="Y36">
        <v>33285.519999999997</v>
      </c>
      <c r="AB36" s="4">
        <v>37530</v>
      </c>
      <c r="AC36">
        <v>25837.03</v>
      </c>
      <c r="AD36">
        <v>32949.33</v>
      </c>
    </row>
    <row r="37" spans="1:30" x14ac:dyDescent="0.25">
      <c r="A37" s="2">
        <v>37712</v>
      </c>
      <c r="B37">
        <v>39515.07</v>
      </c>
      <c r="C37">
        <v>38191.760000000002</v>
      </c>
      <c r="W37" s="4">
        <v>37561</v>
      </c>
      <c r="X37">
        <v>31752.3</v>
      </c>
      <c r="Y37">
        <v>32000.21</v>
      </c>
      <c r="AB37" s="4">
        <v>37561</v>
      </c>
      <c r="AC37">
        <v>31752.3</v>
      </c>
      <c r="AD37">
        <v>31696.18</v>
      </c>
    </row>
    <row r="38" spans="1:30" x14ac:dyDescent="0.25">
      <c r="A38" s="2">
        <v>37742</v>
      </c>
      <c r="B38">
        <v>42252.72</v>
      </c>
      <c r="C38">
        <v>36634.76</v>
      </c>
      <c r="W38" s="4">
        <v>37591</v>
      </c>
      <c r="X38">
        <v>29326.61</v>
      </c>
      <c r="Y38">
        <v>34150.54</v>
      </c>
      <c r="AB38" s="4">
        <v>37591</v>
      </c>
      <c r="AC38">
        <v>29326.61</v>
      </c>
      <c r="AD38">
        <v>33930.18</v>
      </c>
    </row>
    <row r="39" spans="1:30" x14ac:dyDescent="0.25">
      <c r="A39" s="2">
        <v>37773</v>
      </c>
      <c r="B39">
        <v>28910.68</v>
      </c>
      <c r="C39">
        <v>35351.949999999997</v>
      </c>
      <c r="W39" s="4">
        <v>37622</v>
      </c>
      <c r="X39">
        <v>25782.53</v>
      </c>
      <c r="Y39">
        <v>32049.74</v>
      </c>
      <c r="AB39" s="4">
        <v>37622</v>
      </c>
      <c r="AC39">
        <v>25782.53</v>
      </c>
      <c r="AD39">
        <v>31648.98</v>
      </c>
    </row>
    <row r="40" spans="1:30" x14ac:dyDescent="0.25">
      <c r="A40" s="2">
        <v>37803</v>
      </c>
      <c r="B40">
        <v>24465.79</v>
      </c>
      <c r="C40">
        <v>35365.67</v>
      </c>
      <c r="W40" s="4">
        <v>37653</v>
      </c>
      <c r="X40">
        <v>24721.22</v>
      </c>
      <c r="Y40">
        <v>32851.26</v>
      </c>
      <c r="AB40" s="4">
        <v>37653</v>
      </c>
      <c r="AC40">
        <v>24721.22</v>
      </c>
      <c r="AD40">
        <v>32533.05</v>
      </c>
    </row>
    <row r="41" spans="1:30" x14ac:dyDescent="0.25">
      <c r="A41" s="2">
        <v>37834</v>
      </c>
      <c r="B41">
        <v>34143.31</v>
      </c>
      <c r="C41">
        <v>40041.9</v>
      </c>
      <c r="W41" s="4">
        <v>37681</v>
      </c>
      <c r="X41">
        <v>23914.880000000001</v>
      </c>
      <c r="Y41">
        <v>31920.2</v>
      </c>
      <c r="AB41" s="4">
        <v>37681</v>
      </c>
      <c r="AC41">
        <v>23914.880000000001</v>
      </c>
      <c r="AD41">
        <v>31629.040000000001</v>
      </c>
    </row>
    <row r="42" spans="1:30" x14ac:dyDescent="0.25">
      <c r="A42" s="2">
        <v>37865</v>
      </c>
      <c r="B42">
        <v>33451.74</v>
      </c>
      <c r="C42">
        <v>33547.480000000003</v>
      </c>
      <c r="W42" s="4">
        <v>37712</v>
      </c>
      <c r="X42">
        <v>29266.85</v>
      </c>
      <c r="Y42">
        <v>33440.959999999999</v>
      </c>
      <c r="AB42" s="4">
        <v>37712</v>
      </c>
      <c r="AC42">
        <v>29266.85</v>
      </c>
      <c r="AD42">
        <v>33179.449999999997</v>
      </c>
    </row>
    <row r="43" spans="1:30" x14ac:dyDescent="0.25">
      <c r="A43" s="2">
        <v>37895</v>
      </c>
      <c r="B43">
        <v>35322.58</v>
      </c>
      <c r="C43">
        <v>39037.26</v>
      </c>
      <c r="W43" s="4">
        <v>37742</v>
      </c>
      <c r="X43">
        <v>31672.93</v>
      </c>
      <c r="Y43">
        <v>33617.550000000003</v>
      </c>
      <c r="AB43" s="4">
        <v>37742</v>
      </c>
      <c r="AC43">
        <v>31672.93</v>
      </c>
      <c r="AD43">
        <v>33262.160000000003</v>
      </c>
    </row>
    <row r="44" spans="1:30" x14ac:dyDescent="0.25">
      <c r="A44" s="2">
        <v>37926</v>
      </c>
      <c r="B44">
        <v>37201.160000000003</v>
      </c>
      <c r="C44">
        <v>36044.769999999997</v>
      </c>
      <c r="W44" s="4">
        <v>37773</v>
      </c>
      <c r="X44">
        <v>27251.33</v>
      </c>
      <c r="Y44">
        <v>33627.589999999997</v>
      </c>
      <c r="AB44" s="4">
        <v>37773</v>
      </c>
      <c r="AC44">
        <v>27251.33</v>
      </c>
      <c r="AD44">
        <v>33422.1</v>
      </c>
    </row>
    <row r="45" spans="1:30" x14ac:dyDescent="0.25">
      <c r="A45" s="2">
        <v>37956</v>
      </c>
      <c r="B45">
        <v>35549.83</v>
      </c>
      <c r="C45">
        <v>34517.440000000002</v>
      </c>
      <c r="W45" s="4">
        <v>37803</v>
      </c>
      <c r="X45">
        <v>26806.12</v>
      </c>
      <c r="Y45">
        <v>33504.959999999999</v>
      </c>
      <c r="AB45" s="4">
        <v>37803</v>
      </c>
      <c r="AC45">
        <v>26806.12</v>
      </c>
      <c r="AD45">
        <v>33242.949999999997</v>
      </c>
    </row>
    <row r="46" spans="1:30" x14ac:dyDescent="0.25">
      <c r="A46" s="2">
        <v>37987</v>
      </c>
      <c r="B46">
        <v>29205.25</v>
      </c>
      <c r="C46">
        <v>37245.5</v>
      </c>
      <c r="W46" s="4">
        <v>37834</v>
      </c>
      <c r="X46">
        <v>24582.2</v>
      </c>
      <c r="Y46">
        <v>32890.17</v>
      </c>
      <c r="AB46" s="4">
        <v>37834</v>
      </c>
      <c r="AC46">
        <v>24582.2</v>
      </c>
      <c r="AD46">
        <v>32681.74</v>
      </c>
    </row>
    <row r="47" spans="1:30" x14ac:dyDescent="0.25">
      <c r="A47" s="2">
        <v>38018</v>
      </c>
      <c r="B47">
        <v>43794.77</v>
      </c>
      <c r="C47">
        <v>34289.440000000002</v>
      </c>
      <c r="W47" s="4">
        <v>37865</v>
      </c>
      <c r="X47">
        <v>29537.62</v>
      </c>
      <c r="Y47">
        <v>32776.04</v>
      </c>
      <c r="AB47" s="4">
        <v>37865</v>
      </c>
      <c r="AC47">
        <v>29537.62</v>
      </c>
      <c r="AD47">
        <v>32511.54</v>
      </c>
    </row>
    <row r="48" spans="1:30" x14ac:dyDescent="0.25">
      <c r="A48" s="2">
        <v>38047</v>
      </c>
      <c r="B48">
        <v>38593.03</v>
      </c>
      <c r="C48">
        <v>34134.559999999998</v>
      </c>
      <c r="W48" s="4">
        <v>37895</v>
      </c>
      <c r="X48">
        <v>27527.759999999998</v>
      </c>
      <c r="Y48">
        <v>32949.58</v>
      </c>
      <c r="AB48" s="4">
        <v>37895</v>
      </c>
      <c r="AC48">
        <v>27527.759999999998</v>
      </c>
      <c r="AD48">
        <v>32716.45</v>
      </c>
    </row>
    <row r="49" spans="1:30" x14ac:dyDescent="0.25">
      <c r="A49" s="2">
        <v>38078</v>
      </c>
      <c r="B49">
        <v>34037.17</v>
      </c>
      <c r="C49">
        <v>36349.1</v>
      </c>
      <c r="W49" s="4">
        <v>37926</v>
      </c>
      <c r="X49">
        <v>27572.52</v>
      </c>
      <c r="Y49">
        <v>32941.839999999997</v>
      </c>
      <c r="AB49" s="4">
        <v>37926</v>
      </c>
      <c r="AC49">
        <v>27572.52</v>
      </c>
      <c r="AD49">
        <v>32778.32</v>
      </c>
    </row>
    <row r="50" spans="1:30" x14ac:dyDescent="0.25">
      <c r="A50" s="2">
        <v>38108</v>
      </c>
      <c r="B50">
        <v>37345.910000000003</v>
      </c>
      <c r="C50">
        <v>39378.050000000003</v>
      </c>
      <c r="W50" s="4">
        <v>37956</v>
      </c>
      <c r="X50">
        <v>32759.01</v>
      </c>
      <c r="Y50">
        <v>32164.39</v>
      </c>
      <c r="AB50" s="4">
        <v>37956</v>
      </c>
      <c r="AC50">
        <v>32759.01</v>
      </c>
      <c r="AD50">
        <v>32092.99</v>
      </c>
    </row>
    <row r="51" spans="1:30" x14ac:dyDescent="0.25">
      <c r="A51" s="2">
        <v>38139</v>
      </c>
      <c r="B51">
        <v>34790.42</v>
      </c>
      <c r="C51">
        <v>38308.379999999997</v>
      </c>
      <c r="W51" s="4">
        <v>37987</v>
      </c>
      <c r="X51">
        <v>37628.65</v>
      </c>
      <c r="Y51">
        <v>33513.33</v>
      </c>
      <c r="AB51" s="4">
        <v>37987</v>
      </c>
      <c r="AC51">
        <v>37628.65</v>
      </c>
      <c r="AD51">
        <v>33358.839999999997</v>
      </c>
    </row>
    <row r="52" spans="1:30" x14ac:dyDescent="0.25">
      <c r="A52" s="2">
        <v>38169</v>
      </c>
      <c r="B52">
        <v>36035.75</v>
      </c>
      <c r="C52">
        <v>37727.61</v>
      </c>
      <c r="W52" s="4">
        <v>38018</v>
      </c>
      <c r="X52">
        <v>33838.639999999999</v>
      </c>
      <c r="Y52">
        <v>33567.730000000003</v>
      </c>
      <c r="AB52" s="4">
        <v>38018</v>
      </c>
      <c r="AC52">
        <v>33838.639999999999</v>
      </c>
      <c r="AD52">
        <v>33352.199999999997</v>
      </c>
    </row>
    <row r="53" spans="1:30" x14ac:dyDescent="0.25">
      <c r="A53" s="2">
        <v>38200</v>
      </c>
      <c r="B53">
        <v>31652.92</v>
      </c>
      <c r="C53">
        <v>33958.78</v>
      </c>
      <c r="W53" s="4">
        <v>38047</v>
      </c>
      <c r="X53">
        <v>36553.949999999997</v>
      </c>
      <c r="Y53">
        <v>32346.89</v>
      </c>
      <c r="AB53" s="4">
        <v>38047</v>
      </c>
      <c r="AC53">
        <v>36553.949999999997</v>
      </c>
      <c r="AD53">
        <v>32194.27</v>
      </c>
    </row>
    <row r="54" spans="1:30" x14ac:dyDescent="0.25">
      <c r="A54" s="2">
        <v>38231</v>
      </c>
      <c r="B54">
        <v>37273.72</v>
      </c>
      <c r="C54">
        <v>35264.92</v>
      </c>
      <c r="W54" s="4">
        <v>38078</v>
      </c>
      <c r="X54">
        <v>29289.17</v>
      </c>
      <c r="Y54">
        <v>32738.6</v>
      </c>
      <c r="AB54" s="4">
        <v>38078</v>
      </c>
      <c r="AC54">
        <v>29289.17</v>
      </c>
      <c r="AD54">
        <v>32560.6</v>
      </c>
    </row>
    <row r="55" spans="1:30" x14ac:dyDescent="0.25">
      <c r="A55" s="2">
        <v>38261</v>
      </c>
      <c r="B55">
        <v>57518.62</v>
      </c>
      <c r="C55">
        <v>38330.5</v>
      </c>
      <c r="W55" s="4">
        <v>38108</v>
      </c>
      <c r="X55">
        <v>27688.07</v>
      </c>
      <c r="Y55">
        <v>34078.01</v>
      </c>
      <c r="AB55" s="4">
        <v>38108</v>
      </c>
      <c r="AC55">
        <v>27688.07</v>
      </c>
      <c r="AD55">
        <v>33974.870000000003</v>
      </c>
    </row>
    <row r="56" spans="1:30" x14ac:dyDescent="0.25">
      <c r="A56" s="2">
        <v>38292</v>
      </c>
      <c r="B56">
        <v>33480.120000000003</v>
      </c>
      <c r="C56">
        <v>33277.699999999997</v>
      </c>
      <c r="W56" s="4">
        <v>38139</v>
      </c>
      <c r="X56">
        <v>29315.25</v>
      </c>
      <c r="Y56">
        <v>32863.050000000003</v>
      </c>
      <c r="AB56" s="4">
        <v>38139</v>
      </c>
      <c r="AC56">
        <v>29315.25</v>
      </c>
      <c r="AD56">
        <v>32696.63</v>
      </c>
    </row>
    <row r="57" spans="1:30" x14ac:dyDescent="0.25">
      <c r="A57" s="2">
        <v>38322</v>
      </c>
      <c r="B57">
        <v>23837.02</v>
      </c>
      <c r="C57">
        <v>30722.39</v>
      </c>
      <c r="W57" s="4">
        <v>38169</v>
      </c>
      <c r="X57">
        <v>25565.919999999998</v>
      </c>
      <c r="Y57">
        <v>32490.07</v>
      </c>
      <c r="AB57" s="4">
        <v>38169</v>
      </c>
      <c r="AC57">
        <v>25565.919999999998</v>
      </c>
      <c r="AD57">
        <v>32365.84</v>
      </c>
    </row>
    <row r="58" spans="1:30" x14ac:dyDescent="0.25">
      <c r="A58" s="2">
        <v>38353</v>
      </c>
      <c r="B58">
        <v>20704.18</v>
      </c>
      <c r="C58">
        <v>37913.32</v>
      </c>
      <c r="W58" s="4">
        <v>38200</v>
      </c>
      <c r="X58">
        <v>28588.04</v>
      </c>
      <c r="Y58">
        <v>32543.56</v>
      </c>
      <c r="AB58" s="4">
        <v>38200</v>
      </c>
      <c r="AC58">
        <v>28588.04</v>
      </c>
      <c r="AD58">
        <v>32387.72</v>
      </c>
    </row>
    <row r="59" spans="1:30" x14ac:dyDescent="0.25">
      <c r="A59" s="2">
        <v>38384</v>
      </c>
      <c r="B59">
        <v>30224.09</v>
      </c>
      <c r="C59">
        <v>36436.6</v>
      </c>
      <c r="W59" s="4">
        <v>38231</v>
      </c>
      <c r="X59">
        <v>27571.65</v>
      </c>
      <c r="Y59">
        <v>32179.16</v>
      </c>
      <c r="AB59" s="4">
        <v>38231</v>
      </c>
      <c r="AC59">
        <v>27571.65</v>
      </c>
      <c r="AD59">
        <v>32000.26</v>
      </c>
    </row>
    <row r="60" spans="1:30" x14ac:dyDescent="0.25">
      <c r="A60" s="2">
        <v>38412</v>
      </c>
      <c r="B60">
        <v>35266.639999999999</v>
      </c>
      <c r="C60">
        <v>35638.400000000001</v>
      </c>
      <c r="W60" s="4">
        <v>38261</v>
      </c>
      <c r="X60">
        <v>35275.56</v>
      </c>
      <c r="Y60">
        <v>30747.360000000001</v>
      </c>
      <c r="AB60" s="4">
        <v>38261</v>
      </c>
      <c r="AC60">
        <v>35275.56</v>
      </c>
      <c r="AD60">
        <v>30609.81</v>
      </c>
    </row>
    <row r="61" spans="1:30" x14ac:dyDescent="0.25">
      <c r="A61" s="2">
        <v>38443</v>
      </c>
      <c r="B61">
        <v>30358.73</v>
      </c>
      <c r="C61">
        <v>34930.94</v>
      </c>
      <c r="W61" s="4">
        <v>38292</v>
      </c>
      <c r="X61">
        <v>29873.24</v>
      </c>
      <c r="Y61">
        <v>32194.75</v>
      </c>
      <c r="AB61" s="4">
        <v>38292</v>
      </c>
      <c r="AC61">
        <v>29873.24</v>
      </c>
      <c r="AD61">
        <v>32089.83</v>
      </c>
    </row>
    <row r="62" spans="1:30" x14ac:dyDescent="0.25">
      <c r="A62" s="2">
        <v>38473</v>
      </c>
      <c r="B62">
        <v>20042.82</v>
      </c>
      <c r="C62">
        <v>33772.89</v>
      </c>
      <c r="W62" s="4">
        <v>38322</v>
      </c>
      <c r="X62">
        <v>29570.42</v>
      </c>
      <c r="Y62">
        <v>31589.08</v>
      </c>
      <c r="AB62" s="4">
        <v>38322</v>
      </c>
      <c r="AC62">
        <v>29570.42</v>
      </c>
      <c r="AD62">
        <v>31659.26</v>
      </c>
    </row>
    <row r="63" spans="1:30" x14ac:dyDescent="0.25">
      <c r="A63" s="2">
        <v>38504</v>
      </c>
      <c r="B63">
        <v>21916.32</v>
      </c>
      <c r="C63">
        <v>32873.440000000002</v>
      </c>
      <c r="W63" s="4">
        <v>38353</v>
      </c>
      <c r="X63">
        <v>23019.7</v>
      </c>
      <c r="Y63">
        <v>30553.72</v>
      </c>
      <c r="AB63" s="4">
        <v>38353</v>
      </c>
      <c r="AC63">
        <v>23019.7</v>
      </c>
      <c r="AD63">
        <v>30323.02</v>
      </c>
    </row>
    <row r="64" spans="1:30" x14ac:dyDescent="0.25">
      <c r="A64" s="2">
        <v>38534</v>
      </c>
      <c r="B64">
        <v>17995.419999999998</v>
      </c>
      <c r="C64">
        <v>35128.17</v>
      </c>
      <c r="W64" s="4">
        <v>38384</v>
      </c>
      <c r="X64">
        <v>24440.02</v>
      </c>
      <c r="Y64">
        <v>31993.33</v>
      </c>
      <c r="AB64" s="4">
        <v>38384</v>
      </c>
      <c r="AC64">
        <v>24440.02</v>
      </c>
      <c r="AD64">
        <v>31852.95</v>
      </c>
    </row>
    <row r="65" spans="1:30" x14ac:dyDescent="0.25">
      <c r="A65" s="2">
        <v>38565</v>
      </c>
      <c r="B65">
        <v>21109.13</v>
      </c>
      <c r="C65">
        <v>32166.240000000002</v>
      </c>
      <c r="W65" s="4">
        <v>38412</v>
      </c>
      <c r="X65">
        <v>26475.119999999999</v>
      </c>
      <c r="Y65">
        <v>31708.1</v>
      </c>
      <c r="AB65" s="4">
        <v>38412</v>
      </c>
      <c r="AC65">
        <v>26475.119999999999</v>
      </c>
      <c r="AD65">
        <v>31650.61</v>
      </c>
    </row>
    <row r="66" spans="1:30" x14ac:dyDescent="0.25">
      <c r="A66" s="2">
        <v>38596</v>
      </c>
      <c r="B66">
        <v>17419.11</v>
      </c>
      <c r="C66">
        <v>33153.26</v>
      </c>
      <c r="W66" s="4">
        <v>38443</v>
      </c>
      <c r="X66">
        <v>23850.46</v>
      </c>
      <c r="Y66">
        <v>31044.84</v>
      </c>
      <c r="AB66" s="4">
        <v>38443</v>
      </c>
      <c r="AC66">
        <v>23850.46</v>
      </c>
      <c r="AD66">
        <v>30932.57</v>
      </c>
    </row>
    <row r="67" spans="1:30" x14ac:dyDescent="0.25">
      <c r="A67" s="2">
        <v>38626</v>
      </c>
      <c r="B67">
        <v>15666.81</v>
      </c>
      <c r="C67">
        <v>34081.57</v>
      </c>
      <c r="W67" s="4">
        <v>38473</v>
      </c>
      <c r="X67">
        <v>21242.6</v>
      </c>
      <c r="Y67">
        <v>30378.19</v>
      </c>
      <c r="AB67" s="4">
        <v>38473</v>
      </c>
      <c r="AC67">
        <v>21242.6</v>
      </c>
      <c r="AD67">
        <v>30297.09</v>
      </c>
    </row>
    <row r="68" spans="1:30" x14ac:dyDescent="0.25">
      <c r="A68" s="2">
        <v>38657</v>
      </c>
      <c r="B68">
        <v>22821.53</v>
      </c>
      <c r="C68">
        <v>34579.24</v>
      </c>
      <c r="W68" s="4">
        <v>38504</v>
      </c>
      <c r="X68">
        <v>20461.64</v>
      </c>
      <c r="Y68">
        <v>29840.82</v>
      </c>
      <c r="AB68" s="4">
        <v>38504</v>
      </c>
      <c r="AC68">
        <v>20461.64</v>
      </c>
      <c r="AD68">
        <v>29735.48</v>
      </c>
    </row>
    <row r="69" spans="1:30" x14ac:dyDescent="0.25">
      <c r="A69" s="2">
        <v>38687</v>
      </c>
      <c r="B69">
        <v>20950.38</v>
      </c>
      <c r="C69">
        <v>27715.79</v>
      </c>
      <c r="W69" s="4">
        <v>38534</v>
      </c>
      <c r="X69">
        <v>18777.18</v>
      </c>
      <c r="Y69">
        <v>29774.58</v>
      </c>
      <c r="AB69" s="4">
        <v>38534</v>
      </c>
      <c r="AC69">
        <v>18777.18</v>
      </c>
      <c r="AD69">
        <v>29577.38</v>
      </c>
    </row>
    <row r="70" spans="1:30" x14ac:dyDescent="0.25">
      <c r="A70" s="2">
        <v>38718</v>
      </c>
      <c r="B70">
        <v>36763.85</v>
      </c>
      <c r="C70">
        <v>27899.97</v>
      </c>
      <c r="W70" s="4">
        <v>38565</v>
      </c>
      <c r="X70">
        <v>17199.560000000001</v>
      </c>
      <c r="Y70">
        <v>29724.39</v>
      </c>
      <c r="AB70" s="4">
        <v>38565</v>
      </c>
      <c r="AC70">
        <v>17199.560000000001</v>
      </c>
      <c r="AD70">
        <v>29512.63</v>
      </c>
    </row>
    <row r="71" spans="1:30" x14ac:dyDescent="0.25">
      <c r="A71" s="2">
        <v>38749</v>
      </c>
      <c r="B71">
        <v>23919.33</v>
      </c>
      <c r="C71">
        <v>34986.79</v>
      </c>
      <c r="W71" s="4">
        <v>38596</v>
      </c>
      <c r="X71">
        <v>18219.169999999998</v>
      </c>
      <c r="Y71">
        <v>29715.23</v>
      </c>
      <c r="AB71" s="4">
        <v>38596</v>
      </c>
      <c r="AC71">
        <v>18219.169999999998</v>
      </c>
      <c r="AD71">
        <v>29581.24</v>
      </c>
    </row>
    <row r="72" spans="1:30" x14ac:dyDescent="0.25">
      <c r="A72" s="2">
        <v>38777</v>
      </c>
      <c r="B72">
        <v>24277.87</v>
      </c>
      <c r="C72">
        <v>31518.76</v>
      </c>
      <c r="W72" s="4">
        <v>38626</v>
      </c>
      <c r="X72">
        <v>16149.75</v>
      </c>
      <c r="Y72">
        <v>30174.07</v>
      </c>
      <c r="AB72" s="4">
        <v>38626</v>
      </c>
      <c r="AC72">
        <v>16149.75</v>
      </c>
      <c r="AD72">
        <v>30048.01</v>
      </c>
    </row>
    <row r="73" spans="1:30" x14ac:dyDescent="0.25">
      <c r="A73" s="2">
        <v>38808</v>
      </c>
      <c r="B73">
        <v>12931.9</v>
      </c>
      <c r="C73">
        <v>33727.410000000003</v>
      </c>
      <c r="W73" s="4">
        <v>38657</v>
      </c>
      <c r="X73">
        <v>18362.740000000002</v>
      </c>
      <c r="Y73">
        <v>29748.560000000001</v>
      </c>
      <c r="AB73" s="4">
        <v>38657</v>
      </c>
      <c r="AC73">
        <v>18362.740000000002</v>
      </c>
      <c r="AD73">
        <v>29709.65</v>
      </c>
    </row>
    <row r="74" spans="1:30" x14ac:dyDescent="0.25">
      <c r="A74" s="2">
        <v>38838</v>
      </c>
      <c r="B74">
        <v>14103.46</v>
      </c>
      <c r="C74">
        <v>29429.59</v>
      </c>
      <c r="W74" s="4">
        <v>38687</v>
      </c>
      <c r="X74">
        <v>18580.080000000002</v>
      </c>
      <c r="Y74">
        <v>28331.52</v>
      </c>
      <c r="AB74" s="4">
        <v>38687</v>
      </c>
      <c r="AC74">
        <v>18580.080000000002</v>
      </c>
      <c r="AD74">
        <v>28068.13</v>
      </c>
    </row>
    <row r="75" spans="1:30" x14ac:dyDescent="0.25">
      <c r="A75" s="2">
        <v>38869</v>
      </c>
      <c r="B75">
        <v>17922.43</v>
      </c>
      <c r="C75">
        <v>28808.83</v>
      </c>
      <c r="W75" s="4">
        <v>38718</v>
      </c>
      <c r="X75">
        <v>18047.22</v>
      </c>
      <c r="Y75">
        <v>27807.64</v>
      </c>
      <c r="AB75" s="4">
        <v>38718</v>
      </c>
      <c r="AC75">
        <v>18047.22</v>
      </c>
      <c r="AD75">
        <v>27475.88</v>
      </c>
    </row>
    <row r="76" spans="1:30" x14ac:dyDescent="0.25">
      <c r="A76" s="2">
        <v>38899</v>
      </c>
      <c r="B76">
        <v>18909.37</v>
      </c>
      <c r="C76">
        <v>35392.42</v>
      </c>
      <c r="W76" s="4">
        <v>38749</v>
      </c>
      <c r="X76">
        <v>19564.27</v>
      </c>
      <c r="Y76">
        <v>28145.47</v>
      </c>
      <c r="AB76" s="4">
        <v>38749</v>
      </c>
      <c r="AC76">
        <v>19564.27</v>
      </c>
      <c r="AD76">
        <v>27975.33</v>
      </c>
    </row>
    <row r="77" spans="1:30" x14ac:dyDescent="0.25">
      <c r="A77" s="2">
        <v>38930</v>
      </c>
      <c r="B77">
        <v>17480.25</v>
      </c>
      <c r="C77">
        <v>34338.449999999997</v>
      </c>
      <c r="W77" s="4">
        <v>38777</v>
      </c>
      <c r="X77">
        <v>18654.09</v>
      </c>
      <c r="Y77">
        <v>29642.63</v>
      </c>
      <c r="AB77" s="4">
        <v>38777</v>
      </c>
      <c r="AC77">
        <v>18654.09</v>
      </c>
      <c r="AD77">
        <v>29584.98</v>
      </c>
    </row>
    <row r="78" spans="1:30" x14ac:dyDescent="0.25">
      <c r="A78" s="2">
        <v>38961</v>
      </c>
      <c r="B78">
        <v>26425.42</v>
      </c>
      <c r="C78">
        <v>33540.400000000001</v>
      </c>
      <c r="W78" s="4">
        <v>38808</v>
      </c>
      <c r="X78">
        <v>15931.57</v>
      </c>
      <c r="Y78">
        <v>28146.16</v>
      </c>
      <c r="AB78" s="4">
        <v>38808</v>
      </c>
      <c r="AC78">
        <v>15931.57</v>
      </c>
      <c r="AD78">
        <v>27946.12</v>
      </c>
    </row>
    <row r="79" spans="1:30" x14ac:dyDescent="0.25">
      <c r="A79" s="2">
        <v>38991</v>
      </c>
      <c r="B79">
        <v>17119.66</v>
      </c>
      <c r="C79">
        <v>31806.95</v>
      </c>
      <c r="W79" s="4">
        <v>38838</v>
      </c>
      <c r="X79">
        <v>17225.04</v>
      </c>
      <c r="Y79">
        <v>29072.14</v>
      </c>
      <c r="AB79" s="4">
        <v>38838</v>
      </c>
      <c r="AC79">
        <v>17225.04</v>
      </c>
      <c r="AD79">
        <v>28967.45</v>
      </c>
    </row>
    <row r="80" spans="1:30" x14ac:dyDescent="0.25">
      <c r="A80" s="2">
        <v>39022</v>
      </c>
      <c r="B80">
        <v>25183.97</v>
      </c>
      <c r="C80">
        <v>31994.959999999999</v>
      </c>
      <c r="W80" s="4">
        <v>38869</v>
      </c>
      <c r="X80">
        <v>15112.07</v>
      </c>
      <c r="Y80">
        <v>28622.54</v>
      </c>
      <c r="AB80" s="4">
        <v>38869</v>
      </c>
      <c r="AC80">
        <v>15112.07</v>
      </c>
      <c r="AD80">
        <v>28491.759999999998</v>
      </c>
    </row>
    <row r="81" spans="1:30" x14ac:dyDescent="0.25">
      <c r="A81" s="2">
        <v>39052</v>
      </c>
      <c r="B81">
        <v>29024.09</v>
      </c>
      <c r="C81">
        <v>32664.58</v>
      </c>
      <c r="W81" s="4">
        <v>38899</v>
      </c>
      <c r="X81">
        <v>18377.97</v>
      </c>
      <c r="Y81">
        <v>27473.5</v>
      </c>
      <c r="AB81" s="4">
        <v>38899</v>
      </c>
      <c r="AC81">
        <v>18377.97</v>
      </c>
      <c r="AD81">
        <v>27143.22</v>
      </c>
    </row>
    <row r="82" spans="1:30" x14ac:dyDescent="0.25">
      <c r="A82" s="2">
        <v>39083</v>
      </c>
      <c r="B82">
        <v>22150.73</v>
      </c>
      <c r="C82">
        <v>23540.1</v>
      </c>
      <c r="W82" s="4">
        <v>38930</v>
      </c>
      <c r="X82">
        <v>18723.71</v>
      </c>
      <c r="Y82">
        <v>27997.89</v>
      </c>
      <c r="AB82" s="4">
        <v>38930</v>
      </c>
      <c r="AC82">
        <v>18723.71</v>
      </c>
      <c r="AD82">
        <v>27915.02</v>
      </c>
    </row>
    <row r="83" spans="1:30" x14ac:dyDescent="0.25">
      <c r="A83" s="2">
        <v>39114</v>
      </c>
      <c r="B83">
        <v>21741.9</v>
      </c>
      <c r="C83">
        <v>35300.61</v>
      </c>
      <c r="W83" s="4">
        <v>38961</v>
      </c>
      <c r="X83">
        <v>20288.3</v>
      </c>
      <c r="Y83">
        <v>28493.64</v>
      </c>
      <c r="AB83" s="4">
        <v>38961</v>
      </c>
      <c r="AC83">
        <v>20288.3</v>
      </c>
      <c r="AD83">
        <v>28384.51</v>
      </c>
    </row>
    <row r="84" spans="1:30" x14ac:dyDescent="0.25">
      <c r="A84" s="2">
        <v>39142</v>
      </c>
      <c r="B84">
        <v>22252.17</v>
      </c>
      <c r="C84">
        <v>27750.03</v>
      </c>
      <c r="W84" s="4">
        <v>38991</v>
      </c>
      <c r="X84">
        <v>21095.42</v>
      </c>
      <c r="Y84">
        <v>28738.83</v>
      </c>
      <c r="AB84" s="4">
        <v>38991</v>
      </c>
      <c r="AC84">
        <v>21095.42</v>
      </c>
      <c r="AD84">
        <v>28589.75</v>
      </c>
    </row>
    <row r="85" spans="1:30" x14ac:dyDescent="0.25">
      <c r="A85" s="2">
        <v>39173</v>
      </c>
      <c r="B85">
        <v>27017.22</v>
      </c>
      <c r="C85">
        <v>30011.85</v>
      </c>
      <c r="W85" s="4">
        <v>39022</v>
      </c>
      <c r="X85">
        <v>22908.240000000002</v>
      </c>
      <c r="Y85">
        <v>29448.61</v>
      </c>
      <c r="AB85" s="4">
        <v>39022</v>
      </c>
      <c r="AC85">
        <v>22908.240000000002</v>
      </c>
      <c r="AD85">
        <v>29265.74</v>
      </c>
    </row>
    <row r="86" spans="1:30" x14ac:dyDescent="0.25">
      <c r="A86" s="2">
        <v>39203</v>
      </c>
      <c r="B86">
        <v>19210.2</v>
      </c>
      <c r="C86">
        <v>36247.03</v>
      </c>
      <c r="W86" s="4">
        <v>39052</v>
      </c>
      <c r="X86">
        <v>20100.990000000002</v>
      </c>
      <c r="Y86">
        <v>27652.3</v>
      </c>
      <c r="AB86" s="4">
        <v>39052</v>
      </c>
      <c r="AC86">
        <v>20100.990000000002</v>
      </c>
      <c r="AD86">
        <v>27636.5</v>
      </c>
    </row>
    <row r="87" spans="1:30" x14ac:dyDescent="0.25">
      <c r="A87" s="2">
        <v>39234</v>
      </c>
      <c r="B87">
        <v>30200.66</v>
      </c>
      <c r="C87">
        <v>34802.589999999997</v>
      </c>
      <c r="W87" s="4">
        <v>39083</v>
      </c>
      <c r="X87">
        <v>20293.490000000002</v>
      </c>
      <c r="Y87">
        <v>26530.75</v>
      </c>
      <c r="AB87" s="4">
        <v>39083</v>
      </c>
      <c r="AC87">
        <v>20293.490000000002</v>
      </c>
      <c r="AD87">
        <v>26049.91</v>
      </c>
    </row>
    <row r="88" spans="1:30" x14ac:dyDescent="0.25">
      <c r="A88" s="2">
        <v>39264</v>
      </c>
      <c r="B88">
        <v>26091.89</v>
      </c>
      <c r="C88">
        <v>33928.29</v>
      </c>
      <c r="W88" s="4">
        <v>39114</v>
      </c>
      <c r="X88">
        <v>19007.57</v>
      </c>
      <c r="Y88">
        <v>27535.29</v>
      </c>
      <c r="AB88" s="4">
        <v>39114</v>
      </c>
      <c r="AC88">
        <v>19007.57</v>
      </c>
      <c r="AD88">
        <v>27364.14</v>
      </c>
    </row>
    <row r="89" spans="1:30" x14ac:dyDescent="0.25">
      <c r="A89" s="2">
        <v>39295</v>
      </c>
      <c r="B89">
        <v>23723.62</v>
      </c>
      <c r="C89">
        <v>30716.18</v>
      </c>
      <c r="W89" s="4">
        <v>39142</v>
      </c>
      <c r="X89">
        <v>20403.48</v>
      </c>
      <c r="Y89">
        <v>27411.919999999998</v>
      </c>
      <c r="AB89" s="4">
        <v>39142</v>
      </c>
      <c r="AC89">
        <v>20403.48</v>
      </c>
      <c r="AD89">
        <v>27281.46</v>
      </c>
    </row>
    <row r="90" spans="1:30" x14ac:dyDescent="0.25">
      <c r="A90" s="2">
        <v>39326</v>
      </c>
      <c r="B90">
        <v>29624.51</v>
      </c>
      <c r="C90">
        <v>36604.46</v>
      </c>
      <c r="W90" s="4">
        <v>39173</v>
      </c>
      <c r="X90">
        <v>20626.009999999998</v>
      </c>
      <c r="Y90">
        <v>28821.13</v>
      </c>
      <c r="AB90" s="4">
        <v>39173</v>
      </c>
      <c r="AC90">
        <v>20626.009999999998</v>
      </c>
      <c r="AD90">
        <v>28771.9</v>
      </c>
    </row>
    <row r="91" spans="1:30" x14ac:dyDescent="0.25">
      <c r="A91" s="2">
        <v>39356</v>
      </c>
      <c r="B91">
        <v>37315.08</v>
      </c>
      <c r="C91">
        <v>37307.14</v>
      </c>
      <c r="W91" s="4">
        <v>39203</v>
      </c>
      <c r="X91">
        <v>17676.71</v>
      </c>
      <c r="Y91">
        <v>27610.7</v>
      </c>
      <c r="AB91" s="4">
        <v>39203</v>
      </c>
      <c r="AC91">
        <v>17676.71</v>
      </c>
      <c r="AD91">
        <v>27347.43</v>
      </c>
    </row>
    <row r="92" spans="1:30" x14ac:dyDescent="0.25">
      <c r="A92" s="2">
        <v>39387</v>
      </c>
      <c r="B92">
        <v>26906</v>
      </c>
      <c r="C92">
        <v>33996.400000000001</v>
      </c>
      <c r="W92" s="4">
        <v>39234</v>
      </c>
      <c r="X92">
        <v>19210.29</v>
      </c>
      <c r="Y92">
        <v>28222.01</v>
      </c>
      <c r="AB92" s="4">
        <v>39234</v>
      </c>
      <c r="AC92">
        <v>19210.29</v>
      </c>
      <c r="AD92">
        <v>28147.37</v>
      </c>
    </row>
    <row r="93" spans="1:30" x14ac:dyDescent="0.25">
      <c r="A93" s="2">
        <v>39417</v>
      </c>
      <c r="B93">
        <v>33918.9</v>
      </c>
      <c r="C93">
        <v>38577.040000000001</v>
      </c>
      <c r="W93" s="4">
        <v>39264</v>
      </c>
      <c r="X93">
        <v>18798.12</v>
      </c>
      <c r="Y93">
        <v>28289.75</v>
      </c>
      <c r="AB93" s="4">
        <v>39264</v>
      </c>
      <c r="AC93">
        <v>18798.12</v>
      </c>
      <c r="AD93">
        <v>28288.14</v>
      </c>
    </row>
    <row r="94" spans="1:30" x14ac:dyDescent="0.25">
      <c r="A94" s="2">
        <v>39448</v>
      </c>
      <c r="B94">
        <v>31736.07</v>
      </c>
      <c r="C94">
        <v>39738.01</v>
      </c>
      <c r="W94" s="4">
        <v>39295</v>
      </c>
      <c r="X94">
        <v>24110.51</v>
      </c>
      <c r="Y94">
        <v>27759.77</v>
      </c>
      <c r="AB94" s="4">
        <v>39295</v>
      </c>
      <c r="AC94">
        <v>24110.51</v>
      </c>
      <c r="AD94">
        <v>27749.99</v>
      </c>
    </row>
    <row r="95" spans="1:30" x14ac:dyDescent="0.25">
      <c r="A95" s="2">
        <v>39479</v>
      </c>
      <c r="B95">
        <v>38277</v>
      </c>
      <c r="C95">
        <v>40161.019999999997</v>
      </c>
      <c r="W95" s="4">
        <v>39326</v>
      </c>
      <c r="X95">
        <v>25265.63</v>
      </c>
      <c r="Y95">
        <v>29646.69</v>
      </c>
      <c r="AB95" s="4">
        <v>39326</v>
      </c>
      <c r="AC95">
        <v>25265.63</v>
      </c>
      <c r="AD95">
        <v>29749.1</v>
      </c>
    </row>
    <row r="96" spans="1:30" x14ac:dyDescent="0.25">
      <c r="A96" s="2">
        <v>39508</v>
      </c>
      <c r="B96">
        <v>38991.800000000003</v>
      </c>
      <c r="C96">
        <v>37379.93</v>
      </c>
      <c r="W96" s="4">
        <v>39356</v>
      </c>
      <c r="X96">
        <v>32141.599999999999</v>
      </c>
      <c r="Y96">
        <v>30920.959999999999</v>
      </c>
      <c r="AB96" s="4">
        <v>39356</v>
      </c>
      <c r="AC96">
        <v>32141.599999999999</v>
      </c>
      <c r="AD96">
        <v>30997.040000000001</v>
      </c>
    </row>
    <row r="97" spans="1:30" x14ac:dyDescent="0.25">
      <c r="A97" s="2">
        <v>39539</v>
      </c>
      <c r="B97">
        <v>45650.98</v>
      </c>
      <c r="C97">
        <v>40236.639999999999</v>
      </c>
      <c r="W97" s="4">
        <v>39387</v>
      </c>
      <c r="X97">
        <v>28415.51</v>
      </c>
      <c r="Y97">
        <v>30762.94</v>
      </c>
      <c r="AB97" s="4">
        <v>39387</v>
      </c>
      <c r="AC97">
        <v>28415.51</v>
      </c>
      <c r="AD97">
        <v>30769.78</v>
      </c>
    </row>
    <row r="98" spans="1:30" x14ac:dyDescent="0.25">
      <c r="A98" s="2">
        <v>39569</v>
      </c>
      <c r="B98">
        <v>39477.519999999997</v>
      </c>
      <c r="C98">
        <v>40307.32</v>
      </c>
      <c r="W98" s="4">
        <v>39417</v>
      </c>
      <c r="X98">
        <v>29961.279999999999</v>
      </c>
      <c r="Y98">
        <v>30559.919999999998</v>
      </c>
      <c r="AB98" s="4">
        <v>39417</v>
      </c>
      <c r="AC98">
        <v>29961.279999999999</v>
      </c>
      <c r="AD98">
        <v>30868.12</v>
      </c>
    </row>
    <row r="99" spans="1:30" x14ac:dyDescent="0.25">
      <c r="A99" s="2">
        <v>39600</v>
      </c>
      <c r="B99">
        <v>39194.089999999997</v>
      </c>
      <c r="C99">
        <v>44865.45</v>
      </c>
      <c r="W99" s="4">
        <v>39448</v>
      </c>
      <c r="X99">
        <v>30738.67</v>
      </c>
      <c r="Y99">
        <v>30800.47</v>
      </c>
      <c r="AB99" s="4">
        <v>39448</v>
      </c>
      <c r="AC99">
        <v>30738.67</v>
      </c>
      <c r="AD99">
        <v>30915.89</v>
      </c>
    </row>
    <row r="100" spans="1:30" x14ac:dyDescent="0.25">
      <c r="A100" s="2">
        <v>39630</v>
      </c>
      <c r="B100">
        <v>43474.48</v>
      </c>
      <c r="C100">
        <v>41988.23</v>
      </c>
      <c r="W100" s="4">
        <v>39479</v>
      </c>
      <c r="X100">
        <v>34559.18</v>
      </c>
      <c r="Y100">
        <v>34441.019999999997</v>
      </c>
      <c r="AB100" s="4">
        <v>39479</v>
      </c>
      <c r="AC100">
        <v>34559.18</v>
      </c>
      <c r="AD100">
        <v>34758.31</v>
      </c>
    </row>
    <row r="101" spans="1:30" x14ac:dyDescent="0.25">
      <c r="A101" s="2">
        <v>39661</v>
      </c>
      <c r="B101">
        <v>41180.57</v>
      </c>
      <c r="C101">
        <v>42705.43</v>
      </c>
      <c r="W101" s="4">
        <v>39508</v>
      </c>
      <c r="X101">
        <v>34570.07</v>
      </c>
      <c r="Y101">
        <v>33619.07</v>
      </c>
      <c r="AB101" s="4">
        <v>39508</v>
      </c>
      <c r="AC101">
        <v>34570.07</v>
      </c>
      <c r="AD101">
        <v>33968.97</v>
      </c>
    </row>
    <row r="102" spans="1:30" x14ac:dyDescent="0.25">
      <c r="A102" s="2">
        <v>39692</v>
      </c>
      <c r="B102">
        <v>48761.02</v>
      </c>
      <c r="C102">
        <v>49436.81</v>
      </c>
      <c r="W102" s="4">
        <v>39539</v>
      </c>
      <c r="X102">
        <v>35547.480000000003</v>
      </c>
      <c r="Y102">
        <v>34590.839999999997</v>
      </c>
      <c r="AB102" s="4">
        <v>39539</v>
      </c>
      <c r="AC102">
        <v>35547.480000000003</v>
      </c>
      <c r="AD102">
        <v>34833.35</v>
      </c>
    </row>
    <row r="103" spans="1:30" x14ac:dyDescent="0.25">
      <c r="A103" s="2">
        <v>39722</v>
      </c>
      <c r="B103">
        <v>63332.23</v>
      </c>
      <c r="C103">
        <v>53544.15</v>
      </c>
      <c r="W103" s="4">
        <v>39569</v>
      </c>
      <c r="X103">
        <v>37714.980000000003</v>
      </c>
      <c r="Y103">
        <v>36275.11</v>
      </c>
      <c r="AB103" s="4">
        <v>39569</v>
      </c>
      <c r="AC103">
        <v>37714.980000000003</v>
      </c>
      <c r="AD103">
        <v>36733.25</v>
      </c>
    </row>
    <row r="104" spans="1:30" x14ac:dyDescent="0.25">
      <c r="A104" s="2">
        <v>39753</v>
      </c>
      <c r="B104">
        <v>54944.18</v>
      </c>
      <c r="C104">
        <v>48205.65</v>
      </c>
      <c r="W104" s="4">
        <v>39600</v>
      </c>
      <c r="X104">
        <v>40494.74</v>
      </c>
      <c r="Y104">
        <v>38691.47</v>
      </c>
      <c r="AB104" s="4">
        <v>39600</v>
      </c>
      <c r="AC104">
        <v>40494.74</v>
      </c>
      <c r="AD104">
        <v>39349.74</v>
      </c>
    </row>
    <row r="105" spans="1:30" x14ac:dyDescent="0.25">
      <c r="A105" s="2">
        <v>39783</v>
      </c>
      <c r="B105">
        <v>59875.9</v>
      </c>
      <c r="C105">
        <v>54296.36</v>
      </c>
      <c r="W105" s="4">
        <v>39630</v>
      </c>
      <c r="X105">
        <v>40632.620000000003</v>
      </c>
      <c r="Y105">
        <v>39164.44</v>
      </c>
      <c r="AB105" s="4">
        <v>39630</v>
      </c>
      <c r="AC105">
        <v>40632.620000000003</v>
      </c>
      <c r="AD105">
        <v>39640.589999999997</v>
      </c>
    </row>
    <row r="106" spans="1:30" x14ac:dyDescent="0.25">
      <c r="A106" s="2">
        <v>39814</v>
      </c>
      <c r="B106">
        <v>66401.69</v>
      </c>
      <c r="C106">
        <v>57384.4</v>
      </c>
      <c r="W106" s="4">
        <v>39661</v>
      </c>
      <c r="X106">
        <v>41912.730000000003</v>
      </c>
      <c r="Y106">
        <v>41831.32</v>
      </c>
      <c r="AB106" s="4">
        <v>39661</v>
      </c>
      <c r="AC106">
        <v>41912.730000000003</v>
      </c>
      <c r="AD106">
        <v>42264.4</v>
      </c>
    </row>
    <row r="107" spans="1:30" x14ac:dyDescent="0.25">
      <c r="A107" s="2">
        <v>39845</v>
      </c>
      <c r="B107">
        <v>62035.88</v>
      </c>
      <c r="C107">
        <v>52832.06</v>
      </c>
      <c r="W107" s="4">
        <v>39692</v>
      </c>
      <c r="X107">
        <v>44393.78</v>
      </c>
      <c r="Y107">
        <v>43260.800000000003</v>
      </c>
      <c r="AB107" s="4">
        <v>39692</v>
      </c>
      <c r="AC107">
        <v>44393.78</v>
      </c>
      <c r="AD107">
        <v>43522.43</v>
      </c>
    </row>
    <row r="108" spans="1:30" x14ac:dyDescent="0.25">
      <c r="A108" s="2">
        <v>39873</v>
      </c>
      <c r="B108">
        <v>69778.039999999994</v>
      </c>
      <c r="C108">
        <v>57882.18</v>
      </c>
      <c r="W108" s="4">
        <v>39722</v>
      </c>
      <c r="X108">
        <v>50362.6</v>
      </c>
      <c r="Y108">
        <v>46235.41</v>
      </c>
      <c r="AB108" s="4">
        <v>39722</v>
      </c>
      <c r="AC108">
        <v>50362.6</v>
      </c>
      <c r="AD108">
        <v>46596.66</v>
      </c>
    </row>
    <row r="109" spans="1:30" x14ac:dyDescent="0.25">
      <c r="A109" s="2">
        <v>39904</v>
      </c>
      <c r="B109">
        <v>66041.13</v>
      </c>
      <c r="C109">
        <v>58688.41</v>
      </c>
      <c r="W109" s="4">
        <v>39753</v>
      </c>
      <c r="X109">
        <v>51885.83</v>
      </c>
      <c r="Y109">
        <v>48162.85</v>
      </c>
      <c r="AB109" s="4">
        <v>39753</v>
      </c>
      <c r="AC109">
        <v>51885.83</v>
      </c>
      <c r="AD109">
        <v>48596.67</v>
      </c>
    </row>
    <row r="110" spans="1:30" x14ac:dyDescent="0.25">
      <c r="A110" s="2">
        <v>39934</v>
      </c>
      <c r="B110">
        <v>69395.350000000006</v>
      </c>
      <c r="C110">
        <v>61078.69</v>
      </c>
      <c r="W110" s="4">
        <v>39783</v>
      </c>
      <c r="X110">
        <v>57138.94</v>
      </c>
      <c r="Y110">
        <v>50688.62</v>
      </c>
      <c r="AB110" s="4">
        <v>39783</v>
      </c>
      <c r="AC110">
        <v>57138.94</v>
      </c>
      <c r="AD110">
        <v>51493.49</v>
      </c>
    </row>
    <row r="111" spans="1:30" x14ac:dyDescent="0.25">
      <c r="A111" s="2">
        <v>39965</v>
      </c>
      <c r="B111">
        <v>70696.22</v>
      </c>
      <c r="C111">
        <v>62702.15</v>
      </c>
      <c r="W111" s="4">
        <v>39814</v>
      </c>
      <c r="X111">
        <v>61390.47</v>
      </c>
      <c r="Y111">
        <v>51785.98</v>
      </c>
      <c r="AB111" s="4">
        <v>39814</v>
      </c>
      <c r="AC111">
        <v>61390.47</v>
      </c>
      <c r="AD111">
        <v>52669.74</v>
      </c>
    </row>
    <row r="112" spans="1:30" x14ac:dyDescent="0.25">
      <c r="A112" s="2">
        <v>39995</v>
      </c>
      <c r="B112">
        <v>67124.17</v>
      </c>
      <c r="C112">
        <v>62348.55</v>
      </c>
      <c r="W112" s="4">
        <v>39845</v>
      </c>
      <c r="X112">
        <v>60925.46</v>
      </c>
      <c r="Y112">
        <v>48818.12</v>
      </c>
      <c r="AB112" s="4">
        <v>39845</v>
      </c>
      <c r="AC112">
        <v>60925.46</v>
      </c>
      <c r="AD112">
        <v>49297.34</v>
      </c>
    </row>
    <row r="113" spans="1:30" x14ac:dyDescent="0.25">
      <c r="A113" s="2">
        <v>40026</v>
      </c>
      <c r="B113">
        <v>69271.62</v>
      </c>
      <c r="C113">
        <v>63708.91</v>
      </c>
      <c r="W113" s="4">
        <v>39873</v>
      </c>
      <c r="X113">
        <v>65166.1</v>
      </c>
      <c r="Y113">
        <v>51192.62</v>
      </c>
      <c r="AB113" s="4">
        <v>39873</v>
      </c>
      <c r="AC113">
        <v>65166.1</v>
      </c>
      <c r="AD113">
        <v>51916.04</v>
      </c>
    </row>
    <row r="114" spans="1:30" x14ac:dyDescent="0.25">
      <c r="A114" s="2">
        <v>40057</v>
      </c>
      <c r="B114">
        <v>73218.59</v>
      </c>
      <c r="C114">
        <v>66817.570000000007</v>
      </c>
      <c r="W114" s="4">
        <v>39904</v>
      </c>
      <c r="X114">
        <v>64851.77</v>
      </c>
      <c r="Y114">
        <v>52044.69</v>
      </c>
      <c r="AB114" s="4">
        <v>39904</v>
      </c>
      <c r="AC114">
        <v>64851.77</v>
      </c>
      <c r="AD114">
        <v>52444.98</v>
      </c>
    </row>
    <row r="115" spans="1:30" x14ac:dyDescent="0.25">
      <c r="A115" s="2">
        <v>40087</v>
      </c>
      <c r="B115">
        <v>70736.899999999994</v>
      </c>
      <c r="C115">
        <v>65200.67</v>
      </c>
      <c r="W115" s="4">
        <v>39934</v>
      </c>
      <c r="X115">
        <v>67112.47</v>
      </c>
      <c r="Y115">
        <v>56040.67</v>
      </c>
      <c r="AB115" s="4">
        <v>39934</v>
      </c>
      <c r="AC115">
        <v>67112.47</v>
      </c>
      <c r="AD115">
        <v>56480.4</v>
      </c>
    </row>
    <row r="116" spans="1:30" x14ac:dyDescent="0.25">
      <c r="A116" s="2">
        <v>40118</v>
      </c>
      <c r="B116">
        <v>62627.78</v>
      </c>
      <c r="C116">
        <v>60712.86</v>
      </c>
      <c r="W116" s="4">
        <v>39965</v>
      </c>
      <c r="X116">
        <v>67663.070000000007</v>
      </c>
      <c r="Y116">
        <v>58921.760000000002</v>
      </c>
      <c r="AB116" s="4">
        <v>39965</v>
      </c>
      <c r="AC116">
        <v>67663.070000000007</v>
      </c>
      <c r="AD116">
        <v>59222.27</v>
      </c>
    </row>
    <row r="117" spans="1:30" x14ac:dyDescent="0.25">
      <c r="A117" s="2">
        <v>40148</v>
      </c>
      <c r="B117">
        <v>66812.990000000005</v>
      </c>
      <c r="C117">
        <v>61205.55</v>
      </c>
      <c r="W117" s="4">
        <v>39995</v>
      </c>
      <c r="X117">
        <v>67023.61</v>
      </c>
      <c r="Y117">
        <v>58873.49</v>
      </c>
      <c r="AB117" s="4">
        <v>39995</v>
      </c>
      <c r="AC117">
        <v>67023.61</v>
      </c>
      <c r="AD117">
        <v>59108.95</v>
      </c>
    </row>
    <row r="118" spans="1:30" x14ac:dyDescent="0.25">
      <c r="A118" s="2">
        <v>40179</v>
      </c>
      <c r="B118">
        <v>65501.51</v>
      </c>
      <c r="C118">
        <v>61431.85</v>
      </c>
      <c r="W118" s="4">
        <v>40026</v>
      </c>
      <c r="X118">
        <v>65837.460000000006</v>
      </c>
      <c r="Y118">
        <v>59654.2</v>
      </c>
      <c r="AB118" s="4">
        <v>40026</v>
      </c>
      <c r="AC118">
        <v>65837.460000000006</v>
      </c>
      <c r="AD118">
        <v>59859.86</v>
      </c>
    </row>
    <row r="119" spans="1:30" x14ac:dyDescent="0.25">
      <c r="A119" s="2">
        <v>40210</v>
      </c>
      <c r="B119">
        <v>65154.11</v>
      </c>
      <c r="C119">
        <v>61607.64</v>
      </c>
      <c r="W119" s="4">
        <v>40057</v>
      </c>
      <c r="X119">
        <v>69119.960000000006</v>
      </c>
      <c r="Y119">
        <v>61938.46</v>
      </c>
      <c r="AB119" s="4">
        <v>40057</v>
      </c>
      <c r="AC119">
        <v>69119.960000000006</v>
      </c>
      <c r="AD119">
        <v>62301.91</v>
      </c>
    </row>
    <row r="120" spans="1:30" x14ac:dyDescent="0.25">
      <c r="A120" s="2">
        <v>40238</v>
      </c>
      <c r="B120">
        <v>66898.2</v>
      </c>
      <c r="C120">
        <v>63140.76</v>
      </c>
      <c r="W120" s="4">
        <v>40087</v>
      </c>
      <c r="X120">
        <v>65219.57</v>
      </c>
      <c r="Y120">
        <v>60861.66</v>
      </c>
      <c r="AB120" s="4">
        <v>40087</v>
      </c>
      <c r="AC120">
        <v>65219.57</v>
      </c>
      <c r="AD120">
        <v>61175.8</v>
      </c>
    </row>
    <row r="121" spans="1:30" x14ac:dyDescent="0.25">
      <c r="A121" s="2">
        <v>40269</v>
      </c>
      <c r="B121">
        <v>69379.03</v>
      </c>
      <c r="C121">
        <v>69223.73</v>
      </c>
      <c r="W121" s="4">
        <v>40118</v>
      </c>
      <c r="X121">
        <v>66708.83</v>
      </c>
      <c r="Y121">
        <v>61964.4</v>
      </c>
      <c r="AB121" s="4">
        <v>40118</v>
      </c>
      <c r="AC121">
        <v>66708.83</v>
      </c>
      <c r="AD121">
        <v>62246.23</v>
      </c>
    </row>
    <row r="122" spans="1:30" x14ac:dyDescent="0.25">
      <c r="A122" s="2">
        <v>40299</v>
      </c>
      <c r="B122">
        <v>75544.94</v>
      </c>
      <c r="C122">
        <v>68792.36</v>
      </c>
      <c r="W122" s="4">
        <v>40148</v>
      </c>
      <c r="X122">
        <v>68399.22</v>
      </c>
      <c r="Y122">
        <v>62912.97</v>
      </c>
      <c r="AB122" s="4">
        <v>40148</v>
      </c>
      <c r="AC122">
        <v>68399.22</v>
      </c>
      <c r="AD122">
        <v>63336.83</v>
      </c>
    </row>
    <row r="123" spans="1:30" x14ac:dyDescent="0.25">
      <c r="A123" s="2">
        <v>40330</v>
      </c>
      <c r="B123">
        <v>72443.360000000001</v>
      </c>
      <c r="C123">
        <v>68879.03</v>
      </c>
      <c r="W123" s="4">
        <v>40179</v>
      </c>
      <c r="X123">
        <v>67750.58</v>
      </c>
      <c r="Y123">
        <v>61277.18</v>
      </c>
      <c r="AB123" s="4">
        <v>40179</v>
      </c>
      <c r="AC123">
        <v>67750.58</v>
      </c>
      <c r="AD123">
        <v>61439.51</v>
      </c>
    </row>
    <row r="124" spans="1:30" x14ac:dyDescent="0.25">
      <c r="A124" s="2">
        <v>40360</v>
      </c>
      <c r="B124">
        <v>79521.7</v>
      </c>
      <c r="C124">
        <v>70199.75</v>
      </c>
      <c r="W124" s="4">
        <v>40210</v>
      </c>
      <c r="X124">
        <v>69443.61</v>
      </c>
      <c r="Y124">
        <v>61930.12</v>
      </c>
      <c r="AB124" s="4">
        <v>40210</v>
      </c>
      <c r="AC124">
        <v>69443.61</v>
      </c>
      <c r="AD124">
        <v>62207.22</v>
      </c>
    </row>
    <row r="125" spans="1:30" x14ac:dyDescent="0.25">
      <c r="A125" s="2">
        <v>40391</v>
      </c>
      <c r="B125">
        <v>80286.990000000005</v>
      </c>
      <c r="C125">
        <v>70632.62</v>
      </c>
      <c r="W125" s="4">
        <v>40238</v>
      </c>
      <c r="X125">
        <v>66587.17</v>
      </c>
      <c r="Y125">
        <v>61929.31</v>
      </c>
      <c r="AB125" s="4">
        <v>40238</v>
      </c>
      <c r="AC125">
        <v>66587.17</v>
      </c>
      <c r="AD125">
        <v>62200.55</v>
      </c>
    </row>
    <row r="126" spans="1:30" x14ac:dyDescent="0.25">
      <c r="A126" s="2">
        <v>40422</v>
      </c>
      <c r="B126">
        <v>75183.429999999993</v>
      </c>
      <c r="C126">
        <v>67778.09</v>
      </c>
      <c r="W126" s="4">
        <v>40269</v>
      </c>
      <c r="X126">
        <v>68564.98</v>
      </c>
      <c r="Y126">
        <v>64836.15</v>
      </c>
      <c r="AB126" s="4">
        <v>40269</v>
      </c>
      <c r="AC126">
        <v>68564.98</v>
      </c>
      <c r="AD126">
        <v>65019.53</v>
      </c>
    </row>
    <row r="127" spans="1:30" x14ac:dyDescent="0.25">
      <c r="A127" s="2">
        <v>40452</v>
      </c>
      <c r="B127">
        <v>76685.649999999994</v>
      </c>
      <c r="C127">
        <v>65868.399999999994</v>
      </c>
      <c r="W127" s="4">
        <v>40299</v>
      </c>
      <c r="X127">
        <v>67267.27</v>
      </c>
      <c r="Y127">
        <v>64515.09</v>
      </c>
      <c r="AB127" s="4">
        <v>40299</v>
      </c>
      <c r="AC127">
        <v>67267.27</v>
      </c>
      <c r="AD127">
        <v>64755.07</v>
      </c>
    </row>
    <row r="128" spans="1:30" x14ac:dyDescent="0.25">
      <c r="A128" s="2">
        <v>40483</v>
      </c>
      <c r="B128">
        <v>74972.600000000006</v>
      </c>
      <c r="C128">
        <v>69037.8</v>
      </c>
      <c r="W128" s="4">
        <v>40330</v>
      </c>
      <c r="X128">
        <v>71655.14</v>
      </c>
      <c r="Y128">
        <v>68921.5</v>
      </c>
      <c r="AB128" s="4">
        <v>40330</v>
      </c>
      <c r="AC128">
        <v>71655.14</v>
      </c>
      <c r="AD128">
        <v>68821.350000000006</v>
      </c>
    </row>
    <row r="129" spans="1:30" x14ac:dyDescent="0.25">
      <c r="A129" s="2">
        <v>40513</v>
      </c>
      <c r="B129">
        <v>74129.87</v>
      </c>
      <c r="C129">
        <v>69146.78</v>
      </c>
      <c r="W129" s="4">
        <v>40360</v>
      </c>
      <c r="X129">
        <v>73389.850000000006</v>
      </c>
      <c r="Y129">
        <v>66939.58</v>
      </c>
      <c r="AB129" s="4">
        <v>40360</v>
      </c>
      <c r="AC129">
        <v>73389.850000000006</v>
      </c>
      <c r="AD129">
        <v>66994</v>
      </c>
    </row>
    <row r="130" spans="1:30" x14ac:dyDescent="0.25">
      <c r="A130" s="2">
        <v>40544</v>
      </c>
      <c r="B130">
        <v>78839.070000000007</v>
      </c>
      <c r="C130">
        <v>71382.259999999995</v>
      </c>
      <c r="W130" s="4">
        <v>40391</v>
      </c>
      <c r="X130">
        <v>73503.710000000006</v>
      </c>
      <c r="Y130">
        <v>65465.15</v>
      </c>
      <c r="AB130" s="4">
        <v>40391</v>
      </c>
      <c r="AC130">
        <v>73503.710000000006</v>
      </c>
      <c r="AD130">
        <v>65504.15</v>
      </c>
    </row>
    <row r="131" spans="1:30" x14ac:dyDescent="0.25">
      <c r="A131" s="2">
        <v>40575</v>
      </c>
      <c r="B131">
        <v>79001.42</v>
      </c>
      <c r="C131">
        <v>68905.850000000006</v>
      </c>
      <c r="W131" s="4">
        <v>40422</v>
      </c>
      <c r="X131">
        <v>75765.22</v>
      </c>
      <c r="Y131">
        <v>65739.81</v>
      </c>
      <c r="AB131" s="4">
        <v>40422</v>
      </c>
      <c r="AC131">
        <v>75765.22</v>
      </c>
      <c r="AD131">
        <v>65883.44</v>
      </c>
    </row>
    <row r="132" spans="1:30" x14ac:dyDescent="0.25">
      <c r="A132" s="2">
        <v>40603</v>
      </c>
      <c r="B132">
        <v>79387.360000000001</v>
      </c>
      <c r="C132">
        <v>72759.66</v>
      </c>
      <c r="W132" s="4">
        <v>40452</v>
      </c>
      <c r="X132">
        <v>75720.600000000006</v>
      </c>
      <c r="Y132">
        <v>65773.11</v>
      </c>
      <c r="AB132" s="4">
        <v>40452</v>
      </c>
      <c r="AC132">
        <v>75720.600000000006</v>
      </c>
      <c r="AD132">
        <v>65967.92</v>
      </c>
    </row>
    <row r="133" spans="1:30" x14ac:dyDescent="0.25">
      <c r="A133" s="2">
        <v>40634</v>
      </c>
      <c r="B133">
        <v>76821.570000000007</v>
      </c>
      <c r="C133">
        <v>70917.05</v>
      </c>
      <c r="W133" s="4">
        <v>40483</v>
      </c>
      <c r="X133">
        <v>77283.64</v>
      </c>
      <c r="Y133">
        <v>66716.5</v>
      </c>
      <c r="AB133" s="4">
        <v>40483</v>
      </c>
      <c r="AC133">
        <v>77283.64</v>
      </c>
      <c r="AD133">
        <v>66843.289999999994</v>
      </c>
    </row>
    <row r="134" spans="1:30" x14ac:dyDescent="0.25">
      <c r="A134" s="2">
        <v>40664</v>
      </c>
      <c r="B134">
        <v>77131.320000000007</v>
      </c>
      <c r="C134">
        <v>74222.78</v>
      </c>
      <c r="W134" s="4">
        <v>40513</v>
      </c>
      <c r="X134">
        <v>75473.41</v>
      </c>
      <c r="Y134">
        <v>65826.3</v>
      </c>
      <c r="AB134" s="4">
        <v>40513</v>
      </c>
      <c r="AC134">
        <v>75473.41</v>
      </c>
      <c r="AD134">
        <v>66207.199999999997</v>
      </c>
    </row>
    <row r="135" spans="1:30" x14ac:dyDescent="0.25">
      <c r="A135" s="2">
        <v>40695</v>
      </c>
      <c r="B135">
        <v>77033.490000000005</v>
      </c>
      <c r="C135">
        <v>72181.86</v>
      </c>
      <c r="W135" s="4">
        <v>40544</v>
      </c>
      <c r="X135">
        <v>76476.23</v>
      </c>
      <c r="Y135">
        <v>67591.27</v>
      </c>
      <c r="AB135" s="4">
        <v>40544</v>
      </c>
      <c r="AC135">
        <v>76476.23</v>
      </c>
      <c r="AD135">
        <v>67955</v>
      </c>
    </row>
    <row r="136" spans="1:30" x14ac:dyDescent="0.25">
      <c r="A136" s="2">
        <v>40725</v>
      </c>
      <c r="B136">
        <v>77332.820000000007</v>
      </c>
      <c r="C136">
        <v>74940.13</v>
      </c>
      <c r="W136" s="4">
        <v>40575</v>
      </c>
      <c r="X136">
        <v>75265.649999999994</v>
      </c>
      <c r="Y136">
        <v>68451.55</v>
      </c>
      <c r="AB136" s="4">
        <v>40575</v>
      </c>
      <c r="AC136">
        <v>75265.649999999994</v>
      </c>
      <c r="AD136">
        <v>68900.08</v>
      </c>
    </row>
    <row r="137" spans="1:30" x14ac:dyDescent="0.25">
      <c r="A137" s="2">
        <v>40756</v>
      </c>
      <c r="B137">
        <v>78311.81</v>
      </c>
      <c r="C137">
        <v>76017.91</v>
      </c>
      <c r="W137" s="4">
        <v>40603</v>
      </c>
      <c r="X137">
        <v>75133.23</v>
      </c>
      <c r="Y137">
        <v>69745.94</v>
      </c>
      <c r="AB137" s="4">
        <v>40603</v>
      </c>
      <c r="AC137">
        <v>75133.23</v>
      </c>
      <c r="AD137">
        <v>70158.53</v>
      </c>
    </row>
    <row r="138" spans="1:30" x14ac:dyDescent="0.25">
      <c r="A138" s="2">
        <v>40787</v>
      </c>
      <c r="B138">
        <v>75196.960000000006</v>
      </c>
      <c r="C138">
        <v>73710.320000000007</v>
      </c>
      <c r="W138" s="4">
        <v>40634</v>
      </c>
      <c r="X138">
        <v>74265.13</v>
      </c>
      <c r="Y138">
        <v>69821.710000000006</v>
      </c>
      <c r="AB138" s="4">
        <v>40634</v>
      </c>
      <c r="AC138">
        <v>74265.13</v>
      </c>
      <c r="AD138">
        <v>69982.73</v>
      </c>
    </row>
    <row r="139" spans="1:30" x14ac:dyDescent="0.25">
      <c r="A139" s="2">
        <v>40817</v>
      </c>
      <c r="B139">
        <v>78671.23</v>
      </c>
      <c r="C139">
        <v>74360.67</v>
      </c>
      <c r="W139" s="4">
        <v>40664</v>
      </c>
      <c r="X139">
        <v>74982.02</v>
      </c>
      <c r="Y139">
        <v>71776.66</v>
      </c>
      <c r="AB139" s="4">
        <v>40664</v>
      </c>
      <c r="AC139">
        <v>74982.02</v>
      </c>
      <c r="AD139">
        <v>72035.94</v>
      </c>
    </row>
    <row r="140" spans="1:30" x14ac:dyDescent="0.25">
      <c r="A140" s="2">
        <v>40848</v>
      </c>
      <c r="B140">
        <v>77160.19</v>
      </c>
      <c r="C140">
        <v>71140.58</v>
      </c>
      <c r="W140" s="4">
        <v>40695</v>
      </c>
      <c r="X140">
        <v>74869</v>
      </c>
      <c r="Y140">
        <v>72227.12</v>
      </c>
      <c r="AB140" s="4">
        <v>40695</v>
      </c>
      <c r="AC140">
        <v>74869</v>
      </c>
      <c r="AD140">
        <v>72485.91</v>
      </c>
    </row>
    <row r="141" spans="1:30" x14ac:dyDescent="0.25">
      <c r="A141" s="2">
        <v>40878</v>
      </c>
      <c r="B141">
        <v>77014.350000000006</v>
      </c>
      <c r="C141">
        <v>70409.48</v>
      </c>
      <c r="W141" s="4">
        <v>40725</v>
      </c>
      <c r="X141">
        <v>75873.710000000006</v>
      </c>
      <c r="Y141">
        <v>72456.08</v>
      </c>
      <c r="AB141" s="4">
        <v>40725</v>
      </c>
      <c r="AC141">
        <v>75873.710000000006</v>
      </c>
      <c r="AD141">
        <v>72595.16</v>
      </c>
    </row>
    <row r="142" spans="1:30" x14ac:dyDescent="0.25">
      <c r="A142" s="2">
        <v>40909</v>
      </c>
      <c r="B142">
        <v>75013.490000000005</v>
      </c>
      <c r="C142">
        <v>73325.34</v>
      </c>
      <c r="W142" s="4">
        <v>40756</v>
      </c>
      <c r="X142">
        <v>75336.97</v>
      </c>
      <c r="Y142">
        <v>72359.199999999997</v>
      </c>
      <c r="AB142" s="4">
        <v>40756</v>
      </c>
      <c r="AC142">
        <v>75336.97</v>
      </c>
      <c r="AD142">
        <v>72477.899999999994</v>
      </c>
    </row>
    <row r="143" spans="1:30" x14ac:dyDescent="0.25">
      <c r="A143" s="2">
        <v>40940</v>
      </c>
      <c r="B143">
        <v>74417.78</v>
      </c>
      <c r="C143">
        <v>71173.279999999999</v>
      </c>
      <c r="W143" s="4">
        <v>40787</v>
      </c>
      <c r="X143">
        <v>75305.05</v>
      </c>
      <c r="Y143">
        <v>71894.789999999994</v>
      </c>
      <c r="AB143" s="4">
        <v>40787</v>
      </c>
      <c r="AC143">
        <v>75305.05</v>
      </c>
      <c r="AD143">
        <v>72014.570000000007</v>
      </c>
    </row>
    <row r="144" spans="1:30" x14ac:dyDescent="0.25">
      <c r="A144" s="2">
        <v>40969</v>
      </c>
      <c r="B144">
        <v>66882.5</v>
      </c>
      <c r="C144">
        <v>67866.710000000006</v>
      </c>
      <c r="W144" s="4">
        <v>40817</v>
      </c>
      <c r="X144">
        <v>75251.58</v>
      </c>
      <c r="Y144">
        <v>72361.240000000005</v>
      </c>
      <c r="AB144" s="4">
        <v>40817</v>
      </c>
      <c r="AC144">
        <v>75251.58</v>
      </c>
      <c r="AD144">
        <v>72423.570000000007</v>
      </c>
    </row>
    <row r="145" spans="1:30" x14ac:dyDescent="0.25">
      <c r="A145" s="2">
        <v>41000</v>
      </c>
      <c r="B145">
        <v>69513.039999999994</v>
      </c>
      <c r="C145">
        <v>72934.179999999993</v>
      </c>
      <c r="W145" s="4">
        <v>40848</v>
      </c>
      <c r="X145">
        <v>74694.66</v>
      </c>
      <c r="Y145">
        <v>70718.679999999993</v>
      </c>
      <c r="AB145" s="4">
        <v>40848</v>
      </c>
      <c r="AC145">
        <v>74694.66</v>
      </c>
      <c r="AD145">
        <v>70734.89</v>
      </c>
    </row>
    <row r="146" spans="1:30" x14ac:dyDescent="0.25">
      <c r="A146" s="2">
        <v>41030</v>
      </c>
      <c r="B146">
        <v>66561.52</v>
      </c>
      <c r="C146">
        <v>69439.490000000005</v>
      </c>
      <c r="W146" s="4">
        <v>40878</v>
      </c>
      <c r="X146">
        <v>74039.19</v>
      </c>
      <c r="Y146">
        <v>69298.320000000007</v>
      </c>
      <c r="AB146" s="4">
        <v>40878</v>
      </c>
      <c r="AC146">
        <v>74039.19</v>
      </c>
      <c r="AD146">
        <v>69304.289999999994</v>
      </c>
    </row>
    <row r="147" spans="1:30" x14ac:dyDescent="0.25">
      <c r="A147" s="2">
        <v>41061</v>
      </c>
      <c r="B147">
        <v>68517.03</v>
      </c>
      <c r="C147">
        <v>75239.44</v>
      </c>
      <c r="W147" s="4">
        <v>40909</v>
      </c>
      <c r="X147">
        <v>74529.33</v>
      </c>
      <c r="Y147">
        <v>70530.539999999994</v>
      </c>
      <c r="AB147" s="4">
        <v>40909</v>
      </c>
      <c r="AC147">
        <v>74529.33</v>
      </c>
      <c r="AD147">
        <v>70517.16</v>
      </c>
    </row>
    <row r="148" spans="1:30" x14ac:dyDescent="0.25">
      <c r="A148" s="2">
        <v>41091</v>
      </c>
      <c r="B148">
        <v>69123.179999999993</v>
      </c>
      <c r="C148">
        <v>71135.23</v>
      </c>
      <c r="W148" s="4">
        <v>40940</v>
      </c>
      <c r="X148">
        <v>72107.97</v>
      </c>
      <c r="Y148">
        <v>69239.98</v>
      </c>
      <c r="AB148" s="4">
        <v>40940</v>
      </c>
      <c r="AC148">
        <v>72107.97</v>
      </c>
      <c r="AD148">
        <v>69242.559999999998</v>
      </c>
    </row>
    <row r="149" spans="1:30" x14ac:dyDescent="0.25">
      <c r="A149" s="2">
        <v>41122</v>
      </c>
      <c r="B149">
        <v>61504.93</v>
      </c>
      <c r="C149">
        <v>67027.58</v>
      </c>
      <c r="W149" s="4">
        <v>40969</v>
      </c>
      <c r="X149">
        <v>69190.63</v>
      </c>
      <c r="Y149">
        <v>68624.7</v>
      </c>
      <c r="AB149" s="4">
        <v>40969</v>
      </c>
      <c r="AC149">
        <v>69190.63</v>
      </c>
      <c r="AD149">
        <v>68665.539999999994</v>
      </c>
    </row>
    <row r="150" spans="1:30" x14ac:dyDescent="0.25">
      <c r="A150" s="2">
        <v>41153</v>
      </c>
      <c r="B150">
        <v>65223.81</v>
      </c>
      <c r="C150">
        <v>65065.93</v>
      </c>
      <c r="W150" s="4">
        <v>41000</v>
      </c>
      <c r="X150">
        <v>68586.53</v>
      </c>
      <c r="Y150">
        <v>69952.070000000007</v>
      </c>
      <c r="AB150" s="4">
        <v>41000</v>
      </c>
      <c r="AC150">
        <v>68586.53</v>
      </c>
      <c r="AD150">
        <v>69896.67</v>
      </c>
    </row>
    <row r="151" spans="1:30" x14ac:dyDescent="0.25">
      <c r="A151" s="2">
        <v>41183</v>
      </c>
      <c r="B151">
        <v>64534.02</v>
      </c>
      <c r="C151">
        <v>66342.69</v>
      </c>
      <c r="W151" s="4">
        <v>41030</v>
      </c>
      <c r="X151">
        <v>66017.73</v>
      </c>
      <c r="Y151">
        <v>69470.83</v>
      </c>
      <c r="AB151" s="4">
        <v>41030</v>
      </c>
      <c r="AC151">
        <v>66017.73</v>
      </c>
      <c r="AD151">
        <v>69398.570000000007</v>
      </c>
    </row>
    <row r="152" spans="1:30" x14ac:dyDescent="0.25">
      <c r="A152" s="2">
        <v>41214</v>
      </c>
      <c r="B152">
        <v>63004.5</v>
      </c>
      <c r="C152">
        <v>66740.570000000007</v>
      </c>
      <c r="W152" s="4">
        <v>41061</v>
      </c>
      <c r="X152">
        <v>66577.210000000006</v>
      </c>
      <c r="Y152">
        <v>70472.72</v>
      </c>
      <c r="AB152" s="4">
        <v>41061</v>
      </c>
      <c r="AC152">
        <v>66577.210000000006</v>
      </c>
      <c r="AD152">
        <v>70296.259999999995</v>
      </c>
    </row>
    <row r="153" spans="1:30" x14ac:dyDescent="0.25">
      <c r="A153" s="2">
        <v>41244</v>
      </c>
      <c r="B153">
        <v>65448.08</v>
      </c>
      <c r="C153">
        <v>66128.929999999993</v>
      </c>
      <c r="W153" s="4">
        <v>41091</v>
      </c>
      <c r="X153">
        <v>66240.509999999995</v>
      </c>
      <c r="Y153">
        <v>68700.69</v>
      </c>
      <c r="AB153" s="4">
        <v>41091</v>
      </c>
      <c r="AC153">
        <v>66240.509999999995</v>
      </c>
      <c r="AD153">
        <v>68453.7</v>
      </c>
    </row>
    <row r="154" spans="1:30" x14ac:dyDescent="0.25">
      <c r="A154" s="2">
        <v>41275</v>
      </c>
      <c r="B154">
        <v>58863.8</v>
      </c>
      <c r="C154">
        <v>63648.5</v>
      </c>
      <c r="W154" s="4">
        <v>41122</v>
      </c>
      <c r="X154">
        <v>64677.19</v>
      </c>
      <c r="Y154">
        <v>67718</v>
      </c>
      <c r="AB154" s="4">
        <v>41122</v>
      </c>
      <c r="AC154">
        <v>64677.19</v>
      </c>
      <c r="AD154">
        <v>67429.33</v>
      </c>
    </row>
    <row r="155" spans="1:30" x14ac:dyDescent="0.25">
      <c r="A155" s="2">
        <v>41306</v>
      </c>
      <c r="B155">
        <v>56732.72</v>
      </c>
      <c r="C155">
        <v>63014.5</v>
      </c>
      <c r="W155" s="4">
        <v>41153</v>
      </c>
      <c r="X155">
        <v>63981.63</v>
      </c>
      <c r="Y155">
        <v>66632.67</v>
      </c>
      <c r="AB155" s="4">
        <v>41153</v>
      </c>
      <c r="AC155">
        <v>63981.63</v>
      </c>
      <c r="AD155">
        <v>66354.45</v>
      </c>
    </row>
    <row r="156" spans="1:30" x14ac:dyDescent="0.25">
      <c r="A156" s="2">
        <v>41334</v>
      </c>
      <c r="B156">
        <v>57304.44</v>
      </c>
      <c r="C156">
        <v>65444.03</v>
      </c>
      <c r="W156" s="4">
        <v>41183</v>
      </c>
      <c r="X156">
        <v>63282.559999999998</v>
      </c>
      <c r="Y156">
        <v>66150.460000000006</v>
      </c>
      <c r="AB156" s="4">
        <v>41183</v>
      </c>
      <c r="AC156">
        <v>63282.559999999998</v>
      </c>
      <c r="AD156">
        <v>65827.25</v>
      </c>
    </row>
    <row r="157" spans="1:30" x14ac:dyDescent="0.25">
      <c r="A157" s="2">
        <v>41365</v>
      </c>
      <c r="B157">
        <v>58431.27</v>
      </c>
      <c r="C157">
        <v>62996.43</v>
      </c>
      <c r="W157" s="4">
        <v>41214</v>
      </c>
      <c r="X157">
        <v>60836.19</v>
      </c>
      <c r="Y157">
        <v>64190.67</v>
      </c>
      <c r="AB157" s="4">
        <v>41214</v>
      </c>
      <c r="AC157">
        <v>60836.19</v>
      </c>
      <c r="AD157">
        <v>63923.44</v>
      </c>
    </row>
    <row r="158" spans="1:30" x14ac:dyDescent="0.25">
      <c r="A158" s="2">
        <v>41395</v>
      </c>
      <c r="B158">
        <v>52947.34</v>
      </c>
      <c r="C158">
        <v>60851.1</v>
      </c>
      <c r="W158" s="4">
        <v>41244</v>
      </c>
      <c r="X158">
        <v>61386.44</v>
      </c>
      <c r="Y158">
        <v>64833.9</v>
      </c>
      <c r="AB158" s="4">
        <v>41244</v>
      </c>
      <c r="AC158">
        <v>61386.44</v>
      </c>
      <c r="AD158">
        <v>64510.89</v>
      </c>
    </row>
    <row r="159" spans="1:30" x14ac:dyDescent="0.25">
      <c r="A159" s="2">
        <v>41426</v>
      </c>
      <c r="B159">
        <v>49393.47</v>
      </c>
      <c r="C159">
        <v>60463.7</v>
      </c>
      <c r="W159" s="4">
        <v>41275</v>
      </c>
      <c r="X159">
        <v>59643.040000000001</v>
      </c>
      <c r="Y159">
        <v>62307.02</v>
      </c>
      <c r="AB159" s="4">
        <v>41275</v>
      </c>
      <c r="AC159">
        <v>59643.040000000001</v>
      </c>
      <c r="AD159">
        <v>62028.02</v>
      </c>
    </row>
    <row r="160" spans="1:30" x14ac:dyDescent="0.25">
      <c r="A160" s="2">
        <v>41456</v>
      </c>
      <c r="B160">
        <v>51150.97</v>
      </c>
      <c r="C160">
        <v>58802.16</v>
      </c>
      <c r="W160" s="4">
        <v>41306</v>
      </c>
      <c r="X160">
        <v>57467.44</v>
      </c>
      <c r="Y160">
        <v>61707.62</v>
      </c>
      <c r="AB160" s="4">
        <v>41306</v>
      </c>
      <c r="AC160">
        <v>57467.44</v>
      </c>
      <c r="AD160">
        <v>61386.37</v>
      </c>
    </row>
    <row r="161" spans="1:30" x14ac:dyDescent="0.25">
      <c r="A161" s="2">
        <v>41487</v>
      </c>
      <c r="B161">
        <v>56592.86</v>
      </c>
      <c r="C161">
        <v>57373.42</v>
      </c>
      <c r="W161" s="4">
        <v>41334</v>
      </c>
      <c r="X161">
        <v>55452.29</v>
      </c>
      <c r="Y161">
        <v>61643.22</v>
      </c>
      <c r="AB161" s="4">
        <v>41334</v>
      </c>
      <c r="AC161">
        <v>55452.29</v>
      </c>
      <c r="AD161">
        <v>61426.89</v>
      </c>
    </row>
    <row r="162" spans="1:30" x14ac:dyDescent="0.25">
      <c r="A162" s="2">
        <v>41518</v>
      </c>
      <c r="B162">
        <v>49894.49</v>
      </c>
      <c r="C162">
        <v>60418.559999999998</v>
      </c>
      <c r="W162" s="4">
        <v>41365</v>
      </c>
      <c r="X162">
        <v>52930.94</v>
      </c>
      <c r="Y162">
        <v>58896.44</v>
      </c>
      <c r="AB162" s="4">
        <v>41365</v>
      </c>
      <c r="AC162">
        <v>52930.94</v>
      </c>
      <c r="AD162">
        <v>58635.61</v>
      </c>
    </row>
    <row r="163" spans="1:30" x14ac:dyDescent="0.25">
      <c r="A163" s="2">
        <v>41548</v>
      </c>
      <c r="B163">
        <v>46912.91</v>
      </c>
      <c r="C163">
        <v>53454.35</v>
      </c>
      <c r="W163" s="4">
        <v>41395</v>
      </c>
      <c r="X163">
        <v>51078.77</v>
      </c>
      <c r="Y163">
        <v>58991.16</v>
      </c>
      <c r="AB163" s="4">
        <v>41395</v>
      </c>
      <c r="AC163">
        <v>51078.77</v>
      </c>
      <c r="AD163">
        <v>58771.7</v>
      </c>
    </row>
    <row r="164" spans="1:30" x14ac:dyDescent="0.25">
      <c r="A164" s="2">
        <v>41579</v>
      </c>
      <c r="B164">
        <v>49262.36</v>
      </c>
      <c r="C164">
        <v>56490.41</v>
      </c>
      <c r="W164" s="4">
        <v>41426</v>
      </c>
      <c r="X164">
        <v>48158.26</v>
      </c>
      <c r="Y164">
        <v>56976.66</v>
      </c>
      <c r="AB164" s="4">
        <v>41426</v>
      </c>
      <c r="AC164">
        <v>48158.26</v>
      </c>
      <c r="AD164">
        <v>56796.69</v>
      </c>
    </row>
    <row r="165" spans="1:30" x14ac:dyDescent="0.25">
      <c r="A165" s="2">
        <v>41609</v>
      </c>
      <c r="B165">
        <v>45014.07</v>
      </c>
      <c r="C165">
        <v>51859.199999999997</v>
      </c>
      <c r="W165" s="4">
        <v>41456</v>
      </c>
      <c r="X165">
        <v>48193.08</v>
      </c>
      <c r="Y165">
        <v>55987.62</v>
      </c>
      <c r="AB165" s="4">
        <v>41456</v>
      </c>
      <c r="AC165">
        <v>48193.08</v>
      </c>
      <c r="AD165">
        <v>55754.91</v>
      </c>
    </row>
    <row r="166" spans="1:30" x14ac:dyDescent="0.25">
      <c r="A166" s="2">
        <v>41640</v>
      </c>
      <c r="B166">
        <v>45418.23</v>
      </c>
      <c r="C166">
        <v>52887.360000000001</v>
      </c>
      <c r="W166" s="4">
        <v>41487</v>
      </c>
      <c r="X166">
        <v>47525.8</v>
      </c>
      <c r="Y166">
        <v>55770.2</v>
      </c>
      <c r="AB166" s="4">
        <v>41487</v>
      </c>
      <c r="AC166">
        <v>47525.8</v>
      </c>
      <c r="AD166">
        <v>55543.14</v>
      </c>
    </row>
    <row r="167" spans="1:30" x14ac:dyDescent="0.25">
      <c r="A167" s="2">
        <v>41671</v>
      </c>
      <c r="B167">
        <v>51555.14</v>
      </c>
      <c r="C167">
        <v>53431.06</v>
      </c>
      <c r="W167" s="4">
        <v>41518</v>
      </c>
      <c r="X167">
        <v>45786.84</v>
      </c>
      <c r="Y167">
        <v>54308.04</v>
      </c>
      <c r="AB167" s="4">
        <v>41518</v>
      </c>
      <c r="AC167">
        <v>45786.84</v>
      </c>
      <c r="AD167">
        <v>54149</v>
      </c>
    </row>
    <row r="168" spans="1:30" x14ac:dyDescent="0.25">
      <c r="A168" s="2">
        <v>41699</v>
      </c>
      <c r="B168">
        <v>42138.239999999998</v>
      </c>
      <c r="C168">
        <v>49649.279999999999</v>
      </c>
      <c r="W168" s="4">
        <v>41548</v>
      </c>
      <c r="X168">
        <v>45438.94</v>
      </c>
      <c r="Y168">
        <v>52845.99</v>
      </c>
      <c r="AB168" s="4">
        <v>41548</v>
      </c>
      <c r="AC168">
        <v>45438.94</v>
      </c>
      <c r="AD168">
        <v>52664.959999999999</v>
      </c>
    </row>
    <row r="169" spans="1:30" x14ac:dyDescent="0.25">
      <c r="A169" s="2">
        <v>41730</v>
      </c>
      <c r="B169">
        <v>48793.3</v>
      </c>
      <c r="C169">
        <v>55653.1</v>
      </c>
      <c r="W169" s="4">
        <v>41579</v>
      </c>
      <c r="X169">
        <v>45624.28</v>
      </c>
      <c r="Y169">
        <v>52490.73</v>
      </c>
      <c r="AB169" s="4">
        <v>41579</v>
      </c>
      <c r="AC169">
        <v>45624.28</v>
      </c>
      <c r="AD169">
        <v>52413.69</v>
      </c>
    </row>
    <row r="170" spans="1:30" x14ac:dyDescent="0.25">
      <c r="A170" s="2">
        <v>41760</v>
      </c>
      <c r="B170">
        <v>51280.22</v>
      </c>
      <c r="C170">
        <v>53917.62</v>
      </c>
      <c r="W170" s="4">
        <v>41609</v>
      </c>
      <c r="X170">
        <v>46233.9</v>
      </c>
      <c r="Y170">
        <v>51668.83</v>
      </c>
      <c r="AB170" s="4">
        <v>41609</v>
      </c>
      <c r="AC170">
        <v>46233.9</v>
      </c>
      <c r="AD170">
        <v>51624.53</v>
      </c>
    </row>
    <row r="171" spans="1:30" x14ac:dyDescent="0.25">
      <c r="A171" s="2">
        <v>41791</v>
      </c>
      <c r="B171">
        <v>51246.79</v>
      </c>
      <c r="C171">
        <v>54369.07</v>
      </c>
      <c r="W171" s="4">
        <v>41640</v>
      </c>
      <c r="X171">
        <v>43619.53</v>
      </c>
      <c r="Y171">
        <v>49228.82</v>
      </c>
      <c r="AB171" s="4">
        <v>41640</v>
      </c>
      <c r="AC171">
        <v>43619.53</v>
      </c>
      <c r="AD171">
        <v>49093.16</v>
      </c>
    </row>
    <row r="172" spans="1:30" x14ac:dyDescent="0.25">
      <c r="A172" s="2">
        <v>41821</v>
      </c>
      <c r="B172">
        <v>60201.41</v>
      </c>
      <c r="C172">
        <v>48468.84</v>
      </c>
      <c r="W172" s="4">
        <v>41671</v>
      </c>
      <c r="X172">
        <v>44914.23</v>
      </c>
      <c r="Y172">
        <v>50240.24</v>
      </c>
      <c r="AB172" s="4">
        <v>41671</v>
      </c>
      <c r="AC172">
        <v>44914.23</v>
      </c>
      <c r="AD172">
        <v>50206.74</v>
      </c>
    </row>
    <row r="173" spans="1:30" x14ac:dyDescent="0.25">
      <c r="A173" s="2">
        <v>41852</v>
      </c>
      <c r="B173">
        <v>58009.26</v>
      </c>
      <c r="C173">
        <v>56660.42</v>
      </c>
      <c r="W173" s="4">
        <v>41699</v>
      </c>
      <c r="X173">
        <v>41508.9</v>
      </c>
      <c r="Y173">
        <v>48865.36</v>
      </c>
      <c r="AB173" s="4">
        <v>41699</v>
      </c>
      <c r="AC173">
        <v>41508.9</v>
      </c>
      <c r="AD173">
        <v>48895.27</v>
      </c>
    </row>
    <row r="174" spans="1:30" x14ac:dyDescent="0.25">
      <c r="A174" s="2">
        <v>41883</v>
      </c>
      <c r="B174">
        <v>72994.03</v>
      </c>
      <c r="C174">
        <v>48349.01</v>
      </c>
      <c r="W174" s="4">
        <v>41730</v>
      </c>
      <c r="X174">
        <v>43483.02</v>
      </c>
      <c r="Y174">
        <v>49729.8</v>
      </c>
      <c r="AB174" s="4">
        <v>41730</v>
      </c>
      <c r="AC174">
        <v>43483.02</v>
      </c>
      <c r="AD174">
        <v>49607.72</v>
      </c>
    </row>
    <row r="175" spans="1:30" x14ac:dyDescent="0.25">
      <c r="W175" s="4">
        <v>41760</v>
      </c>
      <c r="X175">
        <v>44748.41</v>
      </c>
      <c r="Y175">
        <v>50236.41</v>
      </c>
      <c r="AB175" s="4">
        <v>41760</v>
      </c>
      <c r="AC175">
        <v>44748.41</v>
      </c>
      <c r="AD175">
        <v>49940.56</v>
      </c>
    </row>
    <row r="176" spans="1:30" x14ac:dyDescent="0.25">
      <c r="W176" s="4">
        <v>41791</v>
      </c>
      <c r="X176">
        <v>48579.99</v>
      </c>
      <c r="Y176">
        <v>49819.65</v>
      </c>
      <c r="AB176" s="4">
        <v>41791</v>
      </c>
      <c r="AC176">
        <v>48579.99</v>
      </c>
      <c r="AD176">
        <v>49277.17</v>
      </c>
    </row>
    <row r="177" spans="23:30" x14ac:dyDescent="0.25">
      <c r="W177" s="4">
        <v>41821</v>
      </c>
      <c r="X177">
        <v>53707.01</v>
      </c>
      <c r="Y177">
        <v>48118.38</v>
      </c>
      <c r="AB177" s="4">
        <v>41821</v>
      </c>
      <c r="AC177">
        <v>53707.01</v>
      </c>
      <c r="AD177">
        <v>47492.37</v>
      </c>
    </row>
    <row r="178" spans="23:30" x14ac:dyDescent="0.25">
      <c r="W178" s="4">
        <v>41852</v>
      </c>
      <c r="X178">
        <v>57973.8</v>
      </c>
      <c r="Y178">
        <v>52661.62</v>
      </c>
      <c r="AB178" s="4">
        <v>41852</v>
      </c>
      <c r="AC178">
        <v>57973.8</v>
      </c>
      <c r="AD178">
        <v>50697.34</v>
      </c>
    </row>
    <row r="179" spans="23:30" x14ac:dyDescent="0.25">
      <c r="W179" s="4">
        <v>41883</v>
      </c>
      <c r="X179">
        <v>76112.820000000007</v>
      </c>
      <c r="Y179">
        <v>49065.47</v>
      </c>
      <c r="AB179" s="4">
        <v>41883</v>
      </c>
      <c r="AC179">
        <v>76112.820000000007</v>
      </c>
      <c r="AD179">
        <v>48386.26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82"/>
  <sheetViews>
    <sheetView topLeftCell="A19" workbookViewId="0">
      <selection activeCell="AA51" sqref="AA51"/>
    </sheetView>
  </sheetViews>
  <sheetFormatPr defaultRowHeight="15" x14ac:dyDescent="0.25"/>
  <cols>
    <col min="2" max="2" width="11.28515625" bestFit="1" customWidth="1"/>
    <col min="19" max="19" width="11.28515625" bestFit="1" customWidth="1"/>
    <col min="24" max="24" width="11.28515625" bestFit="1" customWidth="1"/>
    <col min="29" max="29" width="11.28515625" bestFit="1" customWidth="1"/>
  </cols>
  <sheetData>
    <row r="1" spans="2:31" x14ac:dyDescent="0.25">
      <c r="B1" t="s">
        <v>188</v>
      </c>
      <c r="S1" t="s">
        <v>189</v>
      </c>
      <c r="X1" t="s">
        <v>190</v>
      </c>
    </row>
    <row r="2" spans="2:31" x14ac:dyDescent="0.25">
      <c r="B2" s="3"/>
      <c r="C2" t="s">
        <v>10</v>
      </c>
      <c r="D2" t="s">
        <v>11</v>
      </c>
      <c r="S2" s="3"/>
      <c r="T2" t="s">
        <v>10</v>
      </c>
      <c r="U2" t="s">
        <v>11</v>
      </c>
      <c r="X2" s="3"/>
      <c r="Y2" t="s">
        <v>10</v>
      </c>
      <c r="Z2" t="s">
        <v>11</v>
      </c>
      <c r="AC2" s="3"/>
      <c r="AD2" t="s">
        <v>10</v>
      </c>
      <c r="AE2" t="s">
        <v>11</v>
      </c>
    </row>
    <row r="3" spans="2:31" x14ac:dyDescent="0.25">
      <c r="B3" s="4">
        <v>36434</v>
      </c>
      <c r="C3">
        <v>1385</v>
      </c>
      <c r="D3">
        <v>4979.5540000000001</v>
      </c>
      <c r="S3" s="4">
        <v>36434</v>
      </c>
      <c r="T3">
        <v>1385</v>
      </c>
      <c r="U3">
        <v>-645.56399999999996</v>
      </c>
      <c r="X3" s="4">
        <v>36434</v>
      </c>
      <c r="Y3">
        <v>1385</v>
      </c>
      <c r="Z3">
        <v>4970.7669999999998</v>
      </c>
      <c r="AC3" s="4">
        <v>36434</v>
      </c>
      <c r="AD3">
        <v>1385</v>
      </c>
      <c r="AE3">
        <v>4822.55</v>
      </c>
    </row>
    <row r="4" spans="2:31" x14ac:dyDescent="0.25">
      <c r="B4" s="4">
        <v>36465</v>
      </c>
      <c r="C4">
        <v>2406</v>
      </c>
      <c r="D4">
        <v>3844.3530000000001</v>
      </c>
      <c r="S4" s="4">
        <v>36465</v>
      </c>
      <c r="T4">
        <v>2406</v>
      </c>
      <c r="U4">
        <v>-2219.9760000000001</v>
      </c>
      <c r="X4" s="4">
        <v>36465</v>
      </c>
      <c r="Y4">
        <v>2406</v>
      </c>
      <c r="Z4">
        <v>3520.288</v>
      </c>
      <c r="AC4" s="4">
        <v>36465</v>
      </c>
      <c r="AD4">
        <v>2406</v>
      </c>
      <c r="AE4">
        <v>3664.83</v>
      </c>
    </row>
    <row r="5" spans="2:31" x14ac:dyDescent="0.25">
      <c r="B5" s="4">
        <v>36495</v>
      </c>
      <c r="C5">
        <v>3163.75</v>
      </c>
      <c r="D5">
        <v>3712.2370000000001</v>
      </c>
      <c r="S5" s="4">
        <v>36495</v>
      </c>
      <c r="T5">
        <v>3163.75</v>
      </c>
      <c r="U5">
        <v>-1316.501</v>
      </c>
      <c r="X5" s="4">
        <v>36495</v>
      </c>
      <c r="Y5">
        <v>3163.75</v>
      </c>
      <c r="Z5">
        <v>3619.116</v>
      </c>
      <c r="AC5" s="4">
        <v>36495</v>
      </c>
      <c r="AD5">
        <v>3163.75</v>
      </c>
      <c r="AE5">
        <v>3465.5430000000001</v>
      </c>
    </row>
    <row r="6" spans="2:31" x14ac:dyDescent="0.25">
      <c r="B6" s="4">
        <v>36526</v>
      </c>
      <c r="C6">
        <v>1052</v>
      </c>
      <c r="D6">
        <v>2912.9189999999999</v>
      </c>
      <c r="S6" s="4">
        <v>36526</v>
      </c>
      <c r="T6">
        <v>1052</v>
      </c>
      <c r="U6">
        <v>-3160.0520000000001</v>
      </c>
      <c r="X6" s="4">
        <v>36526</v>
      </c>
      <c r="Y6">
        <v>1052</v>
      </c>
      <c r="Z6">
        <v>2512.9749999999999</v>
      </c>
      <c r="AC6" s="4">
        <v>36526</v>
      </c>
      <c r="AD6">
        <v>1052</v>
      </c>
      <c r="AE6">
        <v>2381.6950000000002</v>
      </c>
    </row>
    <row r="7" spans="2:31" x14ac:dyDescent="0.25">
      <c r="B7" s="4">
        <v>36557</v>
      </c>
      <c r="C7">
        <v>2202</v>
      </c>
      <c r="D7">
        <v>5333.942</v>
      </c>
      <c r="S7" s="4">
        <v>36557</v>
      </c>
      <c r="T7">
        <v>2202</v>
      </c>
      <c r="U7">
        <v>3089.047</v>
      </c>
      <c r="X7" s="4">
        <v>36557</v>
      </c>
      <c r="Y7">
        <v>2202</v>
      </c>
      <c r="Z7">
        <v>5679.442</v>
      </c>
      <c r="AC7" s="4">
        <v>36557</v>
      </c>
      <c r="AD7">
        <v>2202</v>
      </c>
      <c r="AE7">
        <v>5452.0619999999999</v>
      </c>
    </row>
    <row r="8" spans="2:31" x14ac:dyDescent="0.25">
      <c r="B8" s="4">
        <v>36586</v>
      </c>
      <c r="C8">
        <v>2126</v>
      </c>
      <c r="D8">
        <v>4748.7169999999996</v>
      </c>
      <c r="S8" s="4">
        <v>36586</v>
      </c>
      <c r="T8">
        <v>2126</v>
      </c>
      <c r="U8">
        <v>-509.12920000000003</v>
      </c>
      <c r="X8" s="4">
        <v>36586</v>
      </c>
      <c r="Y8">
        <v>2126</v>
      </c>
      <c r="Z8">
        <v>4537.4809999999998</v>
      </c>
      <c r="AC8" s="4">
        <v>36586</v>
      </c>
      <c r="AD8">
        <v>2126</v>
      </c>
      <c r="AE8">
        <v>4632.9560000000001</v>
      </c>
    </row>
    <row r="9" spans="2:31" x14ac:dyDescent="0.25">
      <c r="B9" s="4">
        <v>36617</v>
      </c>
      <c r="C9">
        <v>3862.1579999999999</v>
      </c>
      <c r="D9">
        <v>6188.4390000000003</v>
      </c>
      <c r="S9" s="4">
        <v>36617</v>
      </c>
      <c r="T9">
        <v>3862.1579999999999</v>
      </c>
      <c r="U9">
        <v>3447.0140000000001</v>
      </c>
      <c r="X9" s="4">
        <v>36617</v>
      </c>
      <c r="Y9">
        <v>3862.1579999999999</v>
      </c>
      <c r="Z9">
        <v>6041.9030000000002</v>
      </c>
      <c r="AC9" s="4">
        <v>36617</v>
      </c>
      <c r="AD9">
        <v>3862.1579999999999</v>
      </c>
      <c r="AE9">
        <v>6090.6289999999999</v>
      </c>
    </row>
    <row r="10" spans="2:31" x14ac:dyDescent="0.25">
      <c r="B10" s="4">
        <v>36647</v>
      </c>
      <c r="C10">
        <v>2559.6999999999998</v>
      </c>
      <c r="D10">
        <v>5868.1329999999998</v>
      </c>
      <c r="S10" s="4">
        <v>36647</v>
      </c>
      <c r="T10">
        <v>2559.6999999999998</v>
      </c>
      <c r="U10">
        <v>1277.4659999999999</v>
      </c>
      <c r="X10" s="4">
        <v>36647</v>
      </c>
      <c r="Y10">
        <v>2559.6999999999998</v>
      </c>
      <c r="Z10">
        <v>5561.3959999999997</v>
      </c>
      <c r="AC10" s="4">
        <v>36647</v>
      </c>
      <c r="AD10">
        <v>2559.6999999999998</v>
      </c>
      <c r="AE10">
        <v>5622.2160000000003</v>
      </c>
    </row>
    <row r="11" spans="2:31" x14ac:dyDescent="0.25">
      <c r="B11" s="4">
        <v>36678</v>
      </c>
      <c r="C11">
        <v>6499.3890000000001</v>
      </c>
      <c r="D11">
        <v>5651.8230000000003</v>
      </c>
      <c r="S11" s="4">
        <v>36678</v>
      </c>
      <c r="T11">
        <v>6499.3890000000001</v>
      </c>
      <c r="U11">
        <v>3935.3780000000002</v>
      </c>
      <c r="X11" s="4">
        <v>36678</v>
      </c>
      <c r="Y11">
        <v>6499.3890000000001</v>
      </c>
      <c r="Z11">
        <v>5621.2340000000004</v>
      </c>
      <c r="AC11" s="4">
        <v>36678</v>
      </c>
      <c r="AD11">
        <v>6499.3890000000001</v>
      </c>
      <c r="AE11">
        <v>5648.85</v>
      </c>
    </row>
    <row r="12" spans="2:31" x14ac:dyDescent="0.25">
      <c r="B12" s="4">
        <v>36708</v>
      </c>
      <c r="C12">
        <v>4198.8950000000004</v>
      </c>
      <c r="D12">
        <v>6736.4549999999999</v>
      </c>
      <c r="S12" s="4">
        <v>36708</v>
      </c>
      <c r="T12">
        <v>4198.8950000000004</v>
      </c>
      <c r="U12">
        <v>6225.0820000000003</v>
      </c>
      <c r="X12" s="4">
        <v>36708</v>
      </c>
      <c r="Y12">
        <v>4198.8950000000004</v>
      </c>
      <c r="Z12">
        <v>6311.3530000000001</v>
      </c>
      <c r="AC12" s="4">
        <v>36708</v>
      </c>
      <c r="AD12">
        <v>4198.8950000000004</v>
      </c>
      <c r="AE12">
        <v>6380.6540000000005</v>
      </c>
    </row>
    <row r="13" spans="2:31" x14ac:dyDescent="0.25">
      <c r="B13" s="4">
        <v>36739</v>
      </c>
      <c r="C13">
        <v>4338.3140000000003</v>
      </c>
      <c r="D13">
        <v>7054.9690000000001</v>
      </c>
      <c r="S13" s="4">
        <v>36739</v>
      </c>
      <c r="T13">
        <v>4338.3140000000003</v>
      </c>
      <c r="U13">
        <v>6124.3890000000001</v>
      </c>
      <c r="X13" s="4">
        <v>36739</v>
      </c>
      <c r="Y13">
        <v>4338.3140000000003</v>
      </c>
      <c r="Z13">
        <v>6495.3760000000002</v>
      </c>
      <c r="AC13" s="4">
        <v>36739</v>
      </c>
      <c r="AD13">
        <v>4338.3140000000003</v>
      </c>
      <c r="AE13">
        <v>6515.692</v>
      </c>
    </row>
    <row r="14" spans="2:31" x14ac:dyDescent="0.25">
      <c r="B14" s="4">
        <v>36770</v>
      </c>
      <c r="C14">
        <v>5293.5140000000001</v>
      </c>
      <c r="D14">
        <v>6932.6369999999997</v>
      </c>
      <c r="S14" s="4">
        <v>36770</v>
      </c>
      <c r="T14">
        <v>5293.5140000000001</v>
      </c>
      <c r="U14">
        <v>7455.5550000000003</v>
      </c>
      <c r="X14" s="4">
        <v>36770</v>
      </c>
      <c r="Y14">
        <v>5293.5140000000001</v>
      </c>
      <c r="Z14">
        <v>6255.3370000000004</v>
      </c>
      <c r="AC14" s="4">
        <v>36770</v>
      </c>
      <c r="AD14">
        <v>5293.5140000000001</v>
      </c>
      <c r="AE14">
        <v>6261.6260000000002</v>
      </c>
    </row>
    <row r="15" spans="2:31" x14ac:dyDescent="0.25">
      <c r="B15" s="4">
        <v>36800</v>
      </c>
      <c r="C15">
        <v>5715.0889999999999</v>
      </c>
      <c r="D15">
        <v>8246.5400000000009</v>
      </c>
      <c r="S15" s="4">
        <v>36800</v>
      </c>
      <c r="T15">
        <v>5715.0889999999999</v>
      </c>
      <c r="U15">
        <v>8490.2890000000007</v>
      </c>
      <c r="X15" s="4">
        <v>36800</v>
      </c>
      <c r="Y15">
        <v>5715.0889999999999</v>
      </c>
      <c r="Z15">
        <v>7471.9070000000002</v>
      </c>
      <c r="AC15" s="4">
        <v>36800</v>
      </c>
      <c r="AD15">
        <v>5715.0889999999999</v>
      </c>
      <c r="AE15">
        <v>7427.7830000000004</v>
      </c>
    </row>
    <row r="16" spans="2:31" x14ac:dyDescent="0.25">
      <c r="B16" s="4">
        <v>36831</v>
      </c>
      <c r="C16">
        <v>6352.0770000000002</v>
      </c>
      <c r="D16">
        <v>8269.4439999999995</v>
      </c>
      <c r="S16" s="4">
        <v>36831</v>
      </c>
      <c r="T16">
        <v>6352.0770000000002</v>
      </c>
      <c r="U16">
        <v>8480.3770000000004</v>
      </c>
      <c r="X16" s="4">
        <v>36831</v>
      </c>
      <c r="Y16">
        <v>6352.0770000000002</v>
      </c>
      <c r="Z16">
        <v>7483.1750000000002</v>
      </c>
      <c r="AC16" s="4">
        <v>36831</v>
      </c>
      <c r="AD16">
        <v>6352.0770000000002</v>
      </c>
      <c r="AE16">
        <v>7454.35</v>
      </c>
    </row>
    <row r="17" spans="2:31" x14ac:dyDescent="0.25">
      <c r="B17" s="4">
        <v>36861</v>
      </c>
      <c r="C17">
        <v>5559.848</v>
      </c>
      <c r="D17">
        <v>7737.2049999999999</v>
      </c>
      <c r="S17" s="4">
        <v>36861</v>
      </c>
      <c r="T17">
        <v>5559.848</v>
      </c>
      <c r="U17">
        <v>7634.549</v>
      </c>
      <c r="X17" s="4">
        <v>36861</v>
      </c>
      <c r="Y17">
        <v>5559.848</v>
      </c>
      <c r="Z17">
        <v>7224.9759999999997</v>
      </c>
      <c r="AC17" s="4">
        <v>36861</v>
      </c>
      <c r="AD17">
        <v>5559.848</v>
      </c>
      <c r="AE17">
        <v>7219.3329999999996</v>
      </c>
    </row>
    <row r="18" spans="2:31" x14ac:dyDescent="0.25">
      <c r="B18" s="4">
        <v>36892</v>
      </c>
      <c r="C18">
        <v>5547.1719999999996</v>
      </c>
      <c r="D18">
        <v>7968.174</v>
      </c>
      <c r="S18" s="4">
        <v>36892</v>
      </c>
      <c r="T18">
        <v>5547.1719999999996</v>
      </c>
      <c r="U18">
        <v>8944.9979999999996</v>
      </c>
      <c r="X18" s="4">
        <v>36892</v>
      </c>
      <c r="Y18">
        <v>5547.1719999999996</v>
      </c>
      <c r="Z18">
        <v>7591.2489999999998</v>
      </c>
      <c r="AC18" s="4">
        <v>36892</v>
      </c>
      <c r="AD18">
        <v>5547.1719999999996</v>
      </c>
      <c r="AE18">
        <v>7594.2380000000003</v>
      </c>
    </row>
    <row r="19" spans="2:31" x14ac:dyDescent="0.25">
      <c r="B19" s="4">
        <v>36923</v>
      </c>
      <c r="C19">
        <v>6236.1350000000002</v>
      </c>
      <c r="D19">
        <v>8298.7469999999994</v>
      </c>
      <c r="S19" s="4">
        <v>36923</v>
      </c>
      <c r="T19">
        <v>6236.1350000000002</v>
      </c>
      <c r="U19">
        <v>7725.8950000000004</v>
      </c>
      <c r="X19" s="4">
        <v>36923</v>
      </c>
      <c r="Y19">
        <v>6236.1350000000002</v>
      </c>
      <c r="Z19">
        <v>7677.7960000000003</v>
      </c>
      <c r="AC19" s="4">
        <v>36923</v>
      </c>
      <c r="AD19">
        <v>6236.1350000000002</v>
      </c>
      <c r="AE19">
        <v>7690.95</v>
      </c>
    </row>
    <row r="20" spans="2:31" x14ac:dyDescent="0.25">
      <c r="B20" s="4">
        <v>36951</v>
      </c>
      <c r="C20">
        <v>5388.6729999999998</v>
      </c>
      <c r="D20">
        <v>8312.7340000000004</v>
      </c>
      <c r="S20" s="4">
        <v>36951</v>
      </c>
      <c r="T20">
        <v>5388.6729999999998</v>
      </c>
      <c r="U20">
        <v>8437.7099999999991</v>
      </c>
      <c r="X20" s="4">
        <v>36951</v>
      </c>
      <c r="Y20">
        <v>5388.6729999999998</v>
      </c>
      <c r="Z20">
        <v>7815.357</v>
      </c>
      <c r="AC20" s="4">
        <v>36951</v>
      </c>
      <c r="AD20">
        <v>5388.6729999999998</v>
      </c>
      <c r="AE20">
        <v>7871.9880000000003</v>
      </c>
    </row>
    <row r="21" spans="2:31" x14ac:dyDescent="0.25">
      <c r="B21" s="4">
        <v>36982</v>
      </c>
      <c r="C21">
        <v>5925</v>
      </c>
      <c r="D21">
        <v>8466.7980000000007</v>
      </c>
      <c r="S21" s="4">
        <v>36982</v>
      </c>
      <c r="T21">
        <v>5925</v>
      </c>
      <c r="U21">
        <v>8729.4719999999998</v>
      </c>
      <c r="X21" s="4">
        <v>36982</v>
      </c>
      <c r="Y21">
        <v>5925</v>
      </c>
      <c r="Z21">
        <v>7876.8230000000003</v>
      </c>
      <c r="AC21" s="4">
        <v>36982</v>
      </c>
      <c r="AD21">
        <v>5925</v>
      </c>
      <c r="AE21">
        <v>7824.567</v>
      </c>
    </row>
    <row r="22" spans="2:31" x14ac:dyDescent="0.25">
      <c r="B22" s="4">
        <v>37012</v>
      </c>
      <c r="C22">
        <v>5869.7539999999999</v>
      </c>
      <c r="D22">
        <v>8600.2890000000007</v>
      </c>
      <c r="S22" s="4">
        <v>37012</v>
      </c>
      <c r="T22">
        <v>5869.7539999999999</v>
      </c>
      <c r="U22">
        <v>8717.3179999999993</v>
      </c>
      <c r="X22" s="4">
        <v>37012</v>
      </c>
      <c r="Y22">
        <v>5869.7539999999999</v>
      </c>
      <c r="Z22">
        <v>8107.3620000000001</v>
      </c>
      <c r="AC22" s="4">
        <v>37012</v>
      </c>
      <c r="AD22">
        <v>5869.7539999999999</v>
      </c>
      <c r="AE22">
        <v>8150.9790000000003</v>
      </c>
    </row>
    <row r="23" spans="2:31" x14ac:dyDescent="0.25">
      <c r="B23" s="4">
        <v>37043</v>
      </c>
      <c r="C23">
        <v>5666.2790000000005</v>
      </c>
      <c r="D23">
        <v>8152.1440000000002</v>
      </c>
      <c r="S23" s="4">
        <v>37043</v>
      </c>
      <c r="T23">
        <v>5666.2790000000005</v>
      </c>
      <c r="U23">
        <v>8559.1219999999994</v>
      </c>
      <c r="X23" s="4">
        <v>37043</v>
      </c>
      <c r="Y23">
        <v>5666.2790000000005</v>
      </c>
      <c r="Z23">
        <v>7910.8980000000001</v>
      </c>
      <c r="AC23" s="4">
        <v>37043</v>
      </c>
      <c r="AD23">
        <v>5666.2790000000005</v>
      </c>
      <c r="AE23">
        <v>7957.4309999999996</v>
      </c>
    </row>
    <row r="24" spans="2:31" x14ac:dyDescent="0.25">
      <c r="B24" s="4">
        <v>37073</v>
      </c>
      <c r="C24">
        <v>6407.5730000000003</v>
      </c>
      <c r="D24">
        <v>8400.2450000000008</v>
      </c>
      <c r="S24" s="4">
        <v>37073</v>
      </c>
      <c r="T24">
        <v>6407.5730000000003</v>
      </c>
      <c r="U24">
        <v>8279.7250000000004</v>
      </c>
      <c r="X24" s="4">
        <v>37073</v>
      </c>
      <c r="Y24">
        <v>6407.5730000000003</v>
      </c>
      <c r="Z24">
        <v>8007.4359999999997</v>
      </c>
      <c r="AC24" s="4">
        <v>37073</v>
      </c>
      <c r="AD24">
        <v>6407.5730000000003</v>
      </c>
      <c r="AE24">
        <v>8001.3459999999995</v>
      </c>
    </row>
    <row r="25" spans="2:31" x14ac:dyDescent="0.25">
      <c r="B25" s="4">
        <v>37104</v>
      </c>
      <c r="C25">
        <v>6198.8280000000004</v>
      </c>
      <c r="D25">
        <v>8809.1640000000007</v>
      </c>
      <c r="S25" s="4">
        <v>37104</v>
      </c>
      <c r="T25">
        <v>6198.8280000000004</v>
      </c>
      <c r="U25">
        <v>9251.3209999999999</v>
      </c>
      <c r="X25" s="4">
        <v>37104</v>
      </c>
      <c r="Y25">
        <v>6198.8280000000004</v>
      </c>
      <c r="Z25">
        <v>8380.1980000000003</v>
      </c>
      <c r="AC25" s="4">
        <v>37104</v>
      </c>
      <c r="AD25">
        <v>6198.8280000000004</v>
      </c>
      <c r="AE25">
        <v>8342.5159999999996</v>
      </c>
    </row>
    <row r="26" spans="2:31" x14ac:dyDescent="0.25">
      <c r="B26" s="4">
        <v>37135</v>
      </c>
      <c r="C26">
        <v>5692.0839999999998</v>
      </c>
      <c r="D26">
        <v>8535.3029999999999</v>
      </c>
      <c r="S26" s="4">
        <v>37135</v>
      </c>
      <c r="T26">
        <v>5692.0839999999998</v>
      </c>
      <c r="U26">
        <v>9325.5810000000001</v>
      </c>
      <c r="X26" s="4">
        <v>37135</v>
      </c>
      <c r="Y26">
        <v>5692.0839999999998</v>
      </c>
      <c r="Z26">
        <v>8198.2189999999991</v>
      </c>
      <c r="AC26" s="4">
        <v>37135</v>
      </c>
      <c r="AD26">
        <v>5692.0839999999998</v>
      </c>
      <c r="AE26">
        <v>8192.1689999999999</v>
      </c>
    </row>
    <row r="27" spans="2:31" x14ac:dyDescent="0.25">
      <c r="B27" s="4">
        <v>37165</v>
      </c>
      <c r="C27">
        <v>6079.2449999999999</v>
      </c>
      <c r="D27">
        <v>9077.5990000000002</v>
      </c>
      <c r="S27" s="4">
        <v>37165</v>
      </c>
      <c r="T27">
        <v>6079.2449999999999</v>
      </c>
      <c r="U27">
        <v>9058.3889999999992</v>
      </c>
      <c r="X27" s="4">
        <v>37165</v>
      </c>
      <c r="Y27">
        <v>6079.2449999999999</v>
      </c>
      <c r="Z27">
        <v>8659.6149999999998</v>
      </c>
      <c r="AC27" s="4">
        <v>37165</v>
      </c>
      <c r="AD27">
        <v>6079.2449999999999</v>
      </c>
      <c r="AE27">
        <v>8633.4159999999993</v>
      </c>
    </row>
    <row r="28" spans="2:31" x14ac:dyDescent="0.25">
      <c r="B28" s="4">
        <v>37196</v>
      </c>
      <c r="C28">
        <v>6821.0429999999997</v>
      </c>
      <c r="D28">
        <v>9131.6450000000004</v>
      </c>
      <c r="S28" s="4">
        <v>37196</v>
      </c>
      <c r="T28">
        <v>6821.0429999999997</v>
      </c>
      <c r="U28">
        <v>8631.2199999999993</v>
      </c>
      <c r="X28" s="4">
        <v>37196</v>
      </c>
      <c r="Y28">
        <v>6821.0429999999997</v>
      </c>
      <c r="Z28">
        <v>8903.7430000000004</v>
      </c>
      <c r="AC28" s="4">
        <v>37196</v>
      </c>
      <c r="AD28">
        <v>6821.0429999999997</v>
      </c>
      <c r="AE28">
        <v>8916.5849999999991</v>
      </c>
    </row>
    <row r="29" spans="2:31" x14ac:dyDescent="0.25">
      <c r="B29" s="4">
        <v>37226</v>
      </c>
      <c r="C29">
        <v>7297.1949999999997</v>
      </c>
      <c r="D29">
        <v>9323.5820000000003</v>
      </c>
      <c r="S29" s="4">
        <v>37226</v>
      </c>
      <c r="T29">
        <v>7297.1949999999997</v>
      </c>
      <c r="U29">
        <v>9753.7620000000006</v>
      </c>
      <c r="X29" s="4">
        <v>37226</v>
      </c>
      <c r="Y29">
        <v>7297.1949999999997</v>
      </c>
      <c r="Z29">
        <v>8850.25</v>
      </c>
      <c r="AC29" s="4">
        <v>37226</v>
      </c>
      <c r="AD29">
        <v>7297.1949999999997</v>
      </c>
      <c r="AE29">
        <v>8881.9619999999995</v>
      </c>
    </row>
    <row r="30" spans="2:31" x14ac:dyDescent="0.25">
      <c r="B30" s="4">
        <v>37257</v>
      </c>
      <c r="C30">
        <v>6318.107</v>
      </c>
      <c r="D30">
        <v>8850.9269999999997</v>
      </c>
      <c r="S30" s="4">
        <v>37257</v>
      </c>
      <c r="T30">
        <v>6318.107</v>
      </c>
      <c r="U30">
        <v>8700.0190000000002</v>
      </c>
      <c r="X30" s="4">
        <v>37257</v>
      </c>
      <c r="Y30">
        <v>6318.107</v>
      </c>
      <c r="Z30">
        <v>8446.6039999999994</v>
      </c>
      <c r="AC30" s="4">
        <v>37257</v>
      </c>
      <c r="AD30">
        <v>6318.107</v>
      </c>
      <c r="AE30">
        <v>8469.2720000000008</v>
      </c>
    </row>
    <row r="31" spans="2:31" x14ac:dyDescent="0.25">
      <c r="B31" s="4">
        <v>37288</v>
      </c>
      <c r="C31">
        <v>6177.7240000000002</v>
      </c>
      <c r="D31">
        <v>8842.2860000000001</v>
      </c>
      <c r="S31" s="4">
        <v>37288</v>
      </c>
      <c r="T31">
        <v>6177.7240000000002</v>
      </c>
      <c r="U31">
        <v>8315.9750000000004</v>
      </c>
      <c r="X31" s="4">
        <v>37288</v>
      </c>
      <c r="Y31">
        <v>6177.7240000000002</v>
      </c>
      <c r="Z31">
        <v>8551.34</v>
      </c>
      <c r="AC31" s="4">
        <v>37288</v>
      </c>
      <c r="AD31">
        <v>6177.7240000000002</v>
      </c>
      <c r="AE31">
        <v>8579.6509999999998</v>
      </c>
    </row>
    <row r="32" spans="2:31" x14ac:dyDescent="0.25">
      <c r="B32" s="4">
        <v>37316</v>
      </c>
      <c r="C32">
        <v>6640.3109999999997</v>
      </c>
      <c r="D32">
        <v>8854.9410000000007</v>
      </c>
      <c r="S32" s="4">
        <v>37316</v>
      </c>
      <c r="T32">
        <v>6640.3109999999997</v>
      </c>
      <c r="U32">
        <v>8727.5059999999994</v>
      </c>
      <c r="X32" s="4">
        <v>37316</v>
      </c>
      <c r="Y32">
        <v>6640.3109999999997</v>
      </c>
      <c r="Z32">
        <v>8445.4719999999998</v>
      </c>
      <c r="AC32" s="4">
        <v>37316</v>
      </c>
      <c r="AD32">
        <v>6640.3109999999997</v>
      </c>
      <c r="AE32">
        <v>8477.8250000000007</v>
      </c>
    </row>
    <row r="33" spans="2:31" x14ac:dyDescent="0.25">
      <c r="B33" s="4">
        <v>37347</v>
      </c>
      <c r="C33">
        <v>6954.5630000000001</v>
      </c>
      <c r="D33">
        <v>9550.3850000000002</v>
      </c>
      <c r="S33" s="4">
        <v>37347</v>
      </c>
      <c r="T33">
        <v>6954.5630000000001</v>
      </c>
      <c r="U33">
        <v>9359.7999999999993</v>
      </c>
      <c r="X33" s="4">
        <v>37347</v>
      </c>
      <c r="Y33">
        <v>6954.5630000000001</v>
      </c>
      <c r="Z33">
        <v>9092.2160000000003</v>
      </c>
      <c r="AC33" s="4">
        <v>37347</v>
      </c>
      <c r="AD33">
        <v>6954.5630000000001</v>
      </c>
      <c r="AE33">
        <v>9084.7360000000008</v>
      </c>
    </row>
    <row r="34" spans="2:31" x14ac:dyDescent="0.25">
      <c r="B34" s="4">
        <v>37377</v>
      </c>
      <c r="C34">
        <v>7241.701</v>
      </c>
      <c r="D34">
        <v>9474.0640000000003</v>
      </c>
      <c r="S34" s="4">
        <v>37377</v>
      </c>
      <c r="T34">
        <v>7241.701</v>
      </c>
      <c r="U34">
        <v>9446.1479999999992</v>
      </c>
      <c r="X34" s="4">
        <v>37377</v>
      </c>
      <c r="Y34">
        <v>7241.701</v>
      </c>
      <c r="Z34">
        <v>8923.0939999999991</v>
      </c>
      <c r="AC34" s="4">
        <v>37377</v>
      </c>
      <c r="AD34">
        <v>7241.701</v>
      </c>
      <c r="AE34">
        <v>8958.3269999999993</v>
      </c>
    </row>
    <row r="35" spans="2:31" x14ac:dyDescent="0.25">
      <c r="B35" s="4">
        <v>37408</v>
      </c>
      <c r="C35">
        <v>7253.7539999999999</v>
      </c>
      <c r="D35">
        <v>9473.14</v>
      </c>
      <c r="S35" s="4">
        <v>37408</v>
      </c>
      <c r="T35">
        <v>7253.7539999999999</v>
      </c>
      <c r="U35">
        <v>9613.91</v>
      </c>
      <c r="X35" s="4">
        <v>37408</v>
      </c>
      <c r="Y35">
        <v>7253.7539999999999</v>
      </c>
      <c r="Z35">
        <v>9010.8279999999995</v>
      </c>
      <c r="AC35" s="4">
        <v>37408</v>
      </c>
      <c r="AD35">
        <v>7253.7539999999999</v>
      </c>
      <c r="AE35">
        <v>9027.9760000000006</v>
      </c>
    </row>
    <row r="36" spans="2:31" x14ac:dyDescent="0.25">
      <c r="B36" s="4">
        <v>37438</v>
      </c>
      <c r="C36">
        <v>6598.835</v>
      </c>
      <c r="D36">
        <v>9848.6810000000005</v>
      </c>
      <c r="S36" s="4">
        <v>37438</v>
      </c>
      <c r="T36">
        <v>6598.835</v>
      </c>
      <c r="U36">
        <v>9737.8979999999992</v>
      </c>
      <c r="X36" s="4">
        <v>37438</v>
      </c>
      <c r="Y36">
        <v>6598.835</v>
      </c>
      <c r="Z36">
        <v>9267.1170000000002</v>
      </c>
      <c r="AC36" s="4">
        <v>37438</v>
      </c>
      <c r="AD36">
        <v>6598.835</v>
      </c>
      <c r="AE36">
        <v>9305.9760000000006</v>
      </c>
    </row>
    <row r="37" spans="2:31" x14ac:dyDescent="0.25">
      <c r="B37" s="4">
        <v>37469</v>
      </c>
      <c r="C37">
        <v>6719.2150000000001</v>
      </c>
      <c r="D37">
        <v>9543.4500000000007</v>
      </c>
      <c r="S37" s="4">
        <v>37469</v>
      </c>
      <c r="T37">
        <v>6719.2150000000001</v>
      </c>
      <c r="U37">
        <v>9544.8310000000001</v>
      </c>
      <c r="X37" s="4">
        <v>37469</v>
      </c>
      <c r="Y37">
        <v>6719.2150000000001</v>
      </c>
      <c r="Z37">
        <v>9122.5709999999999</v>
      </c>
      <c r="AC37" s="4">
        <v>37469</v>
      </c>
      <c r="AD37">
        <v>6719.2150000000001</v>
      </c>
      <c r="AE37">
        <v>9169.7759999999998</v>
      </c>
    </row>
    <row r="38" spans="2:31" x14ac:dyDescent="0.25">
      <c r="B38" s="4">
        <v>37500</v>
      </c>
      <c r="C38">
        <v>7808.9719999999998</v>
      </c>
      <c r="D38">
        <v>9568.5439999999999</v>
      </c>
      <c r="S38" s="4">
        <v>37500</v>
      </c>
      <c r="T38">
        <v>7808.9719999999998</v>
      </c>
      <c r="U38">
        <v>9831.15</v>
      </c>
      <c r="X38" s="4">
        <v>37500</v>
      </c>
      <c r="Y38">
        <v>7808.9719999999998</v>
      </c>
      <c r="Z38">
        <v>9114.4480000000003</v>
      </c>
      <c r="AC38" s="4">
        <v>37500</v>
      </c>
      <c r="AD38">
        <v>7808.9719999999998</v>
      </c>
      <c r="AE38">
        <v>9166.5010000000002</v>
      </c>
    </row>
    <row r="39" spans="2:31" x14ac:dyDescent="0.25">
      <c r="B39" s="4">
        <v>37530</v>
      </c>
      <c r="C39">
        <v>7256.2920000000004</v>
      </c>
      <c r="D39">
        <v>10050.43</v>
      </c>
      <c r="S39" s="4">
        <v>37530</v>
      </c>
      <c r="T39">
        <v>7256.2920000000004</v>
      </c>
      <c r="U39">
        <v>10443.85</v>
      </c>
      <c r="X39" s="4">
        <v>37530</v>
      </c>
      <c r="Y39">
        <v>7256.2920000000004</v>
      </c>
      <c r="Z39">
        <v>9617.4310000000005</v>
      </c>
      <c r="AC39" s="4">
        <v>37530</v>
      </c>
      <c r="AD39">
        <v>7256.2920000000004</v>
      </c>
      <c r="AE39">
        <v>9637.3019999999997</v>
      </c>
    </row>
    <row r="40" spans="2:31" x14ac:dyDescent="0.25">
      <c r="B40" s="4">
        <v>37561</v>
      </c>
      <c r="C40">
        <v>7678.192</v>
      </c>
      <c r="D40">
        <v>9974.7469999999994</v>
      </c>
      <c r="S40" s="4">
        <v>37561</v>
      </c>
      <c r="T40">
        <v>7678.192</v>
      </c>
      <c r="U40">
        <v>10369.93</v>
      </c>
      <c r="X40" s="4">
        <v>37561</v>
      </c>
      <c r="Y40">
        <v>7678.192</v>
      </c>
      <c r="Z40">
        <v>9566.5409999999993</v>
      </c>
      <c r="AC40" s="4">
        <v>37561</v>
      </c>
      <c r="AD40">
        <v>7678.192</v>
      </c>
      <c r="AE40">
        <v>9593.5789999999997</v>
      </c>
    </row>
    <row r="41" spans="2:31" x14ac:dyDescent="0.25">
      <c r="B41" s="4">
        <v>37591</v>
      </c>
      <c r="C41">
        <v>7602.5720000000001</v>
      </c>
      <c r="D41">
        <v>9878.6419999999998</v>
      </c>
      <c r="S41" s="4">
        <v>37591</v>
      </c>
      <c r="T41">
        <v>7602.5720000000001</v>
      </c>
      <c r="U41">
        <v>10386.68</v>
      </c>
      <c r="X41" s="4">
        <v>37591</v>
      </c>
      <c r="Y41">
        <v>7602.5720000000001</v>
      </c>
      <c r="Z41">
        <v>9484.2819999999992</v>
      </c>
      <c r="AC41" s="4">
        <v>37591</v>
      </c>
      <c r="AD41">
        <v>7602.5720000000001</v>
      </c>
      <c r="AE41">
        <v>9529.6460000000006</v>
      </c>
    </row>
    <row r="42" spans="2:31" x14ac:dyDescent="0.25">
      <c r="B42" s="4">
        <v>37622</v>
      </c>
      <c r="C42">
        <v>7226.3310000000001</v>
      </c>
      <c r="D42">
        <v>10101</v>
      </c>
      <c r="S42" s="4">
        <v>37622</v>
      </c>
      <c r="T42">
        <v>7226.3310000000001</v>
      </c>
      <c r="U42">
        <v>10304.89</v>
      </c>
      <c r="X42" s="4">
        <v>37622</v>
      </c>
      <c r="Y42">
        <v>7226.3310000000001</v>
      </c>
      <c r="Z42">
        <v>9614.0409999999993</v>
      </c>
      <c r="AC42" s="4">
        <v>37622</v>
      </c>
      <c r="AD42">
        <v>7226.3310000000001</v>
      </c>
      <c r="AE42">
        <v>9632.5519999999997</v>
      </c>
    </row>
    <row r="43" spans="2:31" x14ac:dyDescent="0.25">
      <c r="B43" s="4">
        <v>37653</v>
      </c>
      <c r="C43">
        <v>7178.5829999999996</v>
      </c>
      <c r="D43">
        <v>9930.0669999999991</v>
      </c>
      <c r="S43" s="4">
        <v>37653</v>
      </c>
      <c r="T43">
        <v>7178.5829999999996</v>
      </c>
      <c r="U43">
        <v>10252.700000000001</v>
      </c>
      <c r="X43" s="4">
        <v>37653</v>
      </c>
      <c r="Y43">
        <v>7178.5829999999996</v>
      </c>
      <c r="Z43">
        <v>9432.3940000000002</v>
      </c>
      <c r="AC43" s="4">
        <v>37653</v>
      </c>
      <c r="AD43">
        <v>7178.5829999999996</v>
      </c>
      <c r="AE43">
        <v>9446.4179999999997</v>
      </c>
    </row>
    <row r="44" spans="2:31" x14ac:dyDescent="0.25">
      <c r="B44" s="4">
        <v>37681</v>
      </c>
      <c r="C44">
        <v>7391.24</v>
      </c>
      <c r="D44">
        <v>10087.89</v>
      </c>
      <c r="S44" s="4">
        <v>37681</v>
      </c>
      <c r="T44">
        <v>7391.24</v>
      </c>
      <c r="U44">
        <v>10398.290000000001</v>
      </c>
      <c r="X44" s="4">
        <v>37681</v>
      </c>
      <c r="Y44">
        <v>7391.24</v>
      </c>
      <c r="Z44">
        <v>9611.8719999999994</v>
      </c>
      <c r="AC44" s="4">
        <v>37681</v>
      </c>
      <c r="AD44">
        <v>7391.24</v>
      </c>
      <c r="AE44">
        <v>9624.0370000000003</v>
      </c>
    </row>
    <row r="45" spans="2:31" x14ac:dyDescent="0.25">
      <c r="B45" s="4">
        <v>37712</v>
      </c>
      <c r="C45">
        <v>7209.8710000000001</v>
      </c>
      <c r="D45">
        <v>10169.459999999999</v>
      </c>
      <c r="S45" s="4">
        <v>37712</v>
      </c>
      <c r="T45">
        <v>7209.8710000000001</v>
      </c>
      <c r="U45">
        <v>10548.43</v>
      </c>
      <c r="X45" s="4">
        <v>37712</v>
      </c>
      <c r="Y45">
        <v>7209.8710000000001</v>
      </c>
      <c r="Z45">
        <v>9802.8140000000003</v>
      </c>
      <c r="AC45" s="4">
        <v>37712</v>
      </c>
      <c r="AD45">
        <v>7209.8710000000001</v>
      </c>
      <c r="AE45">
        <v>9838.2090000000007</v>
      </c>
    </row>
    <row r="46" spans="2:31" x14ac:dyDescent="0.25">
      <c r="B46" s="4">
        <v>37742</v>
      </c>
      <c r="C46">
        <v>7146.3639999999996</v>
      </c>
      <c r="D46">
        <v>10042.99</v>
      </c>
      <c r="S46" s="4">
        <v>37742</v>
      </c>
      <c r="T46">
        <v>7146.3639999999996</v>
      </c>
      <c r="U46">
        <v>10356.49</v>
      </c>
      <c r="X46" s="4">
        <v>37742</v>
      </c>
      <c r="Y46">
        <v>7146.3639999999996</v>
      </c>
      <c r="Z46">
        <v>9577.6569999999992</v>
      </c>
      <c r="AC46" s="4">
        <v>37742</v>
      </c>
      <c r="AD46">
        <v>7146.3639999999996</v>
      </c>
      <c r="AE46">
        <v>9598.8230000000003</v>
      </c>
    </row>
    <row r="47" spans="2:31" x14ac:dyDescent="0.25">
      <c r="B47" s="4">
        <v>37773</v>
      </c>
      <c r="C47">
        <v>7456.4380000000001</v>
      </c>
      <c r="D47">
        <v>9948.5210000000006</v>
      </c>
      <c r="S47" s="4">
        <v>37773</v>
      </c>
      <c r="T47">
        <v>7456.4380000000001</v>
      </c>
      <c r="U47">
        <v>10401.299999999999</v>
      </c>
      <c r="X47" s="4">
        <v>37773</v>
      </c>
      <c r="Y47">
        <v>7456.4380000000001</v>
      </c>
      <c r="Z47">
        <v>9589.3269999999993</v>
      </c>
      <c r="AC47" s="4">
        <v>37773</v>
      </c>
      <c r="AD47">
        <v>7456.4380000000001</v>
      </c>
      <c r="AE47">
        <v>9626.4850000000006</v>
      </c>
    </row>
    <row r="48" spans="2:31" x14ac:dyDescent="0.25">
      <c r="B48" s="4">
        <v>37803</v>
      </c>
      <c r="C48">
        <v>7419.6559999999999</v>
      </c>
      <c r="D48">
        <v>10152.209999999999</v>
      </c>
      <c r="S48" s="4">
        <v>37803</v>
      </c>
      <c r="T48">
        <v>7419.6559999999999</v>
      </c>
      <c r="U48">
        <v>10567.78</v>
      </c>
      <c r="X48" s="4">
        <v>37803</v>
      </c>
      <c r="Y48">
        <v>7419.6559999999999</v>
      </c>
      <c r="Z48">
        <v>9739.6630000000005</v>
      </c>
      <c r="AC48" s="4">
        <v>37803</v>
      </c>
      <c r="AD48">
        <v>7419.6559999999999</v>
      </c>
      <c r="AE48">
        <v>9749.58</v>
      </c>
    </row>
    <row r="49" spans="2:31" x14ac:dyDescent="0.25">
      <c r="B49" s="4">
        <v>37834</v>
      </c>
      <c r="C49">
        <v>7686.0789999999997</v>
      </c>
      <c r="D49">
        <v>10196.66</v>
      </c>
      <c r="S49" s="4">
        <v>37834</v>
      </c>
      <c r="T49">
        <v>7686.0789999999997</v>
      </c>
      <c r="U49">
        <v>10635.47</v>
      </c>
      <c r="X49" s="4">
        <v>37834</v>
      </c>
      <c r="Y49">
        <v>7686.0789999999997</v>
      </c>
      <c r="Z49">
        <v>9826.7029999999995</v>
      </c>
      <c r="AC49" s="4">
        <v>37834</v>
      </c>
      <c r="AD49">
        <v>7686.0789999999997</v>
      </c>
      <c r="AE49">
        <v>9858.3770000000004</v>
      </c>
    </row>
    <row r="50" spans="2:31" x14ac:dyDescent="0.25">
      <c r="B50" s="4">
        <v>37865</v>
      </c>
      <c r="C50">
        <v>7342.3770000000004</v>
      </c>
      <c r="D50">
        <v>10211.629999999999</v>
      </c>
      <c r="S50" s="4">
        <v>37865</v>
      </c>
      <c r="T50">
        <v>7342.3770000000004</v>
      </c>
      <c r="U50">
        <v>10604.86</v>
      </c>
      <c r="X50" s="4">
        <v>37865</v>
      </c>
      <c r="Y50">
        <v>7342.3770000000004</v>
      </c>
      <c r="Z50">
        <v>9762.0169999999998</v>
      </c>
      <c r="AC50" s="4">
        <v>37865</v>
      </c>
      <c r="AD50">
        <v>7342.3770000000004</v>
      </c>
      <c r="AE50">
        <v>9799.5879999999997</v>
      </c>
    </row>
    <row r="51" spans="2:31" x14ac:dyDescent="0.25">
      <c r="B51" s="4">
        <v>37895</v>
      </c>
      <c r="C51">
        <v>8420.1440000000002</v>
      </c>
      <c r="D51">
        <v>10389.76</v>
      </c>
      <c r="S51" s="4">
        <v>37895</v>
      </c>
      <c r="T51">
        <v>8420.1440000000002</v>
      </c>
      <c r="U51">
        <v>10892.15</v>
      </c>
      <c r="X51" s="4">
        <v>37895</v>
      </c>
      <c r="Y51">
        <v>8420.1440000000002</v>
      </c>
      <c r="Z51">
        <v>10046.94</v>
      </c>
      <c r="AC51" s="4">
        <v>37895</v>
      </c>
      <c r="AD51">
        <v>8420.1440000000002</v>
      </c>
      <c r="AE51">
        <v>10077.94</v>
      </c>
    </row>
    <row r="52" spans="2:31" x14ac:dyDescent="0.25">
      <c r="B52" s="4">
        <v>37926</v>
      </c>
      <c r="C52">
        <v>8017.3649999999998</v>
      </c>
      <c r="D52">
        <v>10353.49</v>
      </c>
      <c r="S52" s="4">
        <v>37926</v>
      </c>
      <c r="T52">
        <v>8017.3649999999998</v>
      </c>
      <c r="U52">
        <v>10939.43</v>
      </c>
      <c r="X52" s="4">
        <v>37926</v>
      </c>
      <c r="Y52">
        <v>8017.3649999999998</v>
      </c>
      <c r="Z52">
        <v>9964.7990000000009</v>
      </c>
      <c r="AC52" s="4">
        <v>37926</v>
      </c>
      <c r="AD52">
        <v>8017.3649999999998</v>
      </c>
      <c r="AE52">
        <v>10002.959999999999</v>
      </c>
    </row>
    <row r="53" spans="2:31" x14ac:dyDescent="0.25">
      <c r="B53" s="4">
        <v>37956</v>
      </c>
      <c r="C53">
        <v>8162.5249999999996</v>
      </c>
      <c r="D53">
        <v>10287.16</v>
      </c>
      <c r="S53" s="4">
        <v>37956</v>
      </c>
      <c r="T53">
        <v>8162.5249999999996</v>
      </c>
      <c r="U53">
        <v>11080.68</v>
      </c>
      <c r="X53" s="4">
        <v>37956</v>
      </c>
      <c r="Y53">
        <v>8162.5249999999996</v>
      </c>
      <c r="Z53">
        <v>9894.2440000000006</v>
      </c>
      <c r="AC53" s="4">
        <v>37956</v>
      </c>
      <c r="AD53">
        <v>8162.5249999999996</v>
      </c>
      <c r="AE53">
        <v>9907.5190000000002</v>
      </c>
    </row>
    <row r="54" spans="2:31" x14ac:dyDescent="0.25">
      <c r="B54" s="4">
        <v>37987</v>
      </c>
      <c r="C54">
        <v>7225.3329999999996</v>
      </c>
      <c r="D54">
        <v>10531.51</v>
      </c>
      <c r="S54" s="4">
        <v>37987</v>
      </c>
      <c r="T54">
        <v>7225.3329999999996</v>
      </c>
      <c r="U54">
        <v>11226.32</v>
      </c>
      <c r="X54" s="4">
        <v>37987</v>
      </c>
      <c r="Y54">
        <v>7225.3329999999996</v>
      </c>
      <c r="Z54">
        <v>10129.1</v>
      </c>
      <c r="AC54" s="4">
        <v>37987</v>
      </c>
      <c r="AD54">
        <v>7225.3329999999996</v>
      </c>
      <c r="AE54">
        <v>10145.16</v>
      </c>
    </row>
    <row r="55" spans="2:31" x14ac:dyDescent="0.25">
      <c r="B55" s="4">
        <v>38018</v>
      </c>
      <c r="C55">
        <v>7817.61</v>
      </c>
      <c r="D55">
        <v>10520.86</v>
      </c>
      <c r="S55" s="4">
        <v>38018</v>
      </c>
      <c r="T55">
        <v>7817.61</v>
      </c>
      <c r="U55">
        <v>10974.81</v>
      </c>
      <c r="X55" s="4">
        <v>38018</v>
      </c>
      <c r="Y55">
        <v>7817.61</v>
      </c>
      <c r="Z55">
        <v>10157.86</v>
      </c>
      <c r="AC55" s="4">
        <v>38018</v>
      </c>
      <c r="AD55">
        <v>7817.61</v>
      </c>
      <c r="AE55">
        <v>10167.19</v>
      </c>
    </row>
    <row r="56" spans="2:31" x14ac:dyDescent="0.25">
      <c r="B56" s="4">
        <v>38047</v>
      </c>
      <c r="C56">
        <v>7506.8990000000003</v>
      </c>
      <c r="D56">
        <v>10550.88</v>
      </c>
      <c r="S56" s="4">
        <v>38047</v>
      </c>
      <c r="T56">
        <v>7506.8990000000003</v>
      </c>
      <c r="U56">
        <v>11139.56</v>
      </c>
      <c r="X56" s="4">
        <v>38047</v>
      </c>
      <c r="Y56">
        <v>7506.8990000000003</v>
      </c>
      <c r="Z56">
        <v>10181.94</v>
      </c>
      <c r="AC56" s="4">
        <v>38047</v>
      </c>
      <c r="AD56">
        <v>7506.8990000000003</v>
      </c>
      <c r="AE56">
        <v>10189.379999999999</v>
      </c>
    </row>
    <row r="57" spans="2:31" x14ac:dyDescent="0.25">
      <c r="B57" s="4">
        <v>38078</v>
      </c>
      <c r="C57">
        <v>8245.4599999999991</v>
      </c>
      <c r="D57">
        <v>10596.86</v>
      </c>
      <c r="S57" s="4">
        <v>38078</v>
      </c>
      <c r="T57">
        <v>8245.4599999999991</v>
      </c>
      <c r="U57">
        <v>11000.24</v>
      </c>
      <c r="X57" s="4">
        <v>38078</v>
      </c>
      <c r="Y57">
        <v>8245.4599999999991</v>
      </c>
      <c r="Z57">
        <v>10215.77</v>
      </c>
      <c r="AC57" s="4">
        <v>38078</v>
      </c>
      <c r="AD57">
        <v>8245.4599999999991</v>
      </c>
      <c r="AE57">
        <v>10233.25</v>
      </c>
    </row>
    <row r="58" spans="2:31" x14ac:dyDescent="0.25">
      <c r="B58" s="4">
        <v>38108</v>
      </c>
      <c r="C58">
        <v>8461.1910000000007</v>
      </c>
      <c r="D58">
        <v>10811.45</v>
      </c>
      <c r="S58" s="4">
        <v>38108</v>
      </c>
      <c r="T58">
        <v>8461.1910000000007</v>
      </c>
      <c r="U58">
        <v>11448.68</v>
      </c>
      <c r="X58" s="4">
        <v>38108</v>
      </c>
      <c r="Y58">
        <v>8461.1910000000007</v>
      </c>
      <c r="Z58">
        <v>10408.32</v>
      </c>
      <c r="AC58" s="4">
        <v>38108</v>
      </c>
      <c r="AD58">
        <v>8461.1910000000007</v>
      </c>
      <c r="AE58">
        <v>10422.57</v>
      </c>
    </row>
    <row r="59" spans="2:31" x14ac:dyDescent="0.25">
      <c r="B59" s="4">
        <v>38139</v>
      </c>
      <c r="C59">
        <v>8421.8989999999994</v>
      </c>
      <c r="D59">
        <v>10911.76</v>
      </c>
      <c r="S59" s="4">
        <v>38139</v>
      </c>
      <c r="T59">
        <v>8421.8989999999994</v>
      </c>
      <c r="U59">
        <v>11363.73</v>
      </c>
      <c r="X59" s="4">
        <v>38139</v>
      </c>
      <c r="Y59">
        <v>8421.8989999999994</v>
      </c>
      <c r="Z59">
        <v>10552.86</v>
      </c>
      <c r="AC59" s="4">
        <v>38139</v>
      </c>
      <c r="AD59">
        <v>8421.8989999999994</v>
      </c>
      <c r="AE59">
        <v>10562.07</v>
      </c>
    </row>
    <row r="60" spans="2:31" x14ac:dyDescent="0.25">
      <c r="B60" s="4">
        <v>38169</v>
      </c>
      <c r="C60">
        <v>8376.8179999999993</v>
      </c>
      <c r="D60">
        <v>10255.85</v>
      </c>
      <c r="S60" s="4">
        <v>38169</v>
      </c>
      <c r="T60">
        <v>8376.8179999999993</v>
      </c>
      <c r="U60">
        <v>10786.41</v>
      </c>
      <c r="X60" s="4">
        <v>38169</v>
      </c>
      <c r="Y60">
        <v>8376.8179999999993</v>
      </c>
      <c r="Z60">
        <v>9930.0609999999997</v>
      </c>
      <c r="AC60" s="4">
        <v>38169</v>
      </c>
      <c r="AD60">
        <v>8376.8179999999993</v>
      </c>
      <c r="AE60">
        <v>9953.8330000000005</v>
      </c>
    </row>
    <row r="61" spans="2:31" x14ac:dyDescent="0.25">
      <c r="B61" s="4">
        <v>38200</v>
      </c>
      <c r="C61">
        <v>8430.0249999999996</v>
      </c>
      <c r="D61">
        <v>10983.46</v>
      </c>
      <c r="S61" s="4">
        <v>38200</v>
      </c>
      <c r="T61">
        <v>8430.0249999999996</v>
      </c>
      <c r="U61">
        <v>11471.71</v>
      </c>
      <c r="X61" s="4">
        <v>38200</v>
      </c>
      <c r="Y61">
        <v>8430.0249999999996</v>
      </c>
      <c r="Z61">
        <v>10648.46</v>
      </c>
      <c r="AC61" s="4">
        <v>38200</v>
      </c>
      <c r="AD61">
        <v>8430.0249999999996</v>
      </c>
      <c r="AE61">
        <v>10654.52</v>
      </c>
    </row>
    <row r="62" spans="2:31" x14ac:dyDescent="0.25">
      <c r="B62" s="4">
        <v>38231</v>
      </c>
      <c r="C62">
        <v>8526.83</v>
      </c>
      <c r="D62">
        <v>10593.13</v>
      </c>
      <c r="S62" s="4">
        <v>38231</v>
      </c>
      <c r="T62">
        <v>8526.83</v>
      </c>
      <c r="U62">
        <v>11090.62</v>
      </c>
      <c r="X62" s="4">
        <v>38231</v>
      </c>
      <c r="Y62">
        <v>8526.83</v>
      </c>
      <c r="Z62">
        <v>10223.49</v>
      </c>
      <c r="AC62" s="4">
        <v>38231</v>
      </c>
      <c r="AD62">
        <v>8526.83</v>
      </c>
      <c r="AE62">
        <v>10230.82</v>
      </c>
    </row>
    <row r="63" spans="2:31" x14ac:dyDescent="0.25">
      <c r="B63" s="4">
        <v>38261</v>
      </c>
      <c r="C63">
        <v>8659.7729999999992</v>
      </c>
      <c r="D63">
        <v>10813.85</v>
      </c>
      <c r="S63" s="4">
        <v>38261</v>
      </c>
      <c r="T63">
        <v>8659.7729999999992</v>
      </c>
      <c r="U63">
        <v>11383.38</v>
      </c>
      <c r="X63" s="4">
        <v>38261</v>
      </c>
      <c r="Y63">
        <v>8659.7729999999992</v>
      </c>
      <c r="Z63">
        <v>10481.68</v>
      </c>
      <c r="AC63" s="4">
        <v>38261</v>
      </c>
      <c r="AD63">
        <v>8659.7729999999992</v>
      </c>
      <c r="AE63">
        <v>10463.01</v>
      </c>
    </row>
    <row r="64" spans="2:31" x14ac:dyDescent="0.25">
      <c r="B64" s="4">
        <v>38292</v>
      </c>
      <c r="C64">
        <v>8937.9549999999999</v>
      </c>
      <c r="D64">
        <v>10619.79</v>
      </c>
      <c r="S64" s="4">
        <v>38292</v>
      </c>
      <c r="T64">
        <v>8937.9549999999999</v>
      </c>
      <c r="U64">
        <v>11168.6</v>
      </c>
      <c r="X64" s="4">
        <v>38292</v>
      </c>
      <c r="Y64">
        <v>8937.9549999999999</v>
      </c>
      <c r="Z64">
        <v>10263.89</v>
      </c>
      <c r="AC64" s="4">
        <v>38292</v>
      </c>
      <c r="AD64">
        <v>8937.9549999999999</v>
      </c>
      <c r="AE64">
        <v>10274.82</v>
      </c>
    </row>
    <row r="65" spans="2:31" x14ac:dyDescent="0.25">
      <c r="B65" s="4">
        <v>38322</v>
      </c>
      <c r="C65">
        <v>9653.875</v>
      </c>
      <c r="D65">
        <v>11660.82</v>
      </c>
      <c r="S65" s="4">
        <v>38322</v>
      </c>
      <c r="T65">
        <v>9653.875</v>
      </c>
      <c r="U65">
        <v>12491.24</v>
      </c>
      <c r="X65" s="4">
        <v>38322</v>
      </c>
      <c r="Y65">
        <v>9653.875</v>
      </c>
      <c r="Z65">
        <v>11235.63</v>
      </c>
      <c r="AC65" s="4">
        <v>38322</v>
      </c>
      <c r="AD65">
        <v>9653.875</v>
      </c>
      <c r="AE65">
        <v>11247.75</v>
      </c>
    </row>
    <row r="66" spans="2:31" x14ac:dyDescent="0.25">
      <c r="B66" s="4">
        <v>38353</v>
      </c>
      <c r="C66">
        <v>9235.6980000000003</v>
      </c>
      <c r="D66">
        <v>11134.89</v>
      </c>
      <c r="S66" s="4">
        <v>38353</v>
      </c>
      <c r="T66">
        <v>9235.6980000000003</v>
      </c>
      <c r="U66">
        <v>11484.62</v>
      </c>
      <c r="X66" s="4">
        <v>38353</v>
      </c>
      <c r="Y66">
        <v>9235.6980000000003</v>
      </c>
      <c r="Z66">
        <v>10755.73</v>
      </c>
      <c r="AC66" s="4">
        <v>38353</v>
      </c>
      <c r="AD66">
        <v>9235.6980000000003</v>
      </c>
      <c r="AE66">
        <v>10755.08</v>
      </c>
    </row>
    <row r="67" spans="2:31" x14ac:dyDescent="0.25">
      <c r="B67" s="4">
        <v>38384</v>
      </c>
      <c r="C67">
        <v>9437.7999999999993</v>
      </c>
      <c r="D67">
        <v>11086.81</v>
      </c>
      <c r="S67" s="4">
        <v>38384</v>
      </c>
      <c r="T67">
        <v>9437.7999999999993</v>
      </c>
      <c r="U67">
        <v>11593.7</v>
      </c>
      <c r="X67" s="4">
        <v>38384</v>
      </c>
      <c r="Y67">
        <v>9437.7999999999993</v>
      </c>
      <c r="Z67">
        <v>10742.63</v>
      </c>
      <c r="AC67" s="4">
        <v>38384</v>
      </c>
      <c r="AD67">
        <v>9437.7999999999993</v>
      </c>
      <c r="AE67">
        <v>10743.95</v>
      </c>
    </row>
    <row r="68" spans="2:31" x14ac:dyDescent="0.25">
      <c r="B68" s="4">
        <v>38412</v>
      </c>
      <c r="C68">
        <v>9322.098</v>
      </c>
      <c r="D68">
        <v>11282.77</v>
      </c>
      <c r="S68" s="4">
        <v>38412</v>
      </c>
      <c r="T68">
        <v>9322.098</v>
      </c>
      <c r="U68">
        <v>11949.63</v>
      </c>
      <c r="X68" s="4">
        <v>38412</v>
      </c>
      <c r="Y68">
        <v>9322.098</v>
      </c>
      <c r="Z68">
        <v>10966.51</v>
      </c>
      <c r="AC68" s="4">
        <v>38412</v>
      </c>
      <c r="AD68">
        <v>9322.098</v>
      </c>
      <c r="AE68">
        <v>10966.27</v>
      </c>
    </row>
    <row r="69" spans="2:31" x14ac:dyDescent="0.25">
      <c r="B69" s="4">
        <v>38443</v>
      </c>
      <c r="C69">
        <v>9782.2649999999994</v>
      </c>
      <c r="D69">
        <v>11336.74</v>
      </c>
      <c r="S69" s="4">
        <v>38443</v>
      </c>
      <c r="T69">
        <v>9782.2649999999994</v>
      </c>
      <c r="U69">
        <v>11939.51</v>
      </c>
      <c r="X69" s="4">
        <v>38443</v>
      </c>
      <c r="Y69">
        <v>9782.2649999999994</v>
      </c>
      <c r="Z69">
        <v>10915.62</v>
      </c>
      <c r="AC69" s="4">
        <v>38443</v>
      </c>
      <c r="AD69">
        <v>9782.2649999999994</v>
      </c>
      <c r="AE69">
        <v>10910.63</v>
      </c>
    </row>
    <row r="70" spans="2:31" x14ac:dyDescent="0.25">
      <c r="B70" s="4">
        <v>38473</v>
      </c>
      <c r="C70">
        <v>9662.5139999999992</v>
      </c>
      <c r="D70">
        <v>11139.8</v>
      </c>
      <c r="S70" s="4">
        <v>38473</v>
      </c>
      <c r="T70">
        <v>9662.5139999999992</v>
      </c>
      <c r="U70">
        <v>11708.75</v>
      </c>
      <c r="X70" s="4">
        <v>38473</v>
      </c>
      <c r="Y70">
        <v>9662.5139999999992</v>
      </c>
      <c r="Z70">
        <v>10701.15</v>
      </c>
      <c r="AC70" s="4">
        <v>38473</v>
      </c>
      <c r="AD70">
        <v>9662.5139999999992</v>
      </c>
      <c r="AE70">
        <v>10697.18</v>
      </c>
    </row>
    <row r="71" spans="2:31" x14ac:dyDescent="0.25">
      <c r="B71" s="4">
        <v>38504</v>
      </c>
      <c r="C71">
        <v>10040.26</v>
      </c>
      <c r="D71">
        <v>11259.64</v>
      </c>
      <c r="S71" s="4">
        <v>38504</v>
      </c>
      <c r="T71">
        <v>10040.26</v>
      </c>
      <c r="U71">
        <v>11809.78</v>
      </c>
      <c r="X71" s="4">
        <v>38504</v>
      </c>
      <c r="Y71">
        <v>10040.26</v>
      </c>
      <c r="Z71">
        <v>10906.14</v>
      </c>
      <c r="AC71" s="4">
        <v>38504</v>
      </c>
      <c r="AD71">
        <v>10040.26</v>
      </c>
      <c r="AE71">
        <v>10909.21</v>
      </c>
    </row>
    <row r="72" spans="2:31" x14ac:dyDescent="0.25">
      <c r="B72" s="4">
        <v>38534</v>
      </c>
      <c r="C72">
        <v>9757.06</v>
      </c>
      <c r="D72">
        <v>10922.82</v>
      </c>
      <c r="S72" s="4">
        <v>38534</v>
      </c>
      <c r="T72">
        <v>9757.06</v>
      </c>
      <c r="U72">
        <v>11227.23</v>
      </c>
      <c r="X72" s="4">
        <v>38534</v>
      </c>
      <c r="Y72">
        <v>9757.06</v>
      </c>
      <c r="Z72">
        <v>10537.94</v>
      </c>
      <c r="AC72" s="4">
        <v>38534</v>
      </c>
      <c r="AD72">
        <v>9757.06</v>
      </c>
      <c r="AE72">
        <v>10545.72</v>
      </c>
    </row>
    <row r="73" spans="2:31" x14ac:dyDescent="0.25">
      <c r="B73" s="4">
        <v>38565</v>
      </c>
      <c r="C73">
        <v>10149.15</v>
      </c>
      <c r="D73">
        <v>11530.23</v>
      </c>
      <c r="S73" s="4">
        <v>38565</v>
      </c>
      <c r="T73">
        <v>10149.15</v>
      </c>
      <c r="U73">
        <v>11859.67</v>
      </c>
      <c r="X73" s="4">
        <v>38565</v>
      </c>
      <c r="Y73">
        <v>10149.15</v>
      </c>
      <c r="Z73">
        <v>11116</v>
      </c>
      <c r="AC73" s="4">
        <v>38565</v>
      </c>
      <c r="AD73">
        <v>10149.15</v>
      </c>
      <c r="AE73">
        <v>11104.55</v>
      </c>
    </row>
    <row r="74" spans="2:31" x14ac:dyDescent="0.25">
      <c r="B74" s="4">
        <v>38596</v>
      </c>
      <c r="C74">
        <v>9980.0810000000001</v>
      </c>
      <c r="D74">
        <v>11063.37</v>
      </c>
      <c r="S74" s="4">
        <v>38596</v>
      </c>
      <c r="T74">
        <v>9980.0810000000001</v>
      </c>
      <c r="U74">
        <v>11487.02</v>
      </c>
      <c r="X74" s="4">
        <v>38596</v>
      </c>
      <c r="Y74">
        <v>9980.0810000000001</v>
      </c>
      <c r="Z74">
        <v>10698.65</v>
      </c>
      <c r="AC74" s="4">
        <v>38596</v>
      </c>
      <c r="AD74">
        <v>9980.0810000000001</v>
      </c>
      <c r="AE74">
        <v>10707.05</v>
      </c>
    </row>
    <row r="75" spans="2:31" x14ac:dyDescent="0.25">
      <c r="B75" s="4">
        <v>38626</v>
      </c>
      <c r="C75">
        <v>10338.549999999999</v>
      </c>
      <c r="D75">
        <v>11409.32</v>
      </c>
      <c r="S75" s="4">
        <v>38626</v>
      </c>
      <c r="T75">
        <v>10338.549999999999</v>
      </c>
      <c r="U75">
        <v>11876.81</v>
      </c>
      <c r="X75" s="4">
        <v>38626</v>
      </c>
      <c r="Y75">
        <v>10338.549999999999</v>
      </c>
      <c r="Z75">
        <v>11020.12</v>
      </c>
      <c r="AC75" s="4">
        <v>38626</v>
      </c>
      <c r="AD75">
        <v>10338.549999999999</v>
      </c>
      <c r="AE75">
        <v>11007.75</v>
      </c>
    </row>
    <row r="76" spans="2:31" x14ac:dyDescent="0.25">
      <c r="B76" s="4">
        <v>38657</v>
      </c>
      <c r="C76">
        <v>10460.81</v>
      </c>
      <c r="D76">
        <v>11071.75</v>
      </c>
      <c r="S76" s="4">
        <v>38657</v>
      </c>
      <c r="T76">
        <v>10460.81</v>
      </c>
      <c r="U76">
        <v>11787.78</v>
      </c>
      <c r="X76" s="4">
        <v>38657</v>
      </c>
      <c r="Y76">
        <v>10460.81</v>
      </c>
      <c r="Z76">
        <v>10740.13</v>
      </c>
      <c r="AC76" s="4">
        <v>38657</v>
      </c>
      <c r="AD76">
        <v>10460.81</v>
      </c>
      <c r="AE76">
        <v>10728.56</v>
      </c>
    </row>
    <row r="77" spans="2:31" x14ac:dyDescent="0.25">
      <c r="B77" s="4">
        <v>38687</v>
      </c>
      <c r="C77">
        <v>10246.33</v>
      </c>
      <c r="D77">
        <v>11274.8</v>
      </c>
      <c r="S77" s="4">
        <v>38687</v>
      </c>
      <c r="T77">
        <v>10246.33</v>
      </c>
      <c r="U77">
        <v>11489.53</v>
      </c>
      <c r="X77" s="4">
        <v>38687</v>
      </c>
      <c r="Y77">
        <v>10246.33</v>
      </c>
      <c r="Z77">
        <v>10953.19</v>
      </c>
      <c r="AC77" s="4">
        <v>38687</v>
      </c>
      <c r="AD77">
        <v>10246.33</v>
      </c>
      <c r="AE77">
        <v>10941.4</v>
      </c>
    </row>
    <row r="78" spans="2:31" x14ac:dyDescent="0.25">
      <c r="B78" s="4">
        <v>38718</v>
      </c>
      <c r="C78">
        <v>9927.0889999999999</v>
      </c>
      <c r="D78">
        <v>11260.52</v>
      </c>
      <c r="S78" s="4">
        <v>38718</v>
      </c>
      <c r="T78">
        <v>9927.0889999999999</v>
      </c>
      <c r="U78">
        <v>11326.76</v>
      </c>
      <c r="X78" s="4">
        <v>38718</v>
      </c>
      <c r="Y78">
        <v>9927.0889999999999</v>
      </c>
      <c r="Z78">
        <v>10891.52</v>
      </c>
      <c r="AC78" s="4">
        <v>38718</v>
      </c>
      <c r="AD78">
        <v>9927.0889999999999</v>
      </c>
      <c r="AE78">
        <v>10887.28</v>
      </c>
    </row>
    <row r="79" spans="2:31" x14ac:dyDescent="0.25">
      <c r="B79" s="4">
        <v>38749</v>
      </c>
      <c r="C79">
        <v>10477.299999999999</v>
      </c>
      <c r="D79">
        <v>11691.73</v>
      </c>
      <c r="S79" s="4">
        <v>38749</v>
      </c>
      <c r="T79">
        <v>10477.299999999999</v>
      </c>
      <c r="U79">
        <v>12087.86</v>
      </c>
      <c r="X79" s="4">
        <v>38749</v>
      </c>
      <c r="Y79">
        <v>10477.299999999999</v>
      </c>
      <c r="Z79">
        <v>11393.47</v>
      </c>
      <c r="AC79" s="4">
        <v>38749</v>
      </c>
      <c r="AD79">
        <v>10477.299999999999</v>
      </c>
      <c r="AE79">
        <v>11373.89</v>
      </c>
    </row>
    <row r="80" spans="2:31" x14ac:dyDescent="0.25">
      <c r="B80" s="4">
        <v>38777</v>
      </c>
      <c r="C80">
        <v>10105.280000000001</v>
      </c>
      <c r="D80">
        <v>11522.8</v>
      </c>
      <c r="S80" s="4">
        <v>38777</v>
      </c>
      <c r="T80">
        <v>10105.280000000001</v>
      </c>
      <c r="U80">
        <v>12109.38</v>
      </c>
      <c r="X80" s="4">
        <v>38777</v>
      </c>
      <c r="Y80">
        <v>10105.280000000001</v>
      </c>
      <c r="Z80">
        <v>11150</v>
      </c>
      <c r="AC80" s="4">
        <v>38777</v>
      </c>
      <c r="AD80">
        <v>10105.280000000001</v>
      </c>
      <c r="AE80">
        <v>11115.15</v>
      </c>
    </row>
    <row r="81" spans="2:31" x14ac:dyDescent="0.25">
      <c r="B81" s="4">
        <v>38808</v>
      </c>
      <c r="C81">
        <v>10662.68</v>
      </c>
      <c r="D81">
        <v>11780.11</v>
      </c>
      <c r="S81" s="4">
        <v>38808</v>
      </c>
      <c r="T81">
        <v>10662.68</v>
      </c>
      <c r="U81">
        <v>12068.97</v>
      </c>
      <c r="X81" s="4">
        <v>38808</v>
      </c>
      <c r="Y81">
        <v>10662.68</v>
      </c>
      <c r="Z81">
        <v>11499.16</v>
      </c>
      <c r="AC81" s="4">
        <v>38808</v>
      </c>
      <c r="AD81">
        <v>10662.68</v>
      </c>
      <c r="AE81">
        <v>11462.93</v>
      </c>
    </row>
    <row r="82" spans="2:31" x14ac:dyDescent="0.25">
      <c r="B82" s="4">
        <v>38838</v>
      </c>
      <c r="C82">
        <v>10044.33</v>
      </c>
      <c r="D82">
        <v>11303.66</v>
      </c>
      <c r="S82" s="4">
        <v>38838</v>
      </c>
      <c r="T82">
        <v>10044.33</v>
      </c>
      <c r="U82">
        <v>11710.29</v>
      </c>
      <c r="X82" s="4">
        <v>38838</v>
      </c>
      <c r="Y82">
        <v>10044.33</v>
      </c>
      <c r="Z82">
        <v>10912.97</v>
      </c>
      <c r="AC82" s="4">
        <v>38838</v>
      </c>
      <c r="AD82">
        <v>10044.33</v>
      </c>
      <c r="AE82">
        <v>10916.26</v>
      </c>
    </row>
    <row r="83" spans="2:31" x14ac:dyDescent="0.25">
      <c r="B83" s="4">
        <v>38869</v>
      </c>
      <c r="C83">
        <v>10340.620000000001</v>
      </c>
      <c r="D83">
        <v>11314.06</v>
      </c>
      <c r="S83" s="4">
        <v>38869</v>
      </c>
      <c r="T83">
        <v>10340.620000000001</v>
      </c>
      <c r="U83">
        <v>11666.14</v>
      </c>
      <c r="X83" s="4">
        <v>38869</v>
      </c>
      <c r="Y83">
        <v>10340.620000000001</v>
      </c>
      <c r="Z83">
        <v>10910.13</v>
      </c>
      <c r="AC83" s="4">
        <v>38869</v>
      </c>
      <c r="AD83">
        <v>10340.620000000001</v>
      </c>
      <c r="AE83">
        <v>10889.45</v>
      </c>
    </row>
    <row r="84" spans="2:31" x14ac:dyDescent="0.25">
      <c r="B84" s="4">
        <v>38899</v>
      </c>
      <c r="C84">
        <v>10818.69</v>
      </c>
      <c r="D84">
        <v>11779.5</v>
      </c>
      <c r="S84" s="4">
        <v>38899</v>
      </c>
      <c r="T84">
        <v>10818.69</v>
      </c>
      <c r="U84">
        <v>11930.65</v>
      </c>
      <c r="X84" s="4">
        <v>38899</v>
      </c>
      <c r="Y84">
        <v>10818.69</v>
      </c>
      <c r="Z84">
        <v>11486.66</v>
      </c>
      <c r="AC84" s="4">
        <v>38899</v>
      </c>
      <c r="AD84">
        <v>10818.69</v>
      </c>
      <c r="AE84">
        <v>11467.49</v>
      </c>
    </row>
    <row r="85" spans="2:31" x14ac:dyDescent="0.25">
      <c r="B85" s="4">
        <v>38930</v>
      </c>
      <c r="C85">
        <v>10715.65</v>
      </c>
      <c r="D85">
        <v>11466.6</v>
      </c>
      <c r="S85" s="4">
        <v>38930</v>
      </c>
      <c r="T85">
        <v>10715.65</v>
      </c>
      <c r="U85">
        <v>11924.82</v>
      </c>
      <c r="X85" s="4">
        <v>38930</v>
      </c>
      <c r="Y85">
        <v>10715.65</v>
      </c>
      <c r="Z85">
        <v>11145.81</v>
      </c>
      <c r="AC85" s="4">
        <v>38930</v>
      </c>
      <c r="AD85">
        <v>10715.65</v>
      </c>
      <c r="AE85">
        <v>11130.83</v>
      </c>
    </row>
    <row r="86" spans="2:31" x14ac:dyDescent="0.25">
      <c r="B86" s="4">
        <v>38961</v>
      </c>
      <c r="C86">
        <v>10647.56</v>
      </c>
      <c r="D86">
        <v>11462.06</v>
      </c>
      <c r="S86" s="4">
        <v>38961</v>
      </c>
      <c r="T86">
        <v>10647.56</v>
      </c>
      <c r="U86">
        <v>11910.9</v>
      </c>
      <c r="X86" s="4">
        <v>38961</v>
      </c>
      <c r="Y86">
        <v>10647.56</v>
      </c>
      <c r="Z86">
        <v>11228.14</v>
      </c>
      <c r="AC86" s="4">
        <v>38961</v>
      </c>
      <c r="AD86">
        <v>10647.56</v>
      </c>
      <c r="AE86">
        <v>11214.61</v>
      </c>
    </row>
    <row r="87" spans="2:31" x14ac:dyDescent="0.25">
      <c r="B87" s="4">
        <v>38991</v>
      </c>
      <c r="C87">
        <v>10543.61</v>
      </c>
      <c r="D87">
        <v>11711.97</v>
      </c>
      <c r="S87" s="4">
        <v>38991</v>
      </c>
      <c r="T87">
        <v>10543.61</v>
      </c>
      <c r="U87">
        <v>12065.71</v>
      </c>
      <c r="X87" s="4">
        <v>38991</v>
      </c>
      <c r="Y87">
        <v>10543.61</v>
      </c>
      <c r="Z87">
        <v>11387.75</v>
      </c>
      <c r="AC87" s="4">
        <v>38991</v>
      </c>
      <c r="AD87">
        <v>10543.61</v>
      </c>
      <c r="AE87">
        <v>11354.96</v>
      </c>
    </row>
    <row r="88" spans="2:31" x14ac:dyDescent="0.25">
      <c r="B88" s="4">
        <v>39022</v>
      </c>
      <c r="C88">
        <v>10343.6</v>
      </c>
      <c r="D88">
        <v>11452.65</v>
      </c>
      <c r="S88" s="4">
        <v>39022</v>
      </c>
      <c r="T88">
        <v>10343.6</v>
      </c>
      <c r="U88">
        <v>11918.08</v>
      </c>
      <c r="X88" s="4">
        <v>39022</v>
      </c>
      <c r="Y88">
        <v>10343.6</v>
      </c>
      <c r="Z88">
        <v>11201.19</v>
      </c>
      <c r="AC88" s="4">
        <v>39022</v>
      </c>
      <c r="AD88">
        <v>10343.6</v>
      </c>
      <c r="AE88">
        <v>11171.11</v>
      </c>
    </row>
    <row r="89" spans="2:31" x14ac:dyDescent="0.25">
      <c r="B89" s="4">
        <v>39052</v>
      </c>
      <c r="C89">
        <v>11123.38</v>
      </c>
      <c r="D89">
        <v>11751.41</v>
      </c>
      <c r="S89" s="4">
        <v>39052</v>
      </c>
      <c r="T89">
        <v>11123.38</v>
      </c>
      <c r="U89">
        <v>12408.02</v>
      </c>
      <c r="X89" s="4">
        <v>39052</v>
      </c>
      <c r="Y89">
        <v>11123.38</v>
      </c>
      <c r="Z89">
        <v>11483.55</v>
      </c>
      <c r="AC89" s="4">
        <v>39052</v>
      </c>
      <c r="AD89">
        <v>11123.38</v>
      </c>
      <c r="AE89">
        <v>11459.77</v>
      </c>
    </row>
    <row r="90" spans="2:31" x14ac:dyDescent="0.25">
      <c r="B90" s="4">
        <v>39083</v>
      </c>
      <c r="C90">
        <v>9737.6820000000007</v>
      </c>
      <c r="D90">
        <v>11395.27</v>
      </c>
      <c r="S90" s="4">
        <v>39083</v>
      </c>
      <c r="T90">
        <v>9737.6820000000007</v>
      </c>
      <c r="U90">
        <v>11195.36</v>
      </c>
      <c r="X90" s="4">
        <v>39083</v>
      </c>
      <c r="Y90">
        <v>9737.6820000000007</v>
      </c>
      <c r="Z90">
        <v>11196.65</v>
      </c>
      <c r="AC90" s="4">
        <v>39083</v>
      </c>
      <c r="AD90">
        <v>9737.6820000000007</v>
      </c>
      <c r="AE90">
        <v>11167.52</v>
      </c>
    </row>
    <row r="91" spans="2:31" x14ac:dyDescent="0.25">
      <c r="B91" s="4">
        <v>39114</v>
      </c>
      <c r="C91">
        <v>10396.969999999999</v>
      </c>
      <c r="D91">
        <v>11296.08</v>
      </c>
      <c r="S91" s="4">
        <v>39114</v>
      </c>
      <c r="T91">
        <v>10396.969999999999</v>
      </c>
      <c r="U91">
        <v>11708.58</v>
      </c>
      <c r="X91" s="4">
        <v>39114</v>
      </c>
      <c r="Y91">
        <v>10396.969999999999</v>
      </c>
      <c r="Z91">
        <v>11070.75</v>
      </c>
      <c r="AC91" s="4">
        <v>39114</v>
      </c>
      <c r="AD91">
        <v>10396.969999999999</v>
      </c>
      <c r="AE91">
        <v>11026.21</v>
      </c>
    </row>
    <row r="92" spans="2:31" x14ac:dyDescent="0.25">
      <c r="B92" s="4">
        <v>39142</v>
      </c>
      <c r="C92">
        <v>10251.65</v>
      </c>
      <c r="D92">
        <v>11401.27</v>
      </c>
      <c r="S92" s="4">
        <v>39142</v>
      </c>
      <c r="T92">
        <v>10251.65</v>
      </c>
      <c r="U92">
        <v>11876.67</v>
      </c>
      <c r="X92" s="4">
        <v>39142</v>
      </c>
      <c r="Y92">
        <v>10251.65</v>
      </c>
      <c r="Z92">
        <v>11164.45</v>
      </c>
      <c r="AC92" s="4">
        <v>39142</v>
      </c>
      <c r="AD92">
        <v>10251.65</v>
      </c>
      <c r="AE92">
        <v>11130.82</v>
      </c>
    </row>
    <row r="93" spans="2:31" x14ac:dyDescent="0.25">
      <c r="B93" s="4">
        <v>39173</v>
      </c>
      <c r="C93">
        <v>10016.02</v>
      </c>
      <c r="D93">
        <v>11415.4</v>
      </c>
      <c r="S93" s="4">
        <v>39173</v>
      </c>
      <c r="T93">
        <v>10016.02</v>
      </c>
      <c r="U93">
        <v>11846.52</v>
      </c>
      <c r="X93" s="4">
        <v>39173</v>
      </c>
      <c r="Y93">
        <v>10016.02</v>
      </c>
      <c r="Z93">
        <v>11229.09</v>
      </c>
      <c r="AC93" s="4">
        <v>39173</v>
      </c>
      <c r="AD93">
        <v>10016.02</v>
      </c>
      <c r="AE93">
        <v>11195.22</v>
      </c>
    </row>
    <row r="94" spans="2:31" x14ac:dyDescent="0.25">
      <c r="B94" s="4">
        <v>39203</v>
      </c>
      <c r="C94">
        <v>10113.370000000001</v>
      </c>
      <c r="D94">
        <v>11004.4</v>
      </c>
      <c r="S94" s="4">
        <v>39203</v>
      </c>
      <c r="T94">
        <v>10113.370000000001</v>
      </c>
      <c r="U94">
        <v>11124.4</v>
      </c>
      <c r="X94" s="4">
        <v>39203</v>
      </c>
      <c r="Y94">
        <v>10113.370000000001</v>
      </c>
      <c r="Z94">
        <v>10912.31</v>
      </c>
      <c r="AC94" s="4">
        <v>39203</v>
      </c>
      <c r="AD94">
        <v>10113.370000000001</v>
      </c>
      <c r="AE94">
        <v>10874.79</v>
      </c>
    </row>
    <row r="95" spans="2:31" x14ac:dyDescent="0.25">
      <c r="B95" s="4">
        <v>39234</v>
      </c>
      <c r="C95">
        <v>10031.620000000001</v>
      </c>
      <c r="D95">
        <v>11390.65</v>
      </c>
      <c r="S95" s="4">
        <v>39234</v>
      </c>
      <c r="T95">
        <v>10031.620000000001</v>
      </c>
      <c r="U95">
        <v>11841.2</v>
      </c>
      <c r="X95" s="4">
        <v>39234</v>
      </c>
      <c r="Y95">
        <v>10031.620000000001</v>
      </c>
      <c r="Z95">
        <v>11155.04</v>
      </c>
      <c r="AC95" s="4">
        <v>39234</v>
      </c>
      <c r="AD95">
        <v>10031.620000000001</v>
      </c>
      <c r="AE95">
        <v>11124.5</v>
      </c>
    </row>
    <row r="96" spans="2:31" x14ac:dyDescent="0.25">
      <c r="B96" s="4">
        <v>39264</v>
      </c>
      <c r="C96">
        <v>10298.040000000001</v>
      </c>
      <c r="D96">
        <v>11179.98</v>
      </c>
      <c r="S96" s="4">
        <v>39264</v>
      </c>
      <c r="T96">
        <v>10298.040000000001</v>
      </c>
      <c r="U96">
        <v>11806.47</v>
      </c>
      <c r="X96" s="4">
        <v>39264</v>
      </c>
      <c r="Y96">
        <v>10298.040000000001</v>
      </c>
      <c r="Z96">
        <v>10959.45</v>
      </c>
      <c r="AC96" s="4">
        <v>39264</v>
      </c>
      <c r="AD96">
        <v>10298.040000000001</v>
      </c>
      <c r="AE96">
        <v>10912.08</v>
      </c>
    </row>
    <row r="97" spans="2:31" x14ac:dyDescent="0.25">
      <c r="B97" s="4">
        <v>39295</v>
      </c>
      <c r="C97">
        <v>9653.6</v>
      </c>
      <c r="D97">
        <v>11089.45</v>
      </c>
      <c r="S97" s="4">
        <v>39295</v>
      </c>
      <c r="T97">
        <v>9653.6</v>
      </c>
      <c r="U97">
        <v>11461.52</v>
      </c>
      <c r="X97" s="4">
        <v>39295</v>
      </c>
      <c r="Y97">
        <v>9653.6</v>
      </c>
      <c r="Z97">
        <v>10963.62</v>
      </c>
      <c r="AC97" s="4">
        <v>39295</v>
      </c>
      <c r="AD97">
        <v>9653.6</v>
      </c>
      <c r="AE97">
        <v>10924.75</v>
      </c>
    </row>
    <row r="98" spans="2:31" x14ac:dyDescent="0.25">
      <c r="B98" s="4">
        <v>39326</v>
      </c>
      <c r="C98">
        <v>10697.15</v>
      </c>
      <c r="D98">
        <v>11171.04</v>
      </c>
      <c r="S98" s="4">
        <v>39326</v>
      </c>
      <c r="T98">
        <v>10697.15</v>
      </c>
      <c r="U98">
        <v>12022.42</v>
      </c>
      <c r="X98" s="4">
        <v>39326</v>
      </c>
      <c r="Y98">
        <v>10697.15</v>
      </c>
      <c r="Z98">
        <v>10980.48</v>
      </c>
      <c r="AC98" s="4">
        <v>39326</v>
      </c>
      <c r="AD98">
        <v>10697.15</v>
      </c>
      <c r="AE98">
        <v>10948.84</v>
      </c>
    </row>
    <row r="99" spans="2:31" x14ac:dyDescent="0.25">
      <c r="B99" s="4">
        <v>39356</v>
      </c>
      <c r="C99">
        <v>10026.219999999999</v>
      </c>
      <c r="D99">
        <v>11125.54</v>
      </c>
      <c r="S99" s="4">
        <v>39356</v>
      </c>
      <c r="T99">
        <v>10026.219999999999</v>
      </c>
      <c r="U99">
        <v>11810.36</v>
      </c>
      <c r="X99" s="4">
        <v>39356</v>
      </c>
      <c r="Y99">
        <v>10026.219999999999</v>
      </c>
      <c r="Z99">
        <v>11072.83</v>
      </c>
      <c r="AC99" s="4">
        <v>39356</v>
      </c>
      <c r="AD99">
        <v>10026.219999999999</v>
      </c>
      <c r="AE99">
        <v>11067.93</v>
      </c>
    </row>
    <row r="100" spans="2:31" x14ac:dyDescent="0.25">
      <c r="B100" s="4">
        <v>39387</v>
      </c>
      <c r="C100">
        <v>9889.768</v>
      </c>
      <c r="D100">
        <v>10856.68</v>
      </c>
      <c r="S100" s="4">
        <v>39387</v>
      </c>
      <c r="T100">
        <v>9889.768</v>
      </c>
      <c r="U100">
        <v>11536.4</v>
      </c>
      <c r="X100" s="4">
        <v>39387</v>
      </c>
      <c r="Y100">
        <v>9889.768</v>
      </c>
      <c r="Z100">
        <v>10788.6</v>
      </c>
      <c r="AC100" s="4">
        <v>39387</v>
      </c>
      <c r="AD100">
        <v>9889.768</v>
      </c>
      <c r="AE100">
        <v>10758.31</v>
      </c>
    </row>
    <row r="101" spans="2:31" x14ac:dyDescent="0.25">
      <c r="B101" s="4">
        <v>39417</v>
      </c>
      <c r="C101">
        <v>10358.02</v>
      </c>
      <c r="D101">
        <v>11241.6</v>
      </c>
      <c r="S101" s="4">
        <v>39417</v>
      </c>
      <c r="T101">
        <v>10358.02</v>
      </c>
      <c r="U101">
        <v>12396.45</v>
      </c>
      <c r="X101" s="4">
        <v>39417</v>
      </c>
      <c r="Y101">
        <v>10358.02</v>
      </c>
      <c r="Z101">
        <v>11188.96</v>
      </c>
      <c r="AC101" s="4">
        <v>39417</v>
      </c>
      <c r="AD101">
        <v>10358.02</v>
      </c>
      <c r="AE101">
        <v>11170.16</v>
      </c>
    </row>
    <row r="102" spans="2:31" x14ac:dyDescent="0.25">
      <c r="B102" s="4">
        <v>39448</v>
      </c>
      <c r="C102">
        <v>10066.030000000001</v>
      </c>
      <c r="D102">
        <v>10807.16</v>
      </c>
      <c r="S102" s="4">
        <v>39448</v>
      </c>
      <c r="T102">
        <v>10066.030000000001</v>
      </c>
      <c r="U102">
        <v>11622.98</v>
      </c>
      <c r="X102" s="4">
        <v>39448</v>
      </c>
      <c r="Y102">
        <v>10066.030000000001</v>
      </c>
      <c r="Z102">
        <v>10863.18</v>
      </c>
      <c r="AC102" s="4">
        <v>39448</v>
      </c>
      <c r="AD102">
        <v>10066.030000000001</v>
      </c>
      <c r="AE102">
        <v>10856.42</v>
      </c>
    </row>
    <row r="103" spans="2:31" x14ac:dyDescent="0.25">
      <c r="B103" s="4">
        <v>39479</v>
      </c>
      <c r="C103">
        <v>10216.65</v>
      </c>
      <c r="D103">
        <v>11152.54</v>
      </c>
      <c r="S103" s="4">
        <v>39479</v>
      </c>
      <c r="T103">
        <v>10216.65</v>
      </c>
      <c r="U103">
        <v>12227.82</v>
      </c>
      <c r="X103" s="4">
        <v>39479</v>
      </c>
      <c r="Y103">
        <v>10216.65</v>
      </c>
      <c r="Z103">
        <v>11067.13</v>
      </c>
      <c r="AC103" s="4">
        <v>39479</v>
      </c>
      <c r="AD103">
        <v>10216.65</v>
      </c>
      <c r="AE103">
        <v>11034.49</v>
      </c>
    </row>
    <row r="104" spans="2:31" x14ac:dyDescent="0.25">
      <c r="B104" s="4">
        <v>39508</v>
      </c>
      <c r="C104">
        <v>10481.09</v>
      </c>
      <c r="D104">
        <v>11447.64</v>
      </c>
      <c r="S104" s="4">
        <v>39508</v>
      </c>
      <c r="T104">
        <v>10481.09</v>
      </c>
      <c r="U104">
        <v>12588.03</v>
      </c>
      <c r="X104" s="4">
        <v>39508</v>
      </c>
      <c r="Y104">
        <v>10481.09</v>
      </c>
      <c r="Z104">
        <v>11426.15</v>
      </c>
      <c r="AC104" s="4">
        <v>39508</v>
      </c>
      <c r="AD104">
        <v>10481.09</v>
      </c>
      <c r="AE104">
        <v>11394.25</v>
      </c>
    </row>
    <row r="105" spans="2:31" x14ac:dyDescent="0.25">
      <c r="B105" s="4">
        <v>39539</v>
      </c>
      <c r="C105">
        <v>9802.0490000000009</v>
      </c>
      <c r="D105">
        <v>10657.55</v>
      </c>
      <c r="S105" s="4">
        <v>39539</v>
      </c>
      <c r="T105">
        <v>9802.0490000000009</v>
      </c>
      <c r="U105">
        <v>11540.13</v>
      </c>
      <c r="X105" s="4">
        <v>39539</v>
      </c>
      <c r="Y105">
        <v>9802.0490000000009</v>
      </c>
      <c r="Z105">
        <v>10619.35</v>
      </c>
      <c r="AC105" s="4">
        <v>39539</v>
      </c>
      <c r="AD105">
        <v>9802.0490000000009</v>
      </c>
      <c r="AE105">
        <v>10578</v>
      </c>
    </row>
    <row r="106" spans="2:31" x14ac:dyDescent="0.25">
      <c r="B106" s="4">
        <v>39569</v>
      </c>
      <c r="C106">
        <v>9899.5079999999998</v>
      </c>
      <c r="D106">
        <v>10661.34</v>
      </c>
      <c r="S106" s="4">
        <v>39569</v>
      </c>
      <c r="T106">
        <v>9899.5079999999998</v>
      </c>
      <c r="U106">
        <v>11987.66</v>
      </c>
      <c r="X106" s="4">
        <v>39569</v>
      </c>
      <c r="Y106">
        <v>9899.5079999999998</v>
      </c>
      <c r="Z106">
        <v>10709.85</v>
      </c>
      <c r="AC106" s="4">
        <v>39569</v>
      </c>
      <c r="AD106">
        <v>9899.5079999999998</v>
      </c>
      <c r="AE106">
        <v>10675.26</v>
      </c>
    </row>
    <row r="107" spans="2:31" x14ac:dyDescent="0.25">
      <c r="B107" s="4">
        <v>39600</v>
      </c>
      <c r="C107">
        <v>10082.219999999999</v>
      </c>
      <c r="D107">
        <v>10756.71</v>
      </c>
      <c r="S107" s="4">
        <v>39600</v>
      </c>
      <c r="T107">
        <v>10082.219999999999</v>
      </c>
      <c r="U107">
        <v>12306</v>
      </c>
      <c r="X107" s="4">
        <v>39600</v>
      </c>
      <c r="Y107">
        <v>10082.219999999999</v>
      </c>
      <c r="Z107">
        <v>10766.94</v>
      </c>
      <c r="AC107" s="4">
        <v>39600</v>
      </c>
      <c r="AD107">
        <v>10082.219999999999</v>
      </c>
      <c r="AE107">
        <v>10743.65</v>
      </c>
    </row>
    <row r="108" spans="2:31" x14ac:dyDescent="0.25">
      <c r="B108" s="4">
        <v>39630</v>
      </c>
      <c r="C108">
        <v>9976.3729999999996</v>
      </c>
      <c r="D108">
        <v>10448.64</v>
      </c>
      <c r="S108" s="4">
        <v>39630</v>
      </c>
      <c r="T108">
        <v>9976.3729999999996</v>
      </c>
      <c r="U108">
        <v>11688.12</v>
      </c>
      <c r="X108" s="4">
        <v>39630</v>
      </c>
      <c r="Y108">
        <v>9976.3729999999996</v>
      </c>
      <c r="Z108">
        <v>10424.58</v>
      </c>
      <c r="AC108" s="4">
        <v>39630</v>
      </c>
      <c r="AD108">
        <v>9976.3729999999996</v>
      </c>
      <c r="AE108">
        <v>10393.18</v>
      </c>
    </row>
    <row r="109" spans="2:31" x14ac:dyDescent="0.25">
      <c r="B109" s="4">
        <v>39661</v>
      </c>
      <c r="C109">
        <v>10134.43</v>
      </c>
      <c r="D109">
        <v>10382.49</v>
      </c>
      <c r="S109" s="4">
        <v>39661</v>
      </c>
      <c r="T109">
        <v>10134.43</v>
      </c>
      <c r="U109">
        <v>11571.56</v>
      </c>
      <c r="X109" s="4">
        <v>39661</v>
      </c>
      <c r="Y109">
        <v>10134.43</v>
      </c>
      <c r="Z109">
        <v>10309.11</v>
      </c>
      <c r="AC109" s="4">
        <v>39661</v>
      </c>
      <c r="AD109">
        <v>10134.43</v>
      </c>
      <c r="AE109">
        <v>10282.969999999999</v>
      </c>
    </row>
    <row r="110" spans="2:31" x14ac:dyDescent="0.25">
      <c r="B110" s="4">
        <v>39692</v>
      </c>
      <c r="C110">
        <v>9850.7810000000009</v>
      </c>
      <c r="D110">
        <v>10636.21</v>
      </c>
      <c r="S110" s="4">
        <v>39692</v>
      </c>
      <c r="T110">
        <v>9850.7810000000009</v>
      </c>
      <c r="U110">
        <v>11643.94</v>
      </c>
      <c r="X110" s="4">
        <v>39692</v>
      </c>
      <c r="Y110">
        <v>9850.7810000000009</v>
      </c>
      <c r="Z110">
        <v>10694.91</v>
      </c>
      <c r="AC110" s="4">
        <v>39692</v>
      </c>
      <c r="AD110">
        <v>9850.7810000000009</v>
      </c>
      <c r="AE110">
        <v>10665.53</v>
      </c>
    </row>
    <row r="111" spans="2:31" x14ac:dyDescent="0.25">
      <c r="B111" s="4">
        <v>39722</v>
      </c>
      <c r="C111">
        <v>9958.5789999999997</v>
      </c>
      <c r="D111">
        <v>10806.02</v>
      </c>
      <c r="S111" s="4">
        <v>39722</v>
      </c>
      <c r="T111">
        <v>9958.5789999999997</v>
      </c>
      <c r="U111">
        <v>11924.74</v>
      </c>
      <c r="X111" s="4">
        <v>39722</v>
      </c>
      <c r="Y111">
        <v>9958.5789999999997</v>
      </c>
      <c r="Z111">
        <v>10809.96</v>
      </c>
      <c r="AC111" s="4">
        <v>39722</v>
      </c>
      <c r="AD111">
        <v>9958.5789999999997</v>
      </c>
      <c r="AE111">
        <v>10789.51</v>
      </c>
    </row>
    <row r="112" spans="2:31" x14ac:dyDescent="0.25">
      <c r="B112" s="4">
        <v>39753</v>
      </c>
      <c r="C112">
        <v>10165.209999999999</v>
      </c>
      <c r="D112">
        <v>10425.92</v>
      </c>
      <c r="S112" s="4">
        <v>39753</v>
      </c>
      <c r="T112">
        <v>10165.209999999999</v>
      </c>
      <c r="U112">
        <v>11694.99</v>
      </c>
      <c r="X112" s="4">
        <v>39753</v>
      </c>
      <c r="Y112">
        <v>10165.209999999999</v>
      </c>
      <c r="Z112">
        <v>10366.26</v>
      </c>
      <c r="AC112" s="4">
        <v>39753</v>
      </c>
      <c r="AD112">
        <v>10165.209999999999</v>
      </c>
      <c r="AE112">
        <v>10358.969999999999</v>
      </c>
    </row>
    <row r="113" spans="2:31" x14ac:dyDescent="0.25">
      <c r="B113" s="4">
        <v>39783</v>
      </c>
      <c r="C113">
        <v>10803.72</v>
      </c>
      <c r="D113">
        <v>10759.08</v>
      </c>
      <c r="S113" s="4">
        <v>39783</v>
      </c>
      <c r="T113">
        <v>10803.72</v>
      </c>
      <c r="U113">
        <v>12681.66</v>
      </c>
      <c r="X113" s="4">
        <v>39783</v>
      </c>
      <c r="Y113">
        <v>10803.72</v>
      </c>
      <c r="Z113">
        <v>10655.36</v>
      </c>
      <c r="AC113" s="4">
        <v>39783</v>
      </c>
      <c r="AD113">
        <v>10803.72</v>
      </c>
      <c r="AE113">
        <v>10626.06</v>
      </c>
    </row>
    <row r="114" spans="2:31" x14ac:dyDescent="0.25">
      <c r="B114" s="4">
        <v>39814</v>
      </c>
      <c r="C114">
        <v>11142.31</v>
      </c>
      <c r="D114">
        <v>11069.6</v>
      </c>
      <c r="S114" s="4">
        <v>39814</v>
      </c>
      <c r="T114">
        <v>11142.31</v>
      </c>
      <c r="U114">
        <v>13000.34</v>
      </c>
      <c r="X114" s="4">
        <v>39814</v>
      </c>
      <c r="Y114">
        <v>11142.31</v>
      </c>
      <c r="Z114">
        <v>10945.2</v>
      </c>
      <c r="AC114" s="4">
        <v>39814</v>
      </c>
      <c r="AD114">
        <v>11142.31</v>
      </c>
      <c r="AE114">
        <v>10922.69</v>
      </c>
    </row>
    <row r="115" spans="2:31" x14ac:dyDescent="0.25">
      <c r="B115" s="4">
        <v>39845</v>
      </c>
      <c r="C115">
        <v>10667.26</v>
      </c>
      <c r="D115">
        <v>11235.78</v>
      </c>
      <c r="S115" s="4">
        <v>39845</v>
      </c>
      <c r="T115">
        <v>10667.26</v>
      </c>
      <c r="U115">
        <v>12558.36</v>
      </c>
      <c r="X115" s="4">
        <v>39845</v>
      </c>
      <c r="Y115">
        <v>10667.26</v>
      </c>
      <c r="Z115">
        <v>11185.31</v>
      </c>
      <c r="AC115" s="4">
        <v>39845</v>
      </c>
      <c r="AD115">
        <v>10667.26</v>
      </c>
      <c r="AE115">
        <v>11157.4</v>
      </c>
    </row>
    <row r="116" spans="2:31" x14ac:dyDescent="0.25">
      <c r="B116" s="4">
        <v>39873</v>
      </c>
      <c r="C116">
        <v>11323.4</v>
      </c>
      <c r="D116">
        <v>11561.26</v>
      </c>
      <c r="S116" s="4">
        <v>39873</v>
      </c>
      <c r="T116">
        <v>11323.4</v>
      </c>
      <c r="U116">
        <v>13252.44</v>
      </c>
      <c r="X116" s="4">
        <v>39873</v>
      </c>
      <c r="Y116">
        <v>11323.4</v>
      </c>
      <c r="Z116">
        <v>11534.51</v>
      </c>
      <c r="AC116" s="4">
        <v>39873</v>
      </c>
      <c r="AD116">
        <v>11323.4</v>
      </c>
      <c r="AE116">
        <v>11508.78</v>
      </c>
    </row>
    <row r="117" spans="2:31" x14ac:dyDescent="0.25">
      <c r="B117" s="4">
        <v>39904</v>
      </c>
      <c r="C117">
        <v>10536.49</v>
      </c>
      <c r="D117">
        <v>11071.05</v>
      </c>
      <c r="S117" s="4">
        <v>39904</v>
      </c>
      <c r="T117">
        <v>10536.49</v>
      </c>
      <c r="U117">
        <v>12265.09</v>
      </c>
      <c r="X117" s="4">
        <v>39904</v>
      </c>
      <c r="Y117">
        <v>10536.49</v>
      </c>
      <c r="Z117">
        <v>11084.04</v>
      </c>
      <c r="AC117" s="4">
        <v>39904</v>
      </c>
      <c r="AD117">
        <v>10536.49</v>
      </c>
      <c r="AE117">
        <v>11065.05</v>
      </c>
    </row>
    <row r="118" spans="2:31" x14ac:dyDescent="0.25">
      <c r="B118" s="4">
        <v>39934</v>
      </c>
      <c r="C118">
        <v>10677.67</v>
      </c>
      <c r="D118">
        <v>11203.67</v>
      </c>
      <c r="S118" s="4">
        <v>39934</v>
      </c>
      <c r="T118">
        <v>10677.67</v>
      </c>
      <c r="U118">
        <v>12360.41</v>
      </c>
      <c r="X118" s="4">
        <v>39934</v>
      </c>
      <c r="Y118">
        <v>10677.67</v>
      </c>
      <c r="Z118">
        <v>11161.4</v>
      </c>
      <c r="AC118" s="4">
        <v>39934</v>
      </c>
      <c r="AD118">
        <v>10677.67</v>
      </c>
      <c r="AE118">
        <v>11132.92</v>
      </c>
    </row>
    <row r="119" spans="2:31" x14ac:dyDescent="0.25">
      <c r="B119" s="4">
        <v>39965</v>
      </c>
      <c r="C119">
        <v>10548.3</v>
      </c>
      <c r="D119">
        <v>10995.78</v>
      </c>
      <c r="S119" s="4">
        <v>39965</v>
      </c>
      <c r="T119">
        <v>10548.3</v>
      </c>
      <c r="U119">
        <v>12029.44</v>
      </c>
      <c r="X119" s="4">
        <v>39965</v>
      </c>
      <c r="Y119">
        <v>10548.3</v>
      </c>
      <c r="Z119">
        <v>10939.3</v>
      </c>
      <c r="AC119" s="4">
        <v>39965</v>
      </c>
      <c r="AD119">
        <v>10548.3</v>
      </c>
      <c r="AE119">
        <v>10932.52</v>
      </c>
    </row>
    <row r="120" spans="2:31" x14ac:dyDescent="0.25">
      <c r="B120" s="4">
        <v>39995</v>
      </c>
      <c r="C120">
        <v>10082.44</v>
      </c>
      <c r="D120">
        <v>10845.08</v>
      </c>
      <c r="S120" s="4">
        <v>39995</v>
      </c>
      <c r="T120">
        <v>10082.44</v>
      </c>
      <c r="U120">
        <v>11731.61</v>
      </c>
      <c r="X120" s="4">
        <v>39995</v>
      </c>
      <c r="Y120">
        <v>10082.44</v>
      </c>
      <c r="Z120">
        <v>10822.17</v>
      </c>
      <c r="AC120" s="4">
        <v>39995</v>
      </c>
      <c r="AD120">
        <v>10082.44</v>
      </c>
      <c r="AE120">
        <v>10807.08</v>
      </c>
    </row>
    <row r="121" spans="2:31" x14ac:dyDescent="0.25">
      <c r="B121" s="4">
        <v>40026</v>
      </c>
      <c r="C121">
        <v>10505.84</v>
      </c>
      <c r="D121">
        <v>10881.29</v>
      </c>
      <c r="S121" s="4">
        <v>40026</v>
      </c>
      <c r="T121">
        <v>10505.84</v>
      </c>
      <c r="U121">
        <v>11716.06</v>
      </c>
      <c r="X121" s="4">
        <v>40026</v>
      </c>
      <c r="Y121">
        <v>10505.84</v>
      </c>
      <c r="Z121">
        <v>10827.4</v>
      </c>
      <c r="AC121" s="4">
        <v>40026</v>
      </c>
      <c r="AD121">
        <v>10505.84</v>
      </c>
      <c r="AE121">
        <v>10809.13</v>
      </c>
    </row>
    <row r="122" spans="2:31" x14ac:dyDescent="0.25">
      <c r="B122" s="4">
        <v>40057</v>
      </c>
      <c r="C122">
        <v>10528.65</v>
      </c>
      <c r="D122">
        <v>10803.42</v>
      </c>
      <c r="S122" s="4">
        <v>40057</v>
      </c>
      <c r="T122">
        <v>10528.65</v>
      </c>
      <c r="U122">
        <v>11953.17</v>
      </c>
      <c r="X122" s="4">
        <v>40057</v>
      </c>
      <c r="Y122">
        <v>10528.65</v>
      </c>
      <c r="Z122">
        <v>10778.2</v>
      </c>
      <c r="AC122" s="4">
        <v>40057</v>
      </c>
      <c r="AD122">
        <v>10528.65</v>
      </c>
      <c r="AE122">
        <v>10764.96</v>
      </c>
    </row>
    <row r="123" spans="2:31" x14ac:dyDescent="0.25">
      <c r="B123" s="4">
        <v>40087</v>
      </c>
      <c r="C123">
        <v>10666.33</v>
      </c>
      <c r="D123">
        <v>10830.86</v>
      </c>
      <c r="S123" s="4">
        <v>40087</v>
      </c>
      <c r="T123">
        <v>10666.33</v>
      </c>
      <c r="U123">
        <v>11875.57</v>
      </c>
      <c r="X123" s="4">
        <v>40087</v>
      </c>
      <c r="Y123">
        <v>10666.33</v>
      </c>
      <c r="Z123">
        <v>10836.9</v>
      </c>
      <c r="AC123" s="4">
        <v>40087</v>
      </c>
      <c r="AD123">
        <v>10666.33</v>
      </c>
      <c r="AE123">
        <v>10831.64</v>
      </c>
    </row>
    <row r="124" spans="2:31" x14ac:dyDescent="0.25">
      <c r="B124" s="4">
        <v>40118</v>
      </c>
      <c r="C124">
        <v>10943.28</v>
      </c>
      <c r="D124">
        <v>11186.05</v>
      </c>
      <c r="S124" s="4">
        <v>40118</v>
      </c>
      <c r="T124">
        <v>10943.28</v>
      </c>
      <c r="U124">
        <v>12134.01</v>
      </c>
      <c r="X124" s="4">
        <v>40118</v>
      </c>
      <c r="Y124">
        <v>10943.28</v>
      </c>
      <c r="Z124">
        <v>11142.76</v>
      </c>
      <c r="AC124" s="4">
        <v>40118</v>
      </c>
      <c r="AD124">
        <v>10943.28</v>
      </c>
      <c r="AE124">
        <v>11126.88</v>
      </c>
    </row>
    <row r="125" spans="2:31" x14ac:dyDescent="0.25">
      <c r="B125" s="4">
        <v>40148</v>
      </c>
      <c r="C125">
        <v>11298.31</v>
      </c>
      <c r="D125">
        <v>11359.87</v>
      </c>
      <c r="S125" s="4">
        <v>40148</v>
      </c>
      <c r="T125">
        <v>11298.31</v>
      </c>
      <c r="U125">
        <v>12432.14</v>
      </c>
      <c r="X125" s="4">
        <v>40148</v>
      </c>
      <c r="Y125">
        <v>11298.31</v>
      </c>
      <c r="Z125">
        <v>11300.29</v>
      </c>
      <c r="AC125" s="4">
        <v>40148</v>
      </c>
      <c r="AD125">
        <v>11298.31</v>
      </c>
      <c r="AE125">
        <v>11288.95</v>
      </c>
    </row>
    <row r="126" spans="2:31" x14ac:dyDescent="0.25">
      <c r="B126" s="4">
        <v>40179</v>
      </c>
      <c r="C126">
        <v>10486.44</v>
      </c>
      <c r="D126">
        <v>11159.33</v>
      </c>
      <c r="S126" s="4">
        <v>40179</v>
      </c>
      <c r="T126">
        <v>10486.44</v>
      </c>
      <c r="U126">
        <v>11702.89</v>
      </c>
      <c r="X126" s="4">
        <v>40179</v>
      </c>
      <c r="Y126">
        <v>10486.44</v>
      </c>
      <c r="Z126">
        <v>11189.76</v>
      </c>
      <c r="AC126" s="4">
        <v>40179</v>
      </c>
      <c r="AD126">
        <v>10486.44</v>
      </c>
      <c r="AE126">
        <v>11179.02</v>
      </c>
    </row>
    <row r="127" spans="2:31" x14ac:dyDescent="0.25">
      <c r="B127" s="4">
        <v>40210</v>
      </c>
      <c r="C127">
        <v>10917.51</v>
      </c>
      <c r="D127">
        <v>11437.27</v>
      </c>
      <c r="S127" s="4">
        <v>40210</v>
      </c>
      <c r="T127">
        <v>10917.51</v>
      </c>
      <c r="U127">
        <v>12105.68</v>
      </c>
      <c r="X127" s="4">
        <v>40210</v>
      </c>
      <c r="Y127">
        <v>10917.51</v>
      </c>
      <c r="Z127">
        <v>11457.13</v>
      </c>
      <c r="AC127" s="4">
        <v>40210</v>
      </c>
      <c r="AD127">
        <v>10917.51</v>
      </c>
      <c r="AE127">
        <v>11440.96</v>
      </c>
    </row>
    <row r="128" spans="2:31" x14ac:dyDescent="0.25">
      <c r="B128" s="4">
        <v>40238</v>
      </c>
      <c r="C128">
        <v>11086.81</v>
      </c>
      <c r="D128">
        <v>11664.66</v>
      </c>
      <c r="S128" s="4">
        <v>40238</v>
      </c>
      <c r="T128">
        <v>11086.81</v>
      </c>
      <c r="U128">
        <v>12351.55</v>
      </c>
      <c r="X128" s="4">
        <v>40238</v>
      </c>
      <c r="Y128">
        <v>11086.81</v>
      </c>
      <c r="Z128">
        <v>11694.34</v>
      </c>
      <c r="AC128" s="4">
        <v>40238</v>
      </c>
      <c r="AD128">
        <v>11086.81</v>
      </c>
      <c r="AE128">
        <v>11685.53</v>
      </c>
    </row>
    <row r="129" spans="2:31" x14ac:dyDescent="0.25">
      <c r="B129" s="4">
        <v>40269</v>
      </c>
      <c r="C129">
        <v>11111.73</v>
      </c>
      <c r="D129">
        <v>11766.06</v>
      </c>
      <c r="S129" s="4">
        <v>40269</v>
      </c>
      <c r="T129">
        <v>11111.73</v>
      </c>
      <c r="U129">
        <v>12443.68</v>
      </c>
      <c r="X129" s="4">
        <v>40269</v>
      </c>
      <c r="Y129">
        <v>11111.73</v>
      </c>
      <c r="Z129">
        <v>11774.23</v>
      </c>
      <c r="AC129" s="4">
        <v>40269</v>
      </c>
      <c r="AD129">
        <v>11111.73</v>
      </c>
      <c r="AE129">
        <v>11761.29</v>
      </c>
    </row>
    <row r="130" spans="2:31" x14ac:dyDescent="0.25">
      <c r="B130" s="4">
        <v>40299</v>
      </c>
      <c r="C130">
        <v>11079.86</v>
      </c>
      <c r="D130">
        <v>11975.95</v>
      </c>
      <c r="S130" s="4">
        <v>40299</v>
      </c>
      <c r="T130">
        <v>11079.86</v>
      </c>
      <c r="U130">
        <v>12761.42</v>
      </c>
      <c r="X130" s="4">
        <v>40299</v>
      </c>
      <c r="Y130">
        <v>11079.86</v>
      </c>
      <c r="Z130">
        <v>12008.9</v>
      </c>
      <c r="AC130" s="4">
        <v>40299</v>
      </c>
      <c r="AD130">
        <v>11079.86</v>
      </c>
      <c r="AE130">
        <v>11990.07</v>
      </c>
    </row>
    <row r="131" spans="2:31" x14ac:dyDescent="0.25">
      <c r="B131" s="4">
        <v>40330</v>
      </c>
      <c r="C131">
        <v>10623.82</v>
      </c>
      <c r="D131">
        <v>11811.74</v>
      </c>
      <c r="S131" s="4">
        <v>40330</v>
      </c>
      <c r="T131">
        <v>10623.82</v>
      </c>
      <c r="U131">
        <v>11937.15</v>
      </c>
      <c r="X131" s="4">
        <v>40330</v>
      </c>
      <c r="Y131">
        <v>10623.82</v>
      </c>
      <c r="Z131">
        <v>11753.59</v>
      </c>
      <c r="AC131" s="4">
        <v>40330</v>
      </c>
      <c r="AD131">
        <v>10623.82</v>
      </c>
      <c r="AE131">
        <v>11737.11</v>
      </c>
    </row>
    <row r="132" spans="2:31" x14ac:dyDescent="0.25">
      <c r="B132" s="4">
        <v>40360</v>
      </c>
      <c r="C132">
        <v>11323.33</v>
      </c>
      <c r="D132">
        <v>12160.4</v>
      </c>
      <c r="S132" s="4">
        <v>40360</v>
      </c>
      <c r="T132">
        <v>11323.33</v>
      </c>
      <c r="U132">
        <v>12554.44</v>
      </c>
      <c r="X132" s="4">
        <v>40360</v>
      </c>
      <c r="Y132">
        <v>11323.33</v>
      </c>
      <c r="Z132">
        <v>12210.71</v>
      </c>
      <c r="AC132" s="4">
        <v>40360</v>
      </c>
      <c r="AD132">
        <v>11323.33</v>
      </c>
      <c r="AE132">
        <v>12202.77</v>
      </c>
    </row>
    <row r="133" spans="2:31" x14ac:dyDescent="0.25">
      <c r="B133" s="4">
        <v>40391</v>
      </c>
      <c r="C133">
        <v>11438.38</v>
      </c>
      <c r="D133">
        <v>12281.14</v>
      </c>
      <c r="S133" s="4">
        <v>40391</v>
      </c>
      <c r="T133">
        <v>11438.38</v>
      </c>
      <c r="U133">
        <v>12656.42</v>
      </c>
      <c r="X133" s="4">
        <v>40391</v>
      </c>
      <c r="Y133">
        <v>11438.38</v>
      </c>
      <c r="Z133">
        <v>12358.66</v>
      </c>
      <c r="AC133" s="4">
        <v>40391</v>
      </c>
      <c r="AD133">
        <v>11438.38</v>
      </c>
      <c r="AE133">
        <v>12347.28</v>
      </c>
    </row>
    <row r="134" spans="2:31" x14ac:dyDescent="0.25">
      <c r="B134" s="4">
        <v>40422</v>
      </c>
      <c r="C134">
        <v>11714.2</v>
      </c>
      <c r="D134">
        <v>12438.33</v>
      </c>
      <c r="S134" s="4">
        <v>40422</v>
      </c>
      <c r="T134">
        <v>11714.2</v>
      </c>
      <c r="U134">
        <v>12945.07</v>
      </c>
      <c r="X134" s="4">
        <v>40422</v>
      </c>
      <c r="Y134">
        <v>11714.2</v>
      </c>
      <c r="Z134">
        <v>12508.8</v>
      </c>
      <c r="AC134" s="4">
        <v>40422</v>
      </c>
      <c r="AD134">
        <v>11714.2</v>
      </c>
      <c r="AE134">
        <v>12495.14</v>
      </c>
    </row>
    <row r="135" spans="2:31" x14ac:dyDescent="0.25">
      <c r="B135" s="4">
        <v>40452</v>
      </c>
      <c r="C135">
        <v>11729.43</v>
      </c>
      <c r="D135">
        <v>12364.76</v>
      </c>
      <c r="S135" s="4">
        <v>40452</v>
      </c>
      <c r="T135">
        <v>11729.43</v>
      </c>
      <c r="U135">
        <v>12874.53</v>
      </c>
      <c r="X135" s="4">
        <v>40452</v>
      </c>
      <c r="Y135">
        <v>11729.43</v>
      </c>
      <c r="Z135">
        <v>12411.89</v>
      </c>
      <c r="AC135" s="4">
        <v>40452</v>
      </c>
      <c r="AD135">
        <v>11729.43</v>
      </c>
      <c r="AE135">
        <v>12429.3</v>
      </c>
    </row>
    <row r="136" spans="2:31" x14ac:dyDescent="0.25">
      <c r="B136" s="4">
        <v>40483</v>
      </c>
      <c r="C136">
        <v>11632.13</v>
      </c>
      <c r="D136">
        <v>12359.13</v>
      </c>
      <c r="S136" s="4">
        <v>40483</v>
      </c>
      <c r="T136">
        <v>11632.13</v>
      </c>
      <c r="U136">
        <v>12750.21</v>
      </c>
      <c r="X136" s="4">
        <v>40483</v>
      </c>
      <c r="Y136">
        <v>11632.13</v>
      </c>
      <c r="Z136">
        <v>12421.36</v>
      </c>
      <c r="AC136" s="4">
        <v>40483</v>
      </c>
      <c r="AD136">
        <v>11632.13</v>
      </c>
      <c r="AE136">
        <v>12446.51</v>
      </c>
    </row>
    <row r="137" spans="2:31" x14ac:dyDescent="0.25">
      <c r="B137" s="4">
        <v>40513</v>
      </c>
      <c r="C137">
        <v>13021.49</v>
      </c>
      <c r="D137">
        <v>13015.68</v>
      </c>
      <c r="S137" s="4">
        <v>40513</v>
      </c>
      <c r="T137">
        <v>13021.49</v>
      </c>
      <c r="U137">
        <v>13842.54</v>
      </c>
      <c r="X137" s="4">
        <v>40513</v>
      </c>
      <c r="Y137">
        <v>13021.49</v>
      </c>
      <c r="Z137">
        <v>13052.24</v>
      </c>
      <c r="AC137" s="4">
        <v>40513</v>
      </c>
      <c r="AD137">
        <v>13021.49</v>
      </c>
      <c r="AE137">
        <v>13068.98</v>
      </c>
    </row>
    <row r="138" spans="2:31" x14ac:dyDescent="0.25">
      <c r="B138" s="4">
        <v>40544</v>
      </c>
      <c r="C138">
        <v>13143.73</v>
      </c>
      <c r="D138">
        <v>13343.3</v>
      </c>
      <c r="S138" s="4">
        <v>40544</v>
      </c>
      <c r="T138">
        <v>13143.73</v>
      </c>
      <c r="U138">
        <v>14226.29</v>
      </c>
      <c r="X138" s="4">
        <v>40544</v>
      </c>
      <c r="Y138">
        <v>13143.73</v>
      </c>
      <c r="Z138">
        <v>13340.29</v>
      </c>
      <c r="AC138" s="4">
        <v>40544</v>
      </c>
      <c r="AD138">
        <v>13143.73</v>
      </c>
      <c r="AE138">
        <v>13352.84</v>
      </c>
    </row>
    <row r="139" spans="2:31" x14ac:dyDescent="0.25">
      <c r="B139" s="4">
        <v>40575</v>
      </c>
      <c r="C139">
        <v>13709.59</v>
      </c>
      <c r="D139">
        <v>13622.82</v>
      </c>
      <c r="S139" s="4">
        <v>40575</v>
      </c>
      <c r="T139">
        <v>13709.59</v>
      </c>
      <c r="U139">
        <v>14640.3</v>
      </c>
      <c r="X139" s="4">
        <v>40575</v>
      </c>
      <c r="Y139">
        <v>13709.59</v>
      </c>
      <c r="Z139">
        <v>13619.27</v>
      </c>
      <c r="AC139" s="4">
        <v>40575</v>
      </c>
      <c r="AD139">
        <v>13709.59</v>
      </c>
      <c r="AE139">
        <v>13619.45</v>
      </c>
    </row>
    <row r="140" spans="2:31" x14ac:dyDescent="0.25">
      <c r="B140" s="4">
        <v>40603</v>
      </c>
      <c r="C140">
        <v>13999.2</v>
      </c>
      <c r="D140">
        <v>13956.31</v>
      </c>
      <c r="S140" s="4">
        <v>40603</v>
      </c>
      <c r="T140">
        <v>13999.2</v>
      </c>
      <c r="U140">
        <v>14814.76</v>
      </c>
      <c r="X140" s="4">
        <v>40603</v>
      </c>
      <c r="Y140">
        <v>13999.2</v>
      </c>
      <c r="Z140">
        <v>13935.74</v>
      </c>
      <c r="AC140" s="4">
        <v>40603</v>
      </c>
      <c r="AD140">
        <v>13999.2</v>
      </c>
      <c r="AE140">
        <v>13947.43</v>
      </c>
    </row>
    <row r="141" spans="2:31" x14ac:dyDescent="0.25">
      <c r="B141" s="4">
        <v>40634</v>
      </c>
      <c r="C141">
        <v>13451.07</v>
      </c>
      <c r="D141">
        <v>13744.76</v>
      </c>
      <c r="S141" s="4">
        <v>40634</v>
      </c>
      <c r="T141">
        <v>13451.07</v>
      </c>
      <c r="U141">
        <v>14162.55</v>
      </c>
      <c r="X141" s="4">
        <v>40634</v>
      </c>
      <c r="Y141">
        <v>13451.07</v>
      </c>
      <c r="Z141">
        <v>13725.09</v>
      </c>
      <c r="AC141" s="4">
        <v>40634</v>
      </c>
      <c r="AD141">
        <v>13451.07</v>
      </c>
      <c r="AE141">
        <v>13742.19</v>
      </c>
    </row>
    <row r="142" spans="2:31" x14ac:dyDescent="0.25">
      <c r="B142" s="4">
        <v>40664</v>
      </c>
      <c r="C142">
        <v>13612.82</v>
      </c>
      <c r="D142">
        <v>13651.95</v>
      </c>
      <c r="S142" s="4">
        <v>40664</v>
      </c>
      <c r="T142">
        <v>13612.82</v>
      </c>
      <c r="U142">
        <v>14146.08</v>
      </c>
      <c r="X142" s="4">
        <v>40664</v>
      </c>
      <c r="Y142">
        <v>13612.82</v>
      </c>
      <c r="Z142">
        <v>13601.97</v>
      </c>
      <c r="AC142" s="4">
        <v>40664</v>
      </c>
      <c r="AD142">
        <v>13612.82</v>
      </c>
      <c r="AE142">
        <v>13617.2</v>
      </c>
    </row>
    <row r="143" spans="2:31" x14ac:dyDescent="0.25">
      <c r="B143" s="4">
        <v>40695</v>
      </c>
      <c r="C143">
        <v>13541.9</v>
      </c>
      <c r="D143">
        <v>13591.47</v>
      </c>
      <c r="S143" s="4">
        <v>40695</v>
      </c>
      <c r="T143">
        <v>13541.9</v>
      </c>
      <c r="U143">
        <v>14052.32</v>
      </c>
      <c r="X143" s="4">
        <v>40695</v>
      </c>
      <c r="Y143">
        <v>13541.9</v>
      </c>
      <c r="Z143">
        <v>13513.86</v>
      </c>
      <c r="AC143" s="4">
        <v>40695</v>
      </c>
      <c r="AD143">
        <v>13541.9</v>
      </c>
      <c r="AE143">
        <v>13538.48</v>
      </c>
    </row>
    <row r="144" spans="2:31" x14ac:dyDescent="0.25">
      <c r="B144" s="4">
        <v>40725</v>
      </c>
      <c r="C144">
        <v>13647.11</v>
      </c>
      <c r="D144">
        <v>13787.04</v>
      </c>
      <c r="S144" s="4">
        <v>40725</v>
      </c>
      <c r="T144">
        <v>13647.11</v>
      </c>
      <c r="U144">
        <v>14020.45</v>
      </c>
      <c r="X144" s="4">
        <v>40725</v>
      </c>
      <c r="Y144">
        <v>13647.11</v>
      </c>
      <c r="Z144">
        <v>13752.53</v>
      </c>
      <c r="AC144" s="4">
        <v>40725</v>
      </c>
      <c r="AD144">
        <v>13647.11</v>
      </c>
      <c r="AE144">
        <v>13784.42</v>
      </c>
    </row>
    <row r="145" spans="2:31" x14ac:dyDescent="0.25">
      <c r="B145" s="4">
        <v>40756</v>
      </c>
      <c r="C145">
        <v>13672.41</v>
      </c>
      <c r="D145">
        <v>13702.43</v>
      </c>
      <c r="S145" s="4">
        <v>40756</v>
      </c>
      <c r="T145">
        <v>13672.41</v>
      </c>
      <c r="U145">
        <v>13822.54</v>
      </c>
      <c r="X145" s="4">
        <v>40756</v>
      </c>
      <c r="Y145">
        <v>13672.41</v>
      </c>
      <c r="Z145">
        <v>13648.73</v>
      </c>
      <c r="AC145" s="4">
        <v>40756</v>
      </c>
      <c r="AD145">
        <v>13672.41</v>
      </c>
      <c r="AE145">
        <v>13680.52</v>
      </c>
    </row>
    <row r="146" spans="2:31" x14ac:dyDescent="0.25">
      <c r="B146" s="4">
        <v>40787</v>
      </c>
      <c r="C146">
        <v>14029.06</v>
      </c>
      <c r="D146">
        <v>13991.3</v>
      </c>
      <c r="S146" s="4">
        <v>40787</v>
      </c>
      <c r="T146">
        <v>14029.06</v>
      </c>
      <c r="U146">
        <v>14097.44</v>
      </c>
      <c r="X146" s="4">
        <v>40787</v>
      </c>
      <c r="Y146">
        <v>14029.06</v>
      </c>
      <c r="Z146">
        <v>13921.77</v>
      </c>
      <c r="AC146" s="4">
        <v>40787</v>
      </c>
      <c r="AD146">
        <v>14029.06</v>
      </c>
      <c r="AE146">
        <v>13941.69</v>
      </c>
    </row>
    <row r="147" spans="2:31" x14ac:dyDescent="0.25">
      <c r="B147" s="4">
        <v>40817</v>
      </c>
      <c r="C147">
        <v>14384.68</v>
      </c>
      <c r="D147">
        <v>14230.38</v>
      </c>
      <c r="S147" s="4">
        <v>40817</v>
      </c>
      <c r="T147">
        <v>14384.68</v>
      </c>
      <c r="U147">
        <v>14223.34</v>
      </c>
      <c r="X147" s="4">
        <v>40817</v>
      </c>
      <c r="Y147">
        <v>14384.68</v>
      </c>
      <c r="Z147">
        <v>14198.93</v>
      </c>
      <c r="AC147" s="4">
        <v>40817</v>
      </c>
      <c r="AD147">
        <v>14384.68</v>
      </c>
      <c r="AE147">
        <v>14227.29</v>
      </c>
    </row>
    <row r="148" spans="2:31" x14ac:dyDescent="0.25">
      <c r="B148" s="4">
        <v>40848</v>
      </c>
      <c r="C148">
        <v>14620.45</v>
      </c>
      <c r="D148">
        <v>14423.95</v>
      </c>
      <c r="S148" s="4">
        <v>40848</v>
      </c>
      <c r="T148">
        <v>14620.45</v>
      </c>
      <c r="U148">
        <v>14244.83</v>
      </c>
      <c r="X148" s="4">
        <v>40848</v>
      </c>
      <c r="Y148">
        <v>14620.45</v>
      </c>
      <c r="Z148">
        <v>14373.76</v>
      </c>
      <c r="AC148" s="4">
        <v>40848</v>
      </c>
      <c r="AD148">
        <v>14620.45</v>
      </c>
      <c r="AE148">
        <v>14404.32</v>
      </c>
    </row>
    <row r="149" spans="2:31" x14ac:dyDescent="0.25">
      <c r="B149" s="4">
        <v>40878</v>
      </c>
      <c r="C149">
        <v>14716.68</v>
      </c>
      <c r="D149">
        <v>14478.1</v>
      </c>
      <c r="S149" s="4">
        <v>40878</v>
      </c>
      <c r="T149">
        <v>14716.68</v>
      </c>
      <c r="U149">
        <v>14293.18</v>
      </c>
      <c r="X149" s="4">
        <v>40878</v>
      </c>
      <c r="Y149">
        <v>14716.68</v>
      </c>
      <c r="Z149">
        <v>14455.09</v>
      </c>
      <c r="AC149" s="4">
        <v>40878</v>
      </c>
      <c r="AD149">
        <v>14716.68</v>
      </c>
      <c r="AE149">
        <v>14484.22</v>
      </c>
    </row>
    <row r="150" spans="2:31" x14ac:dyDescent="0.25">
      <c r="B150" s="4">
        <v>40909</v>
      </c>
      <c r="C150">
        <v>15056.76</v>
      </c>
      <c r="D150">
        <v>14826.13</v>
      </c>
      <c r="S150" s="4">
        <v>40909</v>
      </c>
      <c r="T150">
        <v>15056.76</v>
      </c>
      <c r="U150">
        <v>14578.76</v>
      </c>
      <c r="X150" s="4">
        <v>40909</v>
      </c>
      <c r="Y150">
        <v>15056.76</v>
      </c>
      <c r="Z150">
        <v>14816.3</v>
      </c>
      <c r="AC150" s="4">
        <v>40909</v>
      </c>
      <c r="AD150">
        <v>15056.76</v>
      </c>
      <c r="AE150">
        <v>14848</v>
      </c>
    </row>
    <row r="151" spans="2:31" x14ac:dyDescent="0.25">
      <c r="B151" s="4">
        <v>40940</v>
      </c>
      <c r="C151">
        <v>15257.71</v>
      </c>
      <c r="D151">
        <v>14930.12</v>
      </c>
      <c r="S151" s="4">
        <v>40940</v>
      </c>
      <c r="T151">
        <v>15257.71</v>
      </c>
      <c r="U151">
        <v>14698.24</v>
      </c>
      <c r="X151" s="4">
        <v>40940</v>
      </c>
      <c r="Y151">
        <v>15257.71</v>
      </c>
      <c r="Z151">
        <v>14864.06</v>
      </c>
      <c r="AC151" s="4">
        <v>40940</v>
      </c>
      <c r="AD151">
        <v>15257.71</v>
      </c>
      <c r="AE151">
        <v>14895.14</v>
      </c>
    </row>
    <row r="152" spans="2:31" x14ac:dyDescent="0.25">
      <c r="B152" s="4">
        <v>40969</v>
      </c>
      <c r="C152">
        <v>15595.23</v>
      </c>
      <c r="D152">
        <v>15069.07</v>
      </c>
      <c r="S152" s="4">
        <v>40969</v>
      </c>
      <c r="T152">
        <v>15595.23</v>
      </c>
      <c r="U152">
        <v>14863.17</v>
      </c>
      <c r="X152" s="4">
        <v>40969</v>
      </c>
      <c r="Y152">
        <v>15595.23</v>
      </c>
      <c r="Z152">
        <v>15089.4</v>
      </c>
      <c r="AC152" s="4">
        <v>40969</v>
      </c>
      <c r="AD152">
        <v>15595.23</v>
      </c>
      <c r="AE152">
        <v>15116.57</v>
      </c>
    </row>
    <row r="153" spans="2:31" x14ac:dyDescent="0.25">
      <c r="B153" s="4">
        <v>41000</v>
      </c>
      <c r="C153">
        <v>15471.37</v>
      </c>
      <c r="D153">
        <v>15056.91</v>
      </c>
      <c r="S153" s="4">
        <v>41000</v>
      </c>
      <c r="T153">
        <v>15471.37</v>
      </c>
      <c r="U153">
        <v>14733.27</v>
      </c>
      <c r="X153" s="4">
        <v>41000</v>
      </c>
      <c r="Y153">
        <v>15471.37</v>
      </c>
      <c r="Z153">
        <v>15060.33</v>
      </c>
      <c r="AC153" s="4">
        <v>41000</v>
      </c>
      <c r="AD153">
        <v>15471.37</v>
      </c>
      <c r="AE153">
        <v>15087.78</v>
      </c>
    </row>
    <row r="154" spans="2:31" x14ac:dyDescent="0.25">
      <c r="B154" s="4">
        <v>41030</v>
      </c>
      <c r="C154">
        <v>15668.05</v>
      </c>
      <c r="D154">
        <v>15315.19</v>
      </c>
      <c r="S154" s="4">
        <v>41030</v>
      </c>
      <c r="T154">
        <v>15668.05</v>
      </c>
      <c r="U154">
        <v>14878.88</v>
      </c>
      <c r="X154" s="4">
        <v>41030</v>
      </c>
      <c r="Y154">
        <v>15668.05</v>
      </c>
      <c r="Z154">
        <v>15296.94</v>
      </c>
      <c r="AC154" s="4">
        <v>41030</v>
      </c>
      <c r="AD154">
        <v>15668.05</v>
      </c>
      <c r="AE154">
        <v>15323.88</v>
      </c>
    </row>
    <row r="155" spans="2:31" x14ac:dyDescent="0.25">
      <c r="B155" s="4">
        <v>41061</v>
      </c>
      <c r="C155">
        <v>15762.02</v>
      </c>
      <c r="D155">
        <v>15553.51</v>
      </c>
      <c r="S155" s="4">
        <v>41061</v>
      </c>
      <c r="T155">
        <v>15762.02</v>
      </c>
      <c r="U155">
        <v>14920.62</v>
      </c>
      <c r="X155" s="4">
        <v>41061</v>
      </c>
      <c r="Y155">
        <v>15762.02</v>
      </c>
      <c r="Z155">
        <v>15543.51</v>
      </c>
      <c r="AC155" s="4">
        <v>41061</v>
      </c>
      <c r="AD155">
        <v>15762.02</v>
      </c>
      <c r="AE155">
        <v>15564.44</v>
      </c>
    </row>
    <row r="156" spans="2:31" x14ac:dyDescent="0.25">
      <c r="B156" s="4">
        <v>41091</v>
      </c>
      <c r="C156">
        <v>15586.83</v>
      </c>
      <c r="D156">
        <v>15567.35</v>
      </c>
      <c r="S156" s="4">
        <v>41091</v>
      </c>
      <c r="T156">
        <v>15586.83</v>
      </c>
      <c r="U156">
        <v>14774.37</v>
      </c>
      <c r="X156" s="4">
        <v>41091</v>
      </c>
      <c r="Y156">
        <v>15586.83</v>
      </c>
      <c r="Z156">
        <v>15577.37</v>
      </c>
      <c r="AC156" s="4">
        <v>41091</v>
      </c>
      <c r="AD156">
        <v>15586.83</v>
      </c>
      <c r="AE156">
        <v>15592.22</v>
      </c>
    </row>
    <row r="157" spans="2:31" x14ac:dyDescent="0.25">
      <c r="B157" s="4">
        <v>41122</v>
      </c>
      <c r="C157">
        <v>15551.32</v>
      </c>
      <c r="D157">
        <v>15536.36</v>
      </c>
      <c r="S157" s="4">
        <v>41122</v>
      </c>
      <c r="T157">
        <v>15551.32</v>
      </c>
      <c r="U157">
        <v>14611.22</v>
      </c>
      <c r="X157" s="4">
        <v>41122</v>
      </c>
      <c r="Y157">
        <v>15551.32</v>
      </c>
      <c r="Z157">
        <v>15557.67</v>
      </c>
      <c r="AC157" s="4">
        <v>41122</v>
      </c>
      <c r="AD157">
        <v>15551.32</v>
      </c>
      <c r="AE157">
        <v>15569.55</v>
      </c>
    </row>
    <row r="158" spans="2:31" x14ac:dyDescent="0.25">
      <c r="B158" s="4">
        <v>41153</v>
      </c>
      <c r="C158">
        <v>15900.04</v>
      </c>
      <c r="D158">
        <v>15817.58</v>
      </c>
      <c r="S158" s="4">
        <v>41153</v>
      </c>
      <c r="T158">
        <v>15900.04</v>
      </c>
      <c r="U158">
        <v>14929.34</v>
      </c>
      <c r="X158" s="4">
        <v>41153</v>
      </c>
      <c r="Y158">
        <v>15900.04</v>
      </c>
      <c r="Z158">
        <v>15850.43</v>
      </c>
      <c r="AC158" s="4">
        <v>41153</v>
      </c>
      <c r="AD158">
        <v>15900.04</v>
      </c>
      <c r="AE158">
        <v>15859.92</v>
      </c>
    </row>
    <row r="159" spans="2:31" x14ac:dyDescent="0.25">
      <c r="B159" s="4">
        <v>41183</v>
      </c>
      <c r="C159">
        <v>15982.19</v>
      </c>
      <c r="D159">
        <v>15913.67</v>
      </c>
      <c r="S159" s="4">
        <v>41183</v>
      </c>
      <c r="T159">
        <v>15982.19</v>
      </c>
      <c r="U159">
        <v>14944.31</v>
      </c>
      <c r="X159" s="4">
        <v>41183</v>
      </c>
      <c r="Y159">
        <v>15982.19</v>
      </c>
      <c r="Z159">
        <v>15963.8</v>
      </c>
      <c r="AC159" s="4">
        <v>41183</v>
      </c>
      <c r="AD159">
        <v>15982.19</v>
      </c>
      <c r="AE159">
        <v>15955.83</v>
      </c>
    </row>
    <row r="160" spans="2:31" x14ac:dyDescent="0.25">
      <c r="B160" s="4">
        <v>41214</v>
      </c>
      <c r="C160">
        <v>16325.52</v>
      </c>
      <c r="D160">
        <v>15859.74</v>
      </c>
      <c r="S160" s="4">
        <v>41214</v>
      </c>
      <c r="T160">
        <v>16325.52</v>
      </c>
      <c r="U160">
        <v>14940.76</v>
      </c>
      <c r="X160" s="4">
        <v>41214</v>
      </c>
      <c r="Y160">
        <v>16325.52</v>
      </c>
      <c r="Z160">
        <v>15913.56</v>
      </c>
      <c r="AC160" s="4">
        <v>41214</v>
      </c>
      <c r="AD160">
        <v>16325.52</v>
      </c>
      <c r="AE160">
        <v>15902.14</v>
      </c>
    </row>
    <row r="161" spans="2:31" x14ac:dyDescent="0.25">
      <c r="B161" s="4">
        <v>41244</v>
      </c>
      <c r="C161">
        <v>16333.3</v>
      </c>
      <c r="D161">
        <v>15964.77</v>
      </c>
      <c r="S161" s="4">
        <v>41244</v>
      </c>
      <c r="T161">
        <v>16333.3</v>
      </c>
      <c r="U161">
        <v>14952.74</v>
      </c>
      <c r="X161" s="4">
        <v>41244</v>
      </c>
      <c r="Y161">
        <v>16333.3</v>
      </c>
      <c r="Z161">
        <v>15993.33</v>
      </c>
      <c r="AC161" s="4">
        <v>41244</v>
      </c>
      <c r="AD161">
        <v>16333.3</v>
      </c>
      <c r="AE161">
        <v>15977.12</v>
      </c>
    </row>
    <row r="162" spans="2:31" x14ac:dyDescent="0.25">
      <c r="B162" s="4">
        <v>41275</v>
      </c>
      <c r="C162">
        <v>17521.96</v>
      </c>
      <c r="D162">
        <v>16857.990000000002</v>
      </c>
      <c r="S162" s="4">
        <v>41275</v>
      </c>
      <c r="T162">
        <v>17521.96</v>
      </c>
      <c r="U162">
        <v>15974.19</v>
      </c>
      <c r="X162" s="4">
        <v>41275</v>
      </c>
      <c r="Y162">
        <v>17521.96</v>
      </c>
      <c r="Z162">
        <v>16895.7</v>
      </c>
      <c r="AC162" s="4">
        <v>41275</v>
      </c>
      <c r="AD162">
        <v>17521.96</v>
      </c>
      <c r="AE162">
        <v>16881.900000000001</v>
      </c>
    </row>
    <row r="163" spans="2:31" x14ac:dyDescent="0.25">
      <c r="B163" s="4">
        <v>41306</v>
      </c>
      <c r="C163">
        <v>17052.099999999999</v>
      </c>
      <c r="D163">
        <v>16567.88</v>
      </c>
      <c r="S163" s="4">
        <v>41306</v>
      </c>
      <c r="T163">
        <v>17052.099999999999</v>
      </c>
      <c r="U163">
        <v>15613.32</v>
      </c>
      <c r="X163" s="4">
        <v>41306</v>
      </c>
      <c r="Y163">
        <v>17052.099999999999</v>
      </c>
      <c r="Z163">
        <v>16664.009999999998</v>
      </c>
      <c r="AC163" s="4">
        <v>41306</v>
      </c>
      <c r="AD163">
        <v>17052.099999999999</v>
      </c>
      <c r="AE163">
        <v>16648.490000000002</v>
      </c>
    </row>
    <row r="164" spans="2:31" x14ac:dyDescent="0.25">
      <c r="B164" s="4">
        <v>41334</v>
      </c>
      <c r="C164">
        <v>18168.78</v>
      </c>
      <c r="D164">
        <v>17174.05</v>
      </c>
      <c r="S164" s="4">
        <v>41334</v>
      </c>
      <c r="T164">
        <v>18168.78</v>
      </c>
      <c r="U164">
        <v>16316.28</v>
      </c>
      <c r="X164" s="4">
        <v>41334</v>
      </c>
      <c r="Y164">
        <v>18168.78</v>
      </c>
      <c r="Z164">
        <v>17288.84</v>
      </c>
      <c r="AC164" s="4">
        <v>41334</v>
      </c>
      <c r="AD164">
        <v>18168.78</v>
      </c>
      <c r="AE164">
        <v>17271.88</v>
      </c>
    </row>
    <row r="165" spans="2:31" x14ac:dyDescent="0.25">
      <c r="B165" s="4">
        <v>41365</v>
      </c>
      <c r="C165">
        <v>18520.54</v>
      </c>
      <c r="D165">
        <v>17565.8</v>
      </c>
      <c r="S165" s="4">
        <v>41365</v>
      </c>
      <c r="T165">
        <v>18520.54</v>
      </c>
      <c r="U165">
        <v>16732.88</v>
      </c>
      <c r="X165" s="4">
        <v>41365</v>
      </c>
      <c r="Y165">
        <v>18520.54</v>
      </c>
      <c r="Z165">
        <v>17670.810000000001</v>
      </c>
      <c r="AC165" s="4">
        <v>41365</v>
      </c>
      <c r="AD165">
        <v>18520.54</v>
      </c>
      <c r="AE165">
        <v>17653.52</v>
      </c>
    </row>
    <row r="166" spans="2:31" x14ac:dyDescent="0.25">
      <c r="B166" s="4">
        <v>41395</v>
      </c>
      <c r="C166">
        <v>19398.07</v>
      </c>
      <c r="D166">
        <v>17949.009999999998</v>
      </c>
      <c r="S166" s="4">
        <v>41395</v>
      </c>
      <c r="T166">
        <v>19398.07</v>
      </c>
      <c r="U166">
        <v>17197.759999999998</v>
      </c>
      <c r="X166" s="4">
        <v>41395</v>
      </c>
      <c r="Y166">
        <v>19398.07</v>
      </c>
      <c r="Z166">
        <v>18092.07</v>
      </c>
      <c r="AC166" s="4">
        <v>41395</v>
      </c>
      <c r="AD166">
        <v>19398.07</v>
      </c>
      <c r="AE166">
        <v>18072.18</v>
      </c>
    </row>
    <row r="167" spans="2:31" x14ac:dyDescent="0.25">
      <c r="B167" s="4">
        <v>41426</v>
      </c>
      <c r="C167">
        <v>19745.89</v>
      </c>
      <c r="D167">
        <v>18047.88</v>
      </c>
      <c r="S167" s="4">
        <v>41426</v>
      </c>
      <c r="T167">
        <v>19745.89</v>
      </c>
      <c r="U167">
        <v>17257.05</v>
      </c>
      <c r="X167" s="4">
        <v>41426</v>
      </c>
      <c r="Y167">
        <v>19745.89</v>
      </c>
      <c r="Z167">
        <v>18224.75</v>
      </c>
      <c r="AC167" s="4">
        <v>41426</v>
      </c>
      <c r="AD167">
        <v>19745.89</v>
      </c>
      <c r="AE167">
        <v>18210.32</v>
      </c>
    </row>
    <row r="168" spans="2:31" x14ac:dyDescent="0.25">
      <c r="B168" s="4">
        <v>41456</v>
      </c>
      <c r="C168">
        <v>20018.27</v>
      </c>
      <c r="D168">
        <v>18385.37</v>
      </c>
      <c r="S168" s="4">
        <v>41456</v>
      </c>
      <c r="T168">
        <v>20018.27</v>
      </c>
      <c r="U168">
        <v>17582.04</v>
      </c>
      <c r="X168" s="4">
        <v>41456</v>
      </c>
      <c r="Y168">
        <v>20018.27</v>
      </c>
      <c r="Z168">
        <v>18598.900000000001</v>
      </c>
      <c r="AC168" s="4">
        <v>41456</v>
      </c>
      <c r="AD168">
        <v>20018.27</v>
      </c>
      <c r="AE168">
        <v>18576.11</v>
      </c>
    </row>
    <row r="169" spans="2:31" x14ac:dyDescent="0.25">
      <c r="B169" s="4">
        <v>41487</v>
      </c>
      <c r="C169">
        <v>21502.41</v>
      </c>
      <c r="D169">
        <v>19182.38</v>
      </c>
      <c r="S169" s="4">
        <v>41487</v>
      </c>
      <c r="T169">
        <v>21502.41</v>
      </c>
      <c r="U169">
        <v>18474.07</v>
      </c>
      <c r="X169" s="4">
        <v>41487</v>
      </c>
      <c r="Y169">
        <v>21502.41</v>
      </c>
      <c r="Z169">
        <v>19375.04</v>
      </c>
      <c r="AC169" s="4">
        <v>41487</v>
      </c>
      <c r="AD169">
        <v>21502.41</v>
      </c>
      <c r="AE169">
        <v>19355.86</v>
      </c>
    </row>
    <row r="170" spans="2:31" x14ac:dyDescent="0.25">
      <c r="B170" s="4">
        <v>41518</v>
      </c>
      <c r="C170">
        <v>22018.77</v>
      </c>
      <c r="D170">
        <v>19357.97</v>
      </c>
      <c r="S170" s="4">
        <v>41518</v>
      </c>
      <c r="T170">
        <v>22018.77</v>
      </c>
      <c r="U170">
        <v>18719.740000000002</v>
      </c>
      <c r="X170" s="4">
        <v>41518</v>
      </c>
      <c r="Y170">
        <v>22018.77</v>
      </c>
      <c r="Z170">
        <v>19558.27</v>
      </c>
      <c r="AC170" s="4">
        <v>41518</v>
      </c>
      <c r="AD170">
        <v>22018.77</v>
      </c>
      <c r="AE170">
        <v>19539.490000000002</v>
      </c>
    </row>
    <row r="171" spans="2:31" x14ac:dyDescent="0.25">
      <c r="B171" s="4">
        <v>41548</v>
      </c>
      <c r="C171">
        <v>23470.93</v>
      </c>
      <c r="D171">
        <v>20346.04</v>
      </c>
      <c r="S171" s="4">
        <v>41548</v>
      </c>
      <c r="T171">
        <v>23470.93</v>
      </c>
      <c r="U171">
        <v>19662.93</v>
      </c>
      <c r="X171" s="4">
        <v>41548</v>
      </c>
      <c r="Y171">
        <v>23470.93</v>
      </c>
      <c r="Z171">
        <v>20564.47</v>
      </c>
      <c r="AC171" s="4">
        <v>41548</v>
      </c>
      <c r="AD171">
        <v>23470.93</v>
      </c>
      <c r="AE171">
        <v>20546.400000000001</v>
      </c>
    </row>
    <row r="172" spans="2:31" x14ac:dyDescent="0.25">
      <c r="B172" s="4">
        <v>41579</v>
      </c>
      <c r="C172">
        <v>23396.2</v>
      </c>
      <c r="D172">
        <v>20042.23</v>
      </c>
      <c r="S172" s="4">
        <v>41579</v>
      </c>
      <c r="T172">
        <v>23396.2</v>
      </c>
      <c r="U172">
        <v>19534.43</v>
      </c>
      <c r="X172" s="4">
        <v>41579</v>
      </c>
      <c r="Y172">
        <v>23396.2</v>
      </c>
      <c r="Z172">
        <v>20259.900000000001</v>
      </c>
      <c r="AC172" s="4">
        <v>41579</v>
      </c>
      <c r="AD172">
        <v>23396.2</v>
      </c>
      <c r="AE172">
        <v>20244.8</v>
      </c>
    </row>
    <row r="173" spans="2:31" x14ac:dyDescent="0.25">
      <c r="B173" s="4">
        <v>41609</v>
      </c>
      <c r="C173">
        <v>25140.09</v>
      </c>
      <c r="D173">
        <v>20986.22</v>
      </c>
      <c r="S173" s="4">
        <v>41609</v>
      </c>
      <c r="T173">
        <v>25140.09</v>
      </c>
      <c r="U173">
        <v>20611.759999999998</v>
      </c>
      <c r="X173" s="4">
        <v>41609</v>
      </c>
      <c r="Y173">
        <v>25140.09</v>
      </c>
      <c r="Z173">
        <v>21199.75</v>
      </c>
      <c r="AC173" s="4">
        <v>41609</v>
      </c>
      <c r="AD173">
        <v>25140.09</v>
      </c>
      <c r="AE173">
        <v>21192.62</v>
      </c>
    </row>
    <row r="174" spans="2:31" x14ac:dyDescent="0.25">
      <c r="B174" s="4">
        <v>41640</v>
      </c>
      <c r="C174">
        <v>25665.03</v>
      </c>
      <c r="D174">
        <v>21721.8</v>
      </c>
      <c r="S174" s="4">
        <v>41640</v>
      </c>
      <c r="T174">
        <v>25665.03</v>
      </c>
      <c r="U174">
        <v>21092.3</v>
      </c>
      <c r="X174" s="4">
        <v>41640</v>
      </c>
      <c r="Y174">
        <v>25665.03</v>
      </c>
      <c r="Z174">
        <v>21995.38</v>
      </c>
      <c r="AC174" s="4">
        <v>41640</v>
      </c>
      <c r="AD174">
        <v>25665.03</v>
      </c>
      <c r="AE174">
        <v>21990.93</v>
      </c>
    </row>
    <row r="175" spans="2:31" x14ac:dyDescent="0.25">
      <c r="B175" s="4">
        <v>41671</v>
      </c>
      <c r="C175">
        <v>25597.1</v>
      </c>
      <c r="D175">
        <v>21525.4</v>
      </c>
      <c r="S175" s="4">
        <v>41671</v>
      </c>
      <c r="T175">
        <v>25597.1</v>
      </c>
      <c r="U175">
        <v>21070.11</v>
      </c>
      <c r="X175" s="4">
        <v>41671</v>
      </c>
      <c r="Y175">
        <v>25597.1</v>
      </c>
      <c r="Z175">
        <v>21762.55</v>
      </c>
      <c r="AC175" s="4">
        <v>41671</v>
      </c>
      <c r="AD175">
        <v>25597.1</v>
      </c>
      <c r="AE175">
        <v>21750.59</v>
      </c>
    </row>
    <row r="176" spans="2:31" x14ac:dyDescent="0.25">
      <c r="B176" s="4">
        <v>41699</v>
      </c>
      <c r="C176">
        <v>26899.96</v>
      </c>
      <c r="D176">
        <v>22027.72</v>
      </c>
      <c r="S176" s="4">
        <v>41699</v>
      </c>
      <c r="T176">
        <v>26899.96</v>
      </c>
      <c r="U176">
        <v>21540.99</v>
      </c>
      <c r="X176" s="4">
        <v>41699</v>
      </c>
      <c r="Y176">
        <v>26899.96</v>
      </c>
      <c r="Z176">
        <v>22284.880000000001</v>
      </c>
      <c r="AC176" s="4">
        <v>41699</v>
      </c>
      <c r="AD176">
        <v>26899.96</v>
      </c>
      <c r="AE176">
        <v>22279.33</v>
      </c>
    </row>
    <row r="177" spans="2:31" x14ac:dyDescent="0.25">
      <c r="B177" s="4">
        <v>41730</v>
      </c>
      <c r="C177">
        <v>26777.89</v>
      </c>
      <c r="D177">
        <v>22583.26</v>
      </c>
      <c r="S177" s="4">
        <v>41730</v>
      </c>
      <c r="T177">
        <v>26777.89</v>
      </c>
      <c r="U177">
        <v>21872.87</v>
      </c>
      <c r="X177" s="4">
        <v>41730</v>
      </c>
      <c r="Y177">
        <v>26777.89</v>
      </c>
      <c r="Z177">
        <v>22887.46</v>
      </c>
      <c r="AC177" s="4">
        <v>41730</v>
      </c>
      <c r="AD177">
        <v>26777.89</v>
      </c>
      <c r="AE177">
        <v>22881.87</v>
      </c>
    </row>
    <row r="178" spans="2:31" x14ac:dyDescent="0.25">
      <c r="B178" s="4">
        <v>41760</v>
      </c>
      <c r="C178">
        <v>25875.200000000001</v>
      </c>
      <c r="D178">
        <v>22954.48</v>
      </c>
      <c r="S178" s="4">
        <v>41760</v>
      </c>
      <c r="T178">
        <v>25875.200000000001</v>
      </c>
      <c r="U178">
        <v>21920.36</v>
      </c>
      <c r="X178" s="4">
        <v>41760</v>
      </c>
      <c r="Y178">
        <v>25875.200000000001</v>
      </c>
      <c r="Z178">
        <v>23244.25</v>
      </c>
      <c r="AC178" s="4">
        <v>41760</v>
      </c>
      <c r="AD178">
        <v>25875.200000000001</v>
      </c>
      <c r="AE178">
        <v>23234.25</v>
      </c>
    </row>
    <row r="179" spans="2:31" x14ac:dyDescent="0.25">
      <c r="B179" s="4">
        <v>41791</v>
      </c>
      <c r="C179">
        <v>23799.69</v>
      </c>
      <c r="D179">
        <v>23062.2</v>
      </c>
      <c r="S179" s="4">
        <v>41791</v>
      </c>
      <c r="T179">
        <v>23799.69</v>
      </c>
      <c r="U179">
        <v>21608.54</v>
      </c>
      <c r="X179" s="4">
        <v>41791</v>
      </c>
      <c r="Y179">
        <v>23799.69</v>
      </c>
      <c r="Z179">
        <v>23290.51</v>
      </c>
      <c r="AC179" s="4">
        <v>41791</v>
      </c>
      <c r="AD179">
        <v>23799.69</v>
      </c>
      <c r="AE179">
        <v>23271.46</v>
      </c>
    </row>
    <row r="180" spans="2:31" x14ac:dyDescent="0.25">
      <c r="B180" s="4">
        <v>41821</v>
      </c>
      <c r="C180">
        <v>22809.42</v>
      </c>
      <c r="D180">
        <v>23400.63</v>
      </c>
      <c r="S180" s="4">
        <v>41821</v>
      </c>
      <c r="T180">
        <v>22809.42</v>
      </c>
      <c r="U180">
        <v>21769.51</v>
      </c>
      <c r="X180" s="4">
        <v>41821</v>
      </c>
      <c r="Y180">
        <v>22809.42</v>
      </c>
      <c r="Z180">
        <v>23778.38</v>
      </c>
      <c r="AC180" s="4">
        <v>41821</v>
      </c>
      <c r="AD180">
        <v>22809.42</v>
      </c>
      <c r="AE180">
        <v>23766.16</v>
      </c>
    </row>
    <row r="181" spans="2:31" x14ac:dyDescent="0.25">
      <c r="B181" s="4">
        <v>41852</v>
      </c>
      <c r="C181">
        <v>20747.82</v>
      </c>
      <c r="D181">
        <v>26148.14</v>
      </c>
      <c r="S181" s="4">
        <v>41852</v>
      </c>
      <c r="T181">
        <v>20747.82</v>
      </c>
      <c r="U181">
        <v>22844.52</v>
      </c>
      <c r="X181" s="4">
        <v>41852</v>
      </c>
      <c r="Y181">
        <v>20747.82</v>
      </c>
      <c r="Z181">
        <v>26552.73</v>
      </c>
      <c r="AC181" s="4">
        <v>41852</v>
      </c>
      <c r="AD181">
        <v>20747.82</v>
      </c>
      <c r="AE181">
        <v>26540.3</v>
      </c>
    </row>
    <row r="182" spans="2:31" x14ac:dyDescent="0.25">
      <c r="B182" s="4">
        <v>41883</v>
      </c>
      <c r="C182">
        <v>18554.98</v>
      </c>
      <c r="D182">
        <v>24157.43</v>
      </c>
      <c r="S182" s="4">
        <v>41883</v>
      </c>
      <c r="T182">
        <v>18554.98</v>
      </c>
      <c r="U182">
        <v>22394.52</v>
      </c>
      <c r="X182" s="4">
        <v>41883</v>
      </c>
      <c r="Y182">
        <v>18554.98</v>
      </c>
      <c r="Z182">
        <v>24474.09</v>
      </c>
      <c r="AC182" s="4">
        <v>41883</v>
      </c>
      <c r="AD182">
        <v>18554.98</v>
      </c>
      <c r="AE182">
        <v>24461.17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"/>
  <sheetViews>
    <sheetView tabSelected="1" workbookViewId="0">
      <selection activeCell="P2" sqref="P2"/>
    </sheetView>
  </sheetViews>
  <sheetFormatPr defaultRowHeight="15" x14ac:dyDescent="0.25"/>
  <cols>
    <col min="1" max="1" width="9.7109375" bestFit="1" customWidth="1"/>
    <col min="13" max="13" width="9.7109375" bestFit="1" customWidth="1"/>
    <col min="14" max="14" width="5" bestFit="1" customWidth="1"/>
    <col min="16" max="16" width="9.7109375" bestFit="1" customWidth="1"/>
    <col min="17" max="17" width="5" bestFit="1" customWidth="1"/>
    <col min="18" max="18" width="5" customWidth="1"/>
    <col min="20" max="20" width="9.7109375" bestFit="1" customWidth="1"/>
    <col min="21" max="21" width="5" customWidth="1"/>
    <col min="22" max="22" width="8.140625" customWidth="1"/>
  </cols>
  <sheetData>
    <row r="1" spans="1:22" x14ac:dyDescent="0.25">
      <c r="A1" t="s">
        <v>201</v>
      </c>
    </row>
    <row r="2" spans="1:22" x14ac:dyDescent="0.25">
      <c r="B2" t="s">
        <v>193</v>
      </c>
      <c r="C2" t="s">
        <v>194</v>
      </c>
      <c r="D2" t="s">
        <v>192</v>
      </c>
      <c r="E2" t="s">
        <v>195</v>
      </c>
      <c r="F2" t="s">
        <v>196</v>
      </c>
      <c r="M2" t="s">
        <v>191</v>
      </c>
      <c r="N2" t="s">
        <v>192</v>
      </c>
      <c r="P2" t="s">
        <v>191</v>
      </c>
      <c r="Q2" t="s">
        <v>193</v>
      </c>
      <c r="T2" t="s">
        <v>191</v>
      </c>
      <c r="U2" t="s">
        <v>194</v>
      </c>
      <c r="V2" t="s">
        <v>200</v>
      </c>
    </row>
    <row r="3" spans="1:22" x14ac:dyDescent="0.25">
      <c r="A3" s="5">
        <v>36434</v>
      </c>
      <c r="B3">
        <f>VLOOKUP(A3,P:Q,2,0)</f>
        <v>2</v>
      </c>
      <c r="C3">
        <f>IF(ISNA(VLOOKUP(A3,T:U,2,0)),0,VLOOKUP(A3,T:U,2,0))</f>
        <v>0</v>
      </c>
      <c r="D3">
        <f>B3+C3</f>
        <v>2</v>
      </c>
      <c r="E3" s="6">
        <f>B3/D3</f>
        <v>1</v>
      </c>
      <c r="F3" s="6">
        <f>C3/D3</f>
        <v>0</v>
      </c>
      <c r="M3" s="5">
        <v>36434</v>
      </c>
      <c r="N3">
        <v>2</v>
      </c>
      <c r="P3" s="5">
        <v>36434</v>
      </c>
      <c r="Q3">
        <v>2</v>
      </c>
      <c r="T3" s="5">
        <v>36557</v>
      </c>
      <c r="U3">
        <v>1</v>
      </c>
      <c r="V3">
        <v>9</v>
      </c>
    </row>
    <row r="4" spans="1:22" x14ac:dyDescent="0.25">
      <c r="A4" s="5">
        <v>36465</v>
      </c>
      <c r="B4">
        <f>VLOOKUP(A4,P:Q,2,0)</f>
        <v>1</v>
      </c>
      <c r="C4">
        <f>IF(ISNA(VLOOKUP(A4,T:U,2,0)),0,VLOOKUP(A4,T:U,2,0))</f>
        <v>0</v>
      </c>
      <c r="D4">
        <f t="shared" ref="D4:D67" si="0">B4+C4</f>
        <v>1</v>
      </c>
      <c r="E4" s="6">
        <f t="shared" ref="E4:E67" si="1">B4/D4</f>
        <v>1</v>
      </c>
      <c r="F4" s="6">
        <f t="shared" ref="F4:F67" si="2">C4/D4</f>
        <v>0</v>
      </c>
      <c r="M4" s="5">
        <v>36465</v>
      </c>
      <c r="N4">
        <v>1</v>
      </c>
      <c r="P4" s="5">
        <v>36465</v>
      </c>
      <c r="Q4">
        <v>1</v>
      </c>
      <c r="T4" s="5">
        <v>36586</v>
      </c>
      <c r="U4">
        <v>1</v>
      </c>
      <c r="V4">
        <v>12</v>
      </c>
    </row>
    <row r="5" spans="1:22" x14ac:dyDescent="0.25">
      <c r="A5" s="5">
        <v>36495</v>
      </c>
      <c r="B5">
        <f>VLOOKUP(A5,P:Q,2,0)</f>
        <v>4</v>
      </c>
      <c r="C5">
        <f>IF(ISNA(VLOOKUP(A5,T:U,2,0)),0,VLOOKUP(A5,T:U,2,0))</f>
        <v>0</v>
      </c>
      <c r="D5">
        <f t="shared" si="0"/>
        <v>4</v>
      </c>
      <c r="E5" s="6">
        <f t="shared" si="1"/>
        <v>1</v>
      </c>
      <c r="F5" s="6">
        <f t="shared" si="2"/>
        <v>0</v>
      </c>
      <c r="M5" s="5">
        <v>36495</v>
      </c>
      <c r="N5">
        <v>4</v>
      </c>
      <c r="P5" s="5">
        <v>36495</v>
      </c>
      <c r="Q5">
        <v>4</v>
      </c>
      <c r="T5" s="5">
        <v>36617</v>
      </c>
      <c r="U5">
        <v>7</v>
      </c>
      <c r="V5">
        <v>11.57</v>
      </c>
    </row>
    <row r="6" spans="1:22" x14ac:dyDescent="0.25">
      <c r="A6" s="5">
        <v>36526</v>
      </c>
      <c r="B6">
        <f>VLOOKUP(A6,P:Q,2,0)</f>
        <v>2</v>
      </c>
      <c r="C6">
        <f>IF(ISNA(VLOOKUP(A6,T:U,2,0)),0,VLOOKUP(A6,T:U,2,0))</f>
        <v>0</v>
      </c>
      <c r="D6">
        <f t="shared" si="0"/>
        <v>2</v>
      </c>
      <c r="E6" s="6">
        <f t="shared" si="1"/>
        <v>1</v>
      </c>
      <c r="F6" s="6">
        <f t="shared" si="2"/>
        <v>0</v>
      </c>
      <c r="M6" s="5">
        <v>36526</v>
      </c>
      <c r="N6">
        <v>2</v>
      </c>
      <c r="P6" s="5">
        <v>36526</v>
      </c>
      <c r="Q6">
        <v>2</v>
      </c>
      <c r="T6" s="5">
        <v>36647</v>
      </c>
      <c r="U6">
        <v>2</v>
      </c>
      <c r="V6">
        <v>10.5</v>
      </c>
    </row>
    <row r="7" spans="1:22" x14ac:dyDescent="0.25">
      <c r="A7" s="5">
        <v>36557</v>
      </c>
      <c r="B7">
        <f>VLOOKUP(A7,P:Q,2,0)</f>
        <v>3</v>
      </c>
      <c r="C7">
        <f>IF(ISNA(VLOOKUP(A7,T:U,2,0)),0,VLOOKUP(A7,T:U,2,0))</f>
        <v>1</v>
      </c>
      <c r="D7">
        <f t="shared" si="0"/>
        <v>4</v>
      </c>
      <c r="E7" s="6">
        <f t="shared" si="1"/>
        <v>0.75</v>
      </c>
      <c r="F7" s="6">
        <f t="shared" si="2"/>
        <v>0.25</v>
      </c>
      <c r="M7" s="5">
        <v>36557</v>
      </c>
      <c r="N7">
        <v>4</v>
      </c>
      <c r="P7" s="5">
        <v>36557</v>
      </c>
      <c r="Q7">
        <v>3</v>
      </c>
      <c r="T7" s="5">
        <v>36678</v>
      </c>
      <c r="U7">
        <v>9</v>
      </c>
      <c r="V7">
        <v>10.89</v>
      </c>
    </row>
    <row r="8" spans="1:22" x14ac:dyDescent="0.25">
      <c r="A8" s="5">
        <v>36586</v>
      </c>
      <c r="B8">
        <f>VLOOKUP(A8,P:Q,2,0)</f>
        <v>7</v>
      </c>
      <c r="C8">
        <f>IF(ISNA(VLOOKUP(A8,T:U,2,0)),0,VLOOKUP(A8,T:U,2,0))</f>
        <v>1</v>
      </c>
      <c r="D8">
        <f t="shared" si="0"/>
        <v>8</v>
      </c>
      <c r="E8" s="6">
        <f t="shared" si="1"/>
        <v>0.875</v>
      </c>
      <c r="F8" s="6">
        <f t="shared" si="2"/>
        <v>0.125</v>
      </c>
      <c r="M8" s="5">
        <v>36586</v>
      </c>
      <c r="N8">
        <v>8</v>
      </c>
      <c r="P8" s="5">
        <v>36586</v>
      </c>
      <c r="Q8">
        <v>7</v>
      </c>
      <c r="T8" s="5">
        <v>36708</v>
      </c>
      <c r="U8">
        <v>12</v>
      </c>
      <c r="V8">
        <v>12.25</v>
      </c>
    </row>
    <row r="9" spans="1:22" x14ac:dyDescent="0.25">
      <c r="A9" s="5">
        <v>36617</v>
      </c>
      <c r="B9">
        <f>VLOOKUP(A9,P:Q,2,0)</f>
        <v>12</v>
      </c>
      <c r="C9">
        <f>IF(ISNA(VLOOKUP(A9,T:U,2,0)),0,VLOOKUP(A9,T:U,2,0))</f>
        <v>7</v>
      </c>
      <c r="D9">
        <f t="shared" si="0"/>
        <v>19</v>
      </c>
      <c r="E9" s="6">
        <f t="shared" si="1"/>
        <v>0.63157894736842102</v>
      </c>
      <c r="F9" s="6">
        <f t="shared" si="2"/>
        <v>0.36842105263157893</v>
      </c>
      <c r="M9" s="5">
        <v>36617</v>
      </c>
      <c r="N9">
        <v>19</v>
      </c>
      <c r="P9" s="5">
        <v>36617</v>
      </c>
      <c r="Q9">
        <v>12</v>
      </c>
      <c r="T9" s="5">
        <v>36739</v>
      </c>
      <c r="U9">
        <v>20</v>
      </c>
      <c r="V9">
        <v>12.15</v>
      </c>
    </row>
    <row r="10" spans="1:22" x14ac:dyDescent="0.25">
      <c r="A10" s="5">
        <v>36647</v>
      </c>
      <c r="B10">
        <f>VLOOKUP(A10,P:Q,2,0)</f>
        <v>8</v>
      </c>
      <c r="C10">
        <f>IF(ISNA(VLOOKUP(A10,T:U,2,0)),0,VLOOKUP(A10,T:U,2,0))</f>
        <v>2</v>
      </c>
      <c r="D10">
        <f t="shared" si="0"/>
        <v>10</v>
      </c>
      <c r="E10" s="6">
        <f t="shared" si="1"/>
        <v>0.8</v>
      </c>
      <c r="F10" s="6">
        <f t="shared" si="2"/>
        <v>0.2</v>
      </c>
      <c r="M10" s="5">
        <v>36647</v>
      </c>
      <c r="N10">
        <v>10</v>
      </c>
      <c r="P10" s="5">
        <v>36647</v>
      </c>
      <c r="Q10">
        <v>8</v>
      </c>
      <c r="T10" s="5">
        <v>36770</v>
      </c>
      <c r="U10">
        <v>25</v>
      </c>
      <c r="V10">
        <v>11.76</v>
      </c>
    </row>
    <row r="11" spans="1:22" x14ac:dyDescent="0.25">
      <c r="A11" s="5">
        <v>36678</v>
      </c>
      <c r="B11">
        <f>VLOOKUP(A11,P:Q,2,0)</f>
        <v>9</v>
      </c>
      <c r="C11">
        <f>IF(ISNA(VLOOKUP(A11,T:U,2,0)),0,VLOOKUP(A11,T:U,2,0))</f>
        <v>9</v>
      </c>
      <c r="D11">
        <f t="shared" si="0"/>
        <v>18</v>
      </c>
      <c r="E11" s="6">
        <f t="shared" si="1"/>
        <v>0.5</v>
      </c>
      <c r="F11" s="6">
        <f t="shared" si="2"/>
        <v>0.5</v>
      </c>
      <c r="M11" s="5">
        <v>36678</v>
      </c>
      <c r="N11">
        <v>18</v>
      </c>
      <c r="P11" s="5">
        <v>36678</v>
      </c>
      <c r="Q11">
        <v>9</v>
      </c>
      <c r="T11" s="5">
        <v>36800</v>
      </c>
      <c r="U11">
        <v>30</v>
      </c>
      <c r="V11">
        <v>12.43</v>
      </c>
    </row>
    <row r="12" spans="1:22" x14ac:dyDescent="0.25">
      <c r="A12" s="5">
        <v>36708</v>
      </c>
      <c r="B12">
        <f>VLOOKUP(A12,P:Q,2,0)</f>
        <v>7</v>
      </c>
      <c r="C12">
        <f>IF(ISNA(VLOOKUP(A12,T:U,2,0)),0,VLOOKUP(A12,T:U,2,0))</f>
        <v>12</v>
      </c>
      <c r="D12">
        <f t="shared" si="0"/>
        <v>19</v>
      </c>
      <c r="E12" s="6">
        <f t="shared" si="1"/>
        <v>0.36842105263157893</v>
      </c>
      <c r="F12" s="6">
        <f t="shared" si="2"/>
        <v>0.63157894736842102</v>
      </c>
      <c r="M12" s="5">
        <v>36708</v>
      </c>
      <c r="N12">
        <v>19</v>
      </c>
      <c r="P12" s="5">
        <v>36708</v>
      </c>
      <c r="Q12">
        <v>7</v>
      </c>
      <c r="T12" s="5">
        <v>36831</v>
      </c>
      <c r="U12">
        <v>36</v>
      </c>
      <c r="V12">
        <v>12.61</v>
      </c>
    </row>
    <row r="13" spans="1:22" x14ac:dyDescent="0.25">
      <c r="A13" s="5">
        <v>36739</v>
      </c>
      <c r="B13">
        <f>VLOOKUP(A13,P:Q,2,0)</f>
        <v>16</v>
      </c>
      <c r="C13">
        <f>IF(ISNA(VLOOKUP(A13,T:U,2,0)),0,VLOOKUP(A13,T:U,2,0))</f>
        <v>20</v>
      </c>
      <c r="D13">
        <f t="shared" si="0"/>
        <v>36</v>
      </c>
      <c r="E13" s="6">
        <f t="shared" si="1"/>
        <v>0.44444444444444442</v>
      </c>
      <c r="F13" s="6">
        <f t="shared" si="2"/>
        <v>0.55555555555555558</v>
      </c>
      <c r="M13" s="5">
        <v>36739</v>
      </c>
      <c r="N13">
        <v>36</v>
      </c>
      <c r="P13" s="5">
        <v>36739</v>
      </c>
      <c r="Q13">
        <v>16</v>
      </c>
      <c r="T13" s="5">
        <v>36861</v>
      </c>
      <c r="U13">
        <v>31</v>
      </c>
      <c r="V13">
        <v>12.9</v>
      </c>
    </row>
    <row r="14" spans="1:22" x14ac:dyDescent="0.25">
      <c r="A14" s="5">
        <v>36770</v>
      </c>
      <c r="B14">
        <f>VLOOKUP(A14,P:Q,2,0)</f>
        <v>10</v>
      </c>
      <c r="C14">
        <f>IF(ISNA(VLOOKUP(A14,T:U,2,0)),0,VLOOKUP(A14,T:U,2,0))</f>
        <v>25</v>
      </c>
      <c r="D14">
        <f t="shared" si="0"/>
        <v>35</v>
      </c>
      <c r="E14" s="6">
        <f t="shared" si="1"/>
        <v>0.2857142857142857</v>
      </c>
      <c r="F14" s="6">
        <f t="shared" si="2"/>
        <v>0.7142857142857143</v>
      </c>
      <c r="M14" s="5">
        <v>36770</v>
      </c>
      <c r="N14">
        <v>35</v>
      </c>
      <c r="P14" s="5">
        <v>36770</v>
      </c>
      <c r="Q14">
        <v>10</v>
      </c>
      <c r="T14" s="5">
        <v>36892</v>
      </c>
      <c r="U14">
        <v>47</v>
      </c>
      <c r="V14">
        <v>13</v>
      </c>
    </row>
    <row r="15" spans="1:22" x14ac:dyDescent="0.25">
      <c r="A15" s="5">
        <v>36800</v>
      </c>
      <c r="B15">
        <f>VLOOKUP(A15,P:Q,2,0)</f>
        <v>15</v>
      </c>
      <c r="C15">
        <f>IF(ISNA(VLOOKUP(A15,T:U,2,0)),0,VLOOKUP(A15,T:U,2,0))</f>
        <v>30</v>
      </c>
      <c r="D15">
        <f t="shared" si="0"/>
        <v>45</v>
      </c>
      <c r="E15" s="6">
        <f t="shared" si="1"/>
        <v>0.33333333333333331</v>
      </c>
      <c r="F15" s="6">
        <f t="shared" si="2"/>
        <v>0.66666666666666663</v>
      </c>
      <c r="M15" s="5">
        <v>36800</v>
      </c>
      <c r="N15">
        <v>45</v>
      </c>
      <c r="P15" s="5">
        <v>36800</v>
      </c>
      <c r="Q15">
        <v>15</v>
      </c>
      <c r="T15" s="5">
        <v>36923</v>
      </c>
      <c r="U15">
        <v>48</v>
      </c>
      <c r="V15">
        <v>14</v>
      </c>
    </row>
    <row r="16" spans="1:22" x14ac:dyDescent="0.25">
      <c r="A16" s="5">
        <v>36831</v>
      </c>
      <c r="B16">
        <f>VLOOKUP(A16,P:Q,2,0)</f>
        <v>16</v>
      </c>
      <c r="C16">
        <f>IF(ISNA(VLOOKUP(A16,T:U,2,0)),0,VLOOKUP(A16,T:U,2,0))</f>
        <v>36</v>
      </c>
      <c r="D16">
        <f t="shared" si="0"/>
        <v>52</v>
      </c>
      <c r="E16" s="6">
        <f t="shared" si="1"/>
        <v>0.30769230769230771</v>
      </c>
      <c r="F16" s="6">
        <f t="shared" si="2"/>
        <v>0.69230769230769229</v>
      </c>
      <c r="M16" s="5">
        <v>36831</v>
      </c>
      <c r="N16">
        <v>52</v>
      </c>
      <c r="P16" s="5">
        <v>36831</v>
      </c>
      <c r="Q16">
        <v>16</v>
      </c>
      <c r="T16" s="5">
        <v>36951</v>
      </c>
      <c r="U16">
        <v>79</v>
      </c>
      <c r="V16">
        <v>13.19</v>
      </c>
    </row>
    <row r="17" spans="1:22" x14ac:dyDescent="0.25">
      <c r="A17" s="5">
        <v>36861</v>
      </c>
      <c r="B17">
        <f>VLOOKUP(A17,P:Q,2,0)</f>
        <v>16</v>
      </c>
      <c r="C17">
        <f>IF(ISNA(VLOOKUP(A17,T:U,2,0)),0,VLOOKUP(A17,T:U,2,0))</f>
        <v>31</v>
      </c>
      <c r="D17">
        <f t="shared" si="0"/>
        <v>47</v>
      </c>
      <c r="E17" s="6">
        <f t="shared" si="1"/>
        <v>0.34042553191489361</v>
      </c>
      <c r="F17" s="6">
        <f t="shared" si="2"/>
        <v>0.65957446808510634</v>
      </c>
      <c r="M17" s="5">
        <v>36861</v>
      </c>
      <c r="N17">
        <v>47</v>
      </c>
      <c r="P17" s="5">
        <v>36861</v>
      </c>
      <c r="Q17">
        <v>16</v>
      </c>
      <c r="T17" s="5">
        <v>36982</v>
      </c>
      <c r="U17">
        <v>80</v>
      </c>
      <c r="V17">
        <v>13.67</v>
      </c>
    </row>
    <row r="18" spans="1:22" x14ac:dyDescent="0.25">
      <c r="A18" s="5">
        <v>36892</v>
      </c>
      <c r="B18">
        <f>VLOOKUP(A18,P:Q,2,0)</f>
        <v>13</v>
      </c>
      <c r="C18">
        <f>IF(ISNA(VLOOKUP(A18,T:U,2,0)),0,VLOOKUP(A18,T:U,2,0))</f>
        <v>47</v>
      </c>
      <c r="D18">
        <f t="shared" si="0"/>
        <v>60</v>
      </c>
      <c r="E18" s="6">
        <f t="shared" si="1"/>
        <v>0.21666666666666667</v>
      </c>
      <c r="F18" s="6">
        <f t="shared" si="2"/>
        <v>0.78333333333333333</v>
      </c>
      <c r="M18" s="5">
        <v>36892</v>
      </c>
      <c r="N18">
        <v>60</v>
      </c>
      <c r="P18" s="5">
        <v>36892</v>
      </c>
      <c r="Q18">
        <v>13</v>
      </c>
      <c r="T18" s="5">
        <v>37012</v>
      </c>
      <c r="U18">
        <v>86</v>
      </c>
      <c r="V18">
        <v>13.31</v>
      </c>
    </row>
    <row r="19" spans="1:22" x14ac:dyDescent="0.25">
      <c r="A19" s="5">
        <v>36923</v>
      </c>
      <c r="B19">
        <f>VLOOKUP(A19,P:Q,2,0)</f>
        <v>28</v>
      </c>
      <c r="C19">
        <f>IF(ISNA(VLOOKUP(A19,T:U,2,0)),0,VLOOKUP(A19,T:U,2,0))</f>
        <v>48</v>
      </c>
      <c r="D19">
        <f t="shared" si="0"/>
        <v>76</v>
      </c>
      <c r="E19" s="6">
        <f t="shared" si="1"/>
        <v>0.36842105263157893</v>
      </c>
      <c r="F19" s="6">
        <f t="shared" si="2"/>
        <v>0.63157894736842102</v>
      </c>
      <c r="M19" s="5">
        <v>36923</v>
      </c>
      <c r="N19">
        <v>76</v>
      </c>
      <c r="P19" s="5">
        <v>36923</v>
      </c>
      <c r="Q19">
        <v>28</v>
      </c>
      <c r="T19" s="5">
        <v>37043</v>
      </c>
      <c r="U19">
        <v>85</v>
      </c>
      <c r="V19">
        <v>13.32</v>
      </c>
    </row>
    <row r="20" spans="1:22" x14ac:dyDescent="0.25">
      <c r="A20" s="5">
        <v>36951</v>
      </c>
      <c r="B20">
        <f>VLOOKUP(A20,P:Q,2,0)</f>
        <v>31</v>
      </c>
      <c r="C20">
        <f>IF(ISNA(VLOOKUP(A20,T:U,2,0)),0,VLOOKUP(A20,T:U,2,0))</f>
        <v>79</v>
      </c>
      <c r="D20">
        <f t="shared" si="0"/>
        <v>110</v>
      </c>
      <c r="E20" s="6">
        <f t="shared" si="1"/>
        <v>0.2818181818181818</v>
      </c>
      <c r="F20" s="6">
        <f t="shared" si="2"/>
        <v>0.71818181818181814</v>
      </c>
      <c r="M20" s="5">
        <v>36951</v>
      </c>
      <c r="N20">
        <v>110</v>
      </c>
      <c r="P20" s="5">
        <v>36951</v>
      </c>
      <c r="Q20">
        <v>31</v>
      </c>
      <c r="T20" s="5">
        <v>37073</v>
      </c>
      <c r="U20">
        <v>90</v>
      </c>
      <c r="V20">
        <v>13.89</v>
      </c>
    </row>
    <row r="21" spans="1:22" x14ac:dyDescent="0.25">
      <c r="A21" s="5">
        <v>36982</v>
      </c>
      <c r="B21">
        <f>VLOOKUP(A21,P:Q,2,0)</f>
        <v>29</v>
      </c>
      <c r="C21">
        <f>IF(ISNA(VLOOKUP(A21,T:U,2,0)),0,VLOOKUP(A21,T:U,2,0))</f>
        <v>80</v>
      </c>
      <c r="D21">
        <f t="shared" si="0"/>
        <v>109</v>
      </c>
      <c r="E21" s="6">
        <f t="shared" si="1"/>
        <v>0.26605504587155965</v>
      </c>
      <c r="F21" s="6">
        <f t="shared" si="2"/>
        <v>0.73394495412844041</v>
      </c>
      <c r="M21" s="5">
        <v>36982</v>
      </c>
      <c r="N21">
        <v>109</v>
      </c>
      <c r="P21" s="5">
        <v>36982</v>
      </c>
      <c r="Q21">
        <v>29</v>
      </c>
      <c r="T21" s="5">
        <v>37104</v>
      </c>
      <c r="U21">
        <v>114</v>
      </c>
      <c r="V21">
        <v>14.12</v>
      </c>
    </row>
    <row r="22" spans="1:22" x14ac:dyDescent="0.25">
      <c r="A22" s="5">
        <v>37012</v>
      </c>
      <c r="B22">
        <f>VLOOKUP(A22,P:Q,2,0)</f>
        <v>34</v>
      </c>
      <c r="C22">
        <f>IF(ISNA(VLOOKUP(A22,T:U,2,0)),0,VLOOKUP(A22,T:U,2,0))</f>
        <v>86</v>
      </c>
      <c r="D22">
        <f t="shared" si="0"/>
        <v>120</v>
      </c>
      <c r="E22" s="6">
        <f t="shared" si="1"/>
        <v>0.28333333333333333</v>
      </c>
      <c r="F22" s="6">
        <f t="shared" si="2"/>
        <v>0.71666666666666667</v>
      </c>
      <c r="M22" s="5">
        <v>37012</v>
      </c>
      <c r="N22">
        <v>120</v>
      </c>
      <c r="P22" s="5">
        <v>37012</v>
      </c>
      <c r="Q22">
        <v>34</v>
      </c>
      <c r="T22" s="5">
        <v>37135</v>
      </c>
      <c r="U22">
        <v>115</v>
      </c>
      <c r="V22">
        <v>13.97</v>
      </c>
    </row>
    <row r="23" spans="1:22" x14ac:dyDescent="0.25">
      <c r="A23" s="5">
        <v>37043</v>
      </c>
      <c r="B23">
        <f>VLOOKUP(A23,P:Q,2,0)</f>
        <v>27</v>
      </c>
      <c r="C23">
        <f>IF(ISNA(VLOOKUP(A23,T:U,2,0)),0,VLOOKUP(A23,T:U,2,0))</f>
        <v>85</v>
      </c>
      <c r="D23">
        <f t="shared" si="0"/>
        <v>112</v>
      </c>
      <c r="E23" s="6">
        <f t="shared" si="1"/>
        <v>0.24107142857142858</v>
      </c>
      <c r="F23" s="6">
        <f t="shared" si="2"/>
        <v>0.7589285714285714</v>
      </c>
      <c r="M23" s="5">
        <v>37043</v>
      </c>
      <c r="N23">
        <v>112</v>
      </c>
      <c r="P23" s="5">
        <v>37043</v>
      </c>
      <c r="Q23">
        <v>27</v>
      </c>
      <c r="T23" s="5">
        <v>37165</v>
      </c>
      <c r="U23">
        <v>139</v>
      </c>
      <c r="V23">
        <v>14.19</v>
      </c>
    </row>
    <row r="24" spans="1:22" x14ac:dyDescent="0.25">
      <c r="A24" s="5">
        <v>37073</v>
      </c>
      <c r="B24">
        <f>VLOOKUP(A24,P:Q,2,0)</f>
        <v>42</v>
      </c>
      <c r="C24">
        <f>IF(ISNA(VLOOKUP(A24,T:U,2,0)),0,VLOOKUP(A24,T:U,2,0))</f>
        <v>90</v>
      </c>
      <c r="D24">
        <f t="shared" si="0"/>
        <v>132</v>
      </c>
      <c r="E24" s="6">
        <f t="shared" si="1"/>
        <v>0.31818181818181818</v>
      </c>
      <c r="F24" s="6">
        <f t="shared" si="2"/>
        <v>0.68181818181818177</v>
      </c>
      <c r="M24" s="5">
        <v>37073</v>
      </c>
      <c r="N24">
        <v>132</v>
      </c>
      <c r="P24" s="5">
        <v>37073</v>
      </c>
      <c r="Q24">
        <v>42</v>
      </c>
      <c r="T24" s="5">
        <v>37196</v>
      </c>
      <c r="U24">
        <v>125</v>
      </c>
      <c r="V24">
        <v>15.14</v>
      </c>
    </row>
    <row r="25" spans="1:22" x14ac:dyDescent="0.25">
      <c r="A25" s="5">
        <v>37104</v>
      </c>
      <c r="B25">
        <f>VLOOKUP(A25,P:Q,2,0)</f>
        <v>39</v>
      </c>
      <c r="C25">
        <f>IF(ISNA(VLOOKUP(A25,T:U,2,0)),0,VLOOKUP(A25,T:U,2,0))</f>
        <v>114</v>
      </c>
      <c r="D25">
        <f t="shared" si="0"/>
        <v>153</v>
      </c>
      <c r="E25" s="6">
        <f t="shared" si="1"/>
        <v>0.25490196078431371</v>
      </c>
      <c r="F25" s="6">
        <f t="shared" si="2"/>
        <v>0.74509803921568629</v>
      </c>
      <c r="M25" s="5">
        <v>37104</v>
      </c>
      <c r="N25">
        <v>153</v>
      </c>
      <c r="P25" s="5">
        <v>37104</v>
      </c>
      <c r="Q25">
        <v>39</v>
      </c>
      <c r="T25" s="5">
        <v>37226</v>
      </c>
      <c r="U25">
        <v>171</v>
      </c>
      <c r="V25">
        <v>14.47</v>
      </c>
    </row>
    <row r="26" spans="1:22" x14ac:dyDescent="0.25">
      <c r="A26" s="5">
        <v>37135</v>
      </c>
      <c r="B26">
        <f>VLOOKUP(A26,P:Q,2,0)</f>
        <v>28</v>
      </c>
      <c r="C26">
        <f>IF(ISNA(VLOOKUP(A26,T:U,2,0)),0,VLOOKUP(A26,T:U,2,0))</f>
        <v>115</v>
      </c>
      <c r="D26">
        <f t="shared" si="0"/>
        <v>143</v>
      </c>
      <c r="E26" s="6">
        <f t="shared" si="1"/>
        <v>0.19580419580419581</v>
      </c>
      <c r="F26" s="6">
        <f t="shared" si="2"/>
        <v>0.80419580419580416</v>
      </c>
      <c r="M26" s="5">
        <v>37135</v>
      </c>
      <c r="N26">
        <v>143</v>
      </c>
      <c r="P26" s="5">
        <v>37135</v>
      </c>
      <c r="Q26">
        <v>28</v>
      </c>
      <c r="T26" s="5">
        <v>37257</v>
      </c>
      <c r="U26">
        <v>140</v>
      </c>
      <c r="V26">
        <v>14.41</v>
      </c>
    </row>
    <row r="27" spans="1:22" x14ac:dyDescent="0.25">
      <c r="A27" s="5">
        <v>37165</v>
      </c>
      <c r="B27">
        <f>VLOOKUP(A27,P:Q,2,0)</f>
        <v>59</v>
      </c>
      <c r="C27">
        <f>IF(ISNA(VLOOKUP(A27,T:U,2,0)),0,VLOOKUP(A27,T:U,2,0))</f>
        <v>139</v>
      </c>
      <c r="D27">
        <f t="shared" si="0"/>
        <v>198</v>
      </c>
      <c r="E27" s="6">
        <f t="shared" si="1"/>
        <v>0.29797979797979796</v>
      </c>
      <c r="F27" s="6">
        <f t="shared" si="2"/>
        <v>0.70202020202020199</v>
      </c>
      <c r="M27" s="5">
        <v>37165</v>
      </c>
      <c r="N27">
        <v>198</v>
      </c>
      <c r="P27" s="5">
        <v>37165</v>
      </c>
      <c r="Q27">
        <v>59</v>
      </c>
      <c r="T27" s="5">
        <v>37288</v>
      </c>
      <c r="U27">
        <v>163</v>
      </c>
      <c r="V27">
        <v>14.69</v>
      </c>
    </row>
    <row r="28" spans="1:22" x14ac:dyDescent="0.25">
      <c r="A28" s="5">
        <v>37196</v>
      </c>
      <c r="B28">
        <f>VLOOKUP(A28,P:Q,2,0)</f>
        <v>59</v>
      </c>
      <c r="C28">
        <f>IF(ISNA(VLOOKUP(A28,T:U,2,0)),0,VLOOKUP(A28,T:U,2,0))</f>
        <v>125</v>
      </c>
      <c r="D28">
        <f t="shared" si="0"/>
        <v>184</v>
      </c>
      <c r="E28" s="6">
        <f t="shared" si="1"/>
        <v>0.32065217391304346</v>
      </c>
      <c r="F28" s="6">
        <f t="shared" si="2"/>
        <v>0.67934782608695654</v>
      </c>
      <c r="M28" s="5">
        <v>37196</v>
      </c>
      <c r="N28">
        <v>184</v>
      </c>
      <c r="P28" s="5">
        <v>37196</v>
      </c>
      <c r="Q28">
        <v>59</v>
      </c>
      <c r="T28" s="5">
        <v>37316</v>
      </c>
      <c r="U28">
        <v>204</v>
      </c>
      <c r="V28">
        <v>14.38</v>
      </c>
    </row>
    <row r="29" spans="1:22" x14ac:dyDescent="0.25">
      <c r="A29" s="5">
        <v>37226</v>
      </c>
      <c r="B29">
        <f>VLOOKUP(A29,P:Q,2,0)</f>
        <v>51</v>
      </c>
      <c r="C29">
        <f>IF(ISNA(VLOOKUP(A29,T:U,2,0)),0,VLOOKUP(A29,T:U,2,0))</f>
        <v>171</v>
      </c>
      <c r="D29">
        <f t="shared" si="0"/>
        <v>222</v>
      </c>
      <c r="E29" s="6">
        <f t="shared" si="1"/>
        <v>0.22972972972972974</v>
      </c>
      <c r="F29" s="6">
        <f t="shared" si="2"/>
        <v>0.77027027027027029</v>
      </c>
      <c r="M29" s="5">
        <v>37226</v>
      </c>
      <c r="N29">
        <v>222</v>
      </c>
      <c r="P29" s="5">
        <v>37226</v>
      </c>
      <c r="Q29">
        <v>51</v>
      </c>
      <c r="T29" s="5">
        <v>37347</v>
      </c>
      <c r="U29">
        <v>228</v>
      </c>
      <c r="V29">
        <v>15.24</v>
      </c>
    </row>
    <row r="30" spans="1:22" x14ac:dyDescent="0.25">
      <c r="A30" s="5">
        <v>37257</v>
      </c>
      <c r="B30">
        <f>VLOOKUP(A30,P:Q,2,0)</f>
        <v>58</v>
      </c>
      <c r="C30">
        <f>IF(ISNA(VLOOKUP(A30,T:U,2,0)),0,VLOOKUP(A30,T:U,2,0))</f>
        <v>140</v>
      </c>
      <c r="D30">
        <f t="shared" si="0"/>
        <v>198</v>
      </c>
      <c r="E30" s="6">
        <f t="shared" si="1"/>
        <v>0.29292929292929293</v>
      </c>
      <c r="F30" s="6">
        <f t="shared" si="2"/>
        <v>0.70707070707070707</v>
      </c>
      <c r="M30" s="5">
        <v>37257</v>
      </c>
      <c r="N30">
        <v>198</v>
      </c>
      <c r="P30" s="5">
        <v>37257</v>
      </c>
      <c r="Q30">
        <v>58</v>
      </c>
      <c r="T30" s="5">
        <v>37377</v>
      </c>
      <c r="U30">
        <v>257</v>
      </c>
      <c r="V30">
        <v>15.13</v>
      </c>
    </row>
    <row r="31" spans="1:22" x14ac:dyDescent="0.25">
      <c r="A31" s="5">
        <v>37288</v>
      </c>
      <c r="B31">
        <f>VLOOKUP(A31,P:Q,2,0)</f>
        <v>77</v>
      </c>
      <c r="C31">
        <f>IF(ISNA(VLOOKUP(A31,T:U,2,0)),0,VLOOKUP(A31,T:U,2,0))</f>
        <v>163</v>
      </c>
      <c r="D31">
        <f t="shared" si="0"/>
        <v>240</v>
      </c>
      <c r="E31" s="6">
        <f t="shared" si="1"/>
        <v>0.32083333333333336</v>
      </c>
      <c r="F31" s="6">
        <f t="shared" si="2"/>
        <v>0.6791666666666667</v>
      </c>
      <c r="M31" s="5">
        <v>37288</v>
      </c>
      <c r="N31">
        <v>240</v>
      </c>
      <c r="P31" s="5">
        <v>37288</v>
      </c>
      <c r="Q31">
        <v>77</v>
      </c>
      <c r="T31" s="5">
        <v>37408</v>
      </c>
      <c r="U31">
        <v>254</v>
      </c>
      <c r="V31">
        <v>14.67</v>
      </c>
    </row>
    <row r="32" spans="1:22" x14ac:dyDescent="0.25">
      <c r="A32" s="5">
        <v>37316</v>
      </c>
      <c r="B32">
        <f>VLOOKUP(A32,P:Q,2,0)</f>
        <v>84</v>
      </c>
      <c r="C32">
        <f>IF(ISNA(VLOOKUP(A32,T:U,2,0)),0,VLOOKUP(A32,T:U,2,0))</f>
        <v>204</v>
      </c>
      <c r="D32">
        <f t="shared" si="0"/>
        <v>288</v>
      </c>
      <c r="E32" s="6">
        <f t="shared" si="1"/>
        <v>0.29166666666666669</v>
      </c>
      <c r="F32" s="6">
        <f t="shared" si="2"/>
        <v>0.70833333333333337</v>
      </c>
      <c r="M32" s="5">
        <v>37316</v>
      </c>
      <c r="N32">
        <v>288</v>
      </c>
      <c r="P32" s="5">
        <v>37316</v>
      </c>
      <c r="Q32">
        <v>84</v>
      </c>
      <c r="T32" s="5">
        <v>37438</v>
      </c>
      <c r="U32">
        <v>265</v>
      </c>
      <c r="V32">
        <v>15.09</v>
      </c>
    </row>
    <row r="33" spans="1:22" x14ac:dyDescent="0.25">
      <c r="A33" s="5">
        <v>37347</v>
      </c>
      <c r="B33">
        <f>VLOOKUP(A33,P:Q,2,0)</f>
        <v>99</v>
      </c>
      <c r="C33">
        <f>IF(ISNA(VLOOKUP(A33,T:U,2,0)),0,VLOOKUP(A33,T:U,2,0))</f>
        <v>228</v>
      </c>
      <c r="D33">
        <f t="shared" si="0"/>
        <v>327</v>
      </c>
      <c r="E33" s="6">
        <f t="shared" si="1"/>
        <v>0.30275229357798167</v>
      </c>
      <c r="F33" s="6">
        <f t="shared" si="2"/>
        <v>0.69724770642201839</v>
      </c>
      <c r="M33" s="5">
        <v>37347</v>
      </c>
      <c r="N33">
        <v>327</v>
      </c>
      <c r="P33" s="5">
        <v>37347</v>
      </c>
      <c r="Q33">
        <v>99</v>
      </c>
      <c r="T33" s="5">
        <v>37469</v>
      </c>
      <c r="U33">
        <v>273</v>
      </c>
      <c r="V33">
        <v>15.44</v>
      </c>
    </row>
    <row r="34" spans="1:22" x14ac:dyDescent="0.25">
      <c r="A34" s="5">
        <v>37377</v>
      </c>
      <c r="B34">
        <f>VLOOKUP(A34,P:Q,2,0)</f>
        <v>93</v>
      </c>
      <c r="C34">
        <f>IF(ISNA(VLOOKUP(A34,T:U,2,0)),0,VLOOKUP(A34,T:U,2,0))</f>
        <v>257</v>
      </c>
      <c r="D34">
        <f t="shared" si="0"/>
        <v>350</v>
      </c>
      <c r="E34" s="6">
        <f t="shared" si="1"/>
        <v>0.26571428571428574</v>
      </c>
      <c r="F34" s="6">
        <f t="shared" si="2"/>
        <v>0.73428571428571432</v>
      </c>
      <c r="M34" s="5">
        <v>37377</v>
      </c>
      <c r="N34">
        <v>350</v>
      </c>
      <c r="P34" s="5">
        <v>37377</v>
      </c>
      <c r="Q34">
        <v>93</v>
      </c>
      <c r="T34" s="5">
        <v>37500</v>
      </c>
      <c r="U34">
        <v>314</v>
      </c>
      <c r="V34">
        <v>15.33</v>
      </c>
    </row>
    <row r="35" spans="1:22" x14ac:dyDescent="0.25">
      <c r="A35" s="5">
        <v>37408</v>
      </c>
      <c r="B35">
        <f>VLOOKUP(A35,P:Q,2,0)</f>
        <v>89</v>
      </c>
      <c r="C35">
        <f>IF(ISNA(VLOOKUP(A35,T:U,2,0)),0,VLOOKUP(A35,T:U,2,0))</f>
        <v>254</v>
      </c>
      <c r="D35">
        <f t="shared" si="0"/>
        <v>343</v>
      </c>
      <c r="E35" s="6">
        <f t="shared" si="1"/>
        <v>0.25947521865889212</v>
      </c>
      <c r="F35" s="6">
        <f t="shared" si="2"/>
        <v>0.74052478134110788</v>
      </c>
      <c r="M35" s="5">
        <v>37408</v>
      </c>
      <c r="N35">
        <v>343</v>
      </c>
      <c r="P35" s="5">
        <v>37408</v>
      </c>
      <c r="Q35">
        <v>89</v>
      </c>
      <c r="T35" s="5">
        <v>37530</v>
      </c>
      <c r="U35">
        <v>366</v>
      </c>
      <c r="V35">
        <v>15.78</v>
      </c>
    </row>
    <row r="36" spans="1:22" x14ac:dyDescent="0.25">
      <c r="A36" s="5">
        <v>37438</v>
      </c>
      <c r="B36">
        <f>VLOOKUP(A36,P:Q,2,0)</f>
        <v>94</v>
      </c>
      <c r="C36">
        <f>IF(ISNA(VLOOKUP(A36,T:U,2,0)),0,VLOOKUP(A36,T:U,2,0))</f>
        <v>265</v>
      </c>
      <c r="D36">
        <f t="shared" si="0"/>
        <v>359</v>
      </c>
      <c r="E36" s="6">
        <f t="shared" si="1"/>
        <v>0.2618384401114206</v>
      </c>
      <c r="F36" s="6">
        <f t="shared" si="2"/>
        <v>0.73816155988857934</v>
      </c>
      <c r="M36" s="5">
        <v>37438</v>
      </c>
      <c r="N36">
        <v>359</v>
      </c>
      <c r="P36" s="5">
        <v>37438</v>
      </c>
      <c r="Q36">
        <v>94</v>
      </c>
      <c r="T36" s="5">
        <v>37561</v>
      </c>
      <c r="U36">
        <v>381</v>
      </c>
      <c r="V36">
        <v>15.41</v>
      </c>
    </row>
    <row r="37" spans="1:22" x14ac:dyDescent="0.25">
      <c r="A37" s="5">
        <v>37469</v>
      </c>
      <c r="B37">
        <f>VLOOKUP(A37,P:Q,2,0)</f>
        <v>90</v>
      </c>
      <c r="C37">
        <f>IF(ISNA(VLOOKUP(A37,T:U,2,0)),0,VLOOKUP(A37,T:U,2,0))</f>
        <v>273</v>
      </c>
      <c r="D37">
        <f t="shared" si="0"/>
        <v>363</v>
      </c>
      <c r="E37" s="6">
        <f t="shared" si="1"/>
        <v>0.24793388429752067</v>
      </c>
      <c r="F37" s="6">
        <f t="shared" si="2"/>
        <v>0.75206611570247939</v>
      </c>
      <c r="M37" s="5">
        <v>37469</v>
      </c>
      <c r="N37">
        <v>363</v>
      </c>
      <c r="P37" s="5">
        <v>37469</v>
      </c>
      <c r="Q37">
        <v>90</v>
      </c>
      <c r="T37" s="5">
        <v>37591</v>
      </c>
      <c r="U37">
        <v>420</v>
      </c>
      <c r="V37">
        <v>15.42</v>
      </c>
    </row>
    <row r="38" spans="1:22" x14ac:dyDescent="0.25">
      <c r="A38" s="5">
        <v>37500</v>
      </c>
      <c r="B38">
        <f>VLOOKUP(A38,P:Q,2,0)</f>
        <v>89</v>
      </c>
      <c r="C38">
        <f>IF(ISNA(VLOOKUP(A38,T:U,2,0)),0,VLOOKUP(A38,T:U,2,0))</f>
        <v>314</v>
      </c>
      <c r="D38">
        <f t="shared" si="0"/>
        <v>403</v>
      </c>
      <c r="E38" s="6">
        <f t="shared" si="1"/>
        <v>0.22084367245657568</v>
      </c>
      <c r="F38" s="6">
        <f t="shared" si="2"/>
        <v>0.77915632754342434</v>
      </c>
      <c r="M38" s="5">
        <v>37500</v>
      </c>
      <c r="N38">
        <v>403</v>
      </c>
      <c r="P38" s="5">
        <v>37500</v>
      </c>
      <c r="Q38">
        <v>89</v>
      </c>
      <c r="T38" s="5">
        <v>37622</v>
      </c>
      <c r="U38">
        <v>385</v>
      </c>
      <c r="V38">
        <v>15.77</v>
      </c>
    </row>
    <row r="39" spans="1:22" x14ac:dyDescent="0.25">
      <c r="A39" s="5">
        <v>37530</v>
      </c>
      <c r="B39">
        <f>VLOOKUP(A39,P:Q,2,0)</f>
        <v>100</v>
      </c>
      <c r="C39">
        <f>IF(ISNA(VLOOKUP(A39,T:U,2,0)),0,VLOOKUP(A39,T:U,2,0))</f>
        <v>366</v>
      </c>
      <c r="D39">
        <f t="shared" si="0"/>
        <v>466</v>
      </c>
      <c r="E39" s="6">
        <f t="shared" si="1"/>
        <v>0.21459227467811159</v>
      </c>
      <c r="F39" s="6">
        <f t="shared" si="2"/>
        <v>0.78540772532188841</v>
      </c>
      <c r="M39" s="5">
        <v>37530</v>
      </c>
      <c r="N39">
        <v>466</v>
      </c>
      <c r="P39" s="5">
        <v>37530</v>
      </c>
      <c r="Q39">
        <v>100</v>
      </c>
      <c r="T39" s="5">
        <v>37653</v>
      </c>
      <c r="U39">
        <v>393</v>
      </c>
      <c r="V39">
        <v>15.41</v>
      </c>
    </row>
    <row r="40" spans="1:22" x14ac:dyDescent="0.25">
      <c r="A40" s="5">
        <v>37561</v>
      </c>
      <c r="B40">
        <f>VLOOKUP(A40,P:Q,2,0)</f>
        <v>104</v>
      </c>
      <c r="C40">
        <f>IF(ISNA(VLOOKUP(A40,T:U,2,0)),0,VLOOKUP(A40,T:U,2,0))</f>
        <v>381</v>
      </c>
      <c r="D40">
        <f t="shared" si="0"/>
        <v>485</v>
      </c>
      <c r="E40" s="6">
        <f t="shared" si="1"/>
        <v>0.21443298969072164</v>
      </c>
      <c r="F40" s="6">
        <f t="shared" si="2"/>
        <v>0.78556701030927834</v>
      </c>
      <c r="M40" s="5">
        <v>37561</v>
      </c>
      <c r="N40">
        <v>485</v>
      </c>
      <c r="P40" s="5">
        <v>37561</v>
      </c>
      <c r="Q40">
        <v>104</v>
      </c>
      <c r="T40" s="5">
        <v>37681</v>
      </c>
      <c r="U40">
        <v>450</v>
      </c>
      <c r="V40">
        <v>15.76</v>
      </c>
    </row>
    <row r="41" spans="1:22" x14ac:dyDescent="0.25">
      <c r="A41" s="5">
        <v>37591</v>
      </c>
      <c r="B41">
        <f>VLOOKUP(A41,P:Q,2,0)</f>
        <v>107</v>
      </c>
      <c r="C41">
        <f>IF(ISNA(VLOOKUP(A41,T:U,2,0)),0,VLOOKUP(A41,T:U,2,0))</f>
        <v>420</v>
      </c>
      <c r="D41">
        <f t="shared" si="0"/>
        <v>527</v>
      </c>
      <c r="E41" s="6">
        <f t="shared" si="1"/>
        <v>0.20303605313092979</v>
      </c>
      <c r="F41" s="6">
        <f t="shared" si="2"/>
        <v>0.79696394686907024</v>
      </c>
      <c r="M41" s="5">
        <v>37591</v>
      </c>
      <c r="N41">
        <v>527</v>
      </c>
      <c r="P41" s="5">
        <v>37591</v>
      </c>
      <c r="Q41">
        <v>107</v>
      </c>
      <c r="T41" s="5">
        <v>37712</v>
      </c>
      <c r="U41">
        <v>535</v>
      </c>
      <c r="V41">
        <v>15.97</v>
      </c>
    </row>
    <row r="42" spans="1:22" x14ac:dyDescent="0.25">
      <c r="A42" s="5">
        <v>37622</v>
      </c>
      <c r="B42">
        <f>VLOOKUP(A42,P:Q,2,0)</f>
        <v>117</v>
      </c>
      <c r="C42">
        <f>IF(ISNA(VLOOKUP(A42,T:U,2,0)),0,VLOOKUP(A42,T:U,2,0))</f>
        <v>385</v>
      </c>
      <c r="D42">
        <f t="shared" si="0"/>
        <v>502</v>
      </c>
      <c r="E42" s="6">
        <f t="shared" si="1"/>
        <v>0.23306772908366533</v>
      </c>
      <c r="F42" s="6">
        <f t="shared" si="2"/>
        <v>0.76693227091633465</v>
      </c>
      <c r="M42" s="5">
        <v>37622</v>
      </c>
      <c r="N42">
        <v>502</v>
      </c>
      <c r="P42" s="5">
        <v>37622</v>
      </c>
      <c r="Q42">
        <v>117</v>
      </c>
      <c r="T42" s="5">
        <v>37742</v>
      </c>
      <c r="U42">
        <v>580</v>
      </c>
      <c r="V42">
        <v>15.55</v>
      </c>
    </row>
    <row r="43" spans="1:22" x14ac:dyDescent="0.25">
      <c r="A43" s="5">
        <v>37653</v>
      </c>
      <c r="B43">
        <f>VLOOKUP(A43,P:Q,2,0)</f>
        <v>111</v>
      </c>
      <c r="C43">
        <f>IF(ISNA(VLOOKUP(A43,T:U,2,0)),0,VLOOKUP(A43,T:U,2,0))</f>
        <v>393</v>
      </c>
      <c r="D43">
        <f t="shared" si="0"/>
        <v>504</v>
      </c>
      <c r="E43" s="6">
        <f t="shared" si="1"/>
        <v>0.22023809523809523</v>
      </c>
      <c r="F43" s="6">
        <f t="shared" si="2"/>
        <v>0.77976190476190477</v>
      </c>
      <c r="M43" s="5">
        <v>37653</v>
      </c>
      <c r="N43">
        <v>504</v>
      </c>
      <c r="P43" s="5">
        <v>37653</v>
      </c>
      <c r="Q43">
        <v>111</v>
      </c>
      <c r="T43" s="5">
        <v>37773</v>
      </c>
      <c r="U43">
        <v>534</v>
      </c>
      <c r="V43">
        <v>15.36</v>
      </c>
    </row>
    <row r="44" spans="1:22" x14ac:dyDescent="0.25">
      <c r="A44" s="5">
        <v>37681</v>
      </c>
      <c r="B44">
        <f>VLOOKUP(A44,P:Q,2,0)</f>
        <v>129</v>
      </c>
      <c r="C44">
        <f>IF(ISNA(VLOOKUP(A44,T:U,2,0)),0,VLOOKUP(A44,T:U,2,0))</f>
        <v>450</v>
      </c>
      <c r="D44">
        <f t="shared" si="0"/>
        <v>579</v>
      </c>
      <c r="E44" s="6">
        <f t="shared" si="1"/>
        <v>0.22279792746113988</v>
      </c>
      <c r="F44" s="6">
        <f t="shared" si="2"/>
        <v>0.77720207253886009</v>
      </c>
      <c r="M44" s="5">
        <v>37681</v>
      </c>
      <c r="N44">
        <v>579</v>
      </c>
      <c r="P44" s="5">
        <v>37681</v>
      </c>
      <c r="Q44">
        <v>129</v>
      </c>
      <c r="T44" s="5">
        <v>37803</v>
      </c>
      <c r="U44">
        <v>574</v>
      </c>
      <c r="V44">
        <v>15.56</v>
      </c>
    </row>
    <row r="45" spans="1:22" x14ac:dyDescent="0.25">
      <c r="A45" s="5">
        <v>37712</v>
      </c>
      <c r="B45">
        <f>VLOOKUP(A45,P:Q,2,0)</f>
        <v>145</v>
      </c>
      <c r="C45">
        <f>IF(ISNA(VLOOKUP(A45,T:U,2,0)),0,VLOOKUP(A45,T:U,2,0))</f>
        <v>535</v>
      </c>
      <c r="D45">
        <f t="shared" si="0"/>
        <v>680</v>
      </c>
      <c r="E45" s="6">
        <f t="shared" si="1"/>
        <v>0.21323529411764705</v>
      </c>
      <c r="F45" s="6">
        <f t="shared" si="2"/>
        <v>0.78676470588235292</v>
      </c>
      <c r="M45" s="5">
        <v>37712</v>
      </c>
      <c r="N45">
        <v>680</v>
      </c>
      <c r="P45" s="5">
        <v>37712</v>
      </c>
      <c r="Q45">
        <v>145</v>
      </c>
      <c r="T45" s="5">
        <v>37834</v>
      </c>
      <c r="U45">
        <v>596</v>
      </c>
      <c r="V45">
        <v>15.81</v>
      </c>
    </row>
    <row r="46" spans="1:22" x14ac:dyDescent="0.25">
      <c r="A46" s="5">
        <v>37742</v>
      </c>
      <c r="B46">
        <f>VLOOKUP(A46,P:Q,2,0)</f>
        <v>172</v>
      </c>
      <c r="C46">
        <f>IF(ISNA(VLOOKUP(A46,T:U,2,0)),0,VLOOKUP(A46,T:U,2,0))</f>
        <v>580</v>
      </c>
      <c r="D46">
        <f t="shared" si="0"/>
        <v>752</v>
      </c>
      <c r="E46" s="6">
        <f t="shared" si="1"/>
        <v>0.22872340425531915</v>
      </c>
      <c r="F46" s="6">
        <f t="shared" si="2"/>
        <v>0.77127659574468088</v>
      </c>
      <c r="M46" s="5">
        <v>37742</v>
      </c>
      <c r="N46">
        <v>752</v>
      </c>
      <c r="P46" s="5">
        <v>37742</v>
      </c>
      <c r="Q46">
        <v>172</v>
      </c>
      <c r="T46" s="5">
        <v>37865</v>
      </c>
      <c r="U46">
        <v>668</v>
      </c>
      <c r="V46">
        <v>15.75</v>
      </c>
    </row>
    <row r="47" spans="1:22" x14ac:dyDescent="0.25">
      <c r="A47" s="5">
        <v>37773</v>
      </c>
      <c r="B47">
        <f>VLOOKUP(A47,P:Q,2,0)</f>
        <v>139</v>
      </c>
      <c r="C47">
        <f>IF(ISNA(VLOOKUP(A47,T:U,2,0)),0,VLOOKUP(A47,T:U,2,0))</f>
        <v>534</v>
      </c>
      <c r="D47">
        <f t="shared" si="0"/>
        <v>673</v>
      </c>
      <c r="E47" s="6">
        <f t="shared" si="1"/>
        <v>0.20653789004457651</v>
      </c>
      <c r="F47" s="6">
        <f t="shared" si="2"/>
        <v>0.79346210995542343</v>
      </c>
      <c r="M47" s="5">
        <v>37773</v>
      </c>
      <c r="N47">
        <v>673</v>
      </c>
      <c r="P47" s="5">
        <v>37773</v>
      </c>
      <c r="Q47">
        <v>139</v>
      </c>
      <c r="T47" s="5">
        <v>37895</v>
      </c>
      <c r="U47">
        <v>724</v>
      </c>
      <c r="V47">
        <v>15.89</v>
      </c>
    </row>
    <row r="48" spans="1:22" x14ac:dyDescent="0.25">
      <c r="A48" s="5">
        <v>37803</v>
      </c>
      <c r="B48">
        <f>VLOOKUP(A48,P:Q,2,0)</f>
        <v>163</v>
      </c>
      <c r="C48">
        <f>IF(ISNA(VLOOKUP(A48,T:U,2,0)),0,VLOOKUP(A48,T:U,2,0))</f>
        <v>574</v>
      </c>
      <c r="D48">
        <f t="shared" si="0"/>
        <v>737</v>
      </c>
      <c r="E48" s="6">
        <f t="shared" si="1"/>
        <v>0.22116689280868385</v>
      </c>
      <c r="F48" s="6">
        <f t="shared" si="2"/>
        <v>0.77883310719131615</v>
      </c>
      <c r="M48" s="5">
        <v>37803</v>
      </c>
      <c r="N48">
        <v>737</v>
      </c>
      <c r="P48" s="5">
        <v>37803</v>
      </c>
      <c r="Q48">
        <v>163</v>
      </c>
      <c r="T48" s="5">
        <v>37926</v>
      </c>
      <c r="U48">
        <v>654</v>
      </c>
      <c r="V48">
        <v>16.059999999999999</v>
      </c>
    </row>
    <row r="49" spans="1:22" x14ac:dyDescent="0.25">
      <c r="A49" s="5">
        <v>37834</v>
      </c>
      <c r="B49">
        <f>VLOOKUP(A49,P:Q,2,0)</f>
        <v>157</v>
      </c>
      <c r="C49">
        <f>IF(ISNA(VLOOKUP(A49,T:U,2,0)),0,VLOOKUP(A49,T:U,2,0))</f>
        <v>596</v>
      </c>
      <c r="D49">
        <f t="shared" si="0"/>
        <v>753</v>
      </c>
      <c r="E49" s="6">
        <f t="shared" si="1"/>
        <v>0.20849933598937584</v>
      </c>
      <c r="F49" s="6">
        <f t="shared" si="2"/>
        <v>0.79150066401062413</v>
      </c>
      <c r="M49" s="5">
        <v>37834</v>
      </c>
      <c r="N49">
        <v>753</v>
      </c>
      <c r="P49" s="5">
        <v>37834</v>
      </c>
      <c r="Q49">
        <v>157</v>
      </c>
      <c r="T49" s="5">
        <v>37956</v>
      </c>
      <c r="U49">
        <v>752</v>
      </c>
      <c r="V49">
        <v>15.71</v>
      </c>
    </row>
    <row r="50" spans="1:22" x14ac:dyDescent="0.25">
      <c r="A50" s="5">
        <v>37865</v>
      </c>
      <c r="B50">
        <f>VLOOKUP(A50,P:Q,2,0)</f>
        <v>170</v>
      </c>
      <c r="C50">
        <f>IF(ISNA(VLOOKUP(A50,T:U,2,0)),0,VLOOKUP(A50,T:U,2,0))</f>
        <v>668</v>
      </c>
      <c r="D50">
        <f t="shared" si="0"/>
        <v>838</v>
      </c>
      <c r="E50" s="6">
        <f t="shared" si="1"/>
        <v>0.20286396181384247</v>
      </c>
      <c r="F50" s="6">
        <f t="shared" si="2"/>
        <v>0.79713603818615753</v>
      </c>
      <c r="M50" s="5">
        <v>37865</v>
      </c>
      <c r="N50">
        <v>838</v>
      </c>
      <c r="P50" s="5">
        <v>37865</v>
      </c>
      <c r="Q50">
        <v>170</v>
      </c>
      <c r="T50" s="5">
        <v>37987</v>
      </c>
      <c r="U50">
        <v>684</v>
      </c>
      <c r="V50">
        <v>16.32</v>
      </c>
    </row>
    <row r="51" spans="1:22" x14ac:dyDescent="0.25">
      <c r="A51" s="5">
        <v>37895</v>
      </c>
      <c r="B51">
        <f>VLOOKUP(A51,P:Q,2,0)</f>
        <v>176</v>
      </c>
      <c r="C51">
        <f>IF(ISNA(VLOOKUP(A51,T:U,2,0)),0,VLOOKUP(A51,T:U,2,0))</f>
        <v>724</v>
      </c>
      <c r="D51">
        <f t="shared" si="0"/>
        <v>900</v>
      </c>
      <c r="E51" s="6">
        <f t="shared" si="1"/>
        <v>0.19555555555555557</v>
      </c>
      <c r="F51" s="6">
        <f t="shared" si="2"/>
        <v>0.80444444444444441</v>
      </c>
      <c r="M51" s="5">
        <v>37895</v>
      </c>
      <c r="N51">
        <v>900</v>
      </c>
      <c r="P51" s="5">
        <v>37895</v>
      </c>
      <c r="Q51">
        <v>176</v>
      </c>
      <c r="T51" s="5">
        <v>38018</v>
      </c>
      <c r="U51">
        <v>661</v>
      </c>
      <c r="V51">
        <v>16.399999999999999</v>
      </c>
    </row>
    <row r="52" spans="1:22" x14ac:dyDescent="0.25">
      <c r="A52" s="5">
        <v>37926</v>
      </c>
      <c r="B52">
        <f>VLOOKUP(A52,P:Q,2,0)</f>
        <v>141</v>
      </c>
      <c r="C52">
        <f>IF(ISNA(VLOOKUP(A52,T:U,2,0)),0,VLOOKUP(A52,T:U,2,0))</f>
        <v>654</v>
      </c>
      <c r="D52">
        <f t="shared" si="0"/>
        <v>795</v>
      </c>
      <c r="E52" s="6">
        <f t="shared" si="1"/>
        <v>0.17735849056603772</v>
      </c>
      <c r="F52" s="6">
        <f t="shared" si="2"/>
        <v>0.8226415094339623</v>
      </c>
      <c r="M52" s="5">
        <v>37926</v>
      </c>
      <c r="N52">
        <v>795</v>
      </c>
      <c r="P52" s="5">
        <v>37926</v>
      </c>
      <c r="Q52">
        <v>141</v>
      </c>
      <c r="T52" s="5">
        <v>38047</v>
      </c>
      <c r="U52">
        <v>907</v>
      </c>
      <c r="V52">
        <v>16.23</v>
      </c>
    </row>
    <row r="53" spans="1:22" x14ac:dyDescent="0.25">
      <c r="A53" s="5">
        <v>37956</v>
      </c>
      <c r="B53">
        <f>VLOOKUP(A53,P:Q,2,0)</f>
        <v>154</v>
      </c>
      <c r="C53">
        <f>IF(ISNA(VLOOKUP(A53,T:U,2,0)),0,VLOOKUP(A53,T:U,2,0))</f>
        <v>752</v>
      </c>
      <c r="D53">
        <f t="shared" si="0"/>
        <v>906</v>
      </c>
      <c r="E53" s="6">
        <f t="shared" si="1"/>
        <v>0.16997792494481237</v>
      </c>
      <c r="F53" s="6">
        <f t="shared" si="2"/>
        <v>0.83002207505518766</v>
      </c>
      <c r="M53" s="5">
        <v>37956</v>
      </c>
      <c r="N53">
        <v>906</v>
      </c>
      <c r="P53" s="5">
        <v>37956</v>
      </c>
      <c r="Q53">
        <v>154</v>
      </c>
      <c r="T53" s="5">
        <v>38078</v>
      </c>
      <c r="U53">
        <v>832</v>
      </c>
      <c r="V53">
        <v>16.34</v>
      </c>
    </row>
    <row r="54" spans="1:22" x14ac:dyDescent="0.25">
      <c r="A54" s="5">
        <v>37987</v>
      </c>
      <c r="B54">
        <f>VLOOKUP(A54,P:Q,2,0)</f>
        <v>140</v>
      </c>
      <c r="C54">
        <f>IF(ISNA(VLOOKUP(A54,T:U,2,0)),0,VLOOKUP(A54,T:U,2,0))</f>
        <v>684</v>
      </c>
      <c r="D54">
        <f t="shared" si="0"/>
        <v>824</v>
      </c>
      <c r="E54" s="6">
        <f t="shared" si="1"/>
        <v>0.16990291262135923</v>
      </c>
      <c r="F54" s="6">
        <f t="shared" si="2"/>
        <v>0.83009708737864074</v>
      </c>
      <c r="M54" s="5">
        <v>37987</v>
      </c>
      <c r="N54">
        <v>824</v>
      </c>
      <c r="P54" s="5">
        <v>37987</v>
      </c>
      <c r="Q54">
        <v>140</v>
      </c>
      <c r="T54" s="5">
        <v>38108</v>
      </c>
      <c r="U54">
        <v>799</v>
      </c>
      <c r="V54">
        <v>16.59</v>
      </c>
    </row>
    <row r="55" spans="1:22" x14ac:dyDescent="0.25">
      <c r="A55" s="5">
        <v>38018</v>
      </c>
      <c r="B55">
        <f>VLOOKUP(A55,P:Q,2,0)</f>
        <v>167</v>
      </c>
      <c r="C55">
        <f>IF(ISNA(VLOOKUP(A55,T:U,2,0)),0,VLOOKUP(A55,T:U,2,0))</f>
        <v>661</v>
      </c>
      <c r="D55">
        <f t="shared" si="0"/>
        <v>828</v>
      </c>
      <c r="E55" s="6">
        <f t="shared" si="1"/>
        <v>0.20169082125603865</v>
      </c>
      <c r="F55" s="6">
        <f t="shared" si="2"/>
        <v>0.79830917874396135</v>
      </c>
      <c r="M55" s="5">
        <v>38018</v>
      </c>
      <c r="N55">
        <v>828</v>
      </c>
      <c r="P55" s="5">
        <v>38018</v>
      </c>
      <c r="Q55">
        <v>167</v>
      </c>
      <c r="T55" s="5">
        <v>38139</v>
      </c>
      <c r="U55">
        <v>815</v>
      </c>
      <c r="V55">
        <v>16.55</v>
      </c>
    </row>
    <row r="56" spans="1:22" x14ac:dyDescent="0.25">
      <c r="A56" s="5">
        <v>38047</v>
      </c>
      <c r="B56">
        <f>VLOOKUP(A56,P:Q,2,0)</f>
        <v>207</v>
      </c>
      <c r="C56">
        <f>IF(ISNA(VLOOKUP(A56,T:U,2,0)),0,VLOOKUP(A56,T:U,2,0))</f>
        <v>907</v>
      </c>
      <c r="D56">
        <f t="shared" si="0"/>
        <v>1114</v>
      </c>
      <c r="E56" s="6">
        <f t="shared" si="1"/>
        <v>0.18581687612208259</v>
      </c>
      <c r="F56" s="6">
        <f t="shared" si="2"/>
        <v>0.81418312387791747</v>
      </c>
      <c r="M56" s="5">
        <v>38047</v>
      </c>
      <c r="N56">
        <v>1114</v>
      </c>
      <c r="P56" s="5">
        <v>38047</v>
      </c>
      <c r="Q56">
        <v>207</v>
      </c>
      <c r="T56" s="5">
        <v>38169</v>
      </c>
      <c r="U56">
        <v>820</v>
      </c>
      <c r="V56">
        <v>15.8</v>
      </c>
    </row>
    <row r="57" spans="1:22" x14ac:dyDescent="0.25">
      <c r="A57" s="5">
        <v>38078</v>
      </c>
      <c r="B57">
        <f>VLOOKUP(A57,P:Q,2,0)</f>
        <v>205</v>
      </c>
      <c r="C57">
        <f>IF(ISNA(VLOOKUP(A57,T:U,2,0)),0,VLOOKUP(A57,T:U,2,0))</f>
        <v>832</v>
      </c>
      <c r="D57">
        <f t="shared" si="0"/>
        <v>1037</v>
      </c>
      <c r="E57" s="6">
        <f t="shared" si="1"/>
        <v>0.19768563162970107</v>
      </c>
      <c r="F57" s="6">
        <f t="shared" si="2"/>
        <v>0.8023143683702989</v>
      </c>
      <c r="M57" s="5">
        <v>38078</v>
      </c>
      <c r="N57">
        <v>1037</v>
      </c>
      <c r="P57" s="5">
        <v>38078</v>
      </c>
      <c r="Q57">
        <v>205</v>
      </c>
      <c r="T57" s="5">
        <v>38200</v>
      </c>
      <c r="U57">
        <v>753</v>
      </c>
      <c r="V57">
        <v>16.7</v>
      </c>
    </row>
    <row r="58" spans="1:22" x14ac:dyDescent="0.25">
      <c r="A58" s="5">
        <v>38108</v>
      </c>
      <c r="B58">
        <f>VLOOKUP(A58,P:Q,2,0)</f>
        <v>170</v>
      </c>
      <c r="C58">
        <f>IF(ISNA(VLOOKUP(A58,T:U,2,0)),0,VLOOKUP(A58,T:U,2,0))</f>
        <v>799</v>
      </c>
      <c r="D58">
        <f t="shared" si="0"/>
        <v>969</v>
      </c>
      <c r="E58" s="6">
        <f t="shared" si="1"/>
        <v>0.17543859649122806</v>
      </c>
      <c r="F58" s="6">
        <f t="shared" si="2"/>
        <v>0.82456140350877194</v>
      </c>
      <c r="M58" s="5">
        <v>38108</v>
      </c>
      <c r="N58">
        <v>969</v>
      </c>
      <c r="P58" s="5">
        <v>38108</v>
      </c>
      <c r="Q58">
        <v>170</v>
      </c>
      <c r="T58" s="5">
        <v>38231</v>
      </c>
      <c r="U58">
        <v>757</v>
      </c>
      <c r="V58">
        <v>16.32</v>
      </c>
    </row>
    <row r="59" spans="1:22" x14ac:dyDescent="0.25">
      <c r="A59" s="5">
        <v>38139</v>
      </c>
      <c r="B59">
        <f>VLOOKUP(A59,P:Q,2,0)</f>
        <v>198</v>
      </c>
      <c r="C59">
        <f>IF(ISNA(VLOOKUP(A59,T:U,2,0)),0,VLOOKUP(A59,T:U,2,0))</f>
        <v>815</v>
      </c>
      <c r="D59">
        <f t="shared" si="0"/>
        <v>1013</v>
      </c>
      <c r="E59" s="6">
        <f t="shared" si="1"/>
        <v>0.19545903257650543</v>
      </c>
      <c r="F59" s="6">
        <f t="shared" si="2"/>
        <v>0.80454096742349457</v>
      </c>
      <c r="M59" s="5">
        <v>38139</v>
      </c>
      <c r="N59">
        <v>1013</v>
      </c>
      <c r="P59" s="5">
        <v>38139</v>
      </c>
      <c r="Q59">
        <v>198</v>
      </c>
      <c r="T59" s="5">
        <v>38261</v>
      </c>
      <c r="U59">
        <v>778</v>
      </c>
      <c r="V59">
        <v>16.43</v>
      </c>
    </row>
    <row r="60" spans="1:22" x14ac:dyDescent="0.25">
      <c r="A60" s="5">
        <v>38169</v>
      </c>
      <c r="B60">
        <f>VLOOKUP(A60,P:Q,2,0)</f>
        <v>192</v>
      </c>
      <c r="C60">
        <f>IF(ISNA(VLOOKUP(A60,T:U,2,0)),0,VLOOKUP(A60,T:U,2,0))</f>
        <v>820</v>
      </c>
      <c r="D60">
        <f t="shared" si="0"/>
        <v>1012</v>
      </c>
      <c r="E60" s="6">
        <f t="shared" si="1"/>
        <v>0.18972332015810275</v>
      </c>
      <c r="F60" s="6">
        <f t="shared" si="2"/>
        <v>0.81027667984189722</v>
      </c>
      <c r="M60" s="5">
        <v>38169</v>
      </c>
      <c r="N60">
        <v>1012</v>
      </c>
      <c r="P60" s="5">
        <v>38169</v>
      </c>
      <c r="Q60">
        <v>192</v>
      </c>
      <c r="T60" s="5">
        <v>38292</v>
      </c>
      <c r="U60">
        <v>742</v>
      </c>
      <c r="V60">
        <v>16.16</v>
      </c>
    </row>
    <row r="61" spans="1:22" x14ac:dyDescent="0.25">
      <c r="A61" s="5">
        <v>38200</v>
      </c>
      <c r="B61">
        <f>VLOOKUP(A61,P:Q,2,0)</f>
        <v>171</v>
      </c>
      <c r="C61">
        <f>IF(ISNA(VLOOKUP(A61,T:U,2,0)),0,VLOOKUP(A61,T:U,2,0))</f>
        <v>753</v>
      </c>
      <c r="D61">
        <f t="shared" si="0"/>
        <v>924</v>
      </c>
      <c r="E61" s="6">
        <f t="shared" si="1"/>
        <v>0.18506493506493507</v>
      </c>
      <c r="F61" s="6">
        <f t="shared" si="2"/>
        <v>0.81493506493506496</v>
      </c>
      <c r="M61" s="5">
        <v>38200</v>
      </c>
      <c r="N61">
        <v>924</v>
      </c>
      <c r="P61" s="5">
        <v>38200</v>
      </c>
      <c r="Q61">
        <v>171</v>
      </c>
      <c r="T61" s="5">
        <v>38322</v>
      </c>
      <c r="U61">
        <v>849</v>
      </c>
      <c r="V61">
        <v>17.18</v>
      </c>
    </row>
    <row r="62" spans="1:22" x14ac:dyDescent="0.25">
      <c r="A62" s="5">
        <v>38231</v>
      </c>
      <c r="B62">
        <f>VLOOKUP(A62,P:Q,2,0)</f>
        <v>169</v>
      </c>
      <c r="C62">
        <f>IF(ISNA(VLOOKUP(A62,T:U,2,0)),0,VLOOKUP(A62,T:U,2,0))</f>
        <v>757</v>
      </c>
      <c r="D62">
        <f t="shared" si="0"/>
        <v>926</v>
      </c>
      <c r="E62" s="6">
        <f t="shared" si="1"/>
        <v>0.18250539956803455</v>
      </c>
      <c r="F62" s="6">
        <f t="shared" si="2"/>
        <v>0.81749460043196542</v>
      </c>
      <c r="M62" s="5">
        <v>38231</v>
      </c>
      <c r="N62">
        <v>926</v>
      </c>
      <c r="P62" s="5">
        <v>38231</v>
      </c>
      <c r="Q62">
        <v>169</v>
      </c>
      <c r="T62" s="5">
        <v>38353</v>
      </c>
      <c r="U62">
        <v>653</v>
      </c>
      <c r="V62">
        <v>16.75</v>
      </c>
    </row>
    <row r="63" spans="1:22" x14ac:dyDescent="0.25">
      <c r="A63" s="5">
        <v>38261</v>
      </c>
      <c r="B63">
        <f>VLOOKUP(A63,P:Q,2,0)</f>
        <v>177</v>
      </c>
      <c r="C63">
        <f>IF(ISNA(VLOOKUP(A63,T:U,2,0)),0,VLOOKUP(A63,T:U,2,0))</f>
        <v>778</v>
      </c>
      <c r="D63">
        <f t="shared" si="0"/>
        <v>955</v>
      </c>
      <c r="E63" s="6">
        <f t="shared" si="1"/>
        <v>0.18534031413612564</v>
      </c>
      <c r="F63" s="6">
        <f t="shared" si="2"/>
        <v>0.81465968586387438</v>
      </c>
      <c r="M63" s="5">
        <v>38261</v>
      </c>
      <c r="N63">
        <v>955</v>
      </c>
      <c r="P63" s="5">
        <v>38261</v>
      </c>
      <c r="Q63">
        <v>177</v>
      </c>
      <c r="T63" s="5">
        <v>38384</v>
      </c>
      <c r="U63">
        <v>757</v>
      </c>
      <c r="V63">
        <v>16.96</v>
      </c>
    </row>
    <row r="64" spans="1:22" x14ac:dyDescent="0.25">
      <c r="A64" s="5">
        <v>38292</v>
      </c>
      <c r="B64">
        <f>VLOOKUP(A64,P:Q,2,0)</f>
        <v>170</v>
      </c>
      <c r="C64">
        <f>IF(ISNA(VLOOKUP(A64,T:U,2,0)),0,VLOOKUP(A64,T:U,2,0))</f>
        <v>742</v>
      </c>
      <c r="D64">
        <f t="shared" si="0"/>
        <v>912</v>
      </c>
      <c r="E64" s="6">
        <f t="shared" si="1"/>
        <v>0.18640350877192982</v>
      </c>
      <c r="F64" s="6">
        <f t="shared" si="2"/>
        <v>0.81359649122807021</v>
      </c>
      <c r="M64" s="5">
        <v>38292</v>
      </c>
      <c r="N64">
        <v>912</v>
      </c>
      <c r="P64" s="5">
        <v>38292</v>
      </c>
      <c r="Q64">
        <v>170</v>
      </c>
      <c r="T64" s="5">
        <v>38412</v>
      </c>
      <c r="U64">
        <v>1028</v>
      </c>
      <c r="V64">
        <v>17.13</v>
      </c>
    </row>
    <row r="65" spans="1:22" x14ac:dyDescent="0.25">
      <c r="A65" s="5">
        <v>38322</v>
      </c>
      <c r="B65">
        <f>VLOOKUP(A65,P:Q,2,0)</f>
        <v>135</v>
      </c>
      <c r="C65">
        <f>IF(ISNA(VLOOKUP(A65,T:U,2,0)),0,VLOOKUP(A65,T:U,2,0))</f>
        <v>849</v>
      </c>
      <c r="D65">
        <f t="shared" si="0"/>
        <v>984</v>
      </c>
      <c r="E65" s="6">
        <f t="shared" si="1"/>
        <v>0.13719512195121952</v>
      </c>
      <c r="F65" s="6">
        <f t="shared" si="2"/>
        <v>0.86280487804878048</v>
      </c>
      <c r="M65" s="5">
        <v>38322</v>
      </c>
      <c r="N65">
        <v>984</v>
      </c>
      <c r="P65" s="5">
        <v>38322</v>
      </c>
      <c r="Q65">
        <v>135</v>
      </c>
      <c r="T65" s="5">
        <v>38443</v>
      </c>
      <c r="U65">
        <v>885</v>
      </c>
      <c r="V65">
        <v>17.05</v>
      </c>
    </row>
    <row r="66" spans="1:22" x14ac:dyDescent="0.25">
      <c r="A66" s="5">
        <v>38353</v>
      </c>
      <c r="B66">
        <f>VLOOKUP(A66,P:Q,2,0)</f>
        <v>156</v>
      </c>
      <c r="C66">
        <f>IF(ISNA(VLOOKUP(A66,T:U,2,0)),0,VLOOKUP(A66,T:U,2,0))</f>
        <v>653</v>
      </c>
      <c r="D66">
        <f t="shared" si="0"/>
        <v>809</v>
      </c>
      <c r="E66" s="6">
        <f t="shared" si="1"/>
        <v>0.19283065512978986</v>
      </c>
      <c r="F66" s="6">
        <f t="shared" si="2"/>
        <v>0.80716934487021008</v>
      </c>
      <c r="M66" s="5">
        <v>38353</v>
      </c>
      <c r="N66">
        <v>809</v>
      </c>
      <c r="P66" s="5">
        <v>38353</v>
      </c>
      <c r="Q66">
        <v>156</v>
      </c>
      <c r="T66" s="5">
        <v>38473</v>
      </c>
      <c r="U66">
        <v>898</v>
      </c>
      <c r="V66">
        <v>16.72</v>
      </c>
    </row>
    <row r="67" spans="1:22" x14ac:dyDescent="0.25">
      <c r="A67" s="5">
        <v>38384</v>
      </c>
      <c r="B67">
        <f>VLOOKUP(A67,P:Q,2,0)</f>
        <v>156</v>
      </c>
      <c r="C67">
        <f>IF(ISNA(VLOOKUP(A67,T:U,2,0)),0,VLOOKUP(A67,T:U,2,0))</f>
        <v>757</v>
      </c>
      <c r="D67">
        <f t="shared" si="0"/>
        <v>913</v>
      </c>
      <c r="E67" s="6">
        <f t="shared" si="1"/>
        <v>0.17086527929901424</v>
      </c>
      <c r="F67" s="6">
        <f t="shared" si="2"/>
        <v>0.82913472070098582</v>
      </c>
      <c r="M67" s="5">
        <v>38384</v>
      </c>
      <c r="N67">
        <v>913</v>
      </c>
      <c r="P67" s="5">
        <v>38384</v>
      </c>
      <c r="Q67">
        <v>156</v>
      </c>
      <c r="T67" s="5">
        <v>38504</v>
      </c>
      <c r="U67">
        <v>925</v>
      </c>
      <c r="V67">
        <v>17</v>
      </c>
    </row>
    <row r="68" spans="1:22" x14ac:dyDescent="0.25">
      <c r="A68" s="5">
        <v>38412</v>
      </c>
      <c r="B68">
        <f>VLOOKUP(A68,P:Q,2,0)</f>
        <v>184</v>
      </c>
      <c r="C68">
        <f>IF(ISNA(VLOOKUP(A68,T:U,2,0)),0,VLOOKUP(A68,T:U,2,0))</f>
        <v>1028</v>
      </c>
      <c r="D68">
        <f t="shared" ref="D68:D131" si="3">B68+C68</f>
        <v>1212</v>
      </c>
      <c r="E68" s="6">
        <f t="shared" ref="E68:E131" si="4">B68/D68</f>
        <v>0.15181518151815182</v>
      </c>
      <c r="F68" s="6">
        <f t="shared" ref="F68:F131" si="5">C68/D68</f>
        <v>0.84818481848184824</v>
      </c>
      <c r="M68" s="5">
        <v>38412</v>
      </c>
      <c r="N68">
        <v>1212</v>
      </c>
      <c r="P68" s="5">
        <v>38412</v>
      </c>
      <c r="Q68">
        <v>184</v>
      </c>
      <c r="T68" s="5">
        <v>38534</v>
      </c>
      <c r="U68">
        <v>748</v>
      </c>
      <c r="V68">
        <v>16.77</v>
      </c>
    </row>
    <row r="69" spans="1:22" x14ac:dyDescent="0.25">
      <c r="A69" s="5">
        <v>38443</v>
      </c>
      <c r="B69">
        <f>VLOOKUP(A69,P:Q,2,0)</f>
        <v>169</v>
      </c>
      <c r="C69">
        <f>IF(ISNA(VLOOKUP(A69,T:U,2,0)),0,VLOOKUP(A69,T:U,2,0))</f>
        <v>885</v>
      </c>
      <c r="D69">
        <f t="shared" si="3"/>
        <v>1054</v>
      </c>
      <c r="E69" s="6">
        <f t="shared" si="4"/>
        <v>0.1603415559772296</v>
      </c>
      <c r="F69" s="6">
        <f t="shared" si="5"/>
        <v>0.83965844402277034</v>
      </c>
      <c r="M69" s="5">
        <v>38443</v>
      </c>
      <c r="N69">
        <v>1054</v>
      </c>
      <c r="P69" s="5">
        <v>38443</v>
      </c>
      <c r="Q69">
        <v>169</v>
      </c>
      <c r="T69" s="5">
        <v>38565</v>
      </c>
      <c r="U69">
        <v>809</v>
      </c>
      <c r="V69">
        <v>17.14</v>
      </c>
    </row>
    <row r="70" spans="1:22" x14ac:dyDescent="0.25">
      <c r="A70" s="5">
        <v>38473</v>
      </c>
      <c r="B70">
        <f>VLOOKUP(A70,P:Q,2,0)</f>
        <v>171</v>
      </c>
      <c r="C70">
        <f>IF(ISNA(VLOOKUP(A70,T:U,2,0)),0,VLOOKUP(A70,T:U,2,0))</f>
        <v>898</v>
      </c>
      <c r="D70">
        <f t="shared" si="3"/>
        <v>1069</v>
      </c>
      <c r="E70" s="6">
        <f t="shared" si="4"/>
        <v>0.1599625818521983</v>
      </c>
      <c r="F70" s="6">
        <f t="shared" si="5"/>
        <v>0.84003741814780164</v>
      </c>
      <c r="M70" s="5">
        <v>38473</v>
      </c>
      <c r="N70">
        <v>1069</v>
      </c>
      <c r="P70" s="5">
        <v>38473</v>
      </c>
      <c r="Q70">
        <v>171</v>
      </c>
      <c r="T70" s="5">
        <v>38596</v>
      </c>
      <c r="U70">
        <v>810</v>
      </c>
      <c r="V70">
        <v>16.66</v>
      </c>
    </row>
    <row r="71" spans="1:22" x14ac:dyDescent="0.25">
      <c r="A71" s="5">
        <v>38504</v>
      </c>
      <c r="B71">
        <f>VLOOKUP(A71,P:Q,2,0)</f>
        <v>171</v>
      </c>
      <c r="C71">
        <f>IF(ISNA(VLOOKUP(A71,T:U,2,0)),0,VLOOKUP(A71,T:U,2,0))</f>
        <v>925</v>
      </c>
      <c r="D71">
        <f t="shared" si="3"/>
        <v>1096</v>
      </c>
      <c r="E71" s="6">
        <f t="shared" si="4"/>
        <v>0.15602189781021897</v>
      </c>
      <c r="F71" s="6">
        <f t="shared" si="5"/>
        <v>0.84397810218978098</v>
      </c>
      <c r="M71" s="5">
        <v>38504</v>
      </c>
      <c r="N71">
        <v>1096</v>
      </c>
      <c r="P71" s="5">
        <v>38504</v>
      </c>
      <c r="Q71">
        <v>171</v>
      </c>
      <c r="T71" s="5">
        <v>38626</v>
      </c>
      <c r="U71">
        <v>748</v>
      </c>
      <c r="V71">
        <v>17.18</v>
      </c>
    </row>
    <row r="72" spans="1:22" x14ac:dyDescent="0.25">
      <c r="A72" s="5">
        <v>38534</v>
      </c>
      <c r="B72">
        <f>VLOOKUP(A72,P:Q,2,0)</f>
        <v>167</v>
      </c>
      <c r="C72">
        <f>IF(ISNA(VLOOKUP(A72,T:U,2,0)),0,VLOOKUP(A72,T:U,2,0))</f>
        <v>748</v>
      </c>
      <c r="D72">
        <f t="shared" si="3"/>
        <v>915</v>
      </c>
      <c r="E72" s="6">
        <f t="shared" si="4"/>
        <v>0.18251366120218579</v>
      </c>
      <c r="F72" s="6">
        <f t="shared" si="5"/>
        <v>0.81748633879781418</v>
      </c>
      <c r="M72" s="5">
        <v>38534</v>
      </c>
      <c r="N72">
        <v>915</v>
      </c>
      <c r="P72" s="5">
        <v>38534</v>
      </c>
      <c r="Q72">
        <v>167</v>
      </c>
      <c r="T72" s="5">
        <v>38657</v>
      </c>
      <c r="U72">
        <v>729</v>
      </c>
      <c r="V72">
        <v>16.61</v>
      </c>
    </row>
    <row r="73" spans="1:22" x14ac:dyDescent="0.25">
      <c r="A73" s="5">
        <v>38565</v>
      </c>
      <c r="B73">
        <f>VLOOKUP(A73,P:Q,2,0)</f>
        <v>174</v>
      </c>
      <c r="C73">
        <f>IF(ISNA(VLOOKUP(A73,T:U,2,0)),0,VLOOKUP(A73,T:U,2,0))</f>
        <v>809</v>
      </c>
      <c r="D73">
        <f t="shared" si="3"/>
        <v>983</v>
      </c>
      <c r="E73" s="6">
        <f t="shared" si="4"/>
        <v>0.17700915564598169</v>
      </c>
      <c r="F73" s="6">
        <f t="shared" si="5"/>
        <v>0.82299084435401826</v>
      </c>
      <c r="M73" s="5">
        <v>38565</v>
      </c>
      <c r="N73">
        <v>983</v>
      </c>
      <c r="P73" s="5">
        <v>38565</v>
      </c>
      <c r="Q73">
        <v>174</v>
      </c>
      <c r="T73" s="5">
        <v>38687</v>
      </c>
      <c r="U73">
        <v>669</v>
      </c>
      <c r="V73">
        <v>17.059999999999999</v>
      </c>
    </row>
    <row r="74" spans="1:22" x14ac:dyDescent="0.25">
      <c r="A74" s="5">
        <v>38596</v>
      </c>
      <c r="B74">
        <f>VLOOKUP(A74,P:Q,2,0)</f>
        <v>157</v>
      </c>
      <c r="C74">
        <f>IF(ISNA(VLOOKUP(A74,T:U,2,0)),0,VLOOKUP(A74,T:U,2,0))</f>
        <v>810</v>
      </c>
      <c r="D74">
        <f t="shared" si="3"/>
        <v>967</v>
      </c>
      <c r="E74" s="6">
        <f t="shared" si="4"/>
        <v>0.1623578076525336</v>
      </c>
      <c r="F74" s="6">
        <f t="shared" si="5"/>
        <v>0.8376421923474664</v>
      </c>
      <c r="M74" s="5">
        <v>38596</v>
      </c>
      <c r="N74">
        <v>967</v>
      </c>
      <c r="P74" s="5">
        <v>38596</v>
      </c>
      <c r="Q74">
        <v>157</v>
      </c>
      <c r="T74" s="5">
        <v>38718</v>
      </c>
      <c r="U74">
        <v>572</v>
      </c>
      <c r="V74">
        <v>17.260000000000002</v>
      </c>
    </row>
    <row r="75" spans="1:22" x14ac:dyDescent="0.25">
      <c r="A75" s="5">
        <v>38626</v>
      </c>
      <c r="B75">
        <f>VLOOKUP(A75,P:Q,2,0)</f>
        <v>146</v>
      </c>
      <c r="C75">
        <f>IF(ISNA(VLOOKUP(A75,T:U,2,0)),0,VLOOKUP(A75,T:U,2,0))</f>
        <v>748</v>
      </c>
      <c r="D75">
        <f t="shared" si="3"/>
        <v>894</v>
      </c>
      <c r="E75" s="6">
        <f t="shared" si="4"/>
        <v>0.16331096196868009</v>
      </c>
      <c r="F75" s="6">
        <f t="shared" si="5"/>
        <v>0.83668903803131989</v>
      </c>
      <c r="M75" s="5">
        <v>38626</v>
      </c>
      <c r="N75">
        <v>894</v>
      </c>
      <c r="P75" s="5">
        <v>38626</v>
      </c>
      <c r="Q75">
        <v>146</v>
      </c>
      <c r="T75" s="5">
        <v>38749</v>
      </c>
      <c r="U75">
        <v>701</v>
      </c>
      <c r="V75">
        <v>17.760000000000002</v>
      </c>
    </row>
    <row r="76" spans="1:22" x14ac:dyDescent="0.25">
      <c r="A76" s="5">
        <v>38657</v>
      </c>
      <c r="B76">
        <f>VLOOKUP(A76,P:Q,2,0)</f>
        <v>127</v>
      </c>
      <c r="C76">
        <f>IF(ISNA(VLOOKUP(A76,T:U,2,0)),0,VLOOKUP(A76,T:U,2,0))</f>
        <v>729</v>
      </c>
      <c r="D76">
        <f t="shared" si="3"/>
        <v>856</v>
      </c>
      <c r="E76" s="6">
        <f t="shared" si="4"/>
        <v>0.14836448598130841</v>
      </c>
      <c r="F76" s="6">
        <f t="shared" si="5"/>
        <v>0.85163551401869164</v>
      </c>
      <c r="M76" s="5">
        <v>38657</v>
      </c>
      <c r="N76">
        <v>856</v>
      </c>
      <c r="P76" s="5">
        <v>38657</v>
      </c>
      <c r="Q76">
        <v>127</v>
      </c>
      <c r="T76" s="5">
        <v>38777</v>
      </c>
      <c r="U76">
        <v>848</v>
      </c>
      <c r="V76">
        <v>17.59</v>
      </c>
    </row>
    <row r="77" spans="1:22" x14ac:dyDescent="0.25">
      <c r="A77" s="5">
        <v>38687</v>
      </c>
      <c r="B77">
        <f>VLOOKUP(A77,P:Q,2,0)</f>
        <v>156</v>
      </c>
      <c r="C77">
        <f>IF(ISNA(VLOOKUP(A77,T:U,2,0)),0,VLOOKUP(A77,T:U,2,0))</f>
        <v>669</v>
      </c>
      <c r="D77">
        <f t="shared" si="3"/>
        <v>825</v>
      </c>
      <c r="E77" s="6">
        <f t="shared" si="4"/>
        <v>0.18909090909090909</v>
      </c>
      <c r="F77" s="6">
        <f t="shared" si="5"/>
        <v>0.81090909090909091</v>
      </c>
      <c r="M77" s="5">
        <v>38687</v>
      </c>
      <c r="N77">
        <v>825</v>
      </c>
      <c r="P77" s="5">
        <v>38687</v>
      </c>
      <c r="Q77">
        <v>156</v>
      </c>
      <c r="T77" s="5">
        <v>38808</v>
      </c>
      <c r="U77">
        <v>677</v>
      </c>
      <c r="V77">
        <v>17.68</v>
      </c>
    </row>
    <row r="78" spans="1:22" x14ac:dyDescent="0.25">
      <c r="A78" s="5">
        <v>38718</v>
      </c>
      <c r="B78">
        <f>VLOOKUP(A78,P:Q,2,0)</f>
        <v>147</v>
      </c>
      <c r="C78">
        <f>IF(ISNA(VLOOKUP(A78,T:U,2,0)),0,VLOOKUP(A78,T:U,2,0))</f>
        <v>572</v>
      </c>
      <c r="D78">
        <f t="shared" si="3"/>
        <v>719</v>
      </c>
      <c r="E78" s="6">
        <f t="shared" si="4"/>
        <v>0.20445062586926285</v>
      </c>
      <c r="F78" s="6">
        <f t="shared" si="5"/>
        <v>0.79554937413073712</v>
      </c>
      <c r="M78" s="5">
        <v>38718</v>
      </c>
      <c r="N78">
        <v>719</v>
      </c>
      <c r="P78" s="5">
        <v>38718</v>
      </c>
      <c r="Q78">
        <v>147</v>
      </c>
      <c r="T78" s="5">
        <v>38838</v>
      </c>
      <c r="U78">
        <v>802</v>
      </c>
      <c r="V78">
        <v>17.05</v>
      </c>
    </row>
    <row r="79" spans="1:22" x14ac:dyDescent="0.25">
      <c r="A79" s="5">
        <v>38749</v>
      </c>
      <c r="B79">
        <f>VLOOKUP(A79,P:Q,2,0)</f>
        <v>138</v>
      </c>
      <c r="C79">
        <f>IF(ISNA(VLOOKUP(A79,T:U,2,0)),0,VLOOKUP(A79,T:U,2,0))</f>
        <v>701</v>
      </c>
      <c r="D79">
        <f t="shared" si="3"/>
        <v>839</v>
      </c>
      <c r="E79" s="6">
        <f t="shared" si="4"/>
        <v>0.16448152562574495</v>
      </c>
      <c r="F79" s="6">
        <f t="shared" si="5"/>
        <v>0.83551847437425508</v>
      </c>
      <c r="M79" s="5">
        <v>38749</v>
      </c>
      <c r="N79">
        <v>839</v>
      </c>
      <c r="P79" s="5">
        <v>38749</v>
      </c>
      <c r="Q79">
        <v>138</v>
      </c>
      <c r="T79" s="5">
        <v>38869</v>
      </c>
      <c r="U79">
        <v>775</v>
      </c>
      <c r="V79">
        <v>16.95</v>
      </c>
    </row>
    <row r="80" spans="1:22" x14ac:dyDescent="0.25">
      <c r="A80" s="5">
        <v>38777</v>
      </c>
      <c r="B80">
        <f>VLOOKUP(A80,P:Q,2,0)</f>
        <v>154</v>
      </c>
      <c r="C80">
        <f>IF(ISNA(VLOOKUP(A80,T:U,2,0)),0,VLOOKUP(A80,T:U,2,0))</f>
        <v>848</v>
      </c>
      <c r="D80">
        <f t="shared" si="3"/>
        <v>1002</v>
      </c>
      <c r="E80" s="6">
        <f t="shared" si="4"/>
        <v>0.15369261477045909</v>
      </c>
      <c r="F80" s="6">
        <f t="shared" si="5"/>
        <v>0.84630738522954096</v>
      </c>
      <c r="M80" s="5">
        <v>38777</v>
      </c>
      <c r="N80">
        <v>1002</v>
      </c>
      <c r="P80" s="5">
        <v>38777</v>
      </c>
      <c r="Q80">
        <v>154</v>
      </c>
      <c r="T80" s="5">
        <v>38899</v>
      </c>
      <c r="U80">
        <v>669</v>
      </c>
      <c r="V80">
        <v>17.89</v>
      </c>
    </row>
    <row r="81" spans="1:22" x14ac:dyDescent="0.25">
      <c r="A81" s="5">
        <v>38808</v>
      </c>
      <c r="B81">
        <f>VLOOKUP(A81,P:Q,2,0)</f>
        <v>159</v>
      </c>
      <c r="C81">
        <f>IF(ISNA(VLOOKUP(A81,T:U,2,0)),0,VLOOKUP(A81,T:U,2,0))</f>
        <v>677</v>
      </c>
      <c r="D81">
        <f t="shared" si="3"/>
        <v>836</v>
      </c>
      <c r="E81" s="6">
        <f t="shared" si="4"/>
        <v>0.19019138755980861</v>
      </c>
      <c r="F81" s="6">
        <f t="shared" si="5"/>
        <v>0.80980861244019142</v>
      </c>
      <c r="M81" s="5">
        <v>38808</v>
      </c>
      <c r="N81">
        <v>836</v>
      </c>
      <c r="P81" s="5">
        <v>38808</v>
      </c>
      <c r="Q81">
        <v>159</v>
      </c>
      <c r="T81" s="5">
        <v>38930</v>
      </c>
      <c r="U81">
        <v>761</v>
      </c>
      <c r="V81">
        <v>17.07</v>
      </c>
    </row>
    <row r="82" spans="1:22" x14ac:dyDescent="0.25">
      <c r="A82" s="5">
        <v>38838</v>
      </c>
      <c r="B82">
        <f>VLOOKUP(A82,P:Q,2,0)</f>
        <v>156</v>
      </c>
      <c r="C82">
        <f>IF(ISNA(VLOOKUP(A82,T:U,2,0)),0,VLOOKUP(A82,T:U,2,0))</f>
        <v>802</v>
      </c>
      <c r="D82">
        <f t="shared" si="3"/>
        <v>958</v>
      </c>
      <c r="E82" s="6">
        <f t="shared" si="4"/>
        <v>0.162839248434238</v>
      </c>
      <c r="F82" s="6">
        <f t="shared" si="5"/>
        <v>0.83716075156576197</v>
      </c>
      <c r="M82" s="5">
        <v>38838</v>
      </c>
      <c r="N82">
        <v>958</v>
      </c>
      <c r="P82" s="5">
        <v>38838</v>
      </c>
      <c r="Q82">
        <v>156</v>
      </c>
      <c r="T82" s="5">
        <v>38961</v>
      </c>
      <c r="U82">
        <v>777</v>
      </c>
      <c r="V82">
        <v>17.38</v>
      </c>
    </row>
    <row r="83" spans="1:22" x14ac:dyDescent="0.25">
      <c r="A83" s="5">
        <v>38869</v>
      </c>
      <c r="B83">
        <f>VLOOKUP(A83,P:Q,2,0)</f>
        <v>169</v>
      </c>
      <c r="C83">
        <f>IF(ISNA(VLOOKUP(A83,T:U,2,0)),0,VLOOKUP(A83,T:U,2,0))</f>
        <v>775</v>
      </c>
      <c r="D83">
        <f t="shared" si="3"/>
        <v>944</v>
      </c>
      <c r="E83" s="6">
        <f t="shared" si="4"/>
        <v>0.17902542372881355</v>
      </c>
      <c r="F83" s="6">
        <f t="shared" si="5"/>
        <v>0.82097457627118642</v>
      </c>
      <c r="M83" s="5">
        <v>38869</v>
      </c>
      <c r="N83">
        <v>944</v>
      </c>
      <c r="P83" s="5">
        <v>38869</v>
      </c>
      <c r="Q83">
        <v>169</v>
      </c>
      <c r="T83" s="5">
        <v>38991</v>
      </c>
      <c r="U83">
        <v>661</v>
      </c>
      <c r="V83">
        <v>17.66</v>
      </c>
    </row>
    <row r="84" spans="1:22" x14ac:dyDescent="0.25">
      <c r="A84" s="5">
        <v>38899</v>
      </c>
      <c r="B84">
        <f>VLOOKUP(A84,P:Q,2,0)</f>
        <v>161</v>
      </c>
      <c r="C84">
        <f>IF(ISNA(VLOOKUP(A84,T:U,2,0)),0,VLOOKUP(A84,T:U,2,0))</f>
        <v>669</v>
      </c>
      <c r="D84">
        <f t="shared" si="3"/>
        <v>830</v>
      </c>
      <c r="E84" s="6">
        <f t="shared" si="4"/>
        <v>0.19397590361445782</v>
      </c>
      <c r="F84" s="6">
        <f t="shared" si="5"/>
        <v>0.80602409638554218</v>
      </c>
      <c r="M84" s="5">
        <v>38899</v>
      </c>
      <c r="N84">
        <v>830</v>
      </c>
      <c r="P84" s="5">
        <v>38899</v>
      </c>
      <c r="Q84">
        <v>161</v>
      </c>
      <c r="T84" s="5">
        <v>39022</v>
      </c>
      <c r="U84">
        <v>685</v>
      </c>
      <c r="V84">
        <v>17.489999999999998</v>
      </c>
    </row>
    <row r="85" spans="1:22" x14ac:dyDescent="0.25">
      <c r="A85" s="5">
        <v>38930</v>
      </c>
      <c r="B85">
        <f>VLOOKUP(A85,P:Q,2,0)</f>
        <v>150</v>
      </c>
      <c r="C85">
        <f>IF(ISNA(VLOOKUP(A85,T:U,2,0)),0,VLOOKUP(A85,T:U,2,0))</f>
        <v>761</v>
      </c>
      <c r="D85">
        <f t="shared" si="3"/>
        <v>911</v>
      </c>
      <c r="E85" s="6">
        <f t="shared" si="4"/>
        <v>0.16465422612513722</v>
      </c>
      <c r="F85" s="6">
        <f t="shared" si="5"/>
        <v>0.83534577387486275</v>
      </c>
      <c r="M85" s="5">
        <v>38930</v>
      </c>
      <c r="N85">
        <v>911</v>
      </c>
      <c r="P85" s="5">
        <v>38930</v>
      </c>
      <c r="Q85">
        <v>150</v>
      </c>
      <c r="T85" s="5">
        <v>39052</v>
      </c>
      <c r="U85">
        <v>672</v>
      </c>
      <c r="V85">
        <v>17.47</v>
      </c>
    </row>
    <row r="86" spans="1:22" x14ac:dyDescent="0.25">
      <c r="A86" s="5">
        <v>38961</v>
      </c>
      <c r="B86">
        <f>VLOOKUP(A86,P:Q,2,0)</f>
        <v>159</v>
      </c>
      <c r="C86">
        <f>IF(ISNA(VLOOKUP(A86,T:U,2,0)),0,VLOOKUP(A86,T:U,2,0))</f>
        <v>777</v>
      </c>
      <c r="D86">
        <f t="shared" si="3"/>
        <v>936</v>
      </c>
      <c r="E86" s="6">
        <f t="shared" si="4"/>
        <v>0.16987179487179488</v>
      </c>
      <c r="F86" s="6">
        <f t="shared" si="5"/>
        <v>0.83012820512820518</v>
      </c>
      <c r="M86" s="5">
        <v>38961</v>
      </c>
      <c r="N86">
        <v>936</v>
      </c>
      <c r="P86" s="5">
        <v>38961</v>
      </c>
      <c r="Q86">
        <v>159</v>
      </c>
      <c r="T86" s="5">
        <v>39083</v>
      </c>
      <c r="U86">
        <v>518</v>
      </c>
      <c r="V86">
        <v>17.38</v>
      </c>
    </row>
    <row r="87" spans="1:22" x14ac:dyDescent="0.25">
      <c r="A87" s="5">
        <v>38991</v>
      </c>
      <c r="B87">
        <f>VLOOKUP(A87,P:Q,2,0)</f>
        <v>143</v>
      </c>
      <c r="C87">
        <f>IF(ISNA(VLOOKUP(A87,T:U,2,0)),0,VLOOKUP(A87,T:U,2,0))</f>
        <v>661</v>
      </c>
      <c r="D87">
        <f t="shared" si="3"/>
        <v>804</v>
      </c>
      <c r="E87" s="6">
        <f t="shared" si="4"/>
        <v>0.17786069651741293</v>
      </c>
      <c r="F87" s="6">
        <f t="shared" si="5"/>
        <v>0.82213930348258701</v>
      </c>
      <c r="M87" s="5">
        <v>38991</v>
      </c>
      <c r="N87">
        <v>804</v>
      </c>
      <c r="P87" s="5">
        <v>38991</v>
      </c>
      <c r="Q87">
        <v>143</v>
      </c>
      <c r="T87" s="5">
        <v>39114</v>
      </c>
      <c r="U87">
        <v>647</v>
      </c>
      <c r="V87">
        <v>17.22</v>
      </c>
    </row>
    <row r="88" spans="1:22" x14ac:dyDescent="0.25">
      <c r="A88" s="5">
        <v>39022</v>
      </c>
      <c r="B88">
        <f>VLOOKUP(A88,P:Q,2,0)</f>
        <v>140</v>
      </c>
      <c r="C88">
        <f>IF(ISNA(VLOOKUP(A88,T:U,2,0)),0,VLOOKUP(A88,T:U,2,0))</f>
        <v>685</v>
      </c>
      <c r="D88">
        <f t="shared" si="3"/>
        <v>825</v>
      </c>
      <c r="E88" s="6">
        <f t="shared" si="4"/>
        <v>0.16969696969696971</v>
      </c>
      <c r="F88" s="6">
        <f t="shared" si="5"/>
        <v>0.83030303030303032</v>
      </c>
      <c r="M88" s="5">
        <v>39022</v>
      </c>
      <c r="N88">
        <v>825</v>
      </c>
      <c r="P88" s="5">
        <v>39022</v>
      </c>
      <c r="Q88">
        <v>140</v>
      </c>
      <c r="T88" s="5">
        <v>39142</v>
      </c>
      <c r="U88">
        <v>846</v>
      </c>
      <c r="V88">
        <v>17.41</v>
      </c>
    </row>
    <row r="89" spans="1:22" x14ac:dyDescent="0.25">
      <c r="A89" s="5">
        <v>39052</v>
      </c>
      <c r="B89">
        <f>VLOOKUP(A89,P:Q,2,0)</f>
        <v>122</v>
      </c>
      <c r="C89">
        <f>IF(ISNA(VLOOKUP(A89,T:U,2,0)),0,VLOOKUP(A89,T:U,2,0))</f>
        <v>672</v>
      </c>
      <c r="D89">
        <f t="shared" si="3"/>
        <v>794</v>
      </c>
      <c r="E89" s="6">
        <f t="shared" si="4"/>
        <v>0.15365239294710328</v>
      </c>
      <c r="F89" s="6">
        <f t="shared" si="5"/>
        <v>0.84634760705289669</v>
      </c>
      <c r="M89" s="5">
        <v>39052</v>
      </c>
      <c r="N89">
        <v>794</v>
      </c>
      <c r="P89" s="5">
        <v>39052</v>
      </c>
      <c r="Q89">
        <v>122</v>
      </c>
      <c r="T89" s="5">
        <v>39173</v>
      </c>
      <c r="U89">
        <v>768</v>
      </c>
      <c r="V89">
        <v>17.47</v>
      </c>
    </row>
    <row r="90" spans="1:22" x14ac:dyDescent="0.25">
      <c r="A90" s="5">
        <v>39083</v>
      </c>
      <c r="B90">
        <f>VLOOKUP(A90,P:Q,2,0)</f>
        <v>176</v>
      </c>
      <c r="C90">
        <f>IF(ISNA(VLOOKUP(A90,T:U,2,0)),0,VLOOKUP(A90,T:U,2,0))</f>
        <v>518</v>
      </c>
      <c r="D90">
        <f t="shared" si="3"/>
        <v>694</v>
      </c>
      <c r="E90" s="6">
        <f t="shared" si="4"/>
        <v>0.25360230547550433</v>
      </c>
      <c r="F90" s="6">
        <f t="shared" si="5"/>
        <v>0.74639769452449567</v>
      </c>
      <c r="M90" s="5">
        <v>39083</v>
      </c>
      <c r="N90">
        <v>694</v>
      </c>
      <c r="P90" s="5">
        <v>39083</v>
      </c>
      <c r="Q90">
        <v>176</v>
      </c>
      <c r="T90" s="5">
        <v>39203</v>
      </c>
      <c r="U90">
        <v>774</v>
      </c>
      <c r="V90">
        <v>16.72</v>
      </c>
    </row>
    <row r="91" spans="1:22" x14ac:dyDescent="0.25">
      <c r="A91" s="5">
        <v>39114</v>
      </c>
      <c r="B91">
        <f>VLOOKUP(A91,P:Q,2,0)</f>
        <v>156</v>
      </c>
      <c r="C91">
        <f>IF(ISNA(VLOOKUP(A91,T:U,2,0)),0,VLOOKUP(A91,T:U,2,0))</f>
        <v>647</v>
      </c>
      <c r="D91">
        <f t="shared" si="3"/>
        <v>803</v>
      </c>
      <c r="E91" s="6">
        <f t="shared" si="4"/>
        <v>0.19427148194271482</v>
      </c>
      <c r="F91" s="6">
        <f t="shared" si="5"/>
        <v>0.80572851805728518</v>
      </c>
      <c r="M91" s="5">
        <v>39114</v>
      </c>
      <c r="N91">
        <v>803</v>
      </c>
      <c r="P91" s="5">
        <v>39114</v>
      </c>
      <c r="Q91">
        <v>156</v>
      </c>
      <c r="T91" s="5">
        <v>39234</v>
      </c>
      <c r="U91">
        <v>725</v>
      </c>
      <c r="V91">
        <v>16.989999999999998</v>
      </c>
    </row>
    <row r="92" spans="1:22" x14ac:dyDescent="0.25">
      <c r="A92" s="5">
        <v>39142</v>
      </c>
      <c r="B92">
        <f>VLOOKUP(A92,P:Q,2,0)</f>
        <v>191</v>
      </c>
      <c r="C92">
        <f>IF(ISNA(VLOOKUP(A92,T:U,2,0)),0,VLOOKUP(A92,T:U,2,0))</f>
        <v>846</v>
      </c>
      <c r="D92">
        <f t="shared" si="3"/>
        <v>1037</v>
      </c>
      <c r="E92" s="6">
        <f t="shared" si="4"/>
        <v>0.18418514946962392</v>
      </c>
      <c r="F92" s="6">
        <f t="shared" si="5"/>
        <v>0.81581485053037606</v>
      </c>
      <c r="M92" s="5">
        <v>39142</v>
      </c>
      <c r="N92">
        <v>1037</v>
      </c>
      <c r="P92" s="5">
        <v>39142</v>
      </c>
      <c r="Q92">
        <v>191</v>
      </c>
      <c r="T92" s="5">
        <v>39264</v>
      </c>
      <c r="U92">
        <v>709</v>
      </c>
      <c r="V92">
        <v>16.670000000000002</v>
      </c>
    </row>
    <row r="93" spans="1:22" x14ac:dyDescent="0.25">
      <c r="A93" s="5">
        <v>39173</v>
      </c>
      <c r="B93">
        <f>VLOOKUP(A93,P:Q,2,0)</f>
        <v>178</v>
      </c>
      <c r="C93">
        <f>IF(ISNA(VLOOKUP(A93,T:U,2,0)),0,VLOOKUP(A93,T:U,2,0))</f>
        <v>768</v>
      </c>
      <c r="D93">
        <f t="shared" si="3"/>
        <v>946</v>
      </c>
      <c r="E93" s="6">
        <f t="shared" si="4"/>
        <v>0.18816067653276955</v>
      </c>
      <c r="F93" s="6">
        <f t="shared" si="5"/>
        <v>0.81183932346723042</v>
      </c>
      <c r="M93" s="5">
        <v>39173</v>
      </c>
      <c r="N93">
        <v>946</v>
      </c>
      <c r="P93" s="5">
        <v>39173</v>
      </c>
      <c r="Q93">
        <v>178</v>
      </c>
      <c r="T93" s="5">
        <v>39295</v>
      </c>
      <c r="U93">
        <v>774</v>
      </c>
      <c r="V93">
        <v>16.61</v>
      </c>
    </row>
    <row r="94" spans="1:22" x14ac:dyDescent="0.25">
      <c r="A94" s="5">
        <v>39203</v>
      </c>
      <c r="B94">
        <f>VLOOKUP(A94,P:Q,2,0)</f>
        <v>243</v>
      </c>
      <c r="C94">
        <f>IF(ISNA(VLOOKUP(A94,T:U,2,0)),0,VLOOKUP(A94,T:U,2,0))</f>
        <v>774</v>
      </c>
      <c r="D94">
        <f t="shared" si="3"/>
        <v>1017</v>
      </c>
      <c r="E94" s="6">
        <f t="shared" si="4"/>
        <v>0.23893805309734514</v>
      </c>
      <c r="F94" s="6">
        <f t="shared" si="5"/>
        <v>0.76106194690265483</v>
      </c>
      <c r="M94" s="5">
        <v>39203</v>
      </c>
      <c r="N94">
        <v>1017</v>
      </c>
      <c r="P94" s="5">
        <v>39203</v>
      </c>
      <c r="Q94">
        <v>243</v>
      </c>
      <c r="T94" s="5">
        <v>39326</v>
      </c>
      <c r="U94">
        <v>708</v>
      </c>
      <c r="V94">
        <v>16.89</v>
      </c>
    </row>
    <row r="95" spans="1:22" x14ac:dyDescent="0.25">
      <c r="A95" s="5">
        <v>39234</v>
      </c>
      <c r="B95">
        <f>VLOOKUP(A95,P:Q,2,0)</f>
        <v>177</v>
      </c>
      <c r="C95">
        <f>IF(ISNA(VLOOKUP(A95,T:U,2,0)),0,VLOOKUP(A95,T:U,2,0))</f>
        <v>725</v>
      </c>
      <c r="D95">
        <f t="shared" si="3"/>
        <v>902</v>
      </c>
      <c r="E95" s="6">
        <f t="shared" si="4"/>
        <v>0.19623059866962306</v>
      </c>
      <c r="F95" s="6">
        <f t="shared" si="5"/>
        <v>0.80376940133037689</v>
      </c>
      <c r="M95" s="5">
        <v>39234</v>
      </c>
      <c r="N95">
        <v>902</v>
      </c>
      <c r="P95" s="5">
        <v>39234</v>
      </c>
      <c r="Q95">
        <v>177</v>
      </c>
      <c r="T95" s="5">
        <v>39356</v>
      </c>
      <c r="U95">
        <v>786</v>
      </c>
      <c r="V95">
        <v>16.899999999999999</v>
      </c>
    </row>
    <row r="96" spans="1:22" x14ac:dyDescent="0.25">
      <c r="A96" s="5">
        <v>39264</v>
      </c>
      <c r="B96">
        <f>VLOOKUP(A96,P:Q,2,0)</f>
        <v>166</v>
      </c>
      <c r="C96">
        <f>IF(ISNA(VLOOKUP(A96,T:U,2,0)),0,VLOOKUP(A96,T:U,2,0))</f>
        <v>709</v>
      </c>
      <c r="D96">
        <f t="shared" si="3"/>
        <v>875</v>
      </c>
      <c r="E96" s="6">
        <f t="shared" si="4"/>
        <v>0.18971428571428572</v>
      </c>
      <c r="F96" s="6">
        <f t="shared" si="5"/>
        <v>0.81028571428571428</v>
      </c>
      <c r="M96" s="5">
        <v>39264</v>
      </c>
      <c r="N96">
        <v>875</v>
      </c>
      <c r="P96" s="5">
        <v>39264</v>
      </c>
      <c r="Q96">
        <v>166</v>
      </c>
      <c r="T96" s="5">
        <v>39387</v>
      </c>
      <c r="U96">
        <v>739</v>
      </c>
      <c r="V96">
        <v>16.64</v>
      </c>
    </row>
    <row r="97" spans="1:22" x14ac:dyDescent="0.25">
      <c r="A97" s="5">
        <v>39295</v>
      </c>
      <c r="B97">
        <f>VLOOKUP(A97,P:Q,2,0)</f>
        <v>214</v>
      </c>
      <c r="C97">
        <f>IF(ISNA(VLOOKUP(A97,T:U,2,0)),0,VLOOKUP(A97,T:U,2,0))</f>
        <v>774</v>
      </c>
      <c r="D97">
        <f t="shared" si="3"/>
        <v>988</v>
      </c>
      <c r="E97" s="6">
        <f t="shared" si="4"/>
        <v>0.2165991902834008</v>
      </c>
      <c r="F97" s="6">
        <f t="shared" si="5"/>
        <v>0.7834008097165992</v>
      </c>
      <c r="M97" s="5">
        <v>39295</v>
      </c>
      <c r="N97">
        <v>988</v>
      </c>
      <c r="P97" s="5">
        <v>39295</v>
      </c>
      <c r="Q97">
        <v>214</v>
      </c>
      <c r="T97" s="5">
        <v>39417</v>
      </c>
      <c r="U97">
        <v>878</v>
      </c>
      <c r="V97">
        <v>16.53</v>
      </c>
    </row>
    <row r="98" spans="1:22" x14ac:dyDescent="0.25">
      <c r="A98" s="5">
        <v>39326</v>
      </c>
      <c r="B98">
        <f>VLOOKUP(A98,P:Q,2,0)</f>
        <v>138</v>
      </c>
      <c r="C98">
        <f>IF(ISNA(VLOOKUP(A98,T:U,2,0)),0,VLOOKUP(A98,T:U,2,0))</f>
        <v>708</v>
      </c>
      <c r="D98">
        <f t="shared" si="3"/>
        <v>846</v>
      </c>
      <c r="E98" s="6">
        <f t="shared" si="4"/>
        <v>0.16312056737588654</v>
      </c>
      <c r="F98" s="6">
        <f t="shared" si="5"/>
        <v>0.83687943262411346</v>
      </c>
      <c r="M98" s="5">
        <v>39326</v>
      </c>
      <c r="N98">
        <v>846</v>
      </c>
      <c r="P98" s="5">
        <v>39326</v>
      </c>
      <c r="Q98">
        <v>138</v>
      </c>
      <c r="T98" s="5">
        <v>39448</v>
      </c>
      <c r="U98">
        <v>814</v>
      </c>
      <c r="V98">
        <v>16.29</v>
      </c>
    </row>
    <row r="99" spans="1:22" x14ac:dyDescent="0.25">
      <c r="A99" s="5">
        <v>39356</v>
      </c>
      <c r="B99">
        <f>VLOOKUP(A99,P:Q,2,0)</f>
        <v>179</v>
      </c>
      <c r="C99">
        <f>IF(ISNA(VLOOKUP(A99,T:U,2,0)),0,VLOOKUP(A99,T:U,2,0))</f>
        <v>786</v>
      </c>
      <c r="D99">
        <f t="shared" si="3"/>
        <v>965</v>
      </c>
      <c r="E99" s="6">
        <f t="shared" si="4"/>
        <v>0.18549222797927462</v>
      </c>
      <c r="F99" s="6">
        <f t="shared" si="5"/>
        <v>0.81450777202072544</v>
      </c>
      <c r="M99" s="5">
        <v>39356</v>
      </c>
      <c r="N99">
        <v>965</v>
      </c>
      <c r="P99" s="5">
        <v>39356</v>
      </c>
      <c r="Q99">
        <v>179</v>
      </c>
      <c r="T99" s="5">
        <v>39479</v>
      </c>
      <c r="U99">
        <v>851</v>
      </c>
      <c r="V99">
        <v>16.25</v>
      </c>
    </row>
    <row r="100" spans="1:22" x14ac:dyDescent="0.25">
      <c r="A100" s="5">
        <v>39387</v>
      </c>
      <c r="B100">
        <f>VLOOKUP(A100,P:Q,2,0)</f>
        <v>181</v>
      </c>
      <c r="C100">
        <f>IF(ISNA(VLOOKUP(A100,T:U,2,0)),0,VLOOKUP(A100,T:U,2,0))</f>
        <v>739</v>
      </c>
      <c r="D100">
        <f t="shared" si="3"/>
        <v>920</v>
      </c>
      <c r="E100" s="6">
        <f t="shared" si="4"/>
        <v>0.19673913043478261</v>
      </c>
      <c r="F100" s="6">
        <f t="shared" si="5"/>
        <v>0.80326086956521736</v>
      </c>
      <c r="M100" s="5">
        <v>39387</v>
      </c>
      <c r="N100">
        <v>920</v>
      </c>
      <c r="P100" s="5">
        <v>39387</v>
      </c>
      <c r="Q100">
        <v>181</v>
      </c>
      <c r="T100" s="5">
        <v>39508</v>
      </c>
      <c r="U100">
        <v>971</v>
      </c>
      <c r="V100">
        <v>16.71</v>
      </c>
    </row>
    <row r="101" spans="1:22" x14ac:dyDescent="0.25">
      <c r="A101" s="5">
        <v>39417</v>
      </c>
      <c r="B101">
        <f>VLOOKUP(A101,P:Q,2,0)</f>
        <v>161</v>
      </c>
      <c r="C101">
        <f>IF(ISNA(VLOOKUP(A101,T:U,2,0)),0,VLOOKUP(A101,T:U,2,0))</f>
        <v>878</v>
      </c>
      <c r="D101">
        <f t="shared" si="3"/>
        <v>1039</v>
      </c>
      <c r="E101" s="6">
        <f t="shared" si="4"/>
        <v>0.15495668912415783</v>
      </c>
      <c r="F101" s="6">
        <f t="shared" si="5"/>
        <v>0.84504331087584217</v>
      </c>
      <c r="M101" s="5">
        <v>39417</v>
      </c>
      <c r="N101">
        <v>1039</v>
      </c>
      <c r="P101" s="5">
        <v>39417</v>
      </c>
      <c r="Q101">
        <v>161</v>
      </c>
      <c r="T101" s="5">
        <v>39539</v>
      </c>
      <c r="U101">
        <v>1029</v>
      </c>
      <c r="V101">
        <v>16.03</v>
      </c>
    </row>
    <row r="102" spans="1:22" x14ac:dyDescent="0.25">
      <c r="A102" s="5">
        <v>39448</v>
      </c>
      <c r="B102">
        <f>VLOOKUP(A102,P:Q,2,0)</f>
        <v>205</v>
      </c>
      <c r="C102">
        <f>IF(ISNA(VLOOKUP(A102,T:U,2,0)),0,VLOOKUP(A102,T:U,2,0))</f>
        <v>814</v>
      </c>
      <c r="D102">
        <f t="shared" si="3"/>
        <v>1019</v>
      </c>
      <c r="E102" s="6">
        <f t="shared" si="4"/>
        <v>0.20117762512266929</v>
      </c>
      <c r="F102" s="6">
        <f t="shared" si="5"/>
        <v>0.79882237487733077</v>
      </c>
      <c r="M102" s="5">
        <v>39448</v>
      </c>
      <c r="N102">
        <v>1019</v>
      </c>
      <c r="P102" s="5">
        <v>39448</v>
      </c>
      <c r="Q102">
        <v>205</v>
      </c>
      <c r="T102" s="5">
        <v>39569</v>
      </c>
      <c r="U102">
        <v>1199</v>
      </c>
      <c r="V102">
        <v>15.61</v>
      </c>
    </row>
    <row r="103" spans="1:22" x14ac:dyDescent="0.25">
      <c r="A103" s="5">
        <v>39479</v>
      </c>
      <c r="B103">
        <f>VLOOKUP(A103,P:Q,2,0)</f>
        <v>201</v>
      </c>
      <c r="C103">
        <f>IF(ISNA(VLOOKUP(A103,T:U,2,0)),0,VLOOKUP(A103,T:U,2,0))</f>
        <v>851</v>
      </c>
      <c r="D103">
        <f t="shared" si="3"/>
        <v>1052</v>
      </c>
      <c r="E103" s="6">
        <f t="shared" si="4"/>
        <v>0.19106463878326996</v>
      </c>
      <c r="F103" s="6">
        <f t="shared" si="5"/>
        <v>0.80893536121673004</v>
      </c>
      <c r="M103" s="5">
        <v>39479</v>
      </c>
      <c r="N103">
        <v>1052</v>
      </c>
      <c r="P103" s="5">
        <v>39479</v>
      </c>
      <c r="Q103">
        <v>201</v>
      </c>
      <c r="T103" s="5">
        <v>39600</v>
      </c>
      <c r="U103">
        <v>1223</v>
      </c>
      <c r="V103">
        <v>15.55</v>
      </c>
    </row>
    <row r="104" spans="1:22" x14ac:dyDescent="0.25">
      <c r="A104" s="5">
        <v>39508</v>
      </c>
      <c r="B104">
        <f>VLOOKUP(A104,P:Q,2,0)</f>
        <v>218</v>
      </c>
      <c r="C104">
        <f>IF(ISNA(VLOOKUP(A104,T:U,2,0)),0,VLOOKUP(A104,T:U,2,0))</f>
        <v>971</v>
      </c>
      <c r="D104">
        <f t="shared" si="3"/>
        <v>1189</v>
      </c>
      <c r="E104" s="6">
        <f t="shared" si="4"/>
        <v>0.18334735071488645</v>
      </c>
      <c r="F104" s="6">
        <f t="shared" si="5"/>
        <v>0.8166526492851135</v>
      </c>
      <c r="M104" s="5">
        <v>39508</v>
      </c>
      <c r="N104">
        <v>1189</v>
      </c>
      <c r="P104" s="5">
        <v>39508</v>
      </c>
      <c r="Q104">
        <v>218</v>
      </c>
      <c r="T104" s="5">
        <v>39630</v>
      </c>
      <c r="U104">
        <v>1123</v>
      </c>
      <c r="V104">
        <v>15.37</v>
      </c>
    </row>
    <row r="105" spans="1:22" x14ac:dyDescent="0.25">
      <c r="A105" s="5">
        <v>39539</v>
      </c>
      <c r="B105">
        <f>VLOOKUP(A105,P:Q,2,0)</f>
        <v>295</v>
      </c>
      <c r="C105">
        <f>IF(ISNA(VLOOKUP(A105,T:U,2,0)),0,VLOOKUP(A105,T:U,2,0))</f>
        <v>1029</v>
      </c>
      <c r="D105">
        <f t="shared" si="3"/>
        <v>1324</v>
      </c>
      <c r="E105" s="6">
        <f t="shared" si="4"/>
        <v>0.22280966767371602</v>
      </c>
      <c r="F105" s="6">
        <f t="shared" si="5"/>
        <v>0.77719033232628398</v>
      </c>
      <c r="M105" s="5">
        <v>39539</v>
      </c>
      <c r="N105">
        <v>1324</v>
      </c>
      <c r="P105" s="5">
        <v>39539</v>
      </c>
      <c r="Q105">
        <v>295</v>
      </c>
      <c r="T105" s="5">
        <v>39661</v>
      </c>
      <c r="U105">
        <v>1185</v>
      </c>
      <c r="V105">
        <v>15.42</v>
      </c>
    </row>
    <row r="106" spans="1:22" x14ac:dyDescent="0.25">
      <c r="A106" s="5">
        <v>39569</v>
      </c>
      <c r="B106">
        <f>VLOOKUP(A106,P:Q,2,0)</f>
        <v>289</v>
      </c>
      <c r="C106">
        <f>IF(ISNA(VLOOKUP(A106,T:U,2,0)),0,VLOOKUP(A106,T:U,2,0))</f>
        <v>1199</v>
      </c>
      <c r="D106">
        <f t="shared" si="3"/>
        <v>1488</v>
      </c>
      <c r="E106" s="6">
        <f t="shared" si="4"/>
        <v>0.19422043010752688</v>
      </c>
      <c r="F106" s="6">
        <f t="shared" si="5"/>
        <v>0.80577956989247312</v>
      </c>
      <c r="M106" s="5">
        <v>39569</v>
      </c>
      <c r="N106">
        <v>1488</v>
      </c>
      <c r="P106" s="5">
        <v>39569</v>
      </c>
      <c r="Q106">
        <v>289</v>
      </c>
      <c r="T106" s="5">
        <v>39692</v>
      </c>
      <c r="U106">
        <v>1144</v>
      </c>
      <c r="V106">
        <v>15.89</v>
      </c>
    </row>
    <row r="107" spans="1:22" x14ac:dyDescent="0.25">
      <c r="A107" s="5">
        <v>39600</v>
      </c>
      <c r="B107">
        <f>VLOOKUP(A107,P:Q,2,0)</f>
        <v>268</v>
      </c>
      <c r="C107">
        <f>IF(ISNA(VLOOKUP(A107,T:U,2,0)),0,VLOOKUP(A107,T:U,2,0))</f>
        <v>1223</v>
      </c>
      <c r="D107">
        <f t="shared" si="3"/>
        <v>1491</v>
      </c>
      <c r="E107" s="6">
        <f t="shared" si="4"/>
        <v>0.17974513749161636</v>
      </c>
      <c r="F107" s="6">
        <f t="shared" si="5"/>
        <v>0.82025486250838364</v>
      </c>
      <c r="M107" s="5">
        <v>39600</v>
      </c>
      <c r="N107">
        <v>1491</v>
      </c>
      <c r="P107" s="5">
        <v>39600</v>
      </c>
      <c r="Q107">
        <v>268</v>
      </c>
      <c r="T107" s="5">
        <v>39722</v>
      </c>
      <c r="U107">
        <v>1318</v>
      </c>
      <c r="V107">
        <v>15.86</v>
      </c>
    </row>
    <row r="108" spans="1:22" x14ac:dyDescent="0.25">
      <c r="A108" s="5">
        <v>39630</v>
      </c>
      <c r="B108">
        <f>VLOOKUP(A108,P:Q,2,0)</f>
        <v>325</v>
      </c>
      <c r="C108">
        <f>IF(ISNA(VLOOKUP(A108,T:U,2,0)),0,VLOOKUP(A108,T:U,2,0))</f>
        <v>1123</v>
      </c>
      <c r="D108">
        <f t="shared" si="3"/>
        <v>1448</v>
      </c>
      <c r="E108" s="6">
        <f t="shared" si="4"/>
        <v>0.22444751381215469</v>
      </c>
      <c r="F108" s="6">
        <f t="shared" si="5"/>
        <v>0.77555248618784534</v>
      </c>
      <c r="M108" s="5">
        <v>39630</v>
      </c>
      <c r="N108">
        <v>1448</v>
      </c>
      <c r="P108" s="5">
        <v>39630</v>
      </c>
      <c r="Q108">
        <v>325</v>
      </c>
      <c r="T108" s="5">
        <v>39753</v>
      </c>
      <c r="U108">
        <v>1018</v>
      </c>
      <c r="V108">
        <v>15.51</v>
      </c>
    </row>
    <row r="109" spans="1:22" x14ac:dyDescent="0.25">
      <c r="A109" s="5">
        <v>39661</v>
      </c>
      <c r="B109">
        <f>VLOOKUP(A109,P:Q,2,0)</f>
        <v>364</v>
      </c>
      <c r="C109">
        <f>IF(ISNA(VLOOKUP(A109,T:U,2,0)),0,VLOOKUP(A109,T:U,2,0))</f>
        <v>1185</v>
      </c>
      <c r="D109">
        <f t="shared" si="3"/>
        <v>1549</v>
      </c>
      <c r="E109" s="6">
        <f t="shared" si="4"/>
        <v>0.23499031633311815</v>
      </c>
      <c r="F109" s="6">
        <f t="shared" si="5"/>
        <v>0.76500968366688182</v>
      </c>
      <c r="M109" s="5">
        <v>39661</v>
      </c>
      <c r="N109">
        <v>1549</v>
      </c>
      <c r="P109" s="5">
        <v>39661</v>
      </c>
      <c r="Q109">
        <v>364</v>
      </c>
      <c r="T109" s="5">
        <v>39783</v>
      </c>
      <c r="U109">
        <v>1546</v>
      </c>
      <c r="V109">
        <v>15.67</v>
      </c>
    </row>
    <row r="110" spans="1:22" x14ac:dyDescent="0.25">
      <c r="A110" s="5">
        <v>39692</v>
      </c>
      <c r="B110">
        <f>VLOOKUP(A110,P:Q,2,0)</f>
        <v>416</v>
      </c>
      <c r="C110">
        <f>IF(ISNA(VLOOKUP(A110,T:U,2,0)),0,VLOOKUP(A110,T:U,2,0))</f>
        <v>1144</v>
      </c>
      <c r="D110">
        <f t="shared" si="3"/>
        <v>1560</v>
      </c>
      <c r="E110" s="6">
        <f t="shared" si="4"/>
        <v>0.26666666666666666</v>
      </c>
      <c r="F110" s="6">
        <f t="shared" si="5"/>
        <v>0.73333333333333328</v>
      </c>
      <c r="M110" s="5">
        <v>39692</v>
      </c>
      <c r="N110">
        <v>1560</v>
      </c>
      <c r="P110" s="5">
        <v>39692</v>
      </c>
      <c r="Q110">
        <v>416</v>
      </c>
      <c r="T110" s="5">
        <v>39814</v>
      </c>
      <c r="U110">
        <v>1342</v>
      </c>
      <c r="V110">
        <v>15.92</v>
      </c>
    </row>
    <row r="111" spans="1:22" x14ac:dyDescent="0.25">
      <c r="A111" s="5">
        <v>39722</v>
      </c>
      <c r="B111">
        <f>VLOOKUP(A111,P:Q,2,0)</f>
        <v>469</v>
      </c>
      <c r="C111">
        <f>IF(ISNA(VLOOKUP(A111,T:U,2,0)),0,VLOOKUP(A111,T:U,2,0))</f>
        <v>1318</v>
      </c>
      <c r="D111">
        <f t="shared" si="3"/>
        <v>1787</v>
      </c>
      <c r="E111" s="6">
        <f t="shared" si="4"/>
        <v>0.26245103525461666</v>
      </c>
      <c r="F111" s="6">
        <f t="shared" si="5"/>
        <v>0.73754896474538334</v>
      </c>
      <c r="M111" s="5">
        <v>39722</v>
      </c>
      <c r="N111">
        <v>1787</v>
      </c>
      <c r="P111" s="5">
        <v>39722</v>
      </c>
      <c r="Q111">
        <v>469</v>
      </c>
      <c r="T111" s="5">
        <v>39845</v>
      </c>
      <c r="U111">
        <v>1508</v>
      </c>
      <c r="V111">
        <v>16.329999999999998</v>
      </c>
    </row>
    <row r="112" spans="1:22" x14ac:dyDescent="0.25">
      <c r="A112" s="5">
        <v>39753</v>
      </c>
      <c r="B112">
        <f>VLOOKUP(A112,P:Q,2,0)</f>
        <v>348</v>
      </c>
      <c r="C112">
        <f>IF(ISNA(VLOOKUP(A112,T:U,2,0)),0,VLOOKUP(A112,T:U,2,0))</f>
        <v>1018</v>
      </c>
      <c r="D112">
        <f t="shared" si="3"/>
        <v>1366</v>
      </c>
      <c r="E112" s="6">
        <f t="shared" si="4"/>
        <v>0.2547584187408492</v>
      </c>
      <c r="F112" s="6">
        <f t="shared" si="5"/>
        <v>0.74524158125915085</v>
      </c>
      <c r="M112" s="5">
        <v>39753</v>
      </c>
      <c r="N112">
        <v>1366</v>
      </c>
      <c r="P112" s="5">
        <v>39753</v>
      </c>
      <c r="Q112">
        <v>348</v>
      </c>
      <c r="T112" s="5">
        <v>39873</v>
      </c>
      <c r="U112">
        <v>1844</v>
      </c>
      <c r="V112">
        <v>16.53</v>
      </c>
    </row>
    <row r="113" spans="1:22" x14ac:dyDescent="0.25">
      <c r="A113" s="5">
        <v>39783</v>
      </c>
      <c r="B113">
        <f>VLOOKUP(A113,P:Q,2,0)</f>
        <v>370</v>
      </c>
      <c r="C113">
        <f>IF(ISNA(VLOOKUP(A113,T:U,2,0)),0,VLOOKUP(A113,T:U,2,0))</f>
        <v>1546</v>
      </c>
      <c r="D113">
        <f t="shared" si="3"/>
        <v>1916</v>
      </c>
      <c r="E113" s="6">
        <f t="shared" si="4"/>
        <v>0.1931106471816284</v>
      </c>
      <c r="F113" s="6">
        <f t="shared" si="5"/>
        <v>0.8068893528183716</v>
      </c>
      <c r="M113" s="5">
        <v>39783</v>
      </c>
      <c r="N113">
        <v>1916</v>
      </c>
      <c r="P113" s="5">
        <v>39783</v>
      </c>
      <c r="Q113">
        <v>370</v>
      </c>
      <c r="T113" s="5">
        <v>39904</v>
      </c>
      <c r="U113">
        <v>1728</v>
      </c>
      <c r="V113">
        <v>16.28</v>
      </c>
    </row>
    <row r="114" spans="1:22" x14ac:dyDescent="0.25">
      <c r="A114" s="5">
        <v>39814</v>
      </c>
      <c r="B114">
        <f>VLOOKUP(A114,P:Q,2,0)</f>
        <v>332</v>
      </c>
      <c r="C114">
        <f>IF(ISNA(VLOOKUP(A114,T:U,2,0)),0,VLOOKUP(A114,T:U,2,0))</f>
        <v>1342</v>
      </c>
      <c r="D114">
        <f t="shared" si="3"/>
        <v>1674</v>
      </c>
      <c r="E114" s="6">
        <f t="shared" si="4"/>
        <v>0.19832735961768219</v>
      </c>
      <c r="F114" s="6">
        <f t="shared" si="5"/>
        <v>0.80167264038231778</v>
      </c>
      <c r="M114" s="5">
        <v>39814</v>
      </c>
      <c r="N114">
        <v>1674</v>
      </c>
      <c r="P114" s="5">
        <v>39814</v>
      </c>
      <c r="Q114">
        <v>332</v>
      </c>
      <c r="T114" s="5">
        <v>39934</v>
      </c>
      <c r="U114">
        <v>1800</v>
      </c>
      <c r="V114">
        <v>16.43</v>
      </c>
    </row>
    <row r="115" spans="1:22" x14ac:dyDescent="0.25">
      <c r="A115" s="5">
        <v>39845</v>
      </c>
      <c r="B115">
        <f>VLOOKUP(A115,P:Q,2,0)</f>
        <v>499</v>
      </c>
      <c r="C115">
        <f>IF(ISNA(VLOOKUP(A115,T:U,2,0)),0,VLOOKUP(A115,T:U,2,0))</f>
        <v>1508</v>
      </c>
      <c r="D115">
        <f t="shared" si="3"/>
        <v>2007</v>
      </c>
      <c r="E115" s="6">
        <f t="shared" si="4"/>
        <v>0.24862979571499752</v>
      </c>
      <c r="F115" s="6">
        <f t="shared" si="5"/>
        <v>0.75137020428500245</v>
      </c>
      <c r="M115" s="5">
        <v>39845</v>
      </c>
      <c r="N115">
        <v>2007</v>
      </c>
      <c r="P115" s="5">
        <v>39845</v>
      </c>
      <c r="Q115">
        <v>499</v>
      </c>
      <c r="T115" s="5">
        <v>39965</v>
      </c>
      <c r="U115">
        <v>2078</v>
      </c>
      <c r="V115">
        <v>16.329999999999998</v>
      </c>
    </row>
    <row r="116" spans="1:22" x14ac:dyDescent="0.25">
      <c r="A116" s="5">
        <v>39873</v>
      </c>
      <c r="B116">
        <f>VLOOKUP(A116,P:Q,2,0)</f>
        <v>534</v>
      </c>
      <c r="C116">
        <f>IF(ISNA(VLOOKUP(A116,T:U,2,0)),0,VLOOKUP(A116,T:U,2,0))</f>
        <v>1844</v>
      </c>
      <c r="D116">
        <f t="shared" si="3"/>
        <v>2378</v>
      </c>
      <c r="E116" s="6">
        <f t="shared" si="4"/>
        <v>0.22455845248107653</v>
      </c>
      <c r="F116" s="6">
        <f t="shared" si="5"/>
        <v>0.77544154751892347</v>
      </c>
      <c r="M116" s="5">
        <v>39873</v>
      </c>
      <c r="N116">
        <v>2378</v>
      </c>
      <c r="P116" s="5">
        <v>39873</v>
      </c>
      <c r="Q116">
        <v>534</v>
      </c>
      <c r="T116" s="5">
        <v>39995</v>
      </c>
      <c r="U116">
        <v>2084</v>
      </c>
      <c r="V116">
        <v>16.23</v>
      </c>
    </row>
    <row r="117" spans="1:22" x14ac:dyDescent="0.25">
      <c r="A117" s="5">
        <v>39904</v>
      </c>
      <c r="B117">
        <f>VLOOKUP(A117,P:Q,2,0)</f>
        <v>688</v>
      </c>
      <c r="C117">
        <f>IF(ISNA(VLOOKUP(A117,T:U,2,0)),0,VLOOKUP(A117,T:U,2,0))</f>
        <v>1728</v>
      </c>
      <c r="D117">
        <f t="shared" si="3"/>
        <v>2416</v>
      </c>
      <c r="E117" s="6">
        <f t="shared" si="4"/>
        <v>0.28476821192052981</v>
      </c>
      <c r="F117" s="6">
        <f t="shared" si="5"/>
        <v>0.71523178807947019</v>
      </c>
      <c r="M117" s="5">
        <v>39904</v>
      </c>
      <c r="N117">
        <v>2416</v>
      </c>
      <c r="P117" s="5">
        <v>39904</v>
      </c>
      <c r="Q117">
        <v>688</v>
      </c>
      <c r="T117" s="5">
        <v>40026</v>
      </c>
      <c r="U117">
        <v>1952</v>
      </c>
      <c r="V117">
        <v>16.510000000000002</v>
      </c>
    </row>
    <row r="118" spans="1:22" x14ac:dyDescent="0.25">
      <c r="A118" s="5">
        <v>39934</v>
      </c>
      <c r="B118">
        <f>VLOOKUP(A118,P:Q,2,0)</f>
        <v>808</v>
      </c>
      <c r="C118">
        <f>IF(ISNA(VLOOKUP(A118,T:U,2,0)),0,VLOOKUP(A118,T:U,2,0))</f>
        <v>1800</v>
      </c>
      <c r="D118">
        <f t="shared" si="3"/>
        <v>2608</v>
      </c>
      <c r="E118" s="6">
        <f t="shared" si="4"/>
        <v>0.30981595092024539</v>
      </c>
      <c r="F118" s="6">
        <f t="shared" si="5"/>
        <v>0.69018404907975461</v>
      </c>
      <c r="M118" s="5">
        <v>39934</v>
      </c>
      <c r="N118">
        <v>2608</v>
      </c>
      <c r="P118" s="5">
        <v>39934</v>
      </c>
      <c r="Q118">
        <v>808</v>
      </c>
      <c r="T118" s="5">
        <v>40057</v>
      </c>
      <c r="U118">
        <v>2213</v>
      </c>
      <c r="V118">
        <v>16.22</v>
      </c>
    </row>
    <row r="119" spans="1:22" x14ac:dyDescent="0.25">
      <c r="A119" s="5">
        <v>39965</v>
      </c>
      <c r="B119">
        <f>VLOOKUP(A119,P:Q,2,0)</f>
        <v>970</v>
      </c>
      <c r="C119">
        <f>IF(ISNA(VLOOKUP(A119,T:U,2,0)),0,VLOOKUP(A119,T:U,2,0))</f>
        <v>2078</v>
      </c>
      <c r="D119">
        <f t="shared" si="3"/>
        <v>3048</v>
      </c>
      <c r="E119" s="6">
        <f t="shared" si="4"/>
        <v>0.31824146981627299</v>
      </c>
      <c r="F119" s="6">
        <f t="shared" si="5"/>
        <v>0.68175853018372701</v>
      </c>
      <c r="M119" s="5">
        <v>39965</v>
      </c>
      <c r="N119">
        <v>3048</v>
      </c>
      <c r="P119" s="5">
        <v>39965</v>
      </c>
      <c r="Q119">
        <v>970</v>
      </c>
      <c r="T119" s="5">
        <v>40087</v>
      </c>
      <c r="U119">
        <v>2637</v>
      </c>
      <c r="V119">
        <v>16.239999999999998</v>
      </c>
    </row>
    <row r="120" spans="1:22" x14ac:dyDescent="0.25">
      <c r="A120" s="5">
        <v>39995</v>
      </c>
      <c r="B120">
        <f>VLOOKUP(A120,P:Q,2,0)</f>
        <v>1112</v>
      </c>
      <c r="C120">
        <f>IF(ISNA(VLOOKUP(A120,T:U,2,0)),0,VLOOKUP(A120,T:U,2,0))</f>
        <v>2084</v>
      </c>
      <c r="D120">
        <f t="shared" si="3"/>
        <v>3196</v>
      </c>
      <c r="E120" s="6">
        <f t="shared" si="4"/>
        <v>0.34793491864831039</v>
      </c>
      <c r="F120" s="6">
        <f t="shared" si="5"/>
        <v>0.65206508135168961</v>
      </c>
      <c r="M120" s="5">
        <v>39995</v>
      </c>
      <c r="N120">
        <v>3196</v>
      </c>
      <c r="P120" s="5">
        <v>39995</v>
      </c>
      <c r="Q120">
        <v>1112</v>
      </c>
      <c r="T120" s="5">
        <v>40118</v>
      </c>
      <c r="U120">
        <v>2337</v>
      </c>
      <c r="V120">
        <v>16.68</v>
      </c>
    </row>
    <row r="121" spans="1:22" x14ac:dyDescent="0.25">
      <c r="A121" s="5">
        <v>40026</v>
      </c>
      <c r="B121">
        <f>VLOOKUP(A121,P:Q,2,0)</f>
        <v>1069</v>
      </c>
      <c r="C121">
        <f>IF(ISNA(VLOOKUP(A121,T:U,2,0)),0,VLOOKUP(A121,T:U,2,0))</f>
        <v>1952</v>
      </c>
      <c r="D121">
        <f t="shared" si="3"/>
        <v>3021</v>
      </c>
      <c r="E121" s="6">
        <f t="shared" si="4"/>
        <v>0.35385633896060908</v>
      </c>
      <c r="F121" s="6">
        <f t="shared" si="5"/>
        <v>0.64614366103939092</v>
      </c>
      <c r="M121" s="5">
        <v>40026</v>
      </c>
      <c r="N121">
        <v>3021</v>
      </c>
      <c r="P121" s="5">
        <v>40026</v>
      </c>
      <c r="Q121">
        <v>1069</v>
      </c>
      <c r="T121" s="5">
        <v>40148</v>
      </c>
      <c r="U121">
        <v>2818</v>
      </c>
      <c r="V121">
        <v>16.920000000000002</v>
      </c>
    </row>
    <row r="122" spans="1:22" x14ac:dyDescent="0.25">
      <c r="A122" s="5">
        <v>40057</v>
      </c>
      <c r="B122">
        <f>VLOOKUP(A122,P:Q,2,0)</f>
        <v>1068</v>
      </c>
      <c r="C122">
        <f>IF(ISNA(VLOOKUP(A122,T:U,2,0)),0,VLOOKUP(A122,T:U,2,0))</f>
        <v>2213</v>
      </c>
      <c r="D122">
        <f t="shared" si="3"/>
        <v>3281</v>
      </c>
      <c r="E122" s="6">
        <f t="shared" si="4"/>
        <v>0.32551051508686374</v>
      </c>
      <c r="F122" s="6">
        <f t="shared" si="5"/>
        <v>0.67448948491313621</v>
      </c>
      <c r="M122" s="5">
        <v>40057</v>
      </c>
      <c r="N122">
        <v>3281</v>
      </c>
      <c r="P122" s="5">
        <v>40057</v>
      </c>
      <c r="Q122">
        <v>1068</v>
      </c>
      <c r="T122" s="5">
        <v>40179</v>
      </c>
      <c r="U122">
        <v>2217</v>
      </c>
      <c r="V122">
        <v>17.12</v>
      </c>
    </row>
    <row r="123" spans="1:22" x14ac:dyDescent="0.25">
      <c r="A123" s="5">
        <v>40087</v>
      </c>
      <c r="B123">
        <f>VLOOKUP(A123,P:Q,2,0)</f>
        <v>1282</v>
      </c>
      <c r="C123">
        <f>IF(ISNA(VLOOKUP(A123,T:U,2,0)),0,VLOOKUP(A123,T:U,2,0))</f>
        <v>2637</v>
      </c>
      <c r="D123">
        <f t="shared" si="3"/>
        <v>3919</v>
      </c>
      <c r="E123" s="6">
        <f t="shared" si="4"/>
        <v>0.32712426639448838</v>
      </c>
      <c r="F123" s="6">
        <f t="shared" si="5"/>
        <v>0.67287573360551156</v>
      </c>
      <c r="M123" s="5">
        <v>40087</v>
      </c>
      <c r="N123">
        <v>3919</v>
      </c>
      <c r="P123" s="5">
        <v>40087</v>
      </c>
      <c r="Q123">
        <v>1282</v>
      </c>
      <c r="T123" s="5">
        <v>40210</v>
      </c>
      <c r="U123">
        <v>2514</v>
      </c>
      <c r="V123">
        <v>17.47</v>
      </c>
    </row>
    <row r="124" spans="1:22" x14ac:dyDescent="0.25">
      <c r="A124" s="5">
        <v>40118</v>
      </c>
      <c r="B124">
        <f>VLOOKUP(A124,P:Q,2,0)</f>
        <v>1228</v>
      </c>
      <c r="C124">
        <f>IF(ISNA(VLOOKUP(A124,T:U,2,0)),0,VLOOKUP(A124,T:U,2,0))</f>
        <v>2337</v>
      </c>
      <c r="D124">
        <f t="shared" si="3"/>
        <v>3565</v>
      </c>
      <c r="E124" s="6">
        <f t="shared" si="4"/>
        <v>0.34446002805049086</v>
      </c>
      <c r="F124" s="6">
        <f t="shared" si="5"/>
        <v>0.65553997194950908</v>
      </c>
      <c r="M124" s="5">
        <v>40118</v>
      </c>
      <c r="N124">
        <v>3565</v>
      </c>
      <c r="P124" s="5">
        <v>40118</v>
      </c>
      <c r="Q124">
        <v>1228</v>
      </c>
      <c r="T124" s="5">
        <v>40238</v>
      </c>
      <c r="U124">
        <v>3605</v>
      </c>
      <c r="V124">
        <v>17.649999999999999</v>
      </c>
    </row>
    <row r="125" spans="1:22" x14ac:dyDescent="0.25">
      <c r="A125" s="5">
        <v>40148</v>
      </c>
      <c r="B125">
        <f>VLOOKUP(A125,P:Q,2,0)</f>
        <v>1375</v>
      </c>
      <c r="C125">
        <f>IF(ISNA(VLOOKUP(A125,T:U,2,0)),0,VLOOKUP(A125,T:U,2,0))</f>
        <v>2818</v>
      </c>
      <c r="D125">
        <f t="shared" si="3"/>
        <v>4193</v>
      </c>
      <c r="E125" s="6">
        <f t="shared" si="4"/>
        <v>0.32792749821130457</v>
      </c>
      <c r="F125" s="6">
        <f t="shared" si="5"/>
        <v>0.67207250178869549</v>
      </c>
      <c r="M125" s="5">
        <v>40148</v>
      </c>
      <c r="N125">
        <v>4193</v>
      </c>
      <c r="P125" s="5">
        <v>40148</v>
      </c>
      <c r="Q125">
        <v>1375</v>
      </c>
      <c r="T125" s="5">
        <v>40269</v>
      </c>
      <c r="U125">
        <v>3394</v>
      </c>
      <c r="V125">
        <v>17.73</v>
      </c>
    </row>
    <row r="126" spans="1:22" x14ac:dyDescent="0.25">
      <c r="A126" s="5">
        <v>40179</v>
      </c>
      <c r="B126">
        <f>VLOOKUP(A126,P:Q,2,0)</f>
        <v>1350</v>
      </c>
      <c r="C126">
        <f>IF(ISNA(VLOOKUP(A126,T:U,2,0)),0,VLOOKUP(A126,T:U,2,0))</f>
        <v>2217</v>
      </c>
      <c r="D126">
        <f t="shared" si="3"/>
        <v>3567</v>
      </c>
      <c r="E126" s="6">
        <f t="shared" si="4"/>
        <v>0.37846930193439865</v>
      </c>
      <c r="F126" s="6">
        <f t="shared" si="5"/>
        <v>0.62153069806560135</v>
      </c>
      <c r="M126" s="5">
        <v>40179</v>
      </c>
      <c r="N126">
        <v>3567</v>
      </c>
      <c r="P126" s="5">
        <v>40179</v>
      </c>
      <c r="Q126">
        <v>1350</v>
      </c>
      <c r="T126" s="5">
        <v>40299</v>
      </c>
      <c r="U126">
        <v>3368</v>
      </c>
      <c r="V126">
        <v>18.02</v>
      </c>
    </row>
    <row r="127" spans="1:22" x14ac:dyDescent="0.25">
      <c r="A127" s="5">
        <v>40210</v>
      </c>
      <c r="B127">
        <f>VLOOKUP(A127,P:Q,2,0)</f>
        <v>1427</v>
      </c>
      <c r="C127">
        <f>IF(ISNA(VLOOKUP(A127,T:U,2,0)),0,VLOOKUP(A127,T:U,2,0))</f>
        <v>2514</v>
      </c>
      <c r="D127">
        <f t="shared" si="3"/>
        <v>3941</v>
      </c>
      <c r="E127" s="6">
        <f t="shared" si="4"/>
        <v>0.36209083988835322</v>
      </c>
      <c r="F127" s="6">
        <f t="shared" si="5"/>
        <v>0.63790916011164678</v>
      </c>
      <c r="M127" s="5">
        <v>40210</v>
      </c>
      <c r="N127">
        <v>3941</v>
      </c>
      <c r="P127" s="5">
        <v>40210</v>
      </c>
      <c r="Q127">
        <v>1427</v>
      </c>
      <c r="T127" s="5">
        <v>40330</v>
      </c>
      <c r="U127">
        <v>3494</v>
      </c>
      <c r="V127">
        <v>18.329999999999998</v>
      </c>
    </row>
    <row r="128" spans="1:22" x14ac:dyDescent="0.25">
      <c r="A128" s="5">
        <v>40238</v>
      </c>
      <c r="B128">
        <f>VLOOKUP(A128,P:Q,2,0)</f>
        <v>1982</v>
      </c>
      <c r="C128">
        <f>IF(ISNA(VLOOKUP(A128,T:U,2,0)),0,VLOOKUP(A128,T:U,2,0))</f>
        <v>3605</v>
      </c>
      <c r="D128">
        <f t="shared" si="3"/>
        <v>5587</v>
      </c>
      <c r="E128" s="6">
        <f t="shared" si="4"/>
        <v>0.35475210309647398</v>
      </c>
      <c r="F128" s="6">
        <f t="shared" si="5"/>
        <v>0.64524789690352602</v>
      </c>
      <c r="M128" s="5">
        <v>40238</v>
      </c>
      <c r="N128">
        <v>5587</v>
      </c>
      <c r="P128" s="5">
        <v>40238</v>
      </c>
      <c r="Q128">
        <v>1982</v>
      </c>
      <c r="T128" s="5">
        <v>40360</v>
      </c>
      <c r="U128">
        <v>3210</v>
      </c>
      <c r="V128">
        <v>18.61</v>
      </c>
    </row>
    <row r="129" spans="1:22" x14ac:dyDescent="0.25">
      <c r="A129" s="5">
        <v>40269</v>
      </c>
      <c r="B129">
        <f>VLOOKUP(A129,P:Q,2,0)</f>
        <v>1969</v>
      </c>
      <c r="C129">
        <f>IF(ISNA(VLOOKUP(A129,T:U,2,0)),0,VLOOKUP(A129,T:U,2,0))</f>
        <v>3394</v>
      </c>
      <c r="D129">
        <f t="shared" si="3"/>
        <v>5363</v>
      </c>
      <c r="E129" s="6">
        <f t="shared" si="4"/>
        <v>0.36714525452172292</v>
      </c>
      <c r="F129" s="6">
        <f t="shared" si="5"/>
        <v>0.63285474547827714</v>
      </c>
      <c r="M129" s="5">
        <v>40269</v>
      </c>
      <c r="N129">
        <v>5363</v>
      </c>
      <c r="P129" s="5">
        <v>40269</v>
      </c>
      <c r="Q129">
        <v>1969</v>
      </c>
      <c r="T129" s="5">
        <v>40391</v>
      </c>
      <c r="U129">
        <v>3530</v>
      </c>
      <c r="V129">
        <v>18.79</v>
      </c>
    </row>
    <row r="130" spans="1:22" x14ac:dyDescent="0.25">
      <c r="A130" s="5">
        <v>40299</v>
      </c>
      <c r="B130">
        <f>VLOOKUP(A130,P:Q,2,0)</f>
        <v>1816</v>
      </c>
      <c r="C130">
        <f>IF(ISNA(VLOOKUP(A130,T:U,2,0)),0,VLOOKUP(A130,T:U,2,0))</f>
        <v>3368</v>
      </c>
      <c r="D130">
        <f t="shared" si="3"/>
        <v>5184</v>
      </c>
      <c r="E130" s="6">
        <f t="shared" si="4"/>
        <v>0.35030864197530864</v>
      </c>
      <c r="F130" s="6">
        <f t="shared" si="5"/>
        <v>0.64969135802469136</v>
      </c>
      <c r="M130" s="5">
        <v>40299</v>
      </c>
      <c r="N130">
        <v>5184</v>
      </c>
      <c r="P130" s="5">
        <v>40299</v>
      </c>
      <c r="Q130">
        <v>1816</v>
      </c>
      <c r="T130" s="5">
        <v>40422</v>
      </c>
      <c r="U130">
        <v>3920</v>
      </c>
      <c r="V130">
        <v>18.899999999999999</v>
      </c>
    </row>
    <row r="131" spans="1:22" x14ac:dyDescent="0.25">
      <c r="A131" s="5">
        <v>40330</v>
      </c>
      <c r="B131">
        <f>VLOOKUP(A131,P:Q,2,0)</f>
        <v>2735</v>
      </c>
      <c r="C131">
        <f>IF(ISNA(VLOOKUP(A131,T:U,2,0)),0,VLOOKUP(A131,T:U,2,0))</f>
        <v>3494</v>
      </c>
      <c r="D131">
        <f t="shared" si="3"/>
        <v>6229</v>
      </c>
      <c r="E131" s="6">
        <f t="shared" si="4"/>
        <v>0.43907529298442766</v>
      </c>
      <c r="F131" s="6">
        <f t="shared" si="5"/>
        <v>0.56092470701557229</v>
      </c>
      <c r="M131" s="5">
        <v>40330</v>
      </c>
      <c r="N131">
        <v>6229</v>
      </c>
      <c r="P131" s="5">
        <v>40330</v>
      </c>
      <c r="Q131">
        <v>2735</v>
      </c>
      <c r="T131" s="5">
        <v>40452</v>
      </c>
      <c r="U131">
        <v>3424</v>
      </c>
      <c r="V131">
        <v>18.829999999999998</v>
      </c>
    </row>
    <row r="132" spans="1:22" x14ac:dyDescent="0.25">
      <c r="A132" s="5">
        <v>40360</v>
      </c>
      <c r="B132">
        <f>VLOOKUP(A132,P:Q,2,0)</f>
        <v>2116</v>
      </c>
      <c r="C132">
        <f>IF(ISNA(VLOOKUP(A132,T:U,2,0)),0,VLOOKUP(A132,T:U,2,0))</f>
        <v>3210</v>
      </c>
      <c r="D132">
        <f t="shared" ref="D132:D182" si="6">B132+C132</f>
        <v>5326</v>
      </c>
      <c r="E132" s="6">
        <f t="shared" ref="E132:E182" si="7">B132/D132</f>
        <v>0.39729628238828391</v>
      </c>
      <c r="F132" s="6">
        <f t="shared" ref="F132:F182" si="8">C132/D132</f>
        <v>0.60270371761171615</v>
      </c>
      <c r="M132" s="5">
        <v>40360</v>
      </c>
      <c r="N132">
        <v>5326</v>
      </c>
      <c r="P132" s="5">
        <v>40360</v>
      </c>
      <c r="Q132">
        <v>2116</v>
      </c>
      <c r="T132" s="5">
        <v>40483</v>
      </c>
      <c r="U132">
        <v>3344</v>
      </c>
      <c r="V132">
        <v>19.04</v>
      </c>
    </row>
    <row r="133" spans="1:22" x14ac:dyDescent="0.25">
      <c r="A133" s="5">
        <v>40391</v>
      </c>
      <c r="B133">
        <f>VLOOKUP(A133,P:Q,2,0)</f>
        <v>2320</v>
      </c>
      <c r="C133">
        <f>IF(ISNA(VLOOKUP(A133,T:U,2,0)),0,VLOOKUP(A133,T:U,2,0))</f>
        <v>3530</v>
      </c>
      <c r="D133">
        <f t="shared" si="6"/>
        <v>5850</v>
      </c>
      <c r="E133" s="6">
        <f t="shared" si="7"/>
        <v>0.39658119658119656</v>
      </c>
      <c r="F133" s="6">
        <f t="shared" si="8"/>
        <v>0.60341880341880338</v>
      </c>
      <c r="M133" s="5">
        <v>40391</v>
      </c>
      <c r="N133">
        <v>5850</v>
      </c>
      <c r="P133" s="5">
        <v>40391</v>
      </c>
      <c r="Q133">
        <v>2320</v>
      </c>
      <c r="T133" s="5">
        <v>40513</v>
      </c>
      <c r="U133">
        <v>4479</v>
      </c>
      <c r="V133">
        <v>19.63</v>
      </c>
    </row>
    <row r="134" spans="1:22" x14ac:dyDescent="0.25">
      <c r="A134" s="5">
        <v>40422</v>
      </c>
      <c r="B134">
        <f>VLOOKUP(A134,P:Q,2,0)</f>
        <v>2423</v>
      </c>
      <c r="C134">
        <f>IF(ISNA(VLOOKUP(A134,T:U,2,0)),0,VLOOKUP(A134,T:U,2,0))</f>
        <v>3920</v>
      </c>
      <c r="D134">
        <f t="shared" si="6"/>
        <v>6343</v>
      </c>
      <c r="E134" s="6">
        <f t="shared" si="7"/>
        <v>0.38199590099322089</v>
      </c>
      <c r="F134" s="6">
        <f t="shared" si="8"/>
        <v>0.61800409900677911</v>
      </c>
      <c r="M134" s="5">
        <v>40422</v>
      </c>
      <c r="N134">
        <v>6343</v>
      </c>
      <c r="P134" s="5">
        <v>40422</v>
      </c>
      <c r="Q134">
        <v>2423</v>
      </c>
      <c r="T134" s="5">
        <v>40544</v>
      </c>
      <c r="U134">
        <v>4232</v>
      </c>
      <c r="V134">
        <v>20.149999999999999</v>
      </c>
    </row>
    <row r="135" spans="1:22" x14ac:dyDescent="0.25">
      <c r="A135" s="5">
        <v>40452</v>
      </c>
      <c r="B135">
        <f>VLOOKUP(A135,P:Q,2,0)</f>
        <v>2077</v>
      </c>
      <c r="C135">
        <f>IF(ISNA(VLOOKUP(A135,T:U,2,0)),0,VLOOKUP(A135,T:U,2,0))</f>
        <v>3424</v>
      </c>
      <c r="D135">
        <f t="shared" si="6"/>
        <v>5501</v>
      </c>
      <c r="E135" s="6">
        <f t="shared" si="7"/>
        <v>0.37756771496091618</v>
      </c>
      <c r="F135" s="6">
        <f t="shared" si="8"/>
        <v>0.62243228503908377</v>
      </c>
      <c r="M135" s="5">
        <v>40452</v>
      </c>
      <c r="N135">
        <v>5501</v>
      </c>
      <c r="P135" s="5">
        <v>40452</v>
      </c>
      <c r="Q135">
        <v>2077</v>
      </c>
      <c r="T135" s="5">
        <v>40575</v>
      </c>
      <c r="U135">
        <v>4307</v>
      </c>
      <c r="V135">
        <v>20.73</v>
      </c>
    </row>
    <row r="136" spans="1:22" x14ac:dyDescent="0.25">
      <c r="A136" s="5">
        <v>40483</v>
      </c>
      <c r="B136">
        <f>VLOOKUP(A136,P:Q,2,0)</f>
        <v>2109</v>
      </c>
      <c r="C136">
        <f>IF(ISNA(VLOOKUP(A136,T:U,2,0)),0,VLOOKUP(A136,T:U,2,0))</f>
        <v>3344</v>
      </c>
      <c r="D136">
        <f t="shared" si="6"/>
        <v>5453</v>
      </c>
      <c r="E136" s="6">
        <f t="shared" si="7"/>
        <v>0.38675958188153309</v>
      </c>
      <c r="F136" s="6">
        <f t="shared" si="8"/>
        <v>0.61324041811846686</v>
      </c>
      <c r="M136" s="5">
        <v>40483</v>
      </c>
      <c r="N136">
        <v>5453</v>
      </c>
      <c r="P136" s="5">
        <v>40483</v>
      </c>
      <c r="Q136">
        <v>2109</v>
      </c>
      <c r="T136" s="5">
        <v>40603</v>
      </c>
      <c r="U136">
        <v>5387</v>
      </c>
      <c r="V136">
        <v>21.08</v>
      </c>
    </row>
    <row r="137" spans="1:22" x14ac:dyDescent="0.25">
      <c r="A137" s="5">
        <v>40513</v>
      </c>
      <c r="B137">
        <f>VLOOKUP(A137,P:Q,2,0)</f>
        <v>2230</v>
      </c>
      <c r="C137">
        <f>IF(ISNA(VLOOKUP(A137,T:U,2,0)),0,VLOOKUP(A137,T:U,2,0))</f>
        <v>4479</v>
      </c>
      <c r="D137">
        <f t="shared" si="6"/>
        <v>6709</v>
      </c>
      <c r="E137" s="6">
        <f t="shared" si="7"/>
        <v>0.33238932776866897</v>
      </c>
      <c r="F137" s="6">
        <f t="shared" si="8"/>
        <v>0.66761067223133108</v>
      </c>
      <c r="M137" s="5">
        <v>40513</v>
      </c>
      <c r="N137">
        <v>6709</v>
      </c>
      <c r="P137" s="5">
        <v>40513</v>
      </c>
      <c r="Q137">
        <v>2230</v>
      </c>
      <c r="T137" s="5">
        <v>40634</v>
      </c>
      <c r="U137">
        <v>4431</v>
      </c>
      <c r="V137">
        <v>21.03</v>
      </c>
    </row>
    <row r="138" spans="1:22" x14ac:dyDescent="0.25">
      <c r="A138" s="5">
        <v>40544</v>
      </c>
      <c r="B138">
        <f>VLOOKUP(A138,P:Q,2,0)</f>
        <v>1996</v>
      </c>
      <c r="C138">
        <f>IF(ISNA(VLOOKUP(A138,T:U,2,0)),0,VLOOKUP(A138,T:U,2,0))</f>
        <v>4232</v>
      </c>
      <c r="D138">
        <f t="shared" si="6"/>
        <v>6228</v>
      </c>
      <c r="E138" s="6">
        <f t="shared" si="7"/>
        <v>0.32048811817597944</v>
      </c>
      <c r="F138" s="6">
        <f t="shared" si="8"/>
        <v>0.67951188182402056</v>
      </c>
      <c r="M138" s="5">
        <v>40544</v>
      </c>
      <c r="N138">
        <v>6228</v>
      </c>
      <c r="P138" s="5">
        <v>40544</v>
      </c>
      <c r="Q138">
        <v>1996</v>
      </c>
      <c r="T138" s="5">
        <v>40664</v>
      </c>
      <c r="U138">
        <v>4243</v>
      </c>
      <c r="V138">
        <v>21</v>
      </c>
    </row>
    <row r="139" spans="1:22" x14ac:dyDescent="0.25">
      <c r="A139" s="5">
        <v>40575</v>
      </c>
      <c r="B139">
        <f>VLOOKUP(A139,P:Q,2,0)</f>
        <v>1923</v>
      </c>
      <c r="C139">
        <f>IF(ISNA(VLOOKUP(A139,T:U,2,0)),0,VLOOKUP(A139,T:U,2,0))</f>
        <v>4307</v>
      </c>
      <c r="D139">
        <f t="shared" si="6"/>
        <v>6230</v>
      </c>
      <c r="E139" s="6">
        <f t="shared" si="7"/>
        <v>0.30866773675762438</v>
      </c>
      <c r="F139" s="6">
        <f t="shared" si="8"/>
        <v>0.69133226324237562</v>
      </c>
      <c r="M139" s="5">
        <v>40575</v>
      </c>
      <c r="N139">
        <v>6230</v>
      </c>
      <c r="P139" s="5">
        <v>40575</v>
      </c>
      <c r="Q139">
        <v>1923</v>
      </c>
      <c r="T139" s="5">
        <v>40695</v>
      </c>
      <c r="U139">
        <v>4245</v>
      </c>
      <c r="V139">
        <v>20.88</v>
      </c>
    </row>
    <row r="140" spans="1:22" x14ac:dyDescent="0.25">
      <c r="A140" s="5">
        <v>40603</v>
      </c>
      <c r="B140">
        <f>VLOOKUP(A140,P:Q,2,0)</f>
        <v>2533</v>
      </c>
      <c r="C140">
        <f>IF(ISNA(VLOOKUP(A140,T:U,2,0)),0,VLOOKUP(A140,T:U,2,0))</f>
        <v>5387</v>
      </c>
      <c r="D140">
        <f t="shared" si="6"/>
        <v>7920</v>
      </c>
      <c r="E140" s="6">
        <f t="shared" si="7"/>
        <v>0.31982323232323234</v>
      </c>
      <c r="F140" s="6">
        <f t="shared" si="8"/>
        <v>0.68017676767676771</v>
      </c>
      <c r="M140" s="5">
        <v>40603</v>
      </c>
      <c r="N140">
        <v>7920</v>
      </c>
      <c r="P140" s="5">
        <v>40603</v>
      </c>
      <c r="Q140">
        <v>2533</v>
      </c>
      <c r="T140" s="5">
        <v>40725</v>
      </c>
      <c r="U140">
        <v>3728</v>
      </c>
      <c r="V140">
        <v>21.43</v>
      </c>
    </row>
    <row r="141" spans="1:22" x14ac:dyDescent="0.25">
      <c r="A141" s="5">
        <v>40634</v>
      </c>
      <c r="B141">
        <f>VLOOKUP(A141,P:Q,2,0)</f>
        <v>2642</v>
      </c>
      <c r="C141">
        <f>IF(ISNA(VLOOKUP(A141,T:U,2,0)),0,VLOOKUP(A141,T:U,2,0))</f>
        <v>4431</v>
      </c>
      <c r="D141">
        <f t="shared" si="6"/>
        <v>7073</v>
      </c>
      <c r="E141" s="6">
        <f t="shared" si="7"/>
        <v>0.37353315424855082</v>
      </c>
      <c r="F141" s="6">
        <f t="shared" si="8"/>
        <v>0.62646684575144918</v>
      </c>
      <c r="M141" s="5">
        <v>40634</v>
      </c>
      <c r="N141">
        <v>7073</v>
      </c>
      <c r="P141" s="5">
        <v>40634</v>
      </c>
      <c r="Q141">
        <v>2642</v>
      </c>
      <c r="T141" s="5">
        <v>40756</v>
      </c>
      <c r="U141">
        <v>3922</v>
      </c>
      <c r="V141">
        <v>21.55</v>
      </c>
    </row>
    <row r="142" spans="1:22" x14ac:dyDescent="0.25">
      <c r="A142" s="5">
        <v>40664</v>
      </c>
      <c r="B142">
        <f>VLOOKUP(A142,P:Q,2,0)</f>
        <v>2515</v>
      </c>
      <c r="C142">
        <f>IF(ISNA(VLOOKUP(A142,T:U,2,0)),0,VLOOKUP(A142,T:U,2,0))</f>
        <v>4243</v>
      </c>
      <c r="D142">
        <f t="shared" si="6"/>
        <v>6758</v>
      </c>
      <c r="E142" s="6">
        <f t="shared" si="7"/>
        <v>0.37215152411956198</v>
      </c>
      <c r="F142" s="6">
        <f t="shared" si="8"/>
        <v>0.62784847588043802</v>
      </c>
      <c r="M142" s="5">
        <v>40664</v>
      </c>
      <c r="N142">
        <v>6758</v>
      </c>
      <c r="P142" s="5">
        <v>40664</v>
      </c>
      <c r="Q142">
        <v>2515</v>
      </c>
      <c r="T142" s="5">
        <v>40787</v>
      </c>
      <c r="U142">
        <v>3654</v>
      </c>
      <c r="V142">
        <v>21.95</v>
      </c>
    </row>
    <row r="143" spans="1:22" x14ac:dyDescent="0.25">
      <c r="A143" s="5">
        <v>40695</v>
      </c>
      <c r="B143">
        <f>VLOOKUP(A143,P:Q,2,0)</f>
        <v>2550</v>
      </c>
      <c r="C143">
        <f>IF(ISNA(VLOOKUP(A143,T:U,2,0)),0,VLOOKUP(A143,T:U,2,0))</f>
        <v>4245</v>
      </c>
      <c r="D143">
        <f t="shared" si="6"/>
        <v>6795</v>
      </c>
      <c r="E143" s="6">
        <f t="shared" si="7"/>
        <v>0.37527593818984545</v>
      </c>
      <c r="F143" s="6">
        <f t="shared" si="8"/>
        <v>0.6247240618101545</v>
      </c>
      <c r="M143" s="5">
        <v>40695</v>
      </c>
      <c r="N143">
        <v>6795</v>
      </c>
      <c r="P143" s="5">
        <v>40695</v>
      </c>
      <c r="Q143">
        <v>2550</v>
      </c>
      <c r="T143" s="5">
        <v>40817</v>
      </c>
      <c r="U143">
        <v>3424</v>
      </c>
      <c r="V143">
        <v>22.12</v>
      </c>
    </row>
    <row r="144" spans="1:22" x14ac:dyDescent="0.25">
      <c r="A144" s="5">
        <v>40725</v>
      </c>
      <c r="B144">
        <f>VLOOKUP(A144,P:Q,2,0)</f>
        <v>2441</v>
      </c>
      <c r="C144">
        <f>IF(ISNA(VLOOKUP(A144,T:U,2,0)),0,VLOOKUP(A144,T:U,2,0))</f>
        <v>3728</v>
      </c>
      <c r="D144">
        <f t="shared" si="6"/>
        <v>6169</v>
      </c>
      <c r="E144" s="6">
        <f t="shared" si="7"/>
        <v>0.39568811800940185</v>
      </c>
      <c r="F144" s="6">
        <f t="shared" si="8"/>
        <v>0.60431188199059815</v>
      </c>
      <c r="M144" s="5">
        <v>40725</v>
      </c>
      <c r="N144">
        <v>6169</v>
      </c>
      <c r="P144" s="5">
        <v>40725</v>
      </c>
      <c r="Q144">
        <v>2441</v>
      </c>
      <c r="T144" s="5">
        <v>40848</v>
      </c>
      <c r="U144">
        <v>3454</v>
      </c>
      <c r="V144">
        <v>22.52</v>
      </c>
    </row>
    <row r="145" spans="1:22" x14ac:dyDescent="0.25">
      <c r="A145" s="5">
        <v>40756</v>
      </c>
      <c r="B145">
        <f>VLOOKUP(A145,P:Q,2,0)</f>
        <v>2689</v>
      </c>
      <c r="C145">
        <f>IF(ISNA(VLOOKUP(A145,T:U,2,0)),0,VLOOKUP(A145,T:U,2,0))</f>
        <v>3922</v>
      </c>
      <c r="D145">
        <f t="shared" si="6"/>
        <v>6611</v>
      </c>
      <c r="E145" s="6">
        <f t="shared" si="7"/>
        <v>0.40674633187112391</v>
      </c>
      <c r="F145" s="6">
        <f t="shared" si="8"/>
        <v>0.59325366812887614</v>
      </c>
      <c r="M145" s="5">
        <v>40756</v>
      </c>
      <c r="N145">
        <v>6611</v>
      </c>
      <c r="P145" s="5">
        <v>40756</v>
      </c>
      <c r="Q145">
        <v>2689</v>
      </c>
      <c r="T145" s="5">
        <v>40878</v>
      </c>
      <c r="U145">
        <v>4047</v>
      </c>
      <c r="V145">
        <v>22.67</v>
      </c>
    </row>
    <row r="146" spans="1:22" x14ac:dyDescent="0.25">
      <c r="A146" s="5">
        <v>40787</v>
      </c>
      <c r="B146">
        <f>VLOOKUP(A146,P:Q,2,0)</f>
        <v>2532</v>
      </c>
      <c r="C146">
        <f>IF(ISNA(VLOOKUP(A146,T:U,2,0)),0,VLOOKUP(A146,T:U,2,0))</f>
        <v>3654</v>
      </c>
      <c r="D146">
        <f t="shared" si="6"/>
        <v>6186</v>
      </c>
      <c r="E146" s="6">
        <f t="shared" si="7"/>
        <v>0.40931134820562559</v>
      </c>
      <c r="F146" s="6">
        <f t="shared" si="8"/>
        <v>0.59068865179437435</v>
      </c>
      <c r="M146" s="5">
        <v>40787</v>
      </c>
      <c r="N146">
        <v>6186</v>
      </c>
      <c r="P146" s="5">
        <v>40787</v>
      </c>
      <c r="Q146">
        <v>2532</v>
      </c>
      <c r="T146" s="5">
        <v>40909</v>
      </c>
      <c r="U146">
        <v>3552</v>
      </c>
      <c r="V146">
        <v>23.11</v>
      </c>
    </row>
    <row r="147" spans="1:22" x14ac:dyDescent="0.25">
      <c r="A147" s="5">
        <v>40817</v>
      </c>
      <c r="B147">
        <f>VLOOKUP(A147,P:Q,2,0)</f>
        <v>2413</v>
      </c>
      <c r="C147">
        <f>IF(ISNA(VLOOKUP(A147,T:U,2,0)),0,VLOOKUP(A147,T:U,2,0))</f>
        <v>3424</v>
      </c>
      <c r="D147">
        <f t="shared" si="6"/>
        <v>5837</v>
      </c>
      <c r="E147" s="6">
        <f t="shared" si="7"/>
        <v>0.41339729313003254</v>
      </c>
      <c r="F147" s="6">
        <f t="shared" si="8"/>
        <v>0.58660270686996741</v>
      </c>
      <c r="M147" s="5">
        <v>40817</v>
      </c>
      <c r="N147">
        <v>5837</v>
      </c>
      <c r="P147" s="5">
        <v>40817</v>
      </c>
      <c r="Q147">
        <v>2413</v>
      </c>
      <c r="T147" s="5">
        <v>40940</v>
      </c>
      <c r="U147">
        <v>4001</v>
      </c>
      <c r="V147">
        <v>23.27</v>
      </c>
    </row>
    <row r="148" spans="1:22" x14ac:dyDescent="0.25">
      <c r="A148" s="5">
        <v>40848</v>
      </c>
      <c r="B148">
        <f>VLOOKUP(A148,P:Q,2,0)</f>
        <v>2512</v>
      </c>
      <c r="C148">
        <f>IF(ISNA(VLOOKUP(A148,T:U,2,0)),0,VLOOKUP(A148,T:U,2,0))</f>
        <v>3454</v>
      </c>
      <c r="D148">
        <f t="shared" si="6"/>
        <v>5966</v>
      </c>
      <c r="E148" s="6">
        <f t="shared" si="7"/>
        <v>0.42105263157894735</v>
      </c>
      <c r="F148" s="6">
        <f t="shared" si="8"/>
        <v>0.57894736842105265</v>
      </c>
      <c r="M148" s="5">
        <v>40848</v>
      </c>
      <c r="N148">
        <v>5966</v>
      </c>
      <c r="P148" s="5">
        <v>40848</v>
      </c>
      <c r="Q148">
        <v>2512</v>
      </c>
      <c r="T148" s="5">
        <v>40969</v>
      </c>
      <c r="U148">
        <v>4432</v>
      </c>
      <c r="V148">
        <v>23.24</v>
      </c>
    </row>
    <row r="149" spans="1:22" x14ac:dyDescent="0.25">
      <c r="A149" s="5">
        <v>40878</v>
      </c>
      <c r="B149">
        <f>VLOOKUP(A149,P:Q,2,0)</f>
        <v>2942</v>
      </c>
      <c r="C149">
        <f>IF(ISNA(VLOOKUP(A149,T:U,2,0)),0,VLOOKUP(A149,T:U,2,0))</f>
        <v>4047</v>
      </c>
      <c r="D149">
        <f t="shared" si="6"/>
        <v>6989</v>
      </c>
      <c r="E149" s="6">
        <f t="shared" si="7"/>
        <v>0.42094720274717412</v>
      </c>
      <c r="F149" s="6">
        <f t="shared" si="8"/>
        <v>0.57905279725282588</v>
      </c>
      <c r="M149" s="5">
        <v>40878</v>
      </c>
      <c r="N149">
        <v>6989</v>
      </c>
      <c r="P149" s="5">
        <v>40878</v>
      </c>
      <c r="Q149">
        <v>2942</v>
      </c>
      <c r="T149" s="5">
        <v>41000</v>
      </c>
      <c r="U149">
        <v>4101</v>
      </c>
      <c r="V149">
        <v>23.56</v>
      </c>
    </row>
    <row r="150" spans="1:22" x14ac:dyDescent="0.25">
      <c r="A150" s="5">
        <v>40909</v>
      </c>
      <c r="B150">
        <f>VLOOKUP(A150,P:Q,2,0)</f>
        <v>2582</v>
      </c>
      <c r="C150">
        <f>IF(ISNA(VLOOKUP(A150,T:U,2,0)),0,VLOOKUP(A150,T:U,2,0))</f>
        <v>3552</v>
      </c>
      <c r="D150">
        <f t="shared" si="6"/>
        <v>6134</v>
      </c>
      <c r="E150" s="6">
        <f t="shared" si="7"/>
        <v>0.42093250733615911</v>
      </c>
      <c r="F150" s="6">
        <f t="shared" si="8"/>
        <v>0.57906749266384083</v>
      </c>
      <c r="M150" s="5">
        <v>40909</v>
      </c>
      <c r="N150">
        <v>6134</v>
      </c>
      <c r="P150" s="5">
        <v>40909</v>
      </c>
      <c r="Q150">
        <v>2582</v>
      </c>
      <c r="T150" s="5">
        <v>41030</v>
      </c>
      <c r="U150">
        <v>4395</v>
      </c>
      <c r="V150">
        <v>24.05</v>
      </c>
    </row>
    <row r="151" spans="1:22" x14ac:dyDescent="0.25">
      <c r="A151" s="5">
        <v>40940</v>
      </c>
      <c r="B151">
        <f>VLOOKUP(A151,P:Q,2,0)</f>
        <v>2809</v>
      </c>
      <c r="C151">
        <f>IF(ISNA(VLOOKUP(A151,T:U,2,0)),0,VLOOKUP(A151,T:U,2,0))</f>
        <v>4001</v>
      </c>
      <c r="D151">
        <f t="shared" si="6"/>
        <v>6810</v>
      </c>
      <c r="E151" s="6">
        <f t="shared" si="7"/>
        <v>0.41248164464023496</v>
      </c>
      <c r="F151" s="6">
        <f t="shared" si="8"/>
        <v>0.58751835535976504</v>
      </c>
      <c r="M151" s="5">
        <v>40940</v>
      </c>
      <c r="N151">
        <v>6810</v>
      </c>
      <c r="P151" s="5">
        <v>40940</v>
      </c>
      <c r="Q151">
        <v>2809</v>
      </c>
      <c r="T151" s="5">
        <v>41061</v>
      </c>
      <c r="U151">
        <v>4097</v>
      </c>
      <c r="V151">
        <v>24.79</v>
      </c>
    </row>
    <row r="152" spans="1:22" x14ac:dyDescent="0.25">
      <c r="A152" s="5">
        <v>40969</v>
      </c>
      <c r="B152">
        <f>VLOOKUP(A152,P:Q,2,0)</f>
        <v>3027</v>
      </c>
      <c r="C152">
        <f>IF(ISNA(VLOOKUP(A152,T:U,2,0)),0,VLOOKUP(A152,T:U,2,0))</f>
        <v>4432</v>
      </c>
      <c r="D152">
        <f t="shared" si="6"/>
        <v>7459</v>
      </c>
      <c r="E152" s="6">
        <f t="shared" si="7"/>
        <v>0.40581847432631718</v>
      </c>
      <c r="F152" s="6">
        <f t="shared" si="8"/>
        <v>0.59418152567368276</v>
      </c>
      <c r="M152" s="5">
        <v>40969</v>
      </c>
      <c r="N152">
        <v>7459</v>
      </c>
      <c r="P152" s="5">
        <v>40969</v>
      </c>
      <c r="Q152">
        <v>3027</v>
      </c>
      <c r="T152" s="5">
        <v>41091</v>
      </c>
      <c r="U152">
        <v>3797</v>
      </c>
      <c r="V152">
        <v>24.87</v>
      </c>
    </row>
    <row r="153" spans="1:22" x14ac:dyDescent="0.25">
      <c r="A153" s="5">
        <v>41000</v>
      </c>
      <c r="B153">
        <f>VLOOKUP(A153,P:Q,2,0)</f>
        <v>2983</v>
      </c>
      <c r="C153">
        <f>IF(ISNA(VLOOKUP(A153,T:U,2,0)),0,VLOOKUP(A153,T:U,2,0))</f>
        <v>4101</v>
      </c>
      <c r="D153">
        <f t="shared" si="6"/>
        <v>7084</v>
      </c>
      <c r="E153" s="6">
        <f t="shared" si="7"/>
        <v>0.42108977978543194</v>
      </c>
      <c r="F153" s="6">
        <f t="shared" si="8"/>
        <v>0.57891022021456806</v>
      </c>
      <c r="M153" s="5">
        <v>41000</v>
      </c>
      <c r="N153">
        <v>7084</v>
      </c>
      <c r="P153" s="5">
        <v>41000</v>
      </c>
      <c r="Q153">
        <v>2983</v>
      </c>
      <c r="T153" s="5">
        <v>41122</v>
      </c>
      <c r="U153">
        <v>4079</v>
      </c>
      <c r="V153">
        <v>25.29</v>
      </c>
    </row>
    <row r="154" spans="1:22" x14ac:dyDescent="0.25">
      <c r="A154" s="5">
        <v>41030</v>
      </c>
      <c r="B154">
        <f>VLOOKUP(A154,P:Q,2,0)</f>
        <v>3324</v>
      </c>
      <c r="C154">
        <f>IF(ISNA(VLOOKUP(A154,T:U,2,0)),0,VLOOKUP(A154,T:U,2,0))</f>
        <v>4395</v>
      </c>
      <c r="D154">
        <f t="shared" si="6"/>
        <v>7719</v>
      </c>
      <c r="E154" s="6">
        <f t="shared" si="7"/>
        <v>0.43062572872133698</v>
      </c>
      <c r="F154" s="6">
        <f t="shared" si="8"/>
        <v>0.56937427127866302</v>
      </c>
      <c r="M154" s="5">
        <v>41030</v>
      </c>
      <c r="N154">
        <v>7719</v>
      </c>
      <c r="P154" s="5">
        <v>41030</v>
      </c>
      <c r="Q154">
        <v>3324</v>
      </c>
      <c r="T154" s="5">
        <v>41153</v>
      </c>
      <c r="U154">
        <v>3458</v>
      </c>
      <c r="V154">
        <v>25.29</v>
      </c>
    </row>
    <row r="155" spans="1:22" x14ac:dyDescent="0.25">
      <c r="A155" s="5">
        <v>41061</v>
      </c>
      <c r="B155">
        <f>VLOOKUP(A155,P:Q,2,0)</f>
        <v>3384</v>
      </c>
      <c r="C155">
        <f>IF(ISNA(VLOOKUP(A155,T:U,2,0)),0,VLOOKUP(A155,T:U,2,0))</f>
        <v>4097</v>
      </c>
      <c r="D155">
        <f t="shared" si="6"/>
        <v>7481</v>
      </c>
      <c r="E155" s="6">
        <f t="shared" si="7"/>
        <v>0.45234594305574122</v>
      </c>
      <c r="F155" s="6">
        <f t="shared" si="8"/>
        <v>0.54765405694425884</v>
      </c>
      <c r="M155" s="5">
        <v>41061</v>
      </c>
      <c r="N155">
        <v>7481</v>
      </c>
      <c r="P155" s="5">
        <v>41061</v>
      </c>
      <c r="Q155">
        <v>3384</v>
      </c>
      <c r="T155" s="5">
        <v>41183</v>
      </c>
      <c r="U155">
        <v>3816</v>
      </c>
      <c r="V155">
        <v>25.59</v>
      </c>
    </row>
    <row r="156" spans="1:22" x14ac:dyDescent="0.25">
      <c r="A156" s="5">
        <v>41091</v>
      </c>
      <c r="B156">
        <f>VLOOKUP(A156,P:Q,2,0)</f>
        <v>3339</v>
      </c>
      <c r="C156">
        <f>IF(ISNA(VLOOKUP(A156,T:U,2,0)),0,VLOOKUP(A156,T:U,2,0))</f>
        <v>3797</v>
      </c>
      <c r="D156">
        <f t="shared" si="6"/>
        <v>7136</v>
      </c>
      <c r="E156" s="6">
        <f t="shared" si="7"/>
        <v>0.46790919282511212</v>
      </c>
      <c r="F156" s="6">
        <f t="shared" si="8"/>
        <v>0.53209080717488788</v>
      </c>
      <c r="M156" s="5">
        <v>41091</v>
      </c>
      <c r="N156">
        <v>7136</v>
      </c>
      <c r="P156" s="5">
        <v>41091</v>
      </c>
      <c r="Q156">
        <v>3339</v>
      </c>
      <c r="T156" s="5">
        <v>41214</v>
      </c>
      <c r="U156">
        <v>3389</v>
      </c>
      <c r="V156">
        <v>25.57</v>
      </c>
    </row>
    <row r="157" spans="1:22" x14ac:dyDescent="0.25">
      <c r="A157" s="5">
        <v>41122</v>
      </c>
      <c r="B157">
        <f>VLOOKUP(A157,P:Q,2,0)</f>
        <v>3707</v>
      </c>
      <c r="C157">
        <f>IF(ISNA(VLOOKUP(A157,T:U,2,0)),0,VLOOKUP(A157,T:U,2,0))</f>
        <v>4079</v>
      </c>
      <c r="D157">
        <f t="shared" si="6"/>
        <v>7786</v>
      </c>
      <c r="E157" s="6">
        <f t="shared" si="7"/>
        <v>0.47611096840482919</v>
      </c>
      <c r="F157" s="6">
        <f t="shared" si="8"/>
        <v>0.52388903159517086</v>
      </c>
      <c r="M157" s="5">
        <v>41122</v>
      </c>
      <c r="N157">
        <v>7786</v>
      </c>
      <c r="P157" s="5">
        <v>41122</v>
      </c>
      <c r="Q157">
        <v>3707</v>
      </c>
      <c r="T157" s="5">
        <v>41244</v>
      </c>
      <c r="U157">
        <v>3096</v>
      </c>
      <c r="V157">
        <v>26.4</v>
      </c>
    </row>
    <row r="158" spans="1:22" x14ac:dyDescent="0.25">
      <c r="A158" s="5">
        <v>41153</v>
      </c>
      <c r="B158">
        <f>VLOOKUP(A158,P:Q,2,0)</f>
        <v>3025</v>
      </c>
      <c r="C158">
        <f>IF(ISNA(VLOOKUP(A158,T:U,2,0)),0,VLOOKUP(A158,T:U,2,0))</f>
        <v>3458</v>
      </c>
      <c r="D158">
        <f t="shared" si="6"/>
        <v>6483</v>
      </c>
      <c r="E158" s="6">
        <f t="shared" si="7"/>
        <v>0.46660496683634117</v>
      </c>
      <c r="F158" s="6">
        <f t="shared" si="8"/>
        <v>0.53339503316365877</v>
      </c>
      <c r="M158" s="5">
        <v>41153</v>
      </c>
      <c r="N158">
        <v>6483</v>
      </c>
      <c r="P158" s="5">
        <v>41153</v>
      </c>
      <c r="Q158">
        <v>3025</v>
      </c>
      <c r="T158" s="5">
        <v>41275</v>
      </c>
      <c r="U158">
        <v>3093</v>
      </c>
      <c r="V158">
        <v>26.26</v>
      </c>
    </row>
    <row r="159" spans="1:22" x14ac:dyDescent="0.25">
      <c r="A159" s="5">
        <v>41183</v>
      </c>
      <c r="B159">
        <f>VLOOKUP(A159,P:Q,2,0)</f>
        <v>3453</v>
      </c>
      <c r="C159">
        <f>IF(ISNA(VLOOKUP(A159,T:U,2,0)),0,VLOOKUP(A159,T:U,2,0))</f>
        <v>3816</v>
      </c>
      <c r="D159">
        <f t="shared" si="6"/>
        <v>7269</v>
      </c>
      <c r="E159" s="6">
        <f t="shared" si="7"/>
        <v>0.47503095336359885</v>
      </c>
      <c r="F159" s="6">
        <f t="shared" si="8"/>
        <v>0.5249690466364012</v>
      </c>
      <c r="M159" s="5">
        <v>41183</v>
      </c>
      <c r="N159">
        <v>7269</v>
      </c>
      <c r="P159" s="5">
        <v>41183</v>
      </c>
      <c r="Q159">
        <v>3453</v>
      </c>
      <c r="T159" s="5">
        <v>41306</v>
      </c>
      <c r="U159">
        <v>3107</v>
      </c>
      <c r="V159">
        <v>26.24</v>
      </c>
    </row>
    <row r="160" spans="1:22" x14ac:dyDescent="0.25">
      <c r="A160" s="5">
        <v>41214</v>
      </c>
      <c r="B160">
        <f>VLOOKUP(A160,P:Q,2,0)</f>
        <v>2976</v>
      </c>
      <c r="C160">
        <f>IF(ISNA(VLOOKUP(A160,T:U,2,0)),0,VLOOKUP(A160,T:U,2,0))</f>
        <v>3389</v>
      </c>
      <c r="D160">
        <f t="shared" si="6"/>
        <v>6365</v>
      </c>
      <c r="E160" s="6">
        <f t="shared" si="7"/>
        <v>0.46755695208169679</v>
      </c>
      <c r="F160" s="6">
        <f t="shared" si="8"/>
        <v>0.53244304791830321</v>
      </c>
      <c r="M160" s="5">
        <v>41214</v>
      </c>
      <c r="N160">
        <v>6365</v>
      </c>
      <c r="P160" s="5">
        <v>41214</v>
      </c>
      <c r="Q160">
        <v>2976</v>
      </c>
      <c r="T160" s="5">
        <v>41334</v>
      </c>
      <c r="U160">
        <v>3691</v>
      </c>
      <c r="V160">
        <v>27.04</v>
      </c>
    </row>
    <row r="161" spans="1:22" x14ac:dyDescent="0.25">
      <c r="A161" s="5">
        <v>41244</v>
      </c>
      <c r="B161">
        <f>VLOOKUP(A161,P:Q,2,0)</f>
        <v>2837</v>
      </c>
      <c r="C161">
        <f>IF(ISNA(VLOOKUP(A161,T:U,2,0)),0,VLOOKUP(A161,T:U,2,0))</f>
        <v>3096</v>
      </c>
      <c r="D161">
        <f t="shared" si="6"/>
        <v>5933</v>
      </c>
      <c r="E161" s="6">
        <f t="shared" si="7"/>
        <v>0.47817293106354292</v>
      </c>
      <c r="F161" s="6">
        <f t="shared" si="8"/>
        <v>0.52182706893645714</v>
      </c>
      <c r="M161" s="5">
        <v>41244</v>
      </c>
      <c r="N161">
        <v>5933</v>
      </c>
      <c r="P161" s="5">
        <v>41244</v>
      </c>
      <c r="Q161">
        <v>2837</v>
      </c>
      <c r="T161" s="5">
        <v>41365</v>
      </c>
      <c r="U161">
        <v>3571</v>
      </c>
      <c r="V161">
        <v>26.92</v>
      </c>
    </row>
    <row r="162" spans="1:22" x14ac:dyDescent="0.25">
      <c r="A162" s="5">
        <v>41275</v>
      </c>
      <c r="B162">
        <f>VLOOKUP(A162,P:Q,2,0)</f>
        <v>2388</v>
      </c>
      <c r="C162">
        <f>IF(ISNA(VLOOKUP(A162,T:U,2,0)),0,VLOOKUP(A162,T:U,2,0))</f>
        <v>3093</v>
      </c>
      <c r="D162">
        <f t="shared" si="6"/>
        <v>5481</v>
      </c>
      <c r="E162" s="6">
        <f t="shared" si="7"/>
        <v>0.43568691844553914</v>
      </c>
      <c r="F162" s="6">
        <f t="shared" si="8"/>
        <v>0.56431308155446092</v>
      </c>
      <c r="M162" s="5">
        <v>41275</v>
      </c>
      <c r="N162">
        <v>5481</v>
      </c>
      <c r="P162" s="5">
        <v>41275</v>
      </c>
      <c r="Q162">
        <v>2388</v>
      </c>
      <c r="T162" s="5">
        <v>41395</v>
      </c>
      <c r="U162">
        <v>3597</v>
      </c>
      <c r="V162">
        <v>27.41</v>
      </c>
    </row>
    <row r="163" spans="1:22" x14ac:dyDescent="0.25">
      <c r="A163" s="5">
        <v>41306</v>
      </c>
      <c r="B163">
        <f>VLOOKUP(A163,P:Q,2,0)</f>
        <v>2500</v>
      </c>
      <c r="C163">
        <f>IF(ISNA(VLOOKUP(A163,T:U,2,0)),0,VLOOKUP(A163,T:U,2,0))</f>
        <v>3107</v>
      </c>
      <c r="D163">
        <f t="shared" si="6"/>
        <v>5607</v>
      </c>
      <c r="E163" s="6">
        <f t="shared" si="7"/>
        <v>0.44587123238808635</v>
      </c>
      <c r="F163" s="6">
        <f t="shared" si="8"/>
        <v>0.55412876761191365</v>
      </c>
      <c r="M163" s="5">
        <v>41306</v>
      </c>
      <c r="N163">
        <v>5607</v>
      </c>
      <c r="P163" s="5">
        <v>41306</v>
      </c>
      <c r="Q163">
        <v>2500</v>
      </c>
      <c r="T163" s="5">
        <v>41426</v>
      </c>
      <c r="U163">
        <v>3087</v>
      </c>
      <c r="V163">
        <v>27.64</v>
      </c>
    </row>
    <row r="164" spans="1:22" x14ac:dyDescent="0.25">
      <c r="A164" s="5">
        <v>41334</v>
      </c>
      <c r="B164">
        <f>VLOOKUP(A164,P:Q,2,0)</f>
        <v>2737</v>
      </c>
      <c r="C164">
        <f>IF(ISNA(VLOOKUP(A164,T:U,2,0)),0,VLOOKUP(A164,T:U,2,0))</f>
        <v>3691</v>
      </c>
      <c r="D164">
        <f t="shared" si="6"/>
        <v>6428</v>
      </c>
      <c r="E164" s="6">
        <f t="shared" si="7"/>
        <v>0.4257934038581207</v>
      </c>
      <c r="F164" s="6">
        <f t="shared" si="8"/>
        <v>0.5742065961418793</v>
      </c>
      <c r="M164" s="5">
        <v>41334</v>
      </c>
      <c r="N164">
        <v>6428</v>
      </c>
      <c r="P164" s="5">
        <v>41334</v>
      </c>
      <c r="Q164">
        <v>2737</v>
      </c>
      <c r="T164" s="5">
        <v>41456</v>
      </c>
      <c r="U164">
        <v>3080</v>
      </c>
      <c r="V164">
        <v>28.32</v>
      </c>
    </row>
    <row r="165" spans="1:22" x14ac:dyDescent="0.25">
      <c r="A165" s="5">
        <v>41365</v>
      </c>
      <c r="B165">
        <f>VLOOKUP(A165,P:Q,2,0)</f>
        <v>2425</v>
      </c>
      <c r="C165">
        <f>IF(ISNA(VLOOKUP(A165,T:U,2,0)),0,VLOOKUP(A165,T:U,2,0))</f>
        <v>3571</v>
      </c>
      <c r="D165">
        <f t="shared" si="6"/>
        <v>5996</v>
      </c>
      <c r="E165" s="6">
        <f t="shared" si="7"/>
        <v>0.4044362908605737</v>
      </c>
      <c r="F165" s="6">
        <f t="shared" si="8"/>
        <v>0.59556370913942625</v>
      </c>
      <c r="M165" s="5">
        <v>41365</v>
      </c>
      <c r="N165">
        <v>5996</v>
      </c>
      <c r="P165" s="5">
        <v>41365</v>
      </c>
      <c r="Q165">
        <v>2425</v>
      </c>
      <c r="T165" s="5">
        <v>41487</v>
      </c>
      <c r="U165">
        <v>3061</v>
      </c>
      <c r="V165">
        <v>28.98</v>
      </c>
    </row>
    <row r="166" spans="1:22" x14ac:dyDescent="0.25">
      <c r="A166" s="5">
        <v>41395</v>
      </c>
      <c r="B166">
        <f>VLOOKUP(A166,P:Q,2,0)</f>
        <v>2279</v>
      </c>
      <c r="C166">
        <f>IF(ISNA(VLOOKUP(A166,T:U,2,0)),0,VLOOKUP(A166,T:U,2,0))</f>
        <v>3597</v>
      </c>
      <c r="D166">
        <f t="shared" si="6"/>
        <v>5876</v>
      </c>
      <c r="E166" s="6">
        <f t="shared" si="7"/>
        <v>0.38784887678692986</v>
      </c>
      <c r="F166" s="6">
        <f t="shared" si="8"/>
        <v>0.61215112321307008</v>
      </c>
      <c r="M166" s="5">
        <v>41395</v>
      </c>
      <c r="N166">
        <v>5876</v>
      </c>
      <c r="P166" s="5">
        <v>41395</v>
      </c>
      <c r="Q166">
        <v>2279</v>
      </c>
      <c r="T166" s="5">
        <v>41518</v>
      </c>
      <c r="U166">
        <v>2702</v>
      </c>
      <c r="V166">
        <v>29.34</v>
      </c>
    </row>
    <row r="167" spans="1:22" x14ac:dyDescent="0.25">
      <c r="A167" s="5">
        <v>41426</v>
      </c>
      <c r="B167">
        <f>VLOOKUP(A167,P:Q,2,0)</f>
        <v>1964</v>
      </c>
      <c r="C167">
        <f>IF(ISNA(VLOOKUP(A167,T:U,2,0)),0,VLOOKUP(A167,T:U,2,0))</f>
        <v>3087</v>
      </c>
      <c r="D167">
        <f t="shared" si="6"/>
        <v>5051</v>
      </c>
      <c r="E167" s="6">
        <f t="shared" si="7"/>
        <v>0.38883389427836074</v>
      </c>
      <c r="F167" s="6">
        <f t="shared" si="8"/>
        <v>0.61116610572163932</v>
      </c>
      <c r="M167" s="5">
        <v>41426</v>
      </c>
      <c r="N167">
        <v>5051</v>
      </c>
      <c r="P167" s="5">
        <v>41426</v>
      </c>
      <c r="Q167">
        <v>1964</v>
      </c>
      <c r="T167" s="5">
        <v>41548</v>
      </c>
      <c r="U167">
        <v>2911</v>
      </c>
      <c r="V167">
        <v>30.56</v>
      </c>
    </row>
    <row r="168" spans="1:22" x14ac:dyDescent="0.25">
      <c r="A168" s="5">
        <v>41456</v>
      </c>
      <c r="B168">
        <f>VLOOKUP(A168,P:Q,2,0)</f>
        <v>1913</v>
      </c>
      <c r="C168">
        <f>IF(ISNA(VLOOKUP(A168,T:U,2,0)),0,VLOOKUP(A168,T:U,2,0))</f>
        <v>3080</v>
      </c>
      <c r="D168">
        <f t="shared" si="6"/>
        <v>4993</v>
      </c>
      <c r="E168" s="6">
        <f t="shared" si="7"/>
        <v>0.38313639094732627</v>
      </c>
      <c r="F168" s="6">
        <f t="shared" si="8"/>
        <v>0.61686360905267379</v>
      </c>
      <c r="M168" s="5">
        <v>41456</v>
      </c>
      <c r="N168">
        <v>4993</v>
      </c>
      <c r="P168" s="5">
        <v>41456</v>
      </c>
      <c r="Q168">
        <v>1913</v>
      </c>
      <c r="T168" s="5">
        <v>41579</v>
      </c>
      <c r="U168">
        <v>2825</v>
      </c>
      <c r="V168">
        <v>30.27</v>
      </c>
    </row>
    <row r="169" spans="1:22" x14ac:dyDescent="0.25">
      <c r="A169" s="5">
        <v>41487</v>
      </c>
      <c r="B169">
        <f>VLOOKUP(A169,P:Q,2,0)</f>
        <v>1690</v>
      </c>
      <c r="C169">
        <f>IF(ISNA(VLOOKUP(A169,T:U,2,0)),0,VLOOKUP(A169,T:U,2,0))</f>
        <v>3061</v>
      </c>
      <c r="D169">
        <f t="shared" si="6"/>
        <v>4751</v>
      </c>
      <c r="E169" s="6">
        <f t="shared" si="7"/>
        <v>0.35571458640286258</v>
      </c>
      <c r="F169" s="6">
        <f t="shared" si="8"/>
        <v>0.64428541359713742</v>
      </c>
      <c r="M169" s="5">
        <v>41487</v>
      </c>
      <c r="N169">
        <v>4751</v>
      </c>
      <c r="P169" s="5">
        <v>41487</v>
      </c>
      <c r="Q169">
        <v>1690</v>
      </c>
      <c r="T169" s="5">
        <v>41609</v>
      </c>
      <c r="U169">
        <v>3067</v>
      </c>
      <c r="V169">
        <v>30.69</v>
      </c>
    </row>
    <row r="170" spans="1:22" x14ac:dyDescent="0.25">
      <c r="A170" s="5">
        <v>41518</v>
      </c>
      <c r="B170">
        <f>VLOOKUP(A170,P:Q,2,0)</f>
        <v>1362</v>
      </c>
      <c r="C170">
        <f>IF(ISNA(VLOOKUP(A170,T:U,2,0)),0,VLOOKUP(A170,T:U,2,0))</f>
        <v>2702</v>
      </c>
      <c r="D170">
        <f t="shared" si="6"/>
        <v>4064</v>
      </c>
      <c r="E170" s="6">
        <f t="shared" si="7"/>
        <v>0.33513779527559057</v>
      </c>
      <c r="F170" s="6">
        <f t="shared" si="8"/>
        <v>0.66486220472440949</v>
      </c>
      <c r="M170" s="5">
        <v>41518</v>
      </c>
      <c r="N170">
        <v>4064</v>
      </c>
      <c r="P170" s="5">
        <v>41518</v>
      </c>
      <c r="Q170">
        <v>1362</v>
      </c>
      <c r="T170" s="5">
        <v>41640</v>
      </c>
      <c r="U170">
        <v>3071</v>
      </c>
      <c r="V170">
        <v>31.44</v>
      </c>
    </row>
    <row r="171" spans="1:22" x14ac:dyDescent="0.25">
      <c r="A171" s="5">
        <v>41548</v>
      </c>
      <c r="B171">
        <f>VLOOKUP(A171,P:Q,2,0)</f>
        <v>1343</v>
      </c>
      <c r="C171">
        <f>IF(ISNA(VLOOKUP(A171,T:U,2,0)),0,VLOOKUP(A171,T:U,2,0))</f>
        <v>2911</v>
      </c>
      <c r="D171">
        <f t="shared" si="6"/>
        <v>4254</v>
      </c>
      <c r="E171" s="6">
        <f t="shared" si="7"/>
        <v>0.31570286788904561</v>
      </c>
      <c r="F171" s="6">
        <f t="shared" si="8"/>
        <v>0.68429713211095444</v>
      </c>
      <c r="M171" s="5">
        <v>41548</v>
      </c>
      <c r="N171">
        <v>4254</v>
      </c>
      <c r="P171" s="5">
        <v>41548</v>
      </c>
      <c r="Q171">
        <v>1343</v>
      </c>
      <c r="T171" s="5">
        <v>41671</v>
      </c>
      <c r="U171">
        <v>3125</v>
      </c>
      <c r="V171">
        <v>31.1</v>
      </c>
    </row>
    <row r="172" spans="1:22" x14ac:dyDescent="0.25">
      <c r="A172" s="5">
        <v>41579</v>
      </c>
      <c r="B172">
        <f>VLOOKUP(A172,P:Q,2,0)</f>
        <v>1215</v>
      </c>
      <c r="C172">
        <f>IF(ISNA(VLOOKUP(A172,T:U,2,0)),0,VLOOKUP(A172,T:U,2,0))</f>
        <v>2825</v>
      </c>
      <c r="D172">
        <f t="shared" si="6"/>
        <v>4040</v>
      </c>
      <c r="E172" s="6">
        <f t="shared" si="7"/>
        <v>0.30074257425742573</v>
      </c>
      <c r="F172" s="6">
        <f t="shared" si="8"/>
        <v>0.69925742574257421</v>
      </c>
      <c r="M172" s="5">
        <v>41579</v>
      </c>
      <c r="N172">
        <v>4040</v>
      </c>
      <c r="P172" s="5">
        <v>41579</v>
      </c>
      <c r="Q172">
        <v>1215</v>
      </c>
      <c r="T172" s="5">
        <v>41699</v>
      </c>
      <c r="U172">
        <v>3383</v>
      </c>
      <c r="V172">
        <v>31.81</v>
      </c>
    </row>
    <row r="173" spans="1:22" x14ac:dyDescent="0.25">
      <c r="A173" s="5">
        <v>41609</v>
      </c>
      <c r="B173">
        <f>VLOOKUP(A173,P:Q,2,0)</f>
        <v>1145</v>
      </c>
      <c r="C173">
        <f>IF(ISNA(VLOOKUP(A173,T:U,2,0)),0,VLOOKUP(A173,T:U,2,0))</f>
        <v>3067</v>
      </c>
      <c r="D173">
        <f t="shared" si="6"/>
        <v>4212</v>
      </c>
      <c r="E173" s="6">
        <f t="shared" si="7"/>
        <v>0.2718423551756885</v>
      </c>
      <c r="F173" s="6">
        <f t="shared" si="8"/>
        <v>0.72815764482431145</v>
      </c>
      <c r="M173" s="5">
        <v>41609</v>
      </c>
      <c r="N173">
        <v>4212</v>
      </c>
      <c r="P173" s="5">
        <v>41609</v>
      </c>
      <c r="Q173">
        <v>1145</v>
      </c>
      <c r="T173" s="5">
        <v>41730</v>
      </c>
      <c r="U173">
        <v>3293</v>
      </c>
      <c r="V173">
        <v>32.51</v>
      </c>
    </row>
    <row r="174" spans="1:22" x14ac:dyDescent="0.25">
      <c r="A174" s="5">
        <v>41640</v>
      </c>
      <c r="B174">
        <f>VLOOKUP(A174,P:Q,2,0)</f>
        <v>1147</v>
      </c>
      <c r="C174">
        <f>IF(ISNA(VLOOKUP(A174,T:U,2,0)),0,VLOOKUP(A174,T:U,2,0))</f>
        <v>3071</v>
      </c>
      <c r="D174">
        <f t="shared" si="6"/>
        <v>4218</v>
      </c>
      <c r="E174" s="6">
        <f t="shared" si="7"/>
        <v>0.27192982456140352</v>
      </c>
      <c r="F174" s="6">
        <f t="shared" si="8"/>
        <v>0.72807017543859653</v>
      </c>
      <c r="M174" s="5">
        <v>41640</v>
      </c>
      <c r="N174">
        <v>4218</v>
      </c>
      <c r="P174" s="5">
        <v>41640</v>
      </c>
      <c r="Q174">
        <v>1147</v>
      </c>
      <c r="T174" s="5">
        <v>41760</v>
      </c>
      <c r="U174">
        <v>3183</v>
      </c>
      <c r="V174">
        <v>33.01</v>
      </c>
    </row>
    <row r="175" spans="1:22" x14ac:dyDescent="0.25">
      <c r="A175" s="5">
        <v>41671</v>
      </c>
      <c r="B175">
        <f>VLOOKUP(A175,P:Q,2,0)</f>
        <v>1083</v>
      </c>
      <c r="C175">
        <f>IF(ISNA(VLOOKUP(A175,T:U,2,0)),0,VLOOKUP(A175,T:U,2,0))</f>
        <v>3125</v>
      </c>
      <c r="D175">
        <f t="shared" si="6"/>
        <v>4208</v>
      </c>
      <c r="E175" s="6">
        <f t="shared" si="7"/>
        <v>0.25736692015209123</v>
      </c>
      <c r="F175" s="6">
        <f t="shared" si="8"/>
        <v>0.74263307984790872</v>
      </c>
      <c r="M175" s="5">
        <v>41671</v>
      </c>
      <c r="N175">
        <v>4208</v>
      </c>
      <c r="P175" s="5">
        <v>41671</v>
      </c>
      <c r="Q175">
        <v>1083</v>
      </c>
      <c r="T175" s="5">
        <v>41791</v>
      </c>
      <c r="U175">
        <v>2832</v>
      </c>
      <c r="V175">
        <v>33.340000000000003</v>
      </c>
    </row>
    <row r="176" spans="1:22" x14ac:dyDescent="0.25">
      <c r="A176" s="5">
        <v>41699</v>
      </c>
      <c r="B176">
        <f>VLOOKUP(A176,P:Q,2,0)</f>
        <v>1144</v>
      </c>
      <c r="C176">
        <f>IF(ISNA(VLOOKUP(A176,T:U,2,0)),0,VLOOKUP(A176,T:U,2,0))</f>
        <v>3383</v>
      </c>
      <c r="D176">
        <f t="shared" si="6"/>
        <v>4527</v>
      </c>
      <c r="E176" s="6">
        <f t="shared" si="7"/>
        <v>0.25270598630439584</v>
      </c>
      <c r="F176" s="6">
        <f t="shared" si="8"/>
        <v>0.74729401369560411</v>
      </c>
      <c r="M176" s="5">
        <v>41699</v>
      </c>
      <c r="N176">
        <v>4527</v>
      </c>
      <c r="P176" s="5">
        <v>41699</v>
      </c>
      <c r="Q176">
        <v>1144</v>
      </c>
      <c r="T176" s="5">
        <v>41821</v>
      </c>
      <c r="U176">
        <v>2811</v>
      </c>
      <c r="V176">
        <v>33.69</v>
      </c>
    </row>
    <row r="177" spans="1:22" x14ac:dyDescent="0.25">
      <c r="A177" s="5">
        <v>41730</v>
      </c>
      <c r="B177">
        <f>VLOOKUP(A177,P:Q,2,0)</f>
        <v>1204</v>
      </c>
      <c r="C177">
        <f>IF(ISNA(VLOOKUP(A177,T:U,2,0)),0,VLOOKUP(A177,T:U,2,0))</f>
        <v>3293</v>
      </c>
      <c r="D177">
        <f t="shared" si="6"/>
        <v>4497</v>
      </c>
      <c r="E177" s="6">
        <f t="shared" si="7"/>
        <v>0.26773404491883479</v>
      </c>
      <c r="F177" s="6">
        <f t="shared" si="8"/>
        <v>0.73226595508116521</v>
      </c>
      <c r="M177" s="5">
        <v>41730</v>
      </c>
      <c r="N177">
        <v>4497</v>
      </c>
      <c r="P177" s="5">
        <v>41730</v>
      </c>
      <c r="Q177">
        <v>1204</v>
      </c>
      <c r="T177" s="5">
        <v>41852</v>
      </c>
      <c r="U177">
        <v>2641</v>
      </c>
      <c r="V177">
        <v>33.85</v>
      </c>
    </row>
    <row r="178" spans="1:22" x14ac:dyDescent="0.25">
      <c r="A178" s="5">
        <v>41760</v>
      </c>
      <c r="B178">
        <f>VLOOKUP(A178,P:Q,2,0)</f>
        <v>1399</v>
      </c>
      <c r="C178">
        <f>IF(ISNA(VLOOKUP(A178,T:U,2,0)),0,VLOOKUP(A178,T:U,2,0))</f>
        <v>3183</v>
      </c>
      <c r="D178">
        <f t="shared" si="6"/>
        <v>4582</v>
      </c>
      <c r="E178" s="6">
        <f t="shared" si="7"/>
        <v>0.30532518550851157</v>
      </c>
      <c r="F178" s="6">
        <f t="shared" si="8"/>
        <v>0.69467481449148838</v>
      </c>
      <c r="M178" s="5">
        <v>41760</v>
      </c>
      <c r="N178">
        <v>4582</v>
      </c>
      <c r="P178" s="5">
        <v>41760</v>
      </c>
      <c r="Q178">
        <v>1399</v>
      </c>
      <c r="T178" s="5">
        <v>41883</v>
      </c>
      <c r="U178">
        <v>2434</v>
      </c>
      <c r="V178">
        <v>35.35</v>
      </c>
    </row>
    <row r="179" spans="1:22" x14ac:dyDescent="0.25">
      <c r="A179" s="5">
        <v>41791</v>
      </c>
      <c r="B179">
        <f>VLOOKUP(A179,P:Q,2,0)</f>
        <v>1465</v>
      </c>
      <c r="C179">
        <f>IF(ISNA(VLOOKUP(A179,T:U,2,0)),0,VLOOKUP(A179,T:U,2,0))</f>
        <v>2832</v>
      </c>
      <c r="D179">
        <f t="shared" si="6"/>
        <v>4297</v>
      </c>
      <c r="E179" s="6">
        <f t="shared" si="7"/>
        <v>0.34093553642075869</v>
      </c>
      <c r="F179" s="6">
        <f t="shared" si="8"/>
        <v>0.65906446357924131</v>
      </c>
      <c r="M179" s="5">
        <v>41791</v>
      </c>
      <c r="N179">
        <v>4297</v>
      </c>
      <c r="P179" s="5">
        <v>41791</v>
      </c>
      <c r="Q179">
        <v>1465</v>
      </c>
    </row>
    <row r="180" spans="1:22" x14ac:dyDescent="0.25">
      <c r="A180" s="5">
        <v>41821</v>
      </c>
      <c r="B180">
        <f>VLOOKUP(A180,P:Q,2,0)</f>
        <v>1518</v>
      </c>
      <c r="C180">
        <f>IF(ISNA(VLOOKUP(A180,T:U,2,0)),0,VLOOKUP(A180,T:U,2,0))</f>
        <v>2811</v>
      </c>
      <c r="D180">
        <f t="shared" si="6"/>
        <v>4329</v>
      </c>
      <c r="E180" s="6">
        <f t="shared" si="7"/>
        <v>0.35065835065835066</v>
      </c>
      <c r="F180" s="6">
        <f t="shared" si="8"/>
        <v>0.6493416493416494</v>
      </c>
      <c r="M180" s="5">
        <v>41821</v>
      </c>
      <c r="N180">
        <v>4329</v>
      </c>
      <c r="P180" s="5">
        <v>41821</v>
      </c>
      <c r="Q180">
        <v>1518</v>
      </c>
    </row>
    <row r="181" spans="1:22" x14ac:dyDescent="0.25">
      <c r="A181" s="5">
        <v>41852</v>
      </c>
      <c r="B181">
        <f>VLOOKUP(A181,P:Q,2,0)</f>
        <v>2717</v>
      </c>
      <c r="C181">
        <f>IF(ISNA(VLOOKUP(A181,T:U,2,0)),0,VLOOKUP(A181,T:U,2,0))</f>
        <v>2641</v>
      </c>
      <c r="D181">
        <f t="shared" si="6"/>
        <v>5358</v>
      </c>
      <c r="E181" s="6">
        <f t="shared" si="7"/>
        <v>0.50709219858156029</v>
      </c>
      <c r="F181" s="6">
        <f t="shared" si="8"/>
        <v>0.49290780141843971</v>
      </c>
      <c r="M181" s="5">
        <v>41852</v>
      </c>
      <c r="N181">
        <v>5358</v>
      </c>
      <c r="P181" s="5">
        <v>41852</v>
      </c>
      <c r="Q181">
        <v>2717</v>
      </c>
    </row>
    <row r="182" spans="1:22" x14ac:dyDescent="0.25">
      <c r="A182" s="5">
        <v>41883</v>
      </c>
      <c r="B182">
        <f>VLOOKUP(A182,P:Q,2,0)</f>
        <v>1312</v>
      </c>
      <c r="C182">
        <f>IF(ISNA(VLOOKUP(A182,T:U,2,0)),0,VLOOKUP(A182,T:U,2,0))</f>
        <v>2434</v>
      </c>
      <c r="D182">
        <f t="shared" si="6"/>
        <v>3746</v>
      </c>
      <c r="E182" s="6">
        <f t="shared" si="7"/>
        <v>0.35024025627335825</v>
      </c>
      <c r="F182" s="6">
        <f t="shared" si="8"/>
        <v>0.6497597437266418</v>
      </c>
      <c r="M182" s="5">
        <v>41883</v>
      </c>
      <c r="N182">
        <v>3746</v>
      </c>
      <c r="P182" s="5">
        <v>41883</v>
      </c>
      <c r="Q182">
        <v>1312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DiscountPct</vt:lpstr>
      <vt:lpstr>Base</vt:lpstr>
      <vt:lpstr>Expenses</vt:lpstr>
      <vt:lpstr>REO-FC</vt:lpstr>
      <vt:lpstr>DiscountPct!DiscountPct</vt:lpstr>
      <vt:lpstr>DiscountPct!DiscountPct_1</vt:lpstr>
      <vt:lpstr>'REO-FC'!temp</vt:lpstr>
      <vt:lpstr>'REO-FC'!temp_1</vt:lpstr>
      <vt:lpstr>'REO-FC'!temp_2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2015-09-10T16:01:38Z</dcterms:created>
  <dcterms:modified xsi:type="dcterms:W3CDTF">2015-09-11T14:52:42Z</dcterms:modified>
</cp:coreProperties>
</file>