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 activeTab="1"/>
  </bookViews>
  <sheets>
    <sheet name="Sheet1" sheetId="1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G60" i="3" l="1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F60" i="3"/>
  <c r="T59" i="3"/>
  <c r="F59" i="3"/>
  <c r="S59" i="3"/>
  <c r="P59" i="3"/>
</calcChain>
</file>

<file path=xl/sharedStrings.xml><?xml version="1.0" encoding="utf-8"?>
<sst xmlns="http://schemas.openxmlformats.org/spreadsheetml/2006/main" count="209" uniqueCount="111">
  <si>
    <t>FNMA LL GSE Loss Data</t>
  </si>
  <si>
    <t>FHL</t>
  </si>
  <si>
    <t xml:space="preserve">1. Three Dates </t>
  </si>
  <si>
    <t>DispositionDate</t>
  </si>
  <si>
    <t>LoanId</t>
  </si>
  <si>
    <t>asOf</t>
  </si>
  <si>
    <t>servicer</t>
  </si>
  <si>
    <t>CurrentCoupon</t>
  </si>
  <si>
    <t>currentRPB</t>
  </si>
  <si>
    <t>loanAge</t>
  </si>
  <si>
    <t>remTerm</t>
  </si>
  <si>
    <t>adjRemTerm</t>
  </si>
  <si>
    <t>matDt</t>
  </si>
  <si>
    <t>msa</t>
  </si>
  <si>
    <t>delinqStatus</t>
  </si>
  <si>
    <t>loanModFlag</t>
  </si>
  <si>
    <t>zeroBalanceCode</t>
  </si>
  <si>
    <t>asOfZeroBalance</t>
  </si>
  <si>
    <t>LastPaidInstallmentDate</t>
  </si>
  <si>
    <t>ForeclosureDate</t>
  </si>
  <si>
    <t>ForeclosureCosts</t>
  </si>
  <si>
    <t>PropertyPreserveAndRepairCost</t>
  </si>
  <si>
    <t>AssetRecoveryCost</t>
  </si>
  <si>
    <t>MiscHoldingExpenseAndCredits</t>
  </si>
  <si>
    <t>AssociatedTaxforHoldingProperty</t>
  </si>
  <si>
    <t>NetSaleProceeds</t>
  </si>
  <si>
    <t>CreditEnhancementProceeds</t>
  </si>
  <si>
    <t>RepurchaseMakeWholeProceeds</t>
  </si>
  <si>
    <t>OtherForecloseProceeds</t>
  </si>
  <si>
    <t>X</t>
  </si>
  <si>
    <t>N</t>
  </si>
  <si>
    <t>asof</t>
  </si>
  <si>
    <t>DueDateLastPaidInstallment</t>
  </si>
  <si>
    <t>asof
    - Used as "LossDate" in the Cello table</t>
  </si>
  <si>
    <t>asOfZeroBalance
    - Always equal to asof</t>
  </si>
  <si>
    <t>asOfZeroBalance
    - Almost equal to asof, sometimes (10%) is 1m earlier than asof</t>
  </si>
  <si>
    <t>2. REO Loans</t>
  </si>
  <si>
    <t>DispositionDate
    - Should be used as "Loss Date"
    - Much later than asof
    - Need to use filter: not NULL</t>
  </si>
  <si>
    <t>Have continous perf records till 'asofZeroBalance', then write 'DispositionDate' on the same row later</t>
  </si>
  <si>
    <t>3.Expenses</t>
  </si>
  <si>
    <t>Five detailed breakdown expenses
    ForeclosureCosts
    PropertyPreserveAndRepairCost
    AssetRecoveryCost
    MiscHoldingExpenseAndCredits
    AssociatedTaxforHoldingProperty</t>
  </si>
  <si>
    <t>Positive numbers</t>
  </si>
  <si>
    <t>No breakdown informations</t>
  </si>
  <si>
    <t>Negative numbers</t>
  </si>
  <si>
    <t>Have both '0' and 'NULL'</t>
  </si>
  <si>
    <t>No 'NULL'</t>
  </si>
  <si>
    <t>4. Credit Enhancement Proceeds</t>
  </si>
  <si>
    <t>4. MI Recoveries</t>
  </si>
  <si>
    <t>Change 'NULL' to 0</t>
  </si>
  <si>
    <t>5. Other Proceeds</t>
  </si>
  <si>
    <t>5. Non MI Recoveries</t>
  </si>
  <si>
    <t>Two detailed breakdown expenses
    RepurchaseMakeWholeProceeds 
    OtherForecloseProceeds</t>
  </si>
  <si>
    <t>1) Sum the breakdowns as 'Expenses'
2) Keep the breakdowns as additional columns</t>
  </si>
  <si>
    <t>Change name to 'DueDateLastPaidInstallment'</t>
  </si>
  <si>
    <t>Keep as additional columns</t>
  </si>
  <si>
    <t>1) Use 'DispositionDate' as 'LossDate'
2) Need to use filter: not NULL</t>
  </si>
  <si>
    <t>1. Five Date Informations</t>
  </si>
  <si>
    <t>Have two discontinous dates: 
1) Date on which enter REO, then stop record
2) Disposition date</t>
  </si>
  <si>
    <t>1) Use 'DispositionDate' as 'LossDate' in the Cello loss table
2) Need to fill the gap between 'asofZeroBalance' and 'DispositionDate' in Cello Perform table</t>
  </si>
  <si>
    <t xml:space="preserve">? Need to change expenses to negative number, to be consistent with Freddie data </t>
  </si>
  <si>
    <t>1) Sum the breakdowns as 'NonMIRecoveries'
2) Keep the breakdowns as additional columns</t>
  </si>
  <si>
    <t>Recommended Solution for FNMA data</t>
  </si>
  <si>
    <t>Ignore</t>
  </si>
  <si>
    <t>Change name to 'MIRecoveries'</t>
  </si>
  <si>
    <t xml:space="preserve"> </t>
  </si>
  <si>
    <t>loanID</t>
  </si>
  <si>
    <t>beginDate</t>
  </si>
  <si>
    <t>beginRemainingTerm</t>
  </si>
  <si>
    <t>diffRemainingTerm</t>
  </si>
  <si>
    <t>adjRemainingTerm</t>
  </si>
  <si>
    <t>beginLoanAge</t>
  </si>
  <si>
    <t>beginCoupon</t>
  </si>
  <si>
    <t>endCoupon</t>
  </si>
  <si>
    <t>diffCoupon</t>
  </si>
  <si>
    <t>beginBalance</t>
  </si>
  <si>
    <t>endBalance</t>
  </si>
  <si>
    <t>diffBalance</t>
  </si>
  <si>
    <t>beginScheduledPayment</t>
  </si>
  <si>
    <t>endScheduledPayment</t>
  </si>
  <si>
    <t>diffScheduledPayment</t>
  </si>
  <si>
    <t>beginStatus</t>
  </si>
  <si>
    <t>endStatus</t>
  </si>
  <si>
    <t>beginModificationFlag</t>
  </si>
  <si>
    <t>modificationFlag</t>
  </si>
  <si>
    <t>modificationCount</t>
  </si>
  <si>
    <t>monthsInModification</t>
  </si>
  <si>
    <t>HPI</t>
  </si>
  <si>
    <t>HPA</t>
  </si>
  <si>
    <t>countNonCurrent</t>
  </si>
  <si>
    <t>ageSinceLastCurrent</t>
  </si>
  <si>
    <t>ageSinceLastDelinquent</t>
  </si>
  <si>
    <t>REO</t>
  </si>
  <si>
    <t>Y</t>
  </si>
  <si>
    <t>loanId</t>
  </si>
  <si>
    <t>dueDateLastPaidInstallment</t>
  </si>
  <si>
    <t>mortageInsurancerecoveries</t>
  </si>
  <si>
    <t>netSaleProceeds</t>
  </si>
  <si>
    <t>nonMortageInsurancerecoveries</t>
  </si>
  <si>
    <t>expenses</t>
  </si>
  <si>
    <t>R</t>
  </si>
  <si>
    <t>lossDate</t>
  </si>
  <si>
    <t>currentDeferredUPB</t>
  </si>
  <si>
    <t>lastPaymentDate</t>
  </si>
  <si>
    <t>monthsAccrued</t>
  </si>
  <si>
    <t>accruedInterest</t>
  </si>
  <si>
    <t>lossClaim</t>
  </si>
  <si>
    <t>miRecoveries</t>
  </si>
  <si>
    <t>nonMIRecoveries</t>
  </si>
  <si>
    <t>actualLoss_noMI</t>
  </si>
  <si>
    <t>actualLoss_MI</t>
  </si>
  <si>
    <t>139986190029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</si>
</sst>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2" fillId="0" borderId="0" xfId="0" applyFont="1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1" fontId="0" fillId="0" borderId="0" xfId="0" applyNumberFormat="1"/>
    <xf numFmtId="49" fontId="0" fillId="0" borderId="0" xfId="0" applyNumberFormat="1"/>
    <xf numFmtId="14" fontId="0" fillId="0" borderId="2" xfId="0" applyNumberFormat="1" applyBorder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D19"/>
  <sheetViews>
    <sheetView workbookViewId="0">
      <selection activeCell="C29" sqref="C29"/>
    </sheetView>
  </sheetViews>
  <sheetFormatPr defaultRowHeight="15" x14ac:dyDescent="0.25"/>
  <cols>
    <col min="2" max="2" width="65.140625" customWidth="1"/>
    <col min="3" max="3" width="51.28515625" customWidth="1"/>
    <col min="4" max="4" width="44.5703125" style="2" customWidth="1"/>
  </cols>
  <sheetData>
    <row r="2" spans="2:4" x14ac:dyDescent="0.25">
      <c r="B2" s="11" t="s">
        <v>0</v>
      </c>
      <c r="C2" s="11" t="s">
        <v>1</v>
      </c>
      <c r="D2" s="12" t="s">
        <v>61</v>
      </c>
    </row>
    <row r="3" spans="2:4" s="3" customFormat="1" x14ac:dyDescent="0.25">
      <c r="B3" s="5" t="s">
        <v>56</v>
      </c>
      <c r="C3" s="5" t="s">
        <v>2</v>
      </c>
      <c r="D3" s="5"/>
    </row>
    <row r="4" spans="2:4" ht="30" x14ac:dyDescent="0.25">
      <c r="B4" s="6" t="s">
        <v>31</v>
      </c>
      <c r="C4" s="7" t="s">
        <v>33</v>
      </c>
      <c r="D4" s="4" t="s">
        <v>62</v>
      </c>
    </row>
    <row r="5" spans="2:4" ht="30" x14ac:dyDescent="0.25">
      <c r="B5" s="7" t="s">
        <v>35</v>
      </c>
      <c r="C5" s="7" t="s">
        <v>34</v>
      </c>
      <c r="D5" s="4" t="s">
        <v>62</v>
      </c>
    </row>
    <row r="6" spans="2:4" x14ac:dyDescent="0.25">
      <c r="B6" s="6" t="s">
        <v>18</v>
      </c>
      <c r="C6" s="6" t="s">
        <v>32</v>
      </c>
      <c r="D6" s="4" t="s">
        <v>53</v>
      </c>
    </row>
    <row r="7" spans="2:4" x14ac:dyDescent="0.25">
      <c r="B7" s="6" t="s">
        <v>19</v>
      </c>
      <c r="C7" s="6"/>
      <c r="D7" s="4" t="s">
        <v>54</v>
      </c>
    </row>
    <row r="8" spans="2:4" ht="60" x14ac:dyDescent="0.25">
      <c r="B8" s="7" t="s">
        <v>37</v>
      </c>
      <c r="C8" s="6"/>
      <c r="D8" s="8" t="s">
        <v>55</v>
      </c>
    </row>
    <row r="9" spans="2:4" s="3" customFormat="1" x14ac:dyDescent="0.25">
      <c r="B9" s="5" t="s">
        <v>36</v>
      </c>
      <c r="C9" s="5" t="s">
        <v>36</v>
      </c>
      <c r="D9" s="5"/>
    </row>
    <row r="10" spans="2:4" ht="75" x14ac:dyDescent="0.25">
      <c r="B10" s="7" t="s">
        <v>38</v>
      </c>
      <c r="C10" s="7" t="s">
        <v>57</v>
      </c>
      <c r="D10" s="8" t="s">
        <v>58</v>
      </c>
    </row>
    <row r="11" spans="2:4" s="3" customFormat="1" x14ac:dyDescent="0.25">
      <c r="B11" s="5" t="s">
        <v>39</v>
      </c>
      <c r="C11" s="5" t="s">
        <v>39</v>
      </c>
      <c r="D11" s="5"/>
    </row>
    <row r="12" spans="2:4" ht="90" x14ac:dyDescent="0.25">
      <c r="B12" s="7" t="s">
        <v>40</v>
      </c>
      <c r="C12" s="6" t="s">
        <v>42</v>
      </c>
      <c r="D12" s="8" t="s">
        <v>52</v>
      </c>
    </row>
    <row r="13" spans="2:4" ht="30" x14ac:dyDescent="0.25">
      <c r="B13" s="6" t="s">
        <v>41</v>
      </c>
      <c r="C13" s="6" t="s">
        <v>43</v>
      </c>
      <c r="D13" s="8" t="s">
        <v>59</v>
      </c>
    </row>
    <row r="14" spans="2:4" x14ac:dyDescent="0.25">
      <c r="B14" s="7" t="s">
        <v>44</v>
      </c>
      <c r="C14" s="6" t="s">
        <v>45</v>
      </c>
      <c r="D14" s="4" t="s">
        <v>48</v>
      </c>
    </row>
    <row r="15" spans="2:4" s="3" customFormat="1" x14ac:dyDescent="0.25">
      <c r="B15" s="9" t="s">
        <v>46</v>
      </c>
      <c r="C15" s="10" t="s">
        <v>47</v>
      </c>
      <c r="D15" s="4" t="s">
        <v>63</v>
      </c>
    </row>
    <row r="16" spans="2:4" x14ac:dyDescent="0.25">
      <c r="B16" s="7" t="s">
        <v>44</v>
      </c>
      <c r="C16" s="6" t="s">
        <v>45</v>
      </c>
      <c r="D16" s="4" t="s">
        <v>48</v>
      </c>
    </row>
    <row r="17" spans="2:4" s="3" customFormat="1" x14ac:dyDescent="0.25">
      <c r="B17" s="9" t="s">
        <v>49</v>
      </c>
      <c r="C17" s="10" t="s">
        <v>50</v>
      </c>
      <c r="D17" s="5"/>
    </row>
    <row r="18" spans="2:4" ht="45" x14ac:dyDescent="0.25">
      <c r="B18" s="7" t="s">
        <v>51</v>
      </c>
      <c r="C18" s="6" t="s">
        <v>42</v>
      </c>
      <c r="D18" s="8" t="s">
        <v>60</v>
      </c>
    </row>
    <row r="19" spans="2:4" x14ac:dyDescent="0.25">
      <c r="B19" s="7" t="s">
        <v>44</v>
      </c>
      <c r="C19" s="6" t="s">
        <v>45</v>
      </c>
      <c r="D19" s="4" t="s">
        <v>48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60"/>
  <sheetViews>
    <sheetView tabSelected="1" topLeftCell="A46" zoomScaleNormal="100" workbookViewId="0">
      <selection activeCell="Q73" sqref="Q73"/>
    </sheetView>
  </sheetViews>
  <sheetFormatPr defaultRowHeight="15" x14ac:dyDescent="0.25"/>
  <cols>
    <col min="1" max="1" width="19.7109375" style="14" customWidth="1"/>
    <col min="2" max="2" width="31.42578125" bestFit="1" customWidth="1"/>
    <col min="5" max="5" width="18" bestFit="1" customWidth="1"/>
    <col min="8" max="8" width="10.7109375" customWidth="1"/>
    <col min="17" max="17" width="10.85546875" customWidth="1"/>
  </cols>
  <sheetData>
    <row r="1" spans="1:26" x14ac:dyDescent="0.25">
      <c r="A1" s="1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3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</row>
    <row r="2" spans="1:26" x14ac:dyDescent="0.25">
      <c r="A2" s="14">
        <v>398628614306</v>
      </c>
      <c r="B2" s="1">
        <v>37561</v>
      </c>
      <c r="D2">
        <v>9.5</v>
      </c>
      <c r="E2">
        <v>76009.88</v>
      </c>
      <c r="F2">
        <v>33</v>
      </c>
      <c r="G2">
        <v>327</v>
      </c>
      <c r="H2">
        <v>0</v>
      </c>
      <c r="I2" s="1">
        <v>47515</v>
      </c>
      <c r="J2">
        <v>33100</v>
      </c>
      <c r="K2" t="s">
        <v>29</v>
      </c>
      <c r="L2" t="s">
        <v>30</v>
      </c>
      <c r="M2">
        <v>3</v>
      </c>
      <c r="N2" s="1">
        <v>37561</v>
      </c>
      <c r="O2" s="1">
        <v>37347</v>
      </c>
      <c r="Q2" s="1">
        <v>37561</v>
      </c>
      <c r="W2">
        <v>80131</v>
      </c>
    </row>
    <row r="9" spans="1:26" x14ac:dyDescent="0.25">
      <c r="F9" t="s">
        <v>20</v>
      </c>
      <c r="G9" t="s">
        <v>21</v>
      </c>
      <c r="H9" t="s">
        <v>22</v>
      </c>
      <c r="I9" t="s">
        <v>23</v>
      </c>
      <c r="J9" t="s">
        <v>24</v>
      </c>
    </row>
    <row r="15" spans="1:26" x14ac:dyDescent="0.25">
      <c r="B15" t="s">
        <v>20</v>
      </c>
    </row>
    <row r="16" spans="1:26" x14ac:dyDescent="0.25">
      <c r="B16" t="s">
        <v>21</v>
      </c>
    </row>
    <row r="17" spans="1:27" x14ac:dyDescent="0.25">
      <c r="B17" t="s">
        <v>22</v>
      </c>
    </row>
    <row r="18" spans="1:27" x14ac:dyDescent="0.25">
      <c r="B18" t="s">
        <v>23</v>
      </c>
    </row>
    <row r="19" spans="1:27" x14ac:dyDescent="0.25">
      <c r="B19" t="s">
        <v>24</v>
      </c>
    </row>
    <row r="23" spans="1:27" x14ac:dyDescent="0.25">
      <c r="B23" t="s">
        <v>27</v>
      </c>
    </row>
    <row r="24" spans="1:27" x14ac:dyDescent="0.25">
      <c r="B24" t="s">
        <v>28</v>
      </c>
    </row>
    <row r="32" spans="1:27" x14ac:dyDescent="0.25">
      <c r="A32" s="14" t="s">
        <v>65</v>
      </c>
      <c r="B32" t="s">
        <v>66</v>
      </c>
      <c r="C32" t="s">
        <v>67</v>
      </c>
      <c r="D32" t="s">
        <v>68</v>
      </c>
      <c r="E32" s="3" t="s">
        <v>69</v>
      </c>
      <c r="F32" t="s">
        <v>70</v>
      </c>
      <c r="G32" t="s">
        <v>71</v>
      </c>
      <c r="H32" t="s">
        <v>72</v>
      </c>
      <c r="I32" t="s">
        <v>73</v>
      </c>
      <c r="J32" t="s">
        <v>74</v>
      </c>
      <c r="K32" t="s">
        <v>75</v>
      </c>
      <c r="L32" t="s">
        <v>76</v>
      </c>
      <c r="M32" t="s">
        <v>77</v>
      </c>
      <c r="N32" t="s">
        <v>78</v>
      </c>
      <c r="O32" t="s">
        <v>79</v>
      </c>
      <c r="P32" t="s">
        <v>80</v>
      </c>
      <c r="Q32" t="s">
        <v>81</v>
      </c>
      <c r="R32" t="s">
        <v>16</v>
      </c>
      <c r="S32" t="s">
        <v>82</v>
      </c>
      <c r="T32" t="s">
        <v>83</v>
      </c>
      <c r="U32" t="s">
        <v>84</v>
      </c>
      <c r="V32" t="s">
        <v>85</v>
      </c>
      <c r="W32" t="s">
        <v>86</v>
      </c>
      <c r="X32" t="s">
        <v>87</v>
      </c>
      <c r="Y32" t="s">
        <v>88</v>
      </c>
      <c r="Z32" t="s">
        <v>89</v>
      </c>
      <c r="AA32" t="s">
        <v>90</v>
      </c>
    </row>
    <row r="33" spans="1:27" x14ac:dyDescent="0.25">
      <c r="A33" s="14">
        <v>104378283713</v>
      </c>
      <c r="B33" s="1">
        <v>40940</v>
      </c>
      <c r="C33">
        <v>283</v>
      </c>
      <c r="D33">
        <v>-1</v>
      </c>
      <c r="F33">
        <v>101</v>
      </c>
      <c r="G33">
        <v>5.875</v>
      </c>
      <c r="H33">
        <v>5.875</v>
      </c>
      <c r="I33" s="13">
        <v>0</v>
      </c>
      <c r="J33">
        <v>182328.05</v>
      </c>
      <c r="K33">
        <v>182328.05</v>
      </c>
      <c r="L33">
        <v>0</v>
      </c>
      <c r="P33" t="s">
        <v>91</v>
      </c>
      <c r="Q33" t="s">
        <v>91</v>
      </c>
      <c r="S33" t="s">
        <v>92</v>
      </c>
      <c r="T33" t="s">
        <v>92</v>
      </c>
      <c r="U33">
        <v>0</v>
      </c>
      <c r="V33">
        <v>0</v>
      </c>
      <c r="Y33">
        <v>0</v>
      </c>
      <c r="Z33">
        <v>0</v>
      </c>
      <c r="AA33">
        <v>0</v>
      </c>
    </row>
    <row r="34" spans="1:27" x14ac:dyDescent="0.25">
      <c r="A34" s="14">
        <v>104378283713</v>
      </c>
      <c r="B34" s="1">
        <v>40969</v>
      </c>
      <c r="C34">
        <v>282</v>
      </c>
      <c r="D34">
        <v>-1</v>
      </c>
      <c r="F34">
        <v>102</v>
      </c>
      <c r="G34">
        <v>5.875</v>
      </c>
      <c r="H34">
        <v>5.875</v>
      </c>
      <c r="I34" s="13">
        <v>0</v>
      </c>
      <c r="J34">
        <v>182328.05</v>
      </c>
      <c r="K34">
        <v>182328.05</v>
      </c>
      <c r="L34">
        <v>0</v>
      </c>
      <c r="P34" t="s">
        <v>91</v>
      </c>
      <c r="Q34" t="s">
        <v>91</v>
      </c>
      <c r="S34" t="s">
        <v>92</v>
      </c>
      <c r="T34" t="s">
        <v>92</v>
      </c>
      <c r="U34">
        <v>0</v>
      </c>
      <c r="V34">
        <v>0</v>
      </c>
      <c r="Y34">
        <v>0</v>
      </c>
      <c r="Z34">
        <v>0</v>
      </c>
      <c r="AA34">
        <v>0</v>
      </c>
    </row>
    <row r="35" spans="1:27" x14ac:dyDescent="0.25">
      <c r="A35" s="14">
        <v>104378283713</v>
      </c>
      <c r="B35" s="1">
        <v>41000</v>
      </c>
      <c r="C35">
        <v>281</v>
      </c>
      <c r="D35">
        <v>13</v>
      </c>
      <c r="F35">
        <v>103</v>
      </c>
      <c r="G35">
        <v>5.875</v>
      </c>
      <c r="H35">
        <v>5.875</v>
      </c>
      <c r="I35" s="13">
        <v>0</v>
      </c>
      <c r="J35">
        <v>182328.05</v>
      </c>
      <c r="K35">
        <v>182328.05</v>
      </c>
      <c r="L35">
        <v>0</v>
      </c>
      <c r="P35" t="s">
        <v>91</v>
      </c>
      <c r="Q35" t="s">
        <v>29</v>
      </c>
      <c r="R35" t="s">
        <v>91</v>
      </c>
      <c r="S35" t="s">
        <v>92</v>
      </c>
      <c r="T35" t="s">
        <v>92</v>
      </c>
      <c r="U35">
        <v>0</v>
      </c>
      <c r="V35">
        <v>0</v>
      </c>
      <c r="Y35">
        <v>0</v>
      </c>
      <c r="Z35">
        <v>0</v>
      </c>
      <c r="AA35">
        <v>0</v>
      </c>
    </row>
    <row r="42" spans="1:27" x14ac:dyDescent="0.25">
      <c r="A42" s="14" t="s">
        <v>93</v>
      </c>
      <c r="B42" t="s">
        <v>5</v>
      </c>
      <c r="C42" t="s">
        <v>8</v>
      </c>
      <c r="D42" t="s">
        <v>14</v>
      </c>
      <c r="E42" t="s">
        <v>9</v>
      </c>
      <c r="F42" t="s">
        <v>10</v>
      </c>
      <c r="G42" t="s">
        <v>15</v>
      </c>
      <c r="H42" t="s">
        <v>16</v>
      </c>
      <c r="I42" t="s">
        <v>17</v>
      </c>
      <c r="J42" t="s">
        <v>7</v>
      </c>
      <c r="K42" t="s">
        <v>94</v>
      </c>
      <c r="L42" t="s">
        <v>95</v>
      </c>
      <c r="M42" t="s">
        <v>96</v>
      </c>
      <c r="N42" t="s">
        <v>27</v>
      </c>
      <c r="O42" t="s">
        <v>28</v>
      </c>
      <c r="P42" t="s">
        <v>20</v>
      </c>
      <c r="Q42" t="s">
        <v>21</v>
      </c>
      <c r="R42" t="s">
        <v>22</v>
      </c>
      <c r="S42" t="s">
        <v>23</v>
      </c>
      <c r="T42" t="s">
        <v>24</v>
      </c>
      <c r="U42" t="s">
        <v>97</v>
      </c>
      <c r="V42" t="s">
        <v>98</v>
      </c>
    </row>
    <row r="43" spans="1:27" x14ac:dyDescent="0.25">
      <c r="A43" s="14">
        <v>104378283713</v>
      </c>
      <c r="B43" s="1">
        <v>40909</v>
      </c>
      <c r="C43">
        <v>182328.05</v>
      </c>
      <c r="D43" t="s">
        <v>99</v>
      </c>
      <c r="E43">
        <v>101</v>
      </c>
      <c r="F43">
        <v>283</v>
      </c>
      <c r="G43" t="s">
        <v>92</v>
      </c>
      <c r="H43" t="s">
        <v>64</v>
      </c>
      <c r="J43">
        <v>5.875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7" x14ac:dyDescent="0.25">
      <c r="A44" s="14">
        <v>104378283713</v>
      </c>
      <c r="B44" s="1">
        <v>40940</v>
      </c>
      <c r="C44">
        <v>182328.05</v>
      </c>
      <c r="D44" t="s">
        <v>99</v>
      </c>
      <c r="E44">
        <v>102</v>
      </c>
      <c r="F44">
        <v>282</v>
      </c>
      <c r="G44" t="s">
        <v>92</v>
      </c>
      <c r="H44" t="s">
        <v>64</v>
      </c>
      <c r="J44">
        <v>5.875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7" x14ac:dyDescent="0.25">
      <c r="A45" s="14">
        <v>104378283713</v>
      </c>
      <c r="B45" s="1">
        <v>40969</v>
      </c>
      <c r="C45">
        <v>182328.05</v>
      </c>
      <c r="D45" t="s">
        <v>99</v>
      </c>
      <c r="E45">
        <v>103</v>
      </c>
      <c r="F45">
        <v>281</v>
      </c>
      <c r="G45" t="s">
        <v>92</v>
      </c>
      <c r="H45" t="s">
        <v>64</v>
      </c>
      <c r="J45">
        <v>5.875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9" spans="1:26" x14ac:dyDescent="0.25">
      <c r="A49" s="14" t="s">
        <v>4</v>
      </c>
      <c r="B49" t="s">
        <v>5</v>
      </c>
      <c r="C49" t="s">
        <v>6</v>
      </c>
      <c r="D49" t="s">
        <v>7</v>
      </c>
      <c r="E49" t="s">
        <v>8</v>
      </c>
      <c r="F49" t="s">
        <v>9</v>
      </c>
      <c r="G49" t="s">
        <v>10</v>
      </c>
      <c r="H49" t="s">
        <v>11</v>
      </c>
      <c r="I49" t="s">
        <v>12</v>
      </c>
      <c r="J49" t="s">
        <v>13</v>
      </c>
      <c r="K49" t="s">
        <v>14</v>
      </c>
      <c r="L49" t="s">
        <v>15</v>
      </c>
      <c r="M49" t="s">
        <v>16</v>
      </c>
      <c r="N49" t="s">
        <v>17</v>
      </c>
      <c r="O49" t="s">
        <v>18</v>
      </c>
      <c r="P49" t="s">
        <v>19</v>
      </c>
      <c r="Q49" t="s">
        <v>3</v>
      </c>
      <c r="R49" t="s">
        <v>20</v>
      </c>
      <c r="S49" t="s">
        <v>21</v>
      </c>
      <c r="T49" t="s">
        <v>22</v>
      </c>
      <c r="U49" t="s">
        <v>23</v>
      </c>
      <c r="V49" t="s">
        <v>24</v>
      </c>
      <c r="W49" t="s">
        <v>25</v>
      </c>
      <c r="X49" t="s">
        <v>26</v>
      </c>
      <c r="Y49" t="s">
        <v>27</v>
      </c>
      <c r="Z49" t="s">
        <v>28</v>
      </c>
    </row>
    <row r="50" spans="1:26" x14ac:dyDescent="0.25">
      <c r="A50" s="14" t="s">
        <v>110</v>
      </c>
      <c r="B50" s="1">
        <v>40725</v>
      </c>
      <c r="D50">
        <v>6.75</v>
      </c>
      <c r="E50">
        <v>154616.4</v>
      </c>
      <c r="F50">
        <v>46</v>
      </c>
      <c r="G50">
        <v>314</v>
      </c>
      <c r="H50">
        <v>0</v>
      </c>
      <c r="I50" s="1">
        <v>50284</v>
      </c>
      <c r="J50">
        <v>39300</v>
      </c>
      <c r="K50" t="s">
        <v>29</v>
      </c>
      <c r="L50" t="s">
        <v>30</v>
      </c>
      <c r="M50">
        <v>9</v>
      </c>
      <c r="N50" s="1">
        <v>40725</v>
      </c>
      <c r="O50" s="1">
        <v>40391</v>
      </c>
      <c r="P50" s="1">
        <v>40725</v>
      </c>
      <c r="Q50" s="15">
        <v>40817</v>
      </c>
      <c r="R50">
        <v>3592</v>
      </c>
      <c r="S50">
        <v>3795</v>
      </c>
      <c r="T50">
        <v>1710</v>
      </c>
      <c r="U50">
        <v>-16</v>
      </c>
      <c r="V50">
        <v>4298</v>
      </c>
      <c r="W50">
        <v>106318</v>
      </c>
      <c r="Z50">
        <v>87</v>
      </c>
    </row>
    <row r="57" spans="1:26" x14ac:dyDescent="0.25">
      <c r="A57" s="14" t="s">
        <v>65</v>
      </c>
      <c r="B57" t="s">
        <v>100</v>
      </c>
      <c r="C57" t="s">
        <v>101</v>
      </c>
      <c r="D57" t="s">
        <v>102</v>
      </c>
      <c r="E57" t="s">
        <v>103</v>
      </c>
      <c r="F57" t="s">
        <v>104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98</v>
      </c>
      <c r="M57" t="s">
        <v>96</v>
      </c>
      <c r="N57" t="s">
        <v>27</v>
      </c>
      <c r="O57" t="s">
        <v>28</v>
      </c>
      <c r="P57" t="s">
        <v>105</v>
      </c>
      <c r="Q57" t="s">
        <v>106</v>
      </c>
      <c r="R57" t="s">
        <v>107</v>
      </c>
      <c r="S57" t="s">
        <v>108</v>
      </c>
      <c r="T57" t="s">
        <v>109</v>
      </c>
    </row>
    <row r="58" spans="1:26" x14ac:dyDescent="0.25">
      <c r="A58" s="14" t="s">
        <v>110</v>
      </c>
      <c r="B58" s="15">
        <v>40817</v>
      </c>
      <c r="C58">
        <v>154616.4</v>
      </c>
      <c r="D58" s="1">
        <v>40391</v>
      </c>
      <c r="E58">
        <v>14</v>
      </c>
      <c r="F58">
        <v>11725.08</v>
      </c>
      <c r="G58">
        <v>3592</v>
      </c>
      <c r="H58">
        <v>3795</v>
      </c>
      <c r="I58">
        <v>1710</v>
      </c>
      <c r="J58">
        <v>-16</v>
      </c>
      <c r="K58">
        <v>4298</v>
      </c>
      <c r="L58">
        <v>13379</v>
      </c>
      <c r="M58">
        <v>106318</v>
      </c>
      <c r="N58">
        <v>0</v>
      </c>
      <c r="O58">
        <v>87</v>
      </c>
      <c r="P58">
        <v>179720.48</v>
      </c>
      <c r="Q58">
        <v>0</v>
      </c>
      <c r="R58">
        <v>87</v>
      </c>
      <c r="S58">
        <v>73402.48</v>
      </c>
      <c r="T58">
        <v>73315.48</v>
      </c>
    </row>
    <row r="59" spans="1:26" x14ac:dyDescent="0.25">
      <c r="F59">
        <f>E50*(D50-0.25)*E58/12/100</f>
        <v>11725.076999999999</v>
      </c>
      <c r="P59">
        <f>(E50+F59+L58)</f>
        <v>179720.47699999998</v>
      </c>
      <c r="S59">
        <f>E50-M58+F59+L58</f>
        <v>73402.476999999984</v>
      </c>
      <c r="T59">
        <f>S59-R58-Q58</f>
        <v>73315.476999999984</v>
      </c>
    </row>
    <row r="60" spans="1:26" x14ac:dyDescent="0.25">
      <c r="F60" s="16">
        <f>F58/$E$50</f>
        <v>7.583335273619099E-2</v>
      </c>
      <c r="G60" s="16">
        <f t="shared" ref="G60:T60" si="0">G58/$E$50</f>
        <v>2.3231688229709137E-2</v>
      </c>
      <c r="H60" s="16">
        <f t="shared" si="0"/>
        <v>2.4544614930887023E-2</v>
      </c>
      <c r="I60" s="16">
        <f t="shared" si="0"/>
        <v>1.1059628862138815E-2</v>
      </c>
      <c r="J60" s="16">
        <f t="shared" si="0"/>
        <v>-1.0348190748200062E-4</v>
      </c>
      <c r="K60" s="16">
        <f t="shared" si="0"/>
        <v>2.7797827397352416E-2</v>
      </c>
      <c r="L60" s="16">
        <f t="shared" si="0"/>
        <v>8.6530277512605391E-2</v>
      </c>
      <c r="M60" s="16">
        <f t="shared" si="0"/>
        <v>0.68762433997945882</v>
      </c>
      <c r="N60" s="16">
        <f t="shared" si="0"/>
        <v>0</v>
      </c>
      <c r="O60" s="16">
        <f t="shared" si="0"/>
        <v>5.6268287193337837E-4</v>
      </c>
      <c r="P60" s="16">
        <f t="shared" si="0"/>
        <v>1.1623636302487965</v>
      </c>
      <c r="Q60" s="16">
        <f t="shared" si="0"/>
        <v>0</v>
      </c>
      <c r="R60" s="16">
        <f t="shared" si="0"/>
        <v>5.6268287193337837E-4</v>
      </c>
      <c r="S60" s="16">
        <f t="shared" si="0"/>
        <v>0.47473929026933753</v>
      </c>
      <c r="T60" s="16">
        <f t="shared" si="0"/>
        <v>0.47417660739740414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2015-10-06T19:20:10Z</dcterms:modified>
</cp:coreProperties>
</file>