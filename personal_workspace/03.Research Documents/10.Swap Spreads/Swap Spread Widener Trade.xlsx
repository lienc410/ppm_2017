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5315" windowHeight="666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3" i="1" l="1"/>
  <c r="E12" i="1" s="1"/>
  <c r="E10" i="1"/>
  <c r="D10" i="1"/>
  <c r="C10" i="1"/>
  <c r="B10" i="1"/>
  <c r="E9" i="1"/>
  <c r="D9" i="1"/>
  <c r="C9" i="1"/>
  <c r="B9" i="1"/>
  <c r="B12" i="1" l="1"/>
  <c r="D12" i="1"/>
  <c r="C12" i="1"/>
  <c r="E7" i="1" l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1" i="1"/>
  <c r="D11" i="1"/>
  <c r="C11" i="1"/>
  <c r="B11" i="1"/>
  <c r="E8" i="1"/>
  <c r="D8" i="1"/>
  <c r="C8" i="1"/>
  <c r="B8" i="1"/>
  <c r="E6" i="1"/>
  <c r="D6" i="1"/>
  <c r="C6" i="1"/>
  <c r="B6" i="1"/>
  <c r="B2" i="1"/>
  <c r="B7" i="1" l="1"/>
  <c r="C7" i="1"/>
  <c r="D7" i="1"/>
</calcChain>
</file>

<file path=xl/sharedStrings.xml><?xml version="1.0" encoding="utf-8"?>
<sst xmlns="http://schemas.openxmlformats.org/spreadsheetml/2006/main" count="39" uniqueCount="38">
  <si>
    <t>2-year</t>
  </si>
  <si>
    <t>5-year</t>
  </si>
  <si>
    <t>10-year</t>
  </si>
  <si>
    <t>30-year</t>
  </si>
  <si>
    <t>Initial Margin</t>
  </si>
  <si>
    <t>Repo Haircut; %</t>
  </si>
  <si>
    <t>Equity; $</t>
  </si>
  <si>
    <t>Net Carry (ex-Spread); $</t>
  </si>
  <si>
    <t>Asset swap spread; bp</t>
  </si>
  <si>
    <t>Return from Spread; $</t>
  </si>
  <si>
    <t>All-in Return; $</t>
  </si>
  <si>
    <t>RoE; %</t>
  </si>
  <si>
    <t>RoE Gap; $</t>
  </si>
  <si>
    <t>Breakeven Spread; bp</t>
  </si>
  <si>
    <t>Breakeven Spd (w/ roll); bp</t>
  </si>
  <si>
    <t>Comments</t>
  </si>
  <si>
    <t>Input</t>
  </si>
  <si>
    <t>Trade Amount (Short SS)</t>
  </si>
  <si>
    <t>-1 * Swap Spreads (as of 11/30)</t>
  </si>
  <si>
    <t>Asset swap spread * Trade amount</t>
  </si>
  <si>
    <t>Carry + Return from Spreads</t>
  </si>
  <si>
    <t>All-in Return/Equity</t>
  </si>
  <si>
    <t>SS at which Short SS trade earns 15% RoE</t>
  </si>
  <si>
    <t>SS at which Short SS trade earns 15% RoE (w/ roll)</t>
  </si>
  <si>
    <t>To earn 15% RoE</t>
  </si>
  <si>
    <t>Leverage Ratio; %</t>
  </si>
  <si>
    <t>Leverage Ratio</t>
  </si>
  <si>
    <t>Leverage Ratio for banks</t>
  </si>
  <si>
    <t>Basel III PFE Add-on</t>
  </si>
  <si>
    <t>Treasury notional</t>
  </si>
  <si>
    <t>Leverage Ratio x (Treasury not. + Initial Margin + Repo Haircut + Swap Add-on)</t>
  </si>
  <si>
    <t>Leverage PFE add-on; %</t>
  </si>
  <si>
    <t>Swap add-on; $</t>
  </si>
  <si>
    <t>NGR</t>
  </si>
  <si>
    <t>NGR=Net to Gross Ratio, taken to be zero for this type of trade (bank counterparty)</t>
  </si>
  <si>
    <t>Swap add-on = notional x factor * (0.4 + 0.6 x NGR). Factor is the PFE Add-on.</t>
  </si>
  <si>
    <r>
      <t xml:space="preserve">Assumptions:  </t>
    </r>
    <r>
      <rPr>
        <sz val="11"/>
        <color theme="1"/>
        <rFont val="Calibri"/>
        <family val="2"/>
        <scheme val="minor"/>
      </rPr>
      <t>Trade is executed by bank/dealer with a broker-dealer</t>
    </r>
  </si>
  <si>
    <t>Earn LIBOR pay Treasury funding (same for all). Also, finance initial margin and repo haircut at OIS (different for 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</si>
</sst>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0" fontId="2" fillId="0" borderId="0" xfId="3" applyNumberFormat="1" applyFont="1"/>
    <xf numFmtId="0" fontId="3" fillId="0" borderId="1" xfId="0" applyFont="1" applyBorder="1"/>
    <xf numFmtId="0" fontId="3" fillId="0" borderId="0" xfId="0" applyFont="1" applyFill="1" applyBorder="1"/>
    <xf numFmtId="164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10" fontId="0" fillId="0" borderId="0" xfId="3" applyNumberFormat="1" applyFont="1" applyAlignment="1">
      <alignment horizontal="right"/>
    </xf>
    <xf numFmtId="0" fontId="3" fillId="0" borderId="2" xfId="0" applyFont="1" applyFill="1" applyBorder="1"/>
    <xf numFmtId="10" fontId="4" fillId="0" borderId="0" xfId="3" applyNumberFormat="1" applyFont="1" applyAlignment="1"/>
    <xf numFmtId="0" fontId="5" fillId="0" borderId="0" xfId="0" quotePrefix="1" applyFont="1" applyAlignment="1"/>
    <xf numFmtId="164" fontId="5" fillId="0" borderId="0" xfId="0" quotePrefix="1" applyNumberFormat="1" applyFont="1" applyAlignment="1"/>
    <xf numFmtId="9" fontId="0" fillId="0" borderId="0" xfId="3" applyFont="1" applyAlignment="1">
      <alignment horizontal="right"/>
    </xf>
    <xf numFmtId="164" fontId="0" fillId="0" borderId="1" xfId="1" applyNumberFormat="1" applyFont="1" applyBorder="1" applyAlignment="1">
      <alignment horizontal="right"/>
    </xf>
    <xf numFmtId="0" fontId="4" fillId="0" borderId="0" xfId="0" quotePrefix="1" applyFont="1" applyAlignment="1"/>
    <xf numFmtId="0" fontId="4" fillId="0" borderId="0" xfId="0" applyFont="1" applyAlignment="1"/>
    <xf numFmtId="165" fontId="0" fillId="0" borderId="0" xfId="0" applyNumberFormat="1"/>
    <xf numFmtId="0" fontId="3" fillId="0" borderId="2" xfId="0" applyFont="1" applyBorder="1" applyAlignment="1">
      <alignment horizontal="right"/>
    </xf>
    <xf numFmtId="0" fontId="3" fillId="0" borderId="0" xfId="0" quotePrefix="1" applyFont="1"/>
    <xf numFmtId="0" fontId="5" fillId="0" borderId="0" xfId="0" applyFont="1" applyAlignment="1">
      <alignment horizontal="left"/>
    </xf>
    <xf numFmtId="37" fontId="0" fillId="0" borderId="0" xfId="2" applyNumberFormat="1" applyFont="1" applyAlignment="1">
      <alignment horizontal="right"/>
    </xf>
    <xf numFmtId="164" fontId="4" fillId="0" borderId="0" xfId="0" applyNumberFormat="1" applyFont="1" applyAlignment="1"/>
    <xf numFmtId="0" fontId="6" fillId="0" borderId="0" xfId="0" applyFont="1" applyAlignment="1"/>
    <xf numFmtId="10" fontId="6" fillId="0" borderId="0" xfId="3" applyNumberFormat="1" applyFont="1" applyAlignme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"/>
  <sheetViews>
    <sheetView tabSelected="1" workbookViewId="0">
      <selection activeCell="B19" sqref="B19"/>
    </sheetView>
  </sheetViews>
  <sheetFormatPr defaultRowHeight="15" x14ac:dyDescent="0.25"/>
  <cols>
    <col min="1" max="1" width="25.42578125" customWidth="1"/>
    <col min="2" max="2" width="15.5703125" style="8" bestFit="1" customWidth="1"/>
    <col min="3" max="4" width="12.5703125" style="8" bestFit="1" customWidth="1"/>
    <col min="5" max="5" width="14.28515625" style="8" bestFit="1" customWidth="1"/>
    <col min="6" max="6" width="2.5703125" customWidth="1"/>
    <col min="7" max="7" width="101.28515625" style="1" customWidth="1"/>
    <col min="8" max="8" width="10.5703125" bestFit="1" customWidth="1"/>
  </cols>
  <sheetData>
    <row r="1" spans="1:9" x14ac:dyDescent="0.25">
      <c r="G1" s="3" t="s">
        <v>15</v>
      </c>
    </row>
    <row r="2" spans="1:9" x14ac:dyDescent="0.25">
      <c r="A2" s="2" t="s">
        <v>17</v>
      </c>
      <c r="B2" s="7">
        <f>10000000</f>
        <v>10000000</v>
      </c>
      <c r="G2" s="22" t="s">
        <v>29</v>
      </c>
    </row>
    <row r="3" spans="1:9" x14ac:dyDescent="0.25">
      <c r="A3" s="21" t="s">
        <v>26</v>
      </c>
      <c r="B3" s="15">
        <f>5%</f>
        <v>0.05</v>
      </c>
    </row>
    <row r="5" spans="1:9" x14ac:dyDescent="0.25">
      <c r="B5" s="9" t="s">
        <v>0</v>
      </c>
      <c r="C5" s="9" t="s">
        <v>1</v>
      </c>
      <c r="D5" s="9" t="s">
        <v>2</v>
      </c>
      <c r="E5" s="9" t="s">
        <v>3</v>
      </c>
    </row>
    <row r="6" spans="1:9" x14ac:dyDescent="0.25">
      <c r="A6" s="2" t="s">
        <v>4</v>
      </c>
      <c r="B6" s="7">
        <f>66080</f>
        <v>66080</v>
      </c>
      <c r="C6" s="7">
        <f>197679</f>
        <v>197679</v>
      </c>
      <c r="D6" s="7">
        <f>439281</f>
        <v>439281</v>
      </c>
      <c r="E6" s="7">
        <f>1143941</f>
        <v>1143941</v>
      </c>
      <c r="F6" s="4"/>
      <c r="G6" s="26" t="s">
        <v>16</v>
      </c>
      <c r="H6" s="4"/>
      <c r="I6" s="4"/>
    </row>
    <row r="7" spans="1:9" x14ac:dyDescent="0.25">
      <c r="A7" s="2" t="s">
        <v>25</v>
      </c>
      <c r="B7" s="15">
        <f>$B$3</f>
        <v>0.05</v>
      </c>
      <c r="C7" s="15">
        <f t="shared" ref="C7:E7" si="0">$B$3</f>
        <v>0.05</v>
      </c>
      <c r="D7" s="15">
        <f t="shared" si="0"/>
        <v>0.05</v>
      </c>
      <c r="E7" s="15">
        <f t="shared" si="0"/>
        <v>0.05</v>
      </c>
      <c r="F7" s="4"/>
      <c r="G7" s="12" t="s">
        <v>27</v>
      </c>
      <c r="H7" s="4"/>
      <c r="I7" s="4"/>
    </row>
    <row r="8" spans="1:9" x14ac:dyDescent="0.25">
      <c r="A8" s="2" t="s">
        <v>31</v>
      </c>
      <c r="B8" s="10">
        <f>0.5%</f>
        <v>5.0000000000000001E-3</v>
      </c>
      <c r="C8" s="10">
        <f>0.5%</f>
        <v>5.0000000000000001E-3</v>
      </c>
      <c r="D8" s="10">
        <f>1.5%</f>
        <v>1.4999999999999999E-2</v>
      </c>
      <c r="E8" s="10">
        <f>1.5%</f>
        <v>1.4999999999999999E-2</v>
      </c>
      <c r="G8" s="18" t="s">
        <v>28</v>
      </c>
    </row>
    <row r="9" spans="1:9" x14ac:dyDescent="0.25">
      <c r="A9" s="2" t="s">
        <v>33</v>
      </c>
      <c r="B9" s="10">
        <f>0%</f>
        <v>0</v>
      </c>
      <c r="C9" s="10">
        <f>0</f>
        <v>0</v>
      </c>
      <c r="D9" s="10">
        <f>0%</f>
        <v>0</v>
      </c>
      <c r="E9" s="10">
        <f>0%</f>
        <v>0</v>
      </c>
      <c r="G9" s="18" t="s">
        <v>34</v>
      </c>
    </row>
    <row r="10" spans="1:9" x14ac:dyDescent="0.25">
      <c r="A10" s="2" t="s">
        <v>32</v>
      </c>
      <c r="B10" s="23">
        <f>$B$2*B8*(0.4 + 0.6*B9)</f>
        <v>20000</v>
      </c>
      <c r="C10" s="23">
        <f t="shared" ref="C10:E10" si="1">$B$2*C8*(0.4 + 0.6*C9)</f>
        <v>20000</v>
      </c>
      <c r="D10" s="23">
        <f t="shared" si="1"/>
        <v>60000</v>
      </c>
      <c r="E10" s="23">
        <f t="shared" si="1"/>
        <v>60000</v>
      </c>
      <c r="G10" s="18" t="s">
        <v>35</v>
      </c>
    </row>
    <row r="11" spans="1:9" x14ac:dyDescent="0.25">
      <c r="A11" s="2" t="s">
        <v>5</v>
      </c>
      <c r="B11" s="10">
        <f>0.02%</f>
        <v>2.0000000000000001E-4</v>
      </c>
      <c r="C11" s="10">
        <f>1.3%</f>
        <v>1.3000000000000001E-2</v>
      </c>
      <c r="D11" s="10">
        <f>2.8%</f>
        <v>2.7999999999999997E-2</v>
      </c>
      <c r="E11" s="10">
        <f>5.8%</f>
        <v>5.7999999999999996E-2</v>
      </c>
      <c r="G11" s="25" t="s">
        <v>16</v>
      </c>
    </row>
    <row r="12" spans="1:9" x14ac:dyDescent="0.25">
      <c r="A12" s="2" t="s">
        <v>6</v>
      </c>
      <c r="B12" s="7">
        <f>$B$3*($B$2+B6+($B$2*B11)+B10)</f>
        <v>504404</v>
      </c>
      <c r="C12" s="7">
        <f t="shared" ref="C12:E12" si="2">$B$3*($B$2+C6+($B$2*C11)+C10)</f>
        <v>517383.95</v>
      </c>
      <c r="D12" s="7">
        <f t="shared" si="2"/>
        <v>538964.05000000005</v>
      </c>
      <c r="E12" s="7">
        <f t="shared" si="2"/>
        <v>589197.05000000005</v>
      </c>
      <c r="G12" s="24" t="s">
        <v>30</v>
      </c>
      <c r="H12" s="19"/>
    </row>
    <row r="13" spans="1:9" x14ac:dyDescent="0.25">
      <c r="A13" s="2" t="s">
        <v>7</v>
      </c>
      <c r="B13" s="7">
        <f>19657</f>
        <v>19657</v>
      </c>
      <c r="C13" s="7">
        <f>18347</f>
        <v>18347</v>
      </c>
      <c r="D13" s="7">
        <f>16371</f>
        <v>16371</v>
      </c>
      <c r="E13" s="7">
        <f>11303</f>
        <v>11303</v>
      </c>
      <c r="G13" s="18" t="s">
        <v>37</v>
      </c>
    </row>
    <row r="14" spans="1:9" x14ac:dyDescent="0.25">
      <c r="A14" s="2" t="s">
        <v>8</v>
      </c>
      <c r="B14" s="8">
        <f>-6.1</f>
        <v>-6.1</v>
      </c>
      <c r="C14" s="8">
        <f>6.6</f>
        <v>6.6</v>
      </c>
      <c r="D14" s="8">
        <f>13.1</f>
        <v>13.1</v>
      </c>
      <c r="E14" s="8">
        <f>44.3</f>
        <v>44.3</v>
      </c>
      <c r="G14" s="13" t="s">
        <v>18</v>
      </c>
    </row>
    <row r="15" spans="1:9" x14ac:dyDescent="0.25">
      <c r="A15" s="2" t="s">
        <v>9</v>
      </c>
      <c r="B15" s="7">
        <f>-6099</f>
        <v>-6099</v>
      </c>
      <c r="C15" s="7">
        <f>6551</f>
        <v>6551</v>
      </c>
      <c r="D15" s="7">
        <f>13073</f>
        <v>13073</v>
      </c>
      <c r="E15" s="7">
        <f>44324</f>
        <v>44324</v>
      </c>
      <c r="G15" s="14" t="s">
        <v>19</v>
      </c>
    </row>
    <row r="16" spans="1:9" x14ac:dyDescent="0.25">
      <c r="A16" s="2" t="s">
        <v>10</v>
      </c>
      <c r="B16" s="7">
        <f>13558</f>
        <v>13558</v>
      </c>
      <c r="C16" s="7">
        <f>24897</f>
        <v>24897</v>
      </c>
      <c r="D16" s="7">
        <f>29444</f>
        <v>29444</v>
      </c>
      <c r="E16" s="7">
        <f>55627</f>
        <v>55627</v>
      </c>
      <c r="G16" s="13" t="s">
        <v>20</v>
      </c>
    </row>
    <row r="17" spans="1:7" x14ac:dyDescent="0.25">
      <c r="A17" s="2" t="s">
        <v>11</v>
      </c>
      <c r="B17" s="10">
        <f>3.36%</f>
        <v>3.3599999999999998E-2</v>
      </c>
      <c r="C17" s="10">
        <f>6.02%</f>
        <v>6.0199999999999997E-2</v>
      </c>
      <c r="D17" s="10">
        <f>6.83%</f>
        <v>6.83E-2</v>
      </c>
      <c r="E17" s="10">
        <f>11.8%</f>
        <v>0.11800000000000001</v>
      </c>
      <c r="G17" s="13" t="s">
        <v>21</v>
      </c>
    </row>
    <row r="18" spans="1:7" x14ac:dyDescent="0.25">
      <c r="A18" s="5" t="s">
        <v>12</v>
      </c>
      <c r="B18" s="16">
        <f>46971</f>
        <v>46971</v>
      </c>
      <c r="C18" s="16">
        <f>37189</f>
        <v>37189</v>
      </c>
      <c r="D18" s="16">
        <f>35232</f>
        <v>35232</v>
      </c>
      <c r="E18" s="16">
        <f>15077</f>
        <v>15077</v>
      </c>
      <c r="G18" s="18" t="s">
        <v>24</v>
      </c>
    </row>
    <row r="19" spans="1:7" x14ac:dyDescent="0.25">
      <c r="A19" s="11" t="s">
        <v>13</v>
      </c>
      <c r="B19" s="20">
        <f>-41</f>
        <v>-41</v>
      </c>
      <c r="C19" s="20">
        <f>-44</f>
        <v>-44</v>
      </c>
      <c r="D19" s="20">
        <f>-48</f>
        <v>-48</v>
      </c>
      <c r="E19" s="20">
        <f>-59</f>
        <v>-59</v>
      </c>
      <c r="G19" s="17" t="s">
        <v>22</v>
      </c>
    </row>
    <row r="20" spans="1:7" x14ac:dyDescent="0.25">
      <c r="A20" s="6" t="s">
        <v>14</v>
      </c>
      <c r="B20" s="9">
        <f>-38</f>
        <v>-38</v>
      </c>
      <c r="C20" s="9">
        <f>-22</f>
        <v>-22</v>
      </c>
      <c r="D20" s="9">
        <f>-30</f>
        <v>-30</v>
      </c>
      <c r="E20" s="9">
        <f>-34</f>
        <v>-34</v>
      </c>
      <c r="G20" s="17" t="s">
        <v>23</v>
      </c>
    </row>
    <row r="23" spans="1:7" x14ac:dyDescent="0.25">
      <c r="A23" s="6" t="s">
        <v>36</v>
      </c>
    </row>
  </sheetData>
  <pageMargins left="0.7" right="0.7" top="0.75" bottom="0.75" header="0.3" footer="0.3"/>
  <pageSetup scale="4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Chaudhary</dc:creator>
  <cp:lastModifiedBy>Lien Chen</cp:lastModifiedBy>
  <cp:lastPrinted>2015-12-01T19:29:35Z</cp:lastPrinted>
  <dcterms:created xsi:type="dcterms:W3CDTF">2015-12-01T15:43:00Z</dcterms:created>
  <dcterms:modified xsi:type="dcterms:W3CDTF">2015-12-02T14:55:35Z</dcterms:modified>
</cp:coreProperties>
</file>