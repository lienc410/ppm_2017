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calcPr calcId="145621"/>
</workbook>
</file>

<file path=xl/calcChain.xml><?xml version="1.0" encoding="utf-8"?>
<calcChain xmlns="http://schemas.openxmlformats.org/spreadsheetml/2006/main">
  <c r="G9" i="1" l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G28" i="1"/>
  <c r="H28" i="1"/>
  <c r="AK83" i="1"/>
  <c r="I28" i="1"/>
  <c r="J28" i="1"/>
  <c r="K28" i="1"/>
  <c r="AN83" i="1"/>
  <c r="L28" i="1"/>
  <c r="AO83" i="1"/>
  <c r="M28" i="1"/>
  <c r="N28" i="1"/>
  <c r="AQ83" i="1"/>
  <c r="O28" i="1"/>
  <c r="P28" i="1"/>
  <c r="AS83" i="1"/>
  <c r="Q28" i="1"/>
  <c r="R28" i="1"/>
  <c r="S28" i="1"/>
  <c r="AV83" i="1"/>
  <c r="T28" i="1"/>
  <c r="AW83" i="1"/>
  <c r="U28" i="1"/>
  <c r="V28" i="1"/>
  <c r="AY83" i="1"/>
  <c r="W28" i="1"/>
  <c r="AZ83" i="1"/>
  <c r="X28" i="1"/>
  <c r="BA83" i="1"/>
  <c r="Y28" i="1"/>
  <c r="G29" i="1"/>
  <c r="H29" i="1"/>
  <c r="AK84" i="1"/>
  <c r="I29" i="1"/>
  <c r="AL84" i="1"/>
  <c r="J29" i="1"/>
  <c r="K29" i="1"/>
  <c r="AN84" i="1"/>
  <c r="L29" i="1"/>
  <c r="AO84" i="1"/>
  <c r="M29" i="1"/>
  <c r="AP84" i="1"/>
  <c r="N29" i="1"/>
  <c r="O29" i="1"/>
  <c r="P29" i="1"/>
  <c r="Q29" i="1"/>
  <c r="AT84" i="1"/>
  <c r="R29" i="1"/>
  <c r="AU84" i="1"/>
  <c r="S29" i="1"/>
  <c r="AV84" i="1"/>
  <c r="T29" i="1"/>
  <c r="AW84" i="1"/>
  <c r="U29" i="1"/>
  <c r="AX84" i="1"/>
  <c r="V29" i="1"/>
  <c r="W29" i="1"/>
  <c r="X29" i="1"/>
  <c r="BA84" i="1"/>
  <c r="Y29" i="1"/>
  <c r="BB84" i="1"/>
  <c r="G30" i="1"/>
  <c r="AJ85" i="1"/>
  <c r="H30" i="1"/>
  <c r="AK85" i="1"/>
  <c r="I30" i="1"/>
  <c r="AL85" i="1"/>
  <c r="J30" i="1"/>
  <c r="AM85" i="1"/>
  <c r="K30" i="1"/>
  <c r="L30" i="1"/>
  <c r="M30" i="1"/>
  <c r="AP85" i="1"/>
  <c r="N30" i="1"/>
  <c r="AQ85" i="1"/>
  <c r="O30" i="1"/>
  <c r="P30" i="1"/>
  <c r="AS85" i="1"/>
  <c r="Q30" i="1"/>
  <c r="AT85" i="1"/>
  <c r="R30" i="1"/>
  <c r="AU85" i="1"/>
  <c r="S30" i="1"/>
  <c r="T30" i="1"/>
  <c r="U30" i="1"/>
  <c r="AX85" i="1"/>
  <c r="V30" i="1"/>
  <c r="AY85" i="1"/>
  <c r="W30" i="1"/>
  <c r="X30" i="1"/>
  <c r="BA85" i="1"/>
  <c r="Y30" i="1"/>
  <c r="BB85" i="1"/>
  <c r="G31" i="1"/>
  <c r="AJ86" i="1"/>
  <c r="H31" i="1"/>
  <c r="I31" i="1"/>
  <c r="J31" i="1"/>
  <c r="AM86" i="1"/>
  <c r="K31" i="1"/>
  <c r="AN86" i="1"/>
  <c r="L31" i="1"/>
  <c r="M31" i="1"/>
  <c r="AP86" i="1"/>
  <c r="N31" i="1"/>
  <c r="O31" i="1"/>
  <c r="AR86" i="1"/>
  <c r="P31" i="1"/>
  <c r="Q31" i="1"/>
  <c r="R31" i="1"/>
  <c r="S31" i="1"/>
  <c r="AV86" i="1"/>
  <c r="T31" i="1"/>
  <c r="U31" i="1"/>
  <c r="AX86" i="1"/>
  <c r="V31" i="1"/>
  <c r="W31" i="1"/>
  <c r="AZ86" i="1"/>
  <c r="X31" i="1"/>
  <c r="Y31" i="1"/>
  <c r="G32" i="1"/>
  <c r="AJ87" i="1"/>
  <c r="H32" i="1"/>
  <c r="AK87" i="1"/>
  <c r="I32" i="1"/>
  <c r="J32" i="1"/>
  <c r="AM87" i="1"/>
  <c r="K32" i="1"/>
  <c r="AN87" i="1"/>
  <c r="L32" i="1"/>
  <c r="AO87" i="1"/>
  <c r="M32" i="1"/>
  <c r="N32" i="1"/>
  <c r="O32" i="1"/>
  <c r="AR87" i="1"/>
  <c r="P32" i="1"/>
  <c r="AS87" i="1"/>
  <c r="Q32" i="1"/>
  <c r="R32" i="1"/>
  <c r="AU87" i="1"/>
  <c r="S32" i="1"/>
  <c r="AV87" i="1"/>
  <c r="T32" i="1"/>
  <c r="AW87" i="1"/>
  <c r="U32" i="1"/>
  <c r="V32" i="1"/>
  <c r="W32" i="1"/>
  <c r="X32" i="1"/>
  <c r="BA87" i="1"/>
  <c r="Y32" i="1"/>
  <c r="BB87" i="1"/>
  <c r="G33" i="1"/>
  <c r="AJ88" i="1"/>
  <c r="H33" i="1"/>
  <c r="AK88" i="1"/>
  <c r="I33" i="1"/>
  <c r="AL88" i="1"/>
  <c r="J33" i="1"/>
  <c r="K33" i="1"/>
  <c r="L33" i="1"/>
  <c r="M33" i="1"/>
  <c r="AP88" i="1"/>
  <c r="N33" i="1"/>
  <c r="AQ88" i="1"/>
  <c r="O33" i="1"/>
  <c r="AR88" i="1"/>
  <c r="P33" i="1"/>
  <c r="AS88" i="1"/>
  <c r="Q33" i="1"/>
  <c r="AT88" i="1"/>
  <c r="R33" i="1"/>
  <c r="S33" i="1"/>
  <c r="T33" i="1"/>
  <c r="U33" i="1"/>
  <c r="AX88" i="1"/>
  <c r="V33" i="1"/>
  <c r="W33" i="1"/>
  <c r="AZ88" i="1"/>
  <c r="X33" i="1"/>
  <c r="BA88" i="1"/>
  <c r="Y33" i="1"/>
  <c r="BB88" i="1"/>
  <c r="G34" i="1"/>
  <c r="H34" i="1"/>
  <c r="I34" i="1"/>
  <c r="AL89" i="1"/>
  <c r="J34" i="1"/>
  <c r="AM89" i="1"/>
  <c r="K34" i="1"/>
  <c r="L34" i="1"/>
  <c r="AO89" i="1"/>
  <c r="M34" i="1"/>
  <c r="AP89" i="1"/>
  <c r="N34" i="1"/>
  <c r="AQ89" i="1"/>
  <c r="O34" i="1"/>
  <c r="P34" i="1"/>
  <c r="Q34" i="1"/>
  <c r="R34" i="1"/>
  <c r="AU89" i="1"/>
  <c r="S34" i="1"/>
  <c r="T34" i="1"/>
  <c r="AW89" i="1"/>
  <c r="U34" i="1"/>
  <c r="AX89" i="1"/>
  <c r="V34" i="1"/>
  <c r="AY89" i="1"/>
  <c r="W34" i="1"/>
  <c r="X34" i="1"/>
  <c r="Y34" i="1"/>
  <c r="BB89" i="1"/>
  <c r="G35" i="1"/>
  <c r="AJ90" i="1"/>
  <c r="H35" i="1"/>
  <c r="I35" i="1"/>
  <c r="AL90" i="1"/>
  <c r="J35" i="1"/>
  <c r="K35" i="1"/>
  <c r="AN90" i="1"/>
  <c r="L35" i="1"/>
  <c r="M35" i="1"/>
  <c r="N35" i="1"/>
  <c r="AQ90" i="1"/>
  <c r="O35" i="1"/>
  <c r="AR90" i="1"/>
  <c r="P35" i="1"/>
  <c r="Q35" i="1"/>
  <c r="AT90" i="1"/>
  <c r="R35" i="1"/>
  <c r="S35" i="1"/>
  <c r="AV90" i="1"/>
  <c r="T35" i="1"/>
  <c r="U35" i="1"/>
  <c r="V35" i="1"/>
  <c r="AY90" i="1"/>
  <c r="W35" i="1"/>
  <c r="AZ90" i="1"/>
  <c r="X35" i="1"/>
  <c r="Y35" i="1"/>
  <c r="BB90" i="1"/>
  <c r="G36" i="1"/>
  <c r="AJ91" i="1"/>
  <c r="H36" i="1"/>
  <c r="AK91" i="1"/>
  <c r="I36" i="1"/>
  <c r="J36" i="1"/>
  <c r="K36" i="1"/>
  <c r="L36" i="1"/>
  <c r="AO91" i="1"/>
  <c r="M36" i="1"/>
  <c r="AP91" i="1"/>
  <c r="N36" i="1"/>
  <c r="AQ91" i="1"/>
  <c r="O36" i="1"/>
  <c r="P36" i="1"/>
  <c r="AS91" i="1"/>
  <c r="Q36" i="1"/>
  <c r="R36" i="1"/>
  <c r="S36" i="1"/>
  <c r="T36" i="1"/>
  <c r="AW91" i="1"/>
  <c r="U36" i="1"/>
  <c r="AX91" i="1"/>
  <c r="V36" i="1"/>
  <c r="AY91" i="1"/>
  <c r="W36" i="1"/>
  <c r="AZ91" i="1"/>
  <c r="X36" i="1"/>
  <c r="BA91" i="1"/>
  <c r="Y36" i="1"/>
  <c r="G37" i="1"/>
  <c r="H37" i="1"/>
  <c r="AK92" i="1"/>
  <c r="I37" i="1"/>
  <c r="AL92" i="1"/>
  <c r="J37" i="1"/>
  <c r="K37" i="1"/>
  <c r="AN92" i="1"/>
  <c r="L37" i="1"/>
  <c r="AO92" i="1"/>
  <c r="M37" i="1"/>
  <c r="AP92" i="1"/>
  <c r="N37" i="1"/>
  <c r="O37" i="1"/>
  <c r="P37" i="1"/>
  <c r="AS92" i="1"/>
  <c r="Q37" i="1"/>
  <c r="AT92" i="1"/>
  <c r="R37" i="1"/>
  <c r="S37" i="1"/>
  <c r="AV92" i="1"/>
  <c r="T37" i="1"/>
  <c r="AW92" i="1"/>
  <c r="U37" i="1"/>
  <c r="AX92" i="1"/>
  <c r="V37" i="1"/>
  <c r="W37" i="1"/>
  <c r="X37" i="1"/>
  <c r="BA92" i="1"/>
  <c r="Y37" i="1"/>
  <c r="BB92" i="1"/>
  <c r="G38" i="1"/>
  <c r="H38" i="1"/>
  <c r="AK93" i="1"/>
  <c r="I38" i="1"/>
  <c r="J38" i="1"/>
  <c r="AM93" i="1"/>
  <c r="K38" i="1"/>
  <c r="L38" i="1"/>
  <c r="M38" i="1"/>
  <c r="N38" i="1"/>
  <c r="AQ93" i="1"/>
  <c r="O38" i="1"/>
  <c r="P38" i="1"/>
  <c r="AS93" i="1"/>
  <c r="Q38" i="1"/>
  <c r="AT93" i="1"/>
  <c r="R38" i="1"/>
  <c r="AU93" i="1"/>
  <c r="S38" i="1"/>
  <c r="T38" i="1"/>
  <c r="U38" i="1"/>
  <c r="AX93" i="1"/>
  <c r="V38" i="1"/>
  <c r="AY93" i="1"/>
  <c r="W38" i="1"/>
  <c r="X38" i="1"/>
  <c r="BA93" i="1"/>
  <c r="Y38" i="1"/>
  <c r="BB93" i="1"/>
  <c r="G39" i="1"/>
  <c r="AJ94" i="1"/>
  <c r="H39" i="1"/>
  <c r="I39" i="1"/>
  <c r="J39" i="1"/>
  <c r="AM94" i="1"/>
  <c r="K39" i="1"/>
  <c r="AN94" i="1"/>
  <c r="L39" i="1"/>
  <c r="M39" i="1"/>
  <c r="AP94" i="1"/>
  <c r="N39" i="1"/>
  <c r="AQ94" i="1"/>
  <c r="O39" i="1"/>
  <c r="AR94" i="1"/>
  <c r="P39" i="1"/>
  <c r="Q39" i="1"/>
  <c r="R39" i="1"/>
  <c r="S39" i="1"/>
  <c r="AV94" i="1"/>
  <c r="T39" i="1"/>
  <c r="AW94" i="1"/>
  <c r="U39" i="1"/>
  <c r="AX94" i="1"/>
  <c r="V39" i="1"/>
  <c r="AY94" i="1"/>
  <c r="W39" i="1"/>
  <c r="AZ94" i="1"/>
  <c r="X39" i="1"/>
  <c r="Y39" i="1"/>
  <c r="G40" i="1"/>
  <c r="H40" i="1"/>
  <c r="AK95" i="1"/>
  <c r="I40" i="1"/>
  <c r="AL95" i="1"/>
  <c r="J40" i="1"/>
  <c r="AM95" i="1"/>
  <c r="K40" i="1"/>
  <c r="AN95" i="1"/>
  <c r="L40" i="1"/>
  <c r="AO95" i="1"/>
  <c r="M40" i="1"/>
  <c r="N40" i="1"/>
  <c r="O40" i="1"/>
  <c r="P40" i="1"/>
  <c r="AS95" i="1"/>
  <c r="Q40" i="1"/>
  <c r="R40" i="1"/>
  <c r="AU95" i="1"/>
  <c r="S40" i="1"/>
  <c r="AV95" i="1"/>
  <c r="T40" i="1"/>
  <c r="AW95" i="1"/>
  <c r="U40" i="1"/>
  <c r="V40" i="1"/>
  <c r="W40" i="1"/>
  <c r="AZ95" i="1"/>
  <c r="X40" i="1"/>
  <c r="BA95" i="1"/>
  <c r="Y40" i="1"/>
  <c r="G41" i="1"/>
  <c r="H41" i="1"/>
  <c r="AK96" i="1"/>
  <c r="I41" i="1"/>
  <c r="AL96" i="1"/>
  <c r="J41" i="1"/>
  <c r="K41" i="1"/>
  <c r="L41" i="1"/>
  <c r="M41" i="1"/>
  <c r="AP96" i="1"/>
  <c r="N41" i="1"/>
  <c r="O41" i="1"/>
  <c r="AR96" i="1"/>
  <c r="P41" i="1"/>
  <c r="AS96" i="1"/>
  <c r="Q41" i="1"/>
  <c r="AT96" i="1"/>
  <c r="R41" i="1"/>
  <c r="S41" i="1"/>
  <c r="T41" i="1"/>
  <c r="U41" i="1"/>
  <c r="AX96" i="1"/>
  <c r="V41" i="1"/>
  <c r="W41" i="1"/>
  <c r="AZ96" i="1"/>
  <c r="X41" i="1"/>
  <c r="BA96" i="1"/>
  <c r="Y41" i="1"/>
  <c r="BB96" i="1"/>
  <c r="G42" i="1"/>
  <c r="H42" i="1"/>
  <c r="I42" i="1"/>
  <c r="AL97" i="1"/>
  <c r="J42" i="1"/>
  <c r="AM97" i="1"/>
  <c r="K42" i="1"/>
  <c r="L42" i="1"/>
  <c r="AO97" i="1"/>
  <c r="M42" i="1"/>
  <c r="AP97" i="1"/>
  <c r="N42" i="1"/>
  <c r="AQ97" i="1"/>
  <c r="O42" i="1"/>
  <c r="P42" i="1"/>
  <c r="Q42" i="1"/>
  <c r="AT97" i="1"/>
  <c r="R42" i="1"/>
  <c r="AU97" i="1"/>
  <c r="S42" i="1"/>
  <c r="T42" i="1"/>
  <c r="AW97" i="1"/>
  <c r="U42" i="1"/>
  <c r="AX97" i="1"/>
  <c r="V42" i="1"/>
  <c r="AY97" i="1"/>
  <c r="W42" i="1"/>
  <c r="X42" i="1"/>
  <c r="Y42" i="1"/>
  <c r="G43" i="1"/>
  <c r="AJ98" i="1"/>
  <c r="H43" i="1"/>
  <c r="AK98" i="1"/>
  <c r="I43" i="1"/>
  <c r="AL98" i="1"/>
  <c r="J43" i="1"/>
  <c r="K43" i="1"/>
  <c r="AN98" i="1"/>
  <c r="L43" i="1"/>
  <c r="M43" i="1"/>
  <c r="N43" i="1"/>
  <c r="AQ98" i="1"/>
  <c r="O43" i="1"/>
  <c r="AR98" i="1"/>
  <c r="P43" i="1"/>
  <c r="AS98" i="1"/>
  <c r="Q43" i="1"/>
  <c r="AT98" i="1"/>
  <c r="R43" i="1"/>
  <c r="AU98" i="1"/>
  <c r="S43" i="1"/>
  <c r="AV98" i="1"/>
  <c r="T43" i="1"/>
  <c r="U43" i="1"/>
  <c r="V43" i="1"/>
  <c r="AY98" i="1"/>
  <c r="W43" i="1"/>
  <c r="AZ98" i="1"/>
  <c r="X43" i="1"/>
  <c r="Y43" i="1"/>
  <c r="BB98" i="1"/>
  <c r="G44" i="1"/>
  <c r="AJ99" i="1"/>
  <c r="H44" i="1"/>
  <c r="AK99" i="1"/>
  <c r="I44" i="1"/>
  <c r="J44" i="1"/>
  <c r="K44" i="1"/>
  <c r="AN99" i="1"/>
  <c r="L44" i="1"/>
  <c r="AO99" i="1"/>
  <c r="M44" i="1"/>
  <c r="N44" i="1"/>
  <c r="AQ99" i="1"/>
  <c r="O44" i="1"/>
  <c r="AR99" i="1"/>
  <c r="P44" i="1"/>
  <c r="AS99" i="1"/>
  <c r="Q44" i="1"/>
  <c r="R44" i="1"/>
  <c r="S44" i="1"/>
  <c r="AV99" i="1"/>
  <c r="T44" i="1"/>
  <c r="AW99" i="1"/>
  <c r="U44" i="1"/>
  <c r="V44" i="1"/>
  <c r="AY99" i="1"/>
  <c r="W44" i="1"/>
  <c r="AZ99" i="1"/>
  <c r="X44" i="1"/>
  <c r="BA99" i="1"/>
  <c r="Y44" i="1"/>
  <c r="G45" i="1"/>
  <c r="H45" i="1"/>
  <c r="AK100" i="1"/>
  <c r="I45" i="1"/>
  <c r="AL100" i="1"/>
  <c r="J45" i="1"/>
  <c r="K45" i="1"/>
  <c r="AN100" i="1"/>
  <c r="L45" i="1"/>
  <c r="AO100" i="1"/>
  <c r="M45" i="1"/>
  <c r="AP100" i="1"/>
  <c r="N45" i="1"/>
  <c r="O45" i="1"/>
  <c r="P45" i="1"/>
  <c r="Q45" i="1"/>
  <c r="AT100" i="1"/>
  <c r="R45" i="1"/>
  <c r="AU100" i="1"/>
  <c r="S45" i="1"/>
  <c r="AV100" i="1"/>
  <c r="T45" i="1"/>
  <c r="AW100" i="1"/>
  <c r="U45" i="1"/>
  <c r="AX100" i="1"/>
  <c r="V45" i="1"/>
  <c r="W45" i="1"/>
  <c r="X45" i="1"/>
  <c r="BA100" i="1"/>
  <c r="Y45" i="1"/>
  <c r="BB100" i="1"/>
  <c r="G46" i="1"/>
  <c r="H46" i="1"/>
  <c r="AK101" i="1"/>
  <c r="I46" i="1"/>
  <c r="AL101" i="1"/>
  <c r="J46" i="1"/>
  <c r="AM101" i="1"/>
  <c r="K46" i="1"/>
  <c r="L46" i="1"/>
  <c r="M46" i="1"/>
  <c r="N46" i="1"/>
  <c r="AQ101" i="1"/>
  <c r="O46" i="1"/>
  <c r="P46" i="1"/>
  <c r="AS101" i="1"/>
  <c r="Q46" i="1"/>
  <c r="AT101" i="1"/>
  <c r="R46" i="1"/>
  <c r="AU101" i="1"/>
  <c r="S46" i="1"/>
  <c r="T46" i="1"/>
  <c r="U46" i="1"/>
  <c r="AX101" i="1"/>
  <c r="V46" i="1"/>
  <c r="AY101" i="1"/>
  <c r="W46" i="1"/>
  <c r="X46" i="1"/>
  <c r="BA101" i="1"/>
  <c r="Y46" i="1"/>
  <c r="BB101" i="1"/>
  <c r="G47" i="1"/>
  <c r="H47" i="1"/>
  <c r="I47" i="1"/>
  <c r="J47" i="1"/>
  <c r="K47" i="1"/>
  <c r="AN102" i="1"/>
  <c r="L47" i="1"/>
  <c r="AO102" i="1"/>
  <c r="M47" i="1"/>
  <c r="AP102" i="1"/>
  <c r="N47" i="1"/>
  <c r="AQ102" i="1"/>
  <c r="O47" i="1"/>
  <c r="AR102" i="1"/>
  <c r="P47" i="1"/>
  <c r="Q47" i="1"/>
  <c r="R47" i="1"/>
  <c r="AU102" i="1"/>
  <c r="S47" i="1"/>
  <c r="AV102" i="1"/>
  <c r="T47" i="1"/>
  <c r="U47" i="1"/>
  <c r="AX102" i="1"/>
  <c r="V47" i="1"/>
  <c r="AY102" i="1"/>
  <c r="W47" i="1"/>
  <c r="AZ102" i="1"/>
  <c r="X47" i="1"/>
  <c r="Y47" i="1"/>
  <c r="G48" i="1"/>
  <c r="AJ103" i="1"/>
  <c r="H48" i="1"/>
  <c r="AK103" i="1"/>
  <c r="I48" i="1"/>
  <c r="AL103" i="1"/>
  <c r="J48" i="1"/>
  <c r="AM103" i="1"/>
  <c r="K48" i="1"/>
  <c r="L48" i="1"/>
  <c r="AO103" i="1"/>
  <c r="M48" i="1"/>
  <c r="N48" i="1"/>
  <c r="O48" i="1"/>
  <c r="P48" i="1"/>
  <c r="AS103" i="1"/>
  <c r="Q48" i="1"/>
  <c r="AT103" i="1"/>
  <c r="R48" i="1"/>
  <c r="AU103" i="1"/>
  <c r="S48" i="1"/>
  <c r="AV103" i="1"/>
  <c r="T48" i="1"/>
  <c r="AW103" i="1"/>
  <c r="U48" i="1"/>
  <c r="V48" i="1"/>
  <c r="W48" i="1"/>
  <c r="AZ103" i="1"/>
  <c r="X48" i="1"/>
  <c r="BA103" i="1"/>
  <c r="Y48" i="1"/>
  <c r="G49" i="1"/>
  <c r="AJ104" i="1"/>
  <c r="H49" i="1"/>
  <c r="I49" i="1"/>
  <c r="AL104" i="1"/>
  <c r="J49" i="1"/>
  <c r="K49" i="1"/>
  <c r="L49" i="1"/>
  <c r="AO104" i="1"/>
  <c r="M49" i="1"/>
  <c r="AP104" i="1"/>
  <c r="N49" i="1"/>
  <c r="AQ104" i="1"/>
  <c r="O49" i="1"/>
  <c r="AR104" i="1"/>
  <c r="P49" i="1"/>
  <c r="AS104" i="1"/>
  <c r="Q49" i="1"/>
  <c r="AT104" i="1"/>
  <c r="R49" i="1"/>
  <c r="S49" i="1"/>
  <c r="T49" i="1"/>
  <c r="AW104" i="1"/>
  <c r="U49" i="1"/>
  <c r="AX104" i="1"/>
  <c r="V49" i="1"/>
  <c r="AY104" i="1"/>
  <c r="W49" i="1"/>
  <c r="X49" i="1"/>
  <c r="Y49" i="1"/>
  <c r="BB104" i="1"/>
  <c r="G50" i="1"/>
  <c r="H50" i="1"/>
  <c r="I50" i="1"/>
  <c r="AL105" i="1"/>
  <c r="J50" i="1"/>
  <c r="AM105" i="1"/>
  <c r="K50" i="1"/>
  <c r="AN105" i="1"/>
  <c r="L50" i="1"/>
  <c r="AO105" i="1"/>
  <c r="M50" i="1"/>
  <c r="AP105" i="1"/>
  <c r="N50" i="1"/>
  <c r="AQ105" i="1"/>
  <c r="O50" i="1"/>
  <c r="P50" i="1"/>
  <c r="Q50" i="1"/>
  <c r="R50" i="1"/>
  <c r="AU105" i="1"/>
  <c r="S50" i="1"/>
  <c r="AV105" i="1"/>
  <c r="T50" i="1"/>
  <c r="AW105" i="1"/>
  <c r="U50" i="1"/>
  <c r="V50" i="1"/>
  <c r="AY105" i="1"/>
  <c r="W50" i="1"/>
  <c r="X50" i="1"/>
  <c r="Y50" i="1"/>
  <c r="G51" i="1"/>
  <c r="H51" i="1"/>
  <c r="AK106" i="1"/>
  <c r="I51" i="1"/>
  <c r="AL106" i="1"/>
  <c r="J51" i="1"/>
  <c r="K51" i="1"/>
  <c r="AN106" i="1"/>
  <c r="L51" i="1"/>
  <c r="M51" i="1"/>
  <c r="N51" i="1"/>
  <c r="O51" i="1"/>
  <c r="AR106" i="1"/>
  <c r="P51" i="1"/>
  <c r="AS106" i="1"/>
  <c r="Q51" i="1"/>
  <c r="R51" i="1"/>
  <c r="AU106" i="1"/>
  <c r="S51" i="1"/>
  <c r="AV106" i="1"/>
  <c r="T51" i="1"/>
  <c r="U51" i="1"/>
  <c r="V51" i="1"/>
  <c r="W51" i="1"/>
  <c r="AZ106" i="1"/>
  <c r="X51" i="1"/>
  <c r="BA106" i="1"/>
  <c r="Y51" i="1"/>
  <c r="BB106" i="1"/>
  <c r="G52" i="1"/>
  <c r="H52" i="1"/>
  <c r="AK107" i="1"/>
  <c r="I52" i="1"/>
  <c r="J52" i="1"/>
  <c r="K52" i="1"/>
  <c r="AN107" i="1"/>
  <c r="L52" i="1"/>
  <c r="AO107" i="1"/>
  <c r="M52" i="1"/>
  <c r="AP107" i="1"/>
  <c r="N52" i="1"/>
  <c r="AQ107" i="1"/>
  <c r="O52" i="1"/>
  <c r="AR107" i="1"/>
  <c r="P52" i="1"/>
  <c r="AS107" i="1"/>
  <c r="Q52" i="1"/>
  <c r="R52" i="1"/>
  <c r="S52" i="1"/>
  <c r="AV107" i="1"/>
  <c r="T52" i="1"/>
  <c r="AW107" i="1"/>
  <c r="U52" i="1"/>
  <c r="V52" i="1"/>
  <c r="AY107" i="1"/>
  <c r="W52" i="1"/>
  <c r="AZ107" i="1"/>
  <c r="X52" i="1"/>
  <c r="Y52" i="1"/>
  <c r="G53" i="1"/>
  <c r="H53" i="1"/>
  <c r="AK108" i="1"/>
  <c r="I53" i="1"/>
  <c r="AL108" i="1"/>
  <c r="J53" i="1"/>
  <c r="AM108" i="1"/>
  <c r="K53" i="1"/>
  <c r="AN108" i="1"/>
  <c r="L53" i="1"/>
  <c r="AO108" i="1"/>
  <c r="M53" i="1"/>
  <c r="N53" i="1"/>
  <c r="O53" i="1"/>
  <c r="P53" i="1"/>
  <c r="AS108" i="1"/>
  <c r="Q53" i="1"/>
  <c r="AT108" i="1"/>
  <c r="R53" i="1"/>
  <c r="S53" i="1"/>
  <c r="AV108" i="1"/>
  <c r="T53" i="1"/>
  <c r="AW108" i="1"/>
  <c r="U53" i="1"/>
  <c r="AX108" i="1"/>
  <c r="V53" i="1"/>
  <c r="W53" i="1"/>
  <c r="X53" i="1"/>
  <c r="BA108" i="1"/>
  <c r="Y53" i="1"/>
  <c r="BB108" i="1"/>
  <c r="G54" i="1"/>
  <c r="AJ109" i="1"/>
  <c r="H54" i="1"/>
  <c r="AK109" i="1"/>
  <c r="I54" i="1"/>
  <c r="AL109" i="1"/>
  <c r="J54" i="1"/>
  <c r="AM109" i="1"/>
  <c r="K54" i="1"/>
  <c r="L54" i="1"/>
  <c r="M54" i="1"/>
  <c r="AP109" i="1"/>
  <c r="N54" i="1"/>
  <c r="AQ109" i="1"/>
  <c r="O54" i="1"/>
  <c r="P54" i="1"/>
  <c r="AS109" i="1"/>
  <c r="Q54" i="1"/>
  <c r="AT109" i="1"/>
  <c r="R54" i="1"/>
  <c r="S54" i="1"/>
  <c r="T54" i="1"/>
  <c r="U54" i="1"/>
  <c r="AX109" i="1"/>
  <c r="V54" i="1"/>
  <c r="AY109" i="1"/>
  <c r="W54" i="1"/>
  <c r="X54" i="1"/>
  <c r="BA109" i="1"/>
  <c r="Y54" i="1"/>
  <c r="BB109" i="1"/>
  <c r="G55" i="1"/>
  <c r="H55" i="1"/>
  <c r="I55" i="1"/>
  <c r="J55" i="1"/>
  <c r="AM110" i="1"/>
  <c r="K55" i="1"/>
  <c r="AN110" i="1"/>
  <c r="L55" i="1"/>
  <c r="M55" i="1"/>
  <c r="AP110" i="1"/>
  <c r="N55" i="1"/>
  <c r="AQ110" i="1"/>
  <c r="O55" i="1"/>
  <c r="AR110" i="1"/>
  <c r="P55" i="1"/>
  <c r="Q55" i="1"/>
  <c r="R55" i="1"/>
  <c r="AU110" i="1"/>
  <c r="S55" i="1"/>
  <c r="AV110" i="1"/>
  <c r="T55" i="1"/>
  <c r="U55" i="1"/>
  <c r="AX110" i="1"/>
  <c r="V55" i="1"/>
  <c r="AY110" i="1"/>
  <c r="W55" i="1"/>
  <c r="X55" i="1"/>
  <c r="Y55" i="1"/>
  <c r="G56" i="1"/>
  <c r="H56" i="1"/>
  <c r="AK111" i="1"/>
  <c r="I56" i="1"/>
  <c r="J56" i="1"/>
  <c r="AM111" i="1"/>
  <c r="K56" i="1"/>
  <c r="AN111" i="1"/>
  <c r="L56" i="1"/>
  <c r="AO111" i="1"/>
  <c r="M56" i="1"/>
  <c r="N56" i="1"/>
  <c r="O56" i="1"/>
  <c r="AR111" i="1"/>
  <c r="P56" i="1"/>
  <c r="AS111" i="1"/>
  <c r="Q56" i="1"/>
  <c r="R56" i="1"/>
  <c r="AU111" i="1"/>
  <c r="S56" i="1"/>
  <c r="AV111" i="1"/>
  <c r="T56" i="1"/>
  <c r="AW111" i="1"/>
  <c r="U56" i="1"/>
  <c r="V56" i="1"/>
  <c r="W56" i="1"/>
  <c r="AZ111" i="1"/>
  <c r="X56" i="1"/>
  <c r="BA111" i="1"/>
  <c r="Y56" i="1"/>
  <c r="G57" i="1"/>
  <c r="H57" i="1"/>
  <c r="AK112" i="1"/>
  <c r="I57" i="1"/>
  <c r="AL112" i="1"/>
  <c r="J57" i="1"/>
  <c r="K57" i="1"/>
  <c r="L57" i="1"/>
  <c r="AO112" i="1"/>
  <c r="M57" i="1"/>
  <c r="AP112" i="1"/>
  <c r="N57" i="1"/>
  <c r="O57" i="1"/>
  <c r="AR112" i="1"/>
  <c r="P57" i="1"/>
  <c r="AS112" i="1"/>
  <c r="Q57" i="1"/>
  <c r="AT112" i="1"/>
  <c r="R57" i="1"/>
  <c r="S57" i="1"/>
  <c r="T57" i="1"/>
  <c r="AW112" i="1"/>
  <c r="U57" i="1"/>
  <c r="AX112" i="1"/>
  <c r="V57" i="1"/>
  <c r="W57" i="1"/>
  <c r="AZ112" i="1"/>
  <c r="X57" i="1"/>
  <c r="BA112" i="1"/>
  <c r="Y57" i="1"/>
  <c r="BB112" i="1"/>
  <c r="H8" i="1"/>
  <c r="I8" i="1"/>
  <c r="J8" i="1"/>
  <c r="AM63" i="1"/>
  <c r="K8" i="1"/>
  <c r="AN63" i="1"/>
  <c r="L8" i="1"/>
  <c r="M8" i="1"/>
  <c r="AP63" i="1"/>
  <c r="N8" i="1"/>
  <c r="AQ63" i="1"/>
  <c r="O8" i="1"/>
  <c r="AR63" i="1"/>
  <c r="P8" i="1"/>
  <c r="Q8" i="1"/>
  <c r="R8" i="1"/>
  <c r="AU63" i="1"/>
  <c r="S8" i="1"/>
  <c r="AV63" i="1"/>
  <c r="T8" i="1"/>
  <c r="U8" i="1"/>
  <c r="AX63" i="1"/>
  <c r="V8" i="1"/>
  <c r="AY63" i="1"/>
  <c r="W8" i="1"/>
  <c r="AZ63" i="1"/>
  <c r="X8" i="1"/>
  <c r="Y8" i="1"/>
  <c r="G8" i="1"/>
  <c r="AJ63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AJ83" i="1"/>
  <c r="AL83" i="1"/>
  <c r="AM83" i="1"/>
  <c r="AP83" i="1"/>
  <c r="AR83" i="1"/>
  <c r="AT83" i="1"/>
  <c r="AU83" i="1"/>
  <c r="AX83" i="1"/>
  <c r="BB83" i="1"/>
  <c r="AJ84" i="1"/>
  <c r="AM84" i="1"/>
  <c r="AQ84" i="1"/>
  <c r="AR84" i="1"/>
  <c r="AS84" i="1"/>
  <c r="AY84" i="1"/>
  <c r="AZ84" i="1"/>
  <c r="AN85" i="1"/>
  <c r="AO85" i="1"/>
  <c r="AR85" i="1"/>
  <c r="AV85" i="1"/>
  <c r="AW85" i="1"/>
  <c r="AZ85" i="1"/>
  <c r="AK86" i="1"/>
  <c r="AL86" i="1"/>
  <c r="AO86" i="1"/>
  <c r="AQ86" i="1"/>
  <c r="AS86" i="1"/>
  <c r="AT86" i="1"/>
  <c r="AU86" i="1"/>
  <c r="AW86" i="1"/>
  <c r="AY86" i="1"/>
  <c r="BA86" i="1"/>
  <c r="BB86" i="1"/>
  <c r="AL87" i="1"/>
  <c r="AP87" i="1"/>
  <c r="AQ87" i="1"/>
  <c r="AT87" i="1"/>
  <c r="AX87" i="1"/>
  <c r="AY87" i="1"/>
  <c r="AZ87" i="1"/>
  <c r="AM88" i="1"/>
  <c r="AN88" i="1"/>
  <c r="AO88" i="1"/>
  <c r="AU88" i="1"/>
  <c r="AV88" i="1"/>
  <c r="AW88" i="1"/>
  <c r="AY88" i="1"/>
  <c r="AJ89" i="1"/>
  <c r="AK89" i="1"/>
  <c r="AN89" i="1"/>
  <c r="AR89" i="1"/>
  <c r="AS89" i="1"/>
  <c r="AT89" i="1"/>
  <c r="AV89" i="1"/>
  <c r="AZ89" i="1"/>
  <c r="BA89" i="1"/>
  <c r="AK90" i="1"/>
  <c r="AM90" i="1"/>
  <c r="AO90" i="1"/>
  <c r="AP90" i="1"/>
  <c r="AS90" i="1"/>
  <c r="AU90" i="1"/>
  <c r="AW90" i="1"/>
  <c r="AX90" i="1"/>
  <c r="BA90" i="1"/>
  <c r="AL91" i="1"/>
  <c r="AM91" i="1"/>
  <c r="AN91" i="1"/>
  <c r="AR91" i="1"/>
  <c r="AT91" i="1"/>
  <c r="AU91" i="1"/>
  <c r="AV91" i="1"/>
  <c r="BB91" i="1"/>
  <c r="AJ92" i="1"/>
  <c r="AM92" i="1"/>
  <c r="AQ92" i="1"/>
  <c r="AR92" i="1"/>
  <c r="AU92" i="1"/>
  <c r="AY92" i="1"/>
  <c r="AZ92" i="1"/>
  <c r="AJ93" i="1"/>
  <c r="AL93" i="1"/>
  <c r="AN93" i="1"/>
  <c r="AO93" i="1"/>
  <c r="AP93" i="1"/>
  <c r="AR93" i="1"/>
  <c r="AV93" i="1"/>
  <c r="AW93" i="1"/>
  <c r="AZ93" i="1"/>
  <c r="AK94" i="1"/>
  <c r="AL94" i="1"/>
  <c r="AO94" i="1"/>
  <c r="AS94" i="1"/>
  <c r="AT94" i="1"/>
  <c r="AU94" i="1"/>
  <c r="BA94" i="1"/>
  <c r="BB94" i="1"/>
  <c r="AJ95" i="1"/>
  <c r="AP95" i="1"/>
  <c r="AQ95" i="1"/>
  <c r="AR95" i="1"/>
  <c r="AT95" i="1"/>
  <c r="AX95" i="1"/>
  <c r="AY95" i="1"/>
  <c r="BB95" i="1"/>
  <c r="AJ96" i="1"/>
  <c r="AM96" i="1"/>
  <c r="AN96" i="1"/>
  <c r="AO96" i="1"/>
  <c r="AQ96" i="1"/>
  <c r="AU96" i="1"/>
  <c r="AV96" i="1"/>
  <c r="AW96" i="1"/>
  <c r="AY96" i="1"/>
  <c r="AJ97" i="1"/>
  <c r="AK97" i="1"/>
  <c r="AN97" i="1"/>
  <c r="AR97" i="1"/>
  <c r="AS97" i="1"/>
  <c r="AV97" i="1"/>
  <c r="AZ97" i="1"/>
  <c r="BA97" i="1"/>
  <c r="BB97" i="1"/>
  <c r="AM98" i="1"/>
  <c r="AO98" i="1"/>
  <c r="AP98" i="1"/>
  <c r="AW98" i="1"/>
  <c r="AX98" i="1"/>
  <c r="BA98" i="1"/>
  <c r="AL99" i="1"/>
  <c r="AM99" i="1"/>
  <c r="AP99" i="1"/>
  <c r="AT99" i="1"/>
  <c r="AU99" i="1"/>
  <c r="AX99" i="1"/>
  <c r="BB99" i="1"/>
  <c r="AJ100" i="1"/>
  <c r="AM100" i="1"/>
  <c r="AQ100" i="1"/>
  <c r="AR100" i="1"/>
  <c r="AS100" i="1"/>
  <c r="AY100" i="1"/>
  <c r="AZ100" i="1"/>
  <c r="AJ101" i="1"/>
  <c r="AN101" i="1"/>
  <c r="AO101" i="1"/>
  <c r="AP101" i="1"/>
  <c r="AR101" i="1"/>
  <c r="AV101" i="1"/>
  <c r="AW101" i="1"/>
  <c r="AZ101" i="1"/>
  <c r="AK102" i="1"/>
  <c r="AL102" i="1"/>
  <c r="AM102" i="1"/>
  <c r="AS102" i="1"/>
  <c r="AT102" i="1"/>
  <c r="AW102" i="1"/>
  <c r="BA102" i="1"/>
  <c r="BB102" i="1"/>
  <c r="AN103" i="1"/>
  <c r="AP103" i="1"/>
  <c r="AQ103" i="1"/>
  <c r="AR103" i="1"/>
  <c r="AX103" i="1"/>
  <c r="AY103" i="1"/>
  <c r="BB103" i="1"/>
  <c r="AK104" i="1"/>
  <c r="AM104" i="1"/>
  <c r="AN104" i="1"/>
  <c r="AU104" i="1"/>
  <c r="AV104" i="1"/>
  <c r="AZ104" i="1"/>
  <c r="BA104" i="1"/>
  <c r="AJ105" i="1"/>
  <c r="AK105" i="1"/>
  <c r="AR105" i="1"/>
  <c r="AS105" i="1"/>
  <c r="AT105" i="1"/>
  <c r="AX105" i="1"/>
  <c r="AZ105" i="1"/>
  <c r="BA105" i="1"/>
  <c r="BB105" i="1"/>
  <c r="AM106" i="1"/>
  <c r="AO106" i="1"/>
  <c r="AP106" i="1"/>
  <c r="AQ106" i="1"/>
  <c r="AT106" i="1"/>
  <c r="AW106" i="1"/>
  <c r="AX106" i="1"/>
  <c r="AY106" i="1"/>
  <c r="AJ107" i="1"/>
  <c r="AL107" i="1"/>
  <c r="AM107" i="1"/>
  <c r="AT107" i="1"/>
  <c r="AU107" i="1"/>
  <c r="AX107" i="1"/>
  <c r="BA107" i="1"/>
  <c r="BB107" i="1"/>
  <c r="AJ108" i="1"/>
  <c r="AP108" i="1"/>
  <c r="AQ108" i="1"/>
  <c r="AR108" i="1"/>
  <c r="AU108" i="1"/>
  <c r="AY108" i="1"/>
  <c r="AZ108" i="1"/>
  <c r="AN109" i="1"/>
  <c r="AO109" i="1"/>
  <c r="AR109" i="1"/>
  <c r="AU109" i="1"/>
  <c r="AV109" i="1"/>
  <c r="AW109" i="1"/>
  <c r="AZ109" i="1"/>
  <c r="AK110" i="1"/>
  <c r="AL110" i="1"/>
  <c r="AO110" i="1"/>
  <c r="AS110" i="1"/>
  <c r="AT110" i="1"/>
  <c r="AW110" i="1"/>
  <c r="AZ110" i="1"/>
  <c r="BA110" i="1"/>
  <c r="BB110" i="1"/>
  <c r="AL111" i="1"/>
  <c r="AP111" i="1"/>
  <c r="AQ111" i="1"/>
  <c r="AT111" i="1"/>
  <c r="AX111" i="1"/>
  <c r="AY111" i="1"/>
  <c r="BB111" i="1"/>
  <c r="AM112" i="1"/>
  <c r="AN112" i="1"/>
  <c r="AQ112" i="1"/>
  <c r="AU112" i="1"/>
  <c r="AV112" i="1"/>
  <c r="AY112" i="1"/>
  <c r="AK63" i="1"/>
  <c r="AL63" i="1"/>
  <c r="AO63" i="1"/>
  <c r="AS63" i="1"/>
  <c r="AT63" i="1"/>
  <c r="AW63" i="1"/>
  <c r="BA63" i="1"/>
  <c r="BB63" i="1"/>
  <c r="BC65" i="1"/>
  <c r="AF57" i="1"/>
  <c r="AF8" i="1"/>
  <c r="AF56" i="1"/>
  <c r="AF55" i="1"/>
  <c r="AF54" i="1"/>
  <c r="AG54" i="1"/>
  <c r="AF53" i="1"/>
  <c r="AG53" i="1"/>
  <c r="AF52" i="1"/>
  <c r="AG52" i="1"/>
  <c r="AF51" i="1"/>
  <c r="AF50" i="1"/>
  <c r="AG50" i="1"/>
  <c r="AF49" i="1"/>
  <c r="AF48" i="1"/>
  <c r="AF47" i="1"/>
  <c r="AF46" i="1"/>
  <c r="AF45" i="1"/>
  <c r="AF44" i="1"/>
  <c r="AG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BC80" i="1"/>
  <c r="BC78" i="1"/>
  <c r="BC98" i="1"/>
  <c r="BC90" i="1"/>
  <c r="BC83" i="1"/>
  <c r="BC96" i="1"/>
  <c r="BC93" i="1"/>
  <c r="AG46" i="1"/>
  <c r="BC84" i="1"/>
  <c r="AJ111" i="1"/>
  <c r="AG56" i="1"/>
  <c r="AG45" i="1"/>
  <c r="BC109" i="1"/>
  <c r="BC63" i="1"/>
  <c r="BC95" i="1"/>
  <c r="BC89" i="1"/>
  <c r="BC105" i="1"/>
  <c r="BC82" i="1"/>
  <c r="BC79" i="1"/>
  <c r="BC74" i="1"/>
  <c r="BC73" i="1"/>
  <c r="BC71" i="1"/>
  <c r="BC70" i="1"/>
  <c r="BC68" i="1"/>
  <c r="BC66" i="1"/>
  <c r="AJ106" i="1"/>
  <c r="BC106" i="1"/>
  <c r="AG51" i="1"/>
  <c r="BC103" i="1"/>
  <c r="BC97" i="1"/>
  <c r="BC94" i="1"/>
  <c r="BC92" i="1"/>
  <c r="BC67" i="1"/>
  <c r="BC88" i="1"/>
  <c r="BC107" i="1"/>
  <c r="BC100" i="1"/>
  <c r="AJ110" i="1"/>
  <c r="BC110" i="1"/>
  <c r="AG55" i="1"/>
  <c r="AJ102" i="1"/>
  <c r="BC102" i="1"/>
  <c r="AG47" i="1"/>
  <c r="BC91" i="1"/>
  <c r="BC86" i="1"/>
  <c r="BC77" i="1"/>
  <c r="BC72" i="1"/>
  <c r="BC64" i="1"/>
  <c r="AJ112" i="1"/>
  <c r="BC112" i="1"/>
  <c r="AG57" i="1"/>
  <c r="BC104" i="1"/>
  <c r="BC69" i="1"/>
  <c r="BC85" i="1"/>
  <c r="BC101" i="1"/>
  <c r="BC75" i="1"/>
  <c r="BC99" i="1"/>
  <c r="AG48" i="1"/>
  <c r="BC108" i="1"/>
  <c r="BC81" i="1"/>
  <c r="BC76" i="1"/>
  <c r="BC111" i="1"/>
  <c r="BC87" i="1"/>
  <c r="AG49" i="1"/>
  <c r="BF9" i="1"/>
</calcChain>
</file>

<file path=xl/sharedStrings.xml><?xml version="1.0" encoding="utf-8"?>
<sst xmlns="http://schemas.openxmlformats.org/spreadsheetml/2006/main" count="100" uniqueCount="33">
  <si>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</si>
  <si>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</si>
  <si>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</si>
  <si>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</si>
  <si>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</si>
  <si>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</si>
  <si>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</si>
  <si>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</si>
  <si>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</si>
  <si>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</si>
  <si>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</si>
  <si>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</si>
  <si>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</si>
  <si>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</si>
  <si>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</si>
  <si>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</si>
  <si>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</si>
  <si>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</si>
  <si>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</si>
  <si>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</si>
  <si>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</si>
  <si>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</si>
  <si>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</si>
  <si>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</si>
  <si>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</si>
  <si>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</si>
  <si>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</si>
  <si>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AsOf</t>
  </si>
  <si>
    <t>SeriesNumValue</t>
  </si>
  <si>
    <t>IOS Price (%)</t>
  </si>
  <si>
    <t>FN30.
350.
14</t>
  </si>
  <si>
    <t>FN30.
400.
14</t>
  </si>
  <si>
    <t>Weighted Average 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</si>
</sst>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000"/>
    <numFmt numFmtId="166" formatCode="0.0%;[Red]\-0.0%"/>
  </numFmts>
  <fonts count="5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hair">
        <color indexed="64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thin">
        <color rgb="FF2E398A"/>
      </bottom>
      <diagonal/>
    </border>
    <border>
      <left style="thin">
        <color rgb="FF2E398A"/>
      </left>
      <right/>
      <top style="hair">
        <color indexed="64"/>
      </top>
      <bottom style="thin">
        <color rgb="FF2E398A"/>
      </bottom>
      <diagonal/>
    </border>
    <border>
      <left/>
      <right style="hair">
        <color indexed="64"/>
      </right>
      <top style="hair">
        <color indexed="64"/>
      </top>
      <bottom style="thin">
        <color rgb="FF2E398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thin">
        <color rgb="FF2E398A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5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7" xfId="0" applyFont="1" applyFill="1" applyBorder="1" applyAlignment="1">
      <alignment horizontal="center" wrapText="1"/>
    </xf>
    <xf numFmtId="164" fontId="0" fillId="6" borderId="17" xfId="0" applyNumberFormat="1" applyFont="1" applyFill="1" applyBorder="1"/>
    <xf numFmtId="0" fontId="0" fillId="0" borderId="17" xfId="0" applyBorder="1"/>
    <xf numFmtId="164" fontId="0" fillId="5" borderId="17" xfId="0" applyNumberFormat="1" applyFont="1" applyFill="1" applyBorder="1"/>
    <xf numFmtId="164" fontId="0" fillId="3" borderId="17" xfId="0" applyNumberFormat="1" applyFont="1" applyFill="1" applyBorder="1"/>
    <xf numFmtId="164" fontId="0" fillId="4" borderId="17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9" fontId="0" fillId="0" borderId="14" xfId="1" applyFont="1" applyBorder="1"/>
    <xf numFmtId="9" fontId="0" fillId="0" borderId="15" xfId="1" applyFont="1" applyBorder="1"/>
    <xf numFmtId="166" fontId="0" fillId="0" borderId="18" xfId="0" applyNumberFormat="1" applyFont="1" applyBorder="1"/>
    <xf numFmtId="166" fontId="0" fillId="0" borderId="9" xfId="0" applyNumberFormat="1" applyFont="1" applyBorder="1"/>
    <xf numFmtId="166" fontId="0" fillId="0" borderId="12" xfId="0" applyNumberFormat="1" applyFont="1" applyBorder="1"/>
    <xf numFmtId="166" fontId="0" fillId="0" borderId="16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6" xfId="0" applyNumberFormat="1" applyFont="1" applyBorder="1"/>
    <xf numFmtId="0" fontId="4" fillId="8" borderId="19" xfId="2" applyNumberFormat="1" applyFont="1" applyFill="1" applyBorder="1" applyAlignment="1"/>
    <xf numFmtId="164" fontId="0" fillId="2" borderId="0" xfId="0" applyNumberFormat="1" applyFont="1" applyFill="1" applyBorder="1"/>
    <xf numFmtId="165" fontId="0" fillId="0" borderId="0" xfId="0" applyNumberFormat="1" applyFont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21" xfId="0" applyNumberFormat="1" applyFont="1" applyBorder="1"/>
    <xf numFmtId="2" fontId="0" fillId="0" borderId="9" xfId="0" applyNumberFormat="1" applyFont="1" applyBorder="1"/>
    <xf numFmtId="2" fontId="0" fillId="0" borderId="22" xfId="0" applyNumberFormat="1" applyFont="1" applyBorder="1"/>
    <xf numFmtId="0" fontId="2" fillId="0" borderId="23" xfId="0" applyFont="1" applyBorder="1"/>
    <xf numFmtId="0" fontId="2" fillId="0" borderId="24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5" xfId="0" applyFont="1" applyBorder="1"/>
    <xf numFmtId="2" fontId="0" fillId="0" borderId="26" xfId="0" applyNumberFormat="1" applyFont="1" applyBorder="1"/>
    <xf numFmtId="2" fontId="0" fillId="0" borderId="27" xfId="0" applyNumberFormat="1" applyFont="1" applyBorder="1"/>
    <xf numFmtId="2" fontId="0" fillId="0" borderId="28" xfId="0" applyNumberFormat="1" applyFont="1" applyBorder="1"/>
    <xf numFmtId="2" fontId="0" fillId="0" borderId="29" xfId="0" applyNumberFormat="1" applyFont="1" applyBorder="1"/>
    <xf numFmtId="2" fontId="0" fillId="0" borderId="30" xfId="0" applyNumberFormat="1" applyFont="1" applyBorder="1"/>
    <xf numFmtId="2" fontId="0" fillId="0" borderId="31" xfId="0" applyNumberFormat="1" applyFont="1" applyBorder="1"/>
    <xf numFmtId="2" fontId="0" fillId="0" borderId="32" xfId="0" applyNumberFormat="1" applyFont="1" applyBorder="1"/>
    <xf numFmtId="2" fontId="0" fillId="0" borderId="33" xfId="0" applyNumberFormat="1" applyFont="1" applyBorder="1"/>
    <xf numFmtId="2" fontId="0" fillId="0" borderId="13" xfId="0" applyNumberFormat="1" applyFont="1" applyBorder="1"/>
    <xf numFmtId="0" fontId="2" fillId="0" borderId="20" xfId="0" applyFont="1" applyBorder="1"/>
    <xf numFmtId="0" fontId="2" fillId="0" borderId="34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12"/>
  <sheetViews>
    <sheetView tabSelected="1" topLeftCell="Z10" workbookViewId="0">
      <selection activeCell="BE71" sqref="BE71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63" t="s">
        <v>26</v>
      </c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I6" s="27" t="s">
        <v>23</v>
      </c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5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30</v>
      </c>
      <c r="J7" s="2" t="s">
        <v>2</v>
      </c>
      <c r="K7" s="2" t="s">
        <v>5</v>
      </c>
      <c r="L7" s="38" t="s">
        <v>8</v>
      </c>
      <c r="M7" s="1" t="s">
        <v>31</v>
      </c>
      <c r="N7" s="2" t="s">
        <v>3</v>
      </c>
      <c r="O7" s="2" t="s">
        <v>6</v>
      </c>
      <c r="P7" s="2" t="s">
        <v>9</v>
      </c>
      <c r="Q7" s="38" t="s">
        <v>12</v>
      </c>
      <c r="R7" s="1" t="s">
        <v>7</v>
      </c>
      <c r="S7" s="2" t="s">
        <v>10</v>
      </c>
      <c r="T7" s="38" t="s">
        <v>13</v>
      </c>
      <c r="U7" s="1" t="s">
        <v>11</v>
      </c>
      <c r="V7" s="38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30</v>
      </c>
      <c r="AM7" s="14" t="s">
        <v>2</v>
      </c>
      <c r="AN7" s="14" t="s">
        <v>5</v>
      </c>
      <c r="AO7" s="14" t="s">
        <v>8</v>
      </c>
      <c r="AP7" s="14" t="s">
        <v>31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60" t="s">
        <v>24</v>
      </c>
    </row>
    <row r="8" spans="6:58" ht="25.5" x14ac:dyDescent="0.2">
      <c r="F8" s="4">
        <v>40633</v>
      </c>
      <c r="G8" s="39">
        <f>Price!G8/'Price D Coupon'!G$5</f>
        <v>0</v>
      </c>
      <c r="H8" s="39">
        <f>Price!H8/'Price D Coupon'!H$5</f>
        <v>0</v>
      </c>
      <c r="I8" s="39">
        <f>Price!I8/'Price D Coupon'!I$5</f>
        <v>0</v>
      </c>
      <c r="J8" s="39">
        <f>Price!J8/'Price D Coupon'!J$5</f>
        <v>0</v>
      </c>
      <c r="K8" s="39">
        <f>Price!K8/'Price D Coupon'!K$5</f>
        <v>0</v>
      </c>
      <c r="L8" s="39">
        <f>Price!L8/'Price D Coupon'!L$5</f>
        <v>7.0884920628571431</v>
      </c>
      <c r="M8" s="39">
        <f>Price!M8/'Price D Coupon'!M$5</f>
        <v>0</v>
      </c>
      <c r="N8" s="39">
        <f>Price!N8/'Price D Coupon'!N$5</f>
        <v>0</v>
      </c>
      <c r="O8" s="39">
        <f>Price!O8/'Price D Coupon'!O$5</f>
        <v>0</v>
      </c>
      <c r="P8" s="39">
        <f>Price!P8/'Price D Coupon'!P$5</f>
        <v>6.4990277775000003</v>
      </c>
      <c r="Q8" s="39">
        <f>Price!Q8/'Price D Coupon'!Q$5</f>
        <v>6.0477777775000003</v>
      </c>
      <c r="R8" s="39">
        <f>Price!R8/'Price D Coupon'!R$5</f>
        <v>0</v>
      </c>
      <c r="S8" s="39">
        <f>Price!S8/'Price D Coupon'!S$5</f>
        <v>5.8183333333333334</v>
      </c>
      <c r="T8" s="39">
        <f>Price!T8/'Price D Coupon'!T$5</f>
        <v>5.4329999999999998</v>
      </c>
      <c r="U8" s="39">
        <f>Price!U8/'Price D Coupon'!U$5</f>
        <v>5.1941779780000008</v>
      </c>
      <c r="V8" s="39">
        <f>Price!V8/'Price D Coupon'!V$5</f>
        <v>4.8323779780000002</v>
      </c>
      <c r="W8" s="39">
        <f>Price!W8/'Price D Coupon'!W$5</f>
        <v>3.736050323636364</v>
      </c>
      <c r="X8" s="39">
        <f>Price!X8/'Price D Coupon'!X$5</f>
        <v>3.3697777783333334</v>
      </c>
      <c r="Y8" s="39">
        <f>Price!Y8/'Price D Coupon'!Y$5</f>
        <v>3.2810853169230771</v>
      </c>
      <c r="Z8" s="39"/>
      <c r="AA8" s="39"/>
      <c r="AB8" s="39"/>
      <c r="AC8" s="33">
        <v>23.785472222999999</v>
      </c>
      <c r="AE8" s="8">
        <v>40633</v>
      </c>
      <c r="AF8" s="9">
        <f>VLOOKUP(AE8,CurrentCoupon!B4:C1506,2,0)</f>
        <v>4.2707131450000002</v>
      </c>
      <c r="AI8" s="4"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6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9">
        <f>Price!G9/'Price D Coupon'!G$5</f>
        <v>0</v>
      </c>
      <c r="H9" s="39">
        <f>Price!H9/'Price D Coupon'!H$5</f>
        <v>0</v>
      </c>
      <c r="I9" s="39">
        <f>Price!I9/'Price D Coupon'!I$5</f>
        <v>0</v>
      </c>
      <c r="J9" s="39">
        <f>Price!J9/'Price D Coupon'!J$5</f>
        <v>0</v>
      </c>
      <c r="K9" s="39">
        <f>Price!K9/'Price D Coupon'!K$5</f>
        <v>0</v>
      </c>
      <c r="L9" s="39">
        <f>Price!L9/'Price D Coupon'!L$5</f>
        <v>7.1224124114285718</v>
      </c>
      <c r="M9" s="39">
        <f>Price!M9/'Price D Coupon'!M$5</f>
        <v>0</v>
      </c>
      <c r="N9" s="39">
        <f>Price!N9/'Price D Coupon'!N$5</f>
        <v>0</v>
      </c>
      <c r="O9" s="39">
        <f>Price!O9/'Price D Coupon'!O$5</f>
        <v>0</v>
      </c>
      <c r="P9" s="39">
        <f>Price!P9/'Price D Coupon'!P$5</f>
        <v>6.5653055550000001</v>
      </c>
      <c r="Q9" s="39">
        <f>Price!Q9/'Price D Coupon'!Q$5</f>
        <v>6.0878055550000001</v>
      </c>
      <c r="R9" s="39">
        <f>Price!R9/'Price D Coupon'!R$5</f>
        <v>0</v>
      </c>
      <c r="S9" s="39">
        <f>Price!S9/'Price D Coupon'!S$5</f>
        <v>5.8551111111111105</v>
      </c>
      <c r="T9" s="39">
        <f>Price!T9/'Price D Coupon'!T$5</f>
        <v>5.4904446666666669</v>
      </c>
      <c r="U9" s="39">
        <f>Price!U9/'Price D Coupon'!U$5</f>
        <v>5.3055555559999998</v>
      </c>
      <c r="V9" s="39">
        <f>Price!V9/'Price D Coupon'!V$5</f>
        <v>4.996155356</v>
      </c>
      <c r="W9" s="39">
        <f>Price!W9/'Price D Coupon'!W$5</f>
        <v>3.7941010109090909</v>
      </c>
      <c r="X9" s="39">
        <f>Price!X9/'Price D Coupon'!X$5</f>
        <v>3.3973890549999997</v>
      </c>
      <c r="Y9" s="39">
        <f>Price!Y9/'Price D Coupon'!Y$5</f>
        <v>3.3001709400000001</v>
      </c>
      <c r="Z9" s="45"/>
      <c r="AA9" s="46"/>
      <c r="AB9" s="47"/>
      <c r="AC9" s="33">
        <v>24.080744444</v>
      </c>
      <c r="AE9" s="8">
        <v>40662</v>
      </c>
      <c r="AF9" s="9">
        <f>VLOOKUP(AE9,CurrentCoupon!$B$4:$C$1468,2,0)</f>
        <v>4.0711736759999999</v>
      </c>
      <c r="AI9" s="4"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61">
        <f t="shared" ref="BC9:BC57" si="0">SUM(AJ9:BB9)</f>
        <v>1</v>
      </c>
      <c r="BE9" s="4">
        <v>40633</v>
      </c>
      <c r="BF9" s="22">
        <f>G8*AJ8</f>
        <v>0</v>
      </c>
    </row>
    <row r="10" spans="6:58" x14ac:dyDescent="0.2">
      <c r="F10" s="4">
        <v>40694</v>
      </c>
      <c r="G10" s="39">
        <f>Price!G10/'Price D Coupon'!G$5</f>
        <v>0</v>
      </c>
      <c r="H10" s="39">
        <f>Price!H10/'Price D Coupon'!H$5</f>
        <v>0</v>
      </c>
      <c r="I10" s="39">
        <f>Price!I10/'Price D Coupon'!I$5</f>
        <v>0</v>
      </c>
      <c r="J10" s="39">
        <f>Price!J10/'Price D Coupon'!J$5</f>
        <v>0</v>
      </c>
      <c r="K10" s="39">
        <f>Price!K10/'Price D Coupon'!K$5</f>
        <v>0</v>
      </c>
      <c r="L10" s="39">
        <f>Price!L10/'Price D Coupon'!L$5</f>
        <v>7.2636352057142863</v>
      </c>
      <c r="M10" s="39">
        <f>Price!M10/'Price D Coupon'!M$5</f>
        <v>0</v>
      </c>
      <c r="N10" s="39">
        <f>Price!N10/'Price D Coupon'!N$5</f>
        <v>0</v>
      </c>
      <c r="O10" s="39">
        <f>Price!O10/'Price D Coupon'!O$5</f>
        <v>0</v>
      </c>
      <c r="P10" s="39">
        <f>Price!P10/'Price D Coupon'!P$5</f>
        <v>6.6542777774999999</v>
      </c>
      <c r="Q10" s="39">
        <f>Price!Q10/'Price D Coupon'!Q$5</f>
        <v>6.1670280275000007</v>
      </c>
      <c r="R10" s="39">
        <f>Price!R10/'Price D Coupon'!R$5</f>
        <v>0</v>
      </c>
      <c r="S10" s="39">
        <f>Price!S10/'Price D Coupon'!S$5</f>
        <v>5.8974446666666669</v>
      </c>
      <c r="T10" s="39">
        <f>Price!T10/'Price D Coupon'!T$5</f>
        <v>5.4607777777777775</v>
      </c>
      <c r="U10" s="39">
        <f>Price!U10/'Price D Coupon'!U$5</f>
        <v>5.3237777780000002</v>
      </c>
      <c r="V10" s="39">
        <f>Price!V10/'Price D Coupon'!V$5</f>
        <v>4.9191779780000005</v>
      </c>
      <c r="W10" s="39">
        <f>Price!W10/'Price D Coupon'!W$5</f>
        <v>3.6756870509090906</v>
      </c>
      <c r="X10" s="39">
        <f>Price!X10/'Price D Coupon'!X$5</f>
        <v>3.4141109449999996</v>
      </c>
      <c r="Y10" s="39">
        <f>Price!Y10/'Price D Coupon'!Y$5</f>
        <v>3.40431624</v>
      </c>
      <c r="Z10" s="45"/>
      <c r="AA10" s="46"/>
      <c r="AB10" s="47"/>
      <c r="AC10" s="33">
        <v>24.186372623</v>
      </c>
      <c r="AE10" s="8">
        <v>40694</v>
      </c>
      <c r="AF10" s="9">
        <f>VLOOKUP(AE10,CurrentCoupon!$B$4:$C$1468,2,0)</f>
        <v>3.9138663440000001</v>
      </c>
      <c r="AI10" s="4"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61">
        <f t="shared" si="0"/>
        <v>1</v>
      </c>
      <c r="BE10" s="4">
        <v>40662</v>
      </c>
      <c r="BF10" s="23">
        <v>1.824176957431662E-2</v>
      </c>
    </row>
    <row r="11" spans="6:58" x14ac:dyDescent="0.2">
      <c r="F11" s="4">
        <v>40724</v>
      </c>
      <c r="G11" s="39">
        <f>Price!G11/'Price D Coupon'!G$5</f>
        <v>0</v>
      </c>
      <c r="H11" s="39">
        <f>Price!H11/'Price D Coupon'!H$5</f>
        <v>0</v>
      </c>
      <c r="I11" s="39">
        <f>Price!I11/'Price D Coupon'!I$5</f>
        <v>0</v>
      </c>
      <c r="J11" s="39">
        <f>Price!J11/'Price D Coupon'!J$5</f>
        <v>0</v>
      </c>
      <c r="K11" s="39">
        <f>Price!K11/'Price D Coupon'!K$5</f>
        <v>0</v>
      </c>
      <c r="L11" s="39">
        <f>Price!L11/'Price D Coupon'!L$5</f>
        <v>7.3284920628571433</v>
      </c>
      <c r="M11" s="39">
        <f>Price!M11/'Price D Coupon'!M$5</f>
        <v>0</v>
      </c>
      <c r="N11" s="39">
        <f>Price!N11/'Price D Coupon'!N$5</f>
        <v>0</v>
      </c>
      <c r="O11" s="39">
        <f>Price!O11/'Price D Coupon'!O$5</f>
        <v>0</v>
      </c>
      <c r="P11" s="39">
        <f>Price!P11/'Price D Coupon'!P$5</f>
        <v>6.7217780275000001</v>
      </c>
      <c r="Q11" s="39">
        <f>Price!Q11/'Price D Coupon'!Q$5</f>
        <v>6.1532777775000005</v>
      </c>
      <c r="R11" s="39">
        <f>Price!R11/'Price D Coupon'!R$5</f>
        <v>0</v>
      </c>
      <c r="S11" s="39">
        <f>Price!S11/'Price D Coupon'!S$5</f>
        <v>5.9816666666666665</v>
      </c>
      <c r="T11" s="39">
        <f>Price!T11/'Price D Coupon'!T$5</f>
        <v>5.4625555555555563</v>
      </c>
      <c r="U11" s="39">
        <f>Price!U11/'Price D Coupon'!U$5</f>
        <v>5.466777778</v>
      </c>
      <c r="V11" s="39">
        <f>Price!V11/'Price D Coupon'!V$5</f>
        <v>4.9863775779999999</v>
      </c>
      <c r="W11" s="39">
        <f>Price!W11/'Price D Coupon'!W$5</f>
        <v>3.6891414145454546</v>
      </c>
      <c r="X11" s="39">
        <f>Price!X11/'Price D Coupon'!X$5</f>
        <v>3.4727777783333331</v>
      </c>
      <c r="Y11" s="39">
        <f>Price!Y11/'Price D Coupon'!Y$5</f>
        <v>3.4553933169230766</v>
      </c>
      <c r="Z11" s="45"/>
      <c r="AA11" s="46"/>
      <c r="AB11" s="47"/>
      <c r="AC11" s="33">
        <v>24.450172322999997</v>
      </c>
      <c r="AE11" s="8">
        <v>40724</v>
      </c>
      <c r="AF11" s="9">
        <f>VLOOKUP(AE11,CurrentCoupon!$B$4:$C$1468,2,0)</f>
        <v>4.0109296580000002</v>
      </c>
      <c r="AI11" s="4"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61">
        <f t="shared" si="0"/>
        <v>1</v>
      </c>
      <c r="BE11" s="4">
        <v>40694</v>
      </c>
      <c r="BF11" s="23">
        <v>9.513688870633372E-3</v>
      </c>
    </row>
    <row r="12" spans="6:58" x14ac:dyDescent="0.2">
      <c r="F12" s="4">
        <v>40753</v>
      </c>
      <c r="G12" s="39">
        <f>Price!G12/'Price D Coupon'!G$5</f>
        <v>0</v>
      </c>
      <c r="H12" s="39">
        <f>Price!H12/'Price D Coupon'!H$5</f>
        <v>0</v>
      </c>
      <c r="I12" s="39">
        <f>Price!I12/'Price D Coupon'!I$5</f>
        <v>0</v>
      </c>
      <c r="J12" s="39">
        <f>Price!J12/'Price D Coupon'!J$5</f>
        <v>0</v>
      </c>
      <c r="K12" s="39">
        <f>Price!K12/'Price D Coupon'!K$5</f>
        <v>0</v>
      </c>
      <c r="L12" s="39">
        <f>Price!L12/'Price D Coupon'!L$5</f>
        <v>7.1242063485714286</v>
      </c>
      <c r="M12" s="39">
        <f>Price!M12/'Price D Coupon'!M$5</f>
        <v>0</v>
      </c>
      <c r="N12" s="39">
        <f>Price!N12/'Price D Coupon'!N$5</f>
        <v>0</v>
      </c>
      <c r="O12" s="39">
        <f>Price!O12/'Price D Coupon'!O$5</f>
        <v>0</v>
      </c>
      <c r="P12" s="39">
        <f>Price!P12/'Price D Coupon'!P$5</f>
        <v>6.4317780275000001</v>
      </c>
      <c r="Q12" s="39">
        <f>Price!Q12/'Price D Coupon'!Q$5</f>
        <v>5.8300275275000004</v>
      </c>
      <c r="R12" s="39">
        <f>Price!R12/'Price D Coupon'!R$5</f>
        <v>0</v>
      </c>
      <c r="S12" s="39">
        <f>Price!S12/'Price D Coupon'!S$5</f>
        <v>5.5701108888888884</v>
      </c>
      <c r="T12" s="39">
        <f>Price!T12/'Price D Coupon'!T$5</f>
        <v>5.0389999999999997</v>
      </c>
      <c r="U12" s="39">
        <f>Price!U12/'Price D Coupon'!U$5</f>
        <v>5.0777777779999997</v>
      </c>
      <c r="V12" s="39">
        <f>Price!V12/'Price D Coupon'!V$5</f>
        <v>4.571577778</v>
      </c>
      <c r="W12" s="39">
        <f>Price!W12/'Price D Coupon'!W$5</f>
        <v>3.5185959600000003</v>
      </c>
      <c r="X12" s="39">
        <f>Price!X12/'Price D Coupon'!X$5</f>
        <v>3.3341111116666666</v>
      </c>
      <c r="Y12" s="39">
        <f>Price!Y12/'Price D Coupon'!Y$5</f>
        <v>3.3604700861538461</v>
      </c>
      <c r="Z12" s="45"/>
      <c r="AA12" s="46"/>
      <c r="AB12" s="47"/>
      <c r="AC12" s="33">
        <v>23.116972123000004</v>
      </c>
      <c r="AE12" s="8">
        <v>40753</v>
      </c>
      <c r="AF12" s="9">
        <f>VLOOKUP(AE12,CurrentCoupon!$B$4:$C$1468,2,0)</f>
        <v>3.657086976</v>
      </c>
      <c r="AI12" s="4"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61">
        <f t="shared" si="0"/>
        <v>0.99999999999999989</v>
      </c>
      <c r="BE12" s="4">
        <v>40724</v>
      </c>
      <c r="BF12" s="23">
        <v>1.4594354068344891E-2</v>
      </c>
    </row>
    <row r="13" spans="6:58" x14ac:dyDescent="0.2">
      <c r="F13" s="4">
        <v>40786</v>
      </c>
      <c r="G13" s="39">
        <f>Price!G13/'Price D Coupon'!G$5</f>
        <v>0</v>
      </c>
      <c r="H13" s="39">
        <f>Price!H13/'Price D Coupon'!H$5</f>
        <v>0</v>
      </c>
      <c r="I13" s="39">
        <f>Price!I13/'Price D Coupon'!I$5</f>
        <v>0</v>
      </c>
      <c r="J13" s="39">
        <f>Price!J13/'Price D Coupon'!J$5</f>
        <v>0</v>
      </c>
      <c r="K13" s="39">
        <f>Price!K13/'Price D Coupon'!K$5</f>
        <v>0</v>
      </c>
      <c r="L13" s="39">
        <f>Price!L13/'Price D Coupon'!L$5</f>
        <v>6.3027777771428575</v>
      </c>
      <c r="M13" s="39">
        <f>Price!M13/'Price D Coupon'!M$5</f>
        <v>0</v>
      </c>
      <c r="N13" s="39">
        <f>Price!N13/'Price D Coupon'!N$5</f>
        <v>0</v>
      </c>
      <c r="O13" s="39">
        <f>Price!O13/'Price D Coupon'!O$5</f>
        <v>0</v>
      </c>
      <c r="P13" s="39">
        <f>Price!P13/'Price D Coupon'!P$5</f>
        <v>5.3182777775000005</v>
      </c>
      <c r="Q13" s="39">
        <f>Price!Q13/'Price D Coupon'!Q$5</f>
        <v>4.8340277775000002</v>
      </c>
      <c r="R13" s="39">
        <f>Price!R13/'Price D Coupon'!R$5</f>
        <v>0</v>
      </c>
      <c r="S13" s="39">
        <f>Price!S13/'Price D Coupon'!S$5</f>
        <v>4.1221111111111117</v>
      </c>
      <c r="T13" s="39">
        <f>Price!T13/'Price D Coupon'!T$5</f>
        <v>3.7472222222222222</v>
      </c>
      <c r="U13" s="39">
        <f>Price!U13/'Price D Coupon'!U$5</f>
        <v>3.9151777780000003</v>
      </c>
      <c r="V13" s="39">
        <f>Price!V13/'Price D Coupon'!V$5</f>
        <v>3.4839777779999999</v>
      </c>
      <c r="W13" s="39">
        <f>Price!W13/'Price D Coupon'!W$5</f>
        <v>2.9220505054545454</v>
      </c>
      <c r="X13" s="39">
        <f>Price!X13/'Price D Coupon'!X$5</f>
        <v>2.9069444450000002</v>
      </c>
      <c r="Y13" s="39">
        <f>Price!Y13/'Price D Coupon'!Y$5</f>
        <v>3.0720085476923078</v>
      </c>
      <c r="Z13" s="45"/>
      <c r="AA13" s="46"/>
      <c r="AB13" s="47"/>
      <c r="AC13" s="33">
        <v>18.855772223000002</v>
      </c>
      <c r="AE13" s="8">
        <v>40786</v>
      </c>
      <c r="AF13" s="9">
        <f>VLOOKUP(AE13,CurrentCoupon!$B$4:$C$1468,2,0)</f>
        <v>3.263422721</v>
      </c>
      <c r="AI13" s="4"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61">
        <f t="shared" si="0"/>
        <v>0.99999999999999956</v>
      </c>
      <c r="BE13" s="4">
        <v>40753</v>
      </c>
      <c r="BF13" s="23">
        <v>-5.6499117749605927E-2</v>
      </c>
    </row>
    <row r="14" spans="6:58" x14ac:dyDescent="0.2">
      <c r="F14" s="4">
        <v>40816</v>
      </c>
      <c r="G14" s="39">
        <f>Price!G14/'Price D Coupon'!G$5</f>
        <v>0</v>
      </c>
      <c r="H14" s="39">
        <f>Price!H14/'Price D Coupon'!H$5</f>
        <v>0</v>
      </c>
      <c r="I14" s="39">
        <f>Price!I14/'Price D Coupon'!I$5</f>
        <v>0</v>
      </c>
      <c r="J14" s="39">
        <f>Price!J14/'Price D Coupon'!J$5</f>
        <v>0</v>
      </c>
      <c r="K14" s="39">
        <f>Price!K14/'Price D Coupon'!K$5</f>
        <v>0</v>
      </c>
      <c r="L14" s="39">
        <f>Price!L14/'Price D Coupon'!L$5</f>
        <v>5.2637619057142855</v>
      </c>
      <c r="M14" s="39">
        <f>Price!M14/'Price D Coupon'!M$5</f>
        <v>0</v>
      </c>
      <c r="N14" s="39">
        <f>Price!N14/'Price D Coupon'!N$5</f>
        <v>0</v>
      </c>
      <c r="O14" s="39">
        <f>Price!O14/'Price D Coupon'!O$5</f>
        <v>0</v>
      </c>
      <c r="P14" s="39">
        <f>Price!P14/'Price D Coupon'!P$5</f>
        <v>4.2303333324999999</v>
      </c>
      <c r="Q14" s="39">
        <f>Price!Q14/'Price D Coupon'!Q$5</f>
        <v>3.7340833325</v>
      </c>
      <c r="R14" s="39">
        <f>Price!R14/'Price D Coupon'!R$5</f>
        <v>0</v>
      </c>
      <c r="S14" s="39">
        <f>Price!S14/'Price D Coupon'!S$5</f>
        <v>3.3707777777777777</v>
      </c>
      <c r="T14" s="39">
        <f>Price!T14/'Price D Coupon'!T$5</f>
        <v>2.9576666666666664</v>
      </c>
      <c r="U14" s="39">
        <f>Price!U14/'Price D Coupon'!U$5</f>
        <v>3.336533534</v>
      </c>
      <c r="V14" s="39">
        <f>Price!V14/'Price D Coupon'!V$5</f>
        <v>2.867733334</v>
      </c>
      <c r="W14" s="39">
        <f>Price!W14/'Price D Coupon'!W$5</f>
        <v>2.3765151509090909</v>
      </c>
      <c r="X14" s="39">
        <f>Price!X14/'Price D Coupon'!X$5</f>
        <v>2.4489999999999998</v>
      </c>
      <c r="Y14" s="39">
        <f>Price!Y14/'Price D Coupon'!Y$5</f>
        <v>2.6832564107692312</v>
      </c>
      <c r="Z14" s="45"/>
      <c r="AA14" s="46"/>
      <c r="AB14" s="47"/>
      <c r="AC14" s="33">
        <v>15.498616766999998</v>
      </c>
      <c r="AE14" s="8">
        <v>40816</v>
      </c>
      <c r="AF14" s="9">
        <f>VLOOKUP(AE14,CurrentCoupon!$B$4:$C$1468,2,0)</f>
        <v>3.04281559</v>
      </c>
      <c r="AI14" s="4"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61">
        <f t="shared" si="0"/>
        <v>1</v>
      </c>
      <c r="BE14" s="4">
        <v>40786</v>
      </c>
      <c r="BF14" s="23">
        <v>-0.20415554691478444</v>
      </c>
    </row>
    <row r="15" spans="6:58" x14ac:dyDescent="0.2">
      <c r="F15" s="4">
        <v>40847</v>
      </c>
      <c r="G15" s="39">
        <f>Price!G15/'Price D Coupon'!G$5</f>
        <v>0</v>
      </c>
      <c r="H15" s="39">
        <f>Price!H15/'Price D Coupon'!H$5</f>
        <v>0</v>
      </c>
      <c r="I15" s="39">
        <f>Price!I15/'Price D Coupon'!I$5</f>
        <v>0</v>
      </c>
      <c r="J15" s="39">
        <f>Price!J15/'Price D Coupon'!J$5</f>
        <v>0</v>
      </c>
      <c r="K15" s="39">
        <f>Price!K15/'Price D Coupon'!K$5</f>
        <v>0</v>
      </c>
      <c r="L15" s="39">
        <f>Price!L15/'Price D Coupon'!L$5</f>
        <v>5.1733494914285725</v>
      </c>
      <c r="M15" s="39">
        <f>Price!M15/'Price D Coupon'!M$5</f>
        <v>0</v>
      </c>
      <c r="N15" s="39">
        <f>Price!N15/'Price D Coupon'!N$5</f>
        <v>0</v>
      </c>
      <c r="O15" s="39">
        <f>Price!O15/'Price D Coupon'!O$5</f>
        <v>0</v>
      </c>
      <c r="P15" s="39">
        <f>Price!P15/'Price D Coupon'!P$5</f>
        <v>4.1737775275000004</v>
      </c>
      <c r="Q15" s="39">
        <f>Price!Q15/'Price D Coupon'!Q$5</f>
        <v>3.8182777774999996</v>
      </c>
      <c r="R15" s="39">
        <f>Price!R15/'Price D Coupon'!R$5</f>
        <v>0</v>
      </c>
      <c r="S15" s="39">
        <f>Price!S15/'Price D Coupon'!S$5</f>
        <v>3.6361111111111111</v>
      </c>
      <c r="T15" s="39">
        <f>Price!T15/'Price D Coupon'!T$5</f>
        <v>3.1430000000000002</v>
      </c>
      <c r="U15" s="39">
        <f>Price!U15/'Price D Coupon'!U$5</f>
        <v>3.8527777780000001</v>
      </c>
      <c r="V15" s="39">
        <f>Price!V15/'Price D Coupon'!V$5</f>
        <v>3.4089777779999997</v>
      </c>
      <c r="W15" s="39">
        <f>Price!W15/'Price D Coupon'!W$5</f>
        <v>2.3624141418181819</v>
      </c>
      <c r="X15" s="39">
        <f>Price!X15/'Price D Coupon'!X$5</f>
        <v>2.4069444450000002</v>
      </c>
      <c r="Y15" s="39">
        <f>Price!Y15/'Price D Coupon'!Y$5</f>
        <v>2.5960085476923074</v>
      </c>
      <c r="Z15" s="45"/>
      <c r="AA15" s="46"/>
      <c r="AB15" s="47"/>
      <c r="AC15" s="33">
        <v>16.119872222999998</v>
      </c>
      <c r="AE15" s="8">
        <v>40847</v>
      </c>
      <c r="AF15" s="9">
        <f>VLOOKUP(AE15,CurrentCoupon!$B$4:$C$1468,2,0)</f>
        <v>3.1403563459999999</v>
      </c>
      <c r="AI15" s="4"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61">
        <f t="shared" si="0"/>
        <v>1</v>
      </c>
      <c r="BE15" s="4">
        <v>40816</v>
      </c>
      <c r="BF15" s="23">
        <v>-0.18608869129036568</v>
      </c>
    </row>
    <row r="16" spans="6:58" x14ac:dyDescent="0.2">
      <c r="F16" s="4">
        <v>40877</v>
      </c>
      <c r="G16" s="39">
        <f>Price!G16/'Price D Coupon'!G$5</f>
        <v>0</v>
      </c>
      <c r="H16" s="39">
        <f>Price!H16/'Price D Coupon'!H$5</f>
        <v>0</v>
      </c>
      <c r="I16" s="39">
        <f>Price!I16/'Price D Coupon'!I$5</f>
        <v>0</v>
      </c>
      <c r="J16" s="39">
        <f>Price!J16/'Price D Coupon'!J$5</f>
        <v>0</v>
      </c>
      <c r="K16" s="39">
        <f>Price!K16/'Price D Coupon'!K$5</f>
        <v>0</v>
      </c>
      <c r="L16" s="39">
        <f>Price!L16/'Price D Coupon'!L$5</f>
        <v>5.0527777771428575</v>
      </c>
      <c r="M16" s="39">
        <f>Price!M16/'Price D Coupon'!M$5</f>
        <v>0</v>
      </c>
      <c r="N16" s="39">
        <f>Price!N16/'Price D Coupon'!N$5</f>
        <v>0</v>
      </c>
      <c r="O16" s="39">
        <f>Price!O16/'Price D Coupon'!O$5</f>
        <v>0</v>
      </c>
      <c r="P16" s="39">
        <f>Price!P16/'Price D Coupon'!P$5</f>
        <v>4.0567780275000001</v>
      </c>
      <c r="Q16" s="39">
        <f>Price!Q16/'Price D Coupon'!Q$5</f>
        <v>3.5800277774999998</v>
      </c>
      <c r="R16" s="39">
        <f>Price!R16/'Price D Coupon'!R$5</f>
        <v>0</v>
      </c>
      <c r="S16" s="39">
        <f>Price!S16/'Price D Coupon'!S$5</f>
        <v>3.7194444444444446</v>
      </c>
      <c r="T16" s="39">
        <f>Price!T16/'Price D Coupon'!T$5</f>
        <v>3.0736666666666665</v>
      </c>
      <c r="U16" s="39">
        <f>Price!U16/'Price D Coupon'!U$5</f>
        <v>3.9839777779999999</v>
      </c>
      <c r="V16" s="39">
        <f>Price!V16/'Price D Coupon'!V$5</f>
        <v>3.4745775780000003</v>
      </c>
      <c r="W16" s="39">
        <f>Price!W16/'Price D Coupon'!W$5</f>
        <v>2.4789595963636364</v>
      </c>
      <c r="X16" s="39">
        <f>Price!X16/'Price D Coupon'!X$5</f>
        <v>2.5787777783333334</v>
      </c>
      <c r="Y16" s="39">
        <f>Price!Y16/'Price D Coupon'!Y$5</f>
        <v>2.730623932307692</v>
      </c>
      <c r="Z16" s="45"/>
      <c r="AA16" s="46"/>
      <c r="AB16" s="47"/>
      <c r="AC16" s="33">
        <v>16.294972222999998</v>
      </c>
      <c r="AE16" s="8">
        <v>40877</v>
      </c>
      <c r="AF16" s="9">
        <f>VLOOKUP(AE16,CurrentCoupon!$B$4:$C$1468,2,0)</f>
        <v>3.1429302990000001</v>
      </c>
      <c r="AI16" s="4"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61">
        <f t="shared" si="0"/>
        <v>0.99999999999999989</v>
      </c>
      <c r="BE16" s="4">
        <v>40847</v>
      </c>
      <c r="BF16" s="23">
        <v>5.2849339196914737E-2</v>
      </c>
    </row>
    <row r="17" spans="6:58" x14ac:dyDescent="0.2">
      <c r="F17" s="4">
        <v>40907</v>
      </c>
      <c r="G17" s="39">
        <f>Price!G17/'Price D Coupon'!G$5</f>
        <v>0</v>
      </c>
      <c r="H17" s="39">
        <f>Price!H17/'Price D Coupon'!H$5</f>
        <v>0</v>
      </c>
      <c r="I17" s="39">
        <f>Price!I17/'Price D Coupon'!I$5</f>
        <v>0</v>
      </c>
      <c r="J17" s="39">
        <f>Price!J17/'Price D Coupon'!J$5</f>
        <v>0</v>
      </c>
      <c r="K17" s="39">
        <f>Price!K17/'Price D Coupon'!K$5</f>
        <v>0</v>
      </c>
      <c r="L17" s="39">
        <f>Price!L17/'Price D Coupon'!L$5</f>
        <v>4.9109044771428572</v>
      </c>
      <c r="M17" s="39">
        <f>Price!M17/'Price D Coupon'!M$5</f>
        <v>0</v>
      </c>
      <c r="N17" s="39">
        <f>Price!N17/'Price D Coupon'!N$5</f>
        <v>0</v>
      </c>
      <c r="O17" s="39">
        <f>Price!O17/'Price D Coupon'!O$5</f>
        <v>0</v>
      </c>
      <c r="P17" s="39">
        <f>Price!P17/'Price D Coupon'!P$5</f>
        <v>3.9605833325000002</v>
      </c>
      <c r="Q17" s="39">
        <f>Price!Q17/'Price D Coupon'!Q$5</f>
        <v>3.4098333325000003</v>
      </c>
      <c r="R17" s="39">
        <f>Price!R17/'Price D Coupon'!R$5</f>
        <v>0</v>
      </c>
      <c r="S17" s="39">
        <f>Price!S17/'Price D Coupon'!S$5</f>
        <v>3.7181111111111114</v>
      </c>
      <c r="T17" s="39">
        <f>Price!T17/'Price D Coupon'!T$5</f>
        <v>3.0063333333333331</v>
      </c>
      <c r="U17" s="39">
        <f>Price!U17/'Price D Coupon'!U$5</f>
        <v>3.9707333340000006</v>
      </c>
      <c r="V17" s="39">
        <f>Price!V17/'Price D Coupon'!V$5</f>
        <v>3.3865335340000002</v>
      </c>
      <c r="W17" s="39">
        <f>Price!W17/'Price D Coupon'!W$5</f>
        <v>2.3423333327272724</v>
      </c>
      <c r="X17" s="39">
        <f>Price!X17/'Price D Coupon'!X$5</f>
        <v>2.5009999999999999</v>
      </c>
      <c r="Y17" s="39">
        <f>Price!Y17/'Price D Coupon'!Y$5</f>
        <v>2.6712562569230771</v>
      </c>
      <c r="Z17" s="45"/>
      <c r="AA17" s="46"/>
      <c r="AB17" s="47"/>
      <c r="AC17" s="33">
        <v>15.896816567000002</v>
      </c>
      <c r="AE17" s="8">
        <v>40907</v>
      </c>
      <c r="AF17" s="9">
        <f>VLOOKUP(AE17,CurrentCoupon!$B$4:$C$1468,2,0)</f>
        <v>2.9957030869999999</v>
      </c>
      <c r="AI17" s="4"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61">
        <f t="shared" si="0"/>
        <v>0.99999999999999989</v>
      </c>
      <c r="BE17" s="4">
        <v>40877</v>
      </c>
      <c r="BF17" s="23">
        <v>-7.0201412794057283E-3</v>
      </c>
    </row>
    <row r="18" spans="6:58" x14ac:dyDescent="0.2">
      <c r="F18" s="4">
        <v>40939</v>
      </c>
      <c r="G18" s="39">
        <f>Price!G18/'Price D Coupon'!G$5</f>
        <v>0</v>
      </c>
      <c r="H18" s="39">
        <f>Price!H18/'Price D Coupon'!H$5</f>
        <v>0</v>
      </c>
      <c r="I18" s="39">
        <f>Price!I18/'Price D Coupon'!I$5</f>
        <v>0</v>
      </c>
      <c r="J18" s="39">
        <f>Price!J18/'Price D Coupon'!J$5</f>
        <v>0</v>
      </c>
      <c r="K18" s="39">
        <f>Price!K18/'Price D Coupon'!K$5</f>
        <v>0</v>
      </c>
      <c r="L18" s="39">
        <f>Price!L18/'Price D Coupon'!L$5</f>
        <v>4.5884920628571431</v>
      </c>
      <c r="M18" s="39">
        <f>Price!M18/'Price D Coupon'!M$5</f>
        <v>0</v>
      </c>
      <c r="N18" s="39">
        <f>Price!N18/'Price D Coupon'!N$5</f>
        <v>0</v>
      </c>
      <c r="O18" s="39">
        <f>Price!O18/'Price D Coupon'!O$5</f>
        <v>0</v>
      </c>
      <c r="P18" s="39">
        <f>Price!P18/'Price D Coupon'!P$5</f>
        <v>3.6347777774999996</v>
      </c>
      <c r="Q18" s="39">
        <f>Price!Q18/'Price D Coupon'!Q$5</f>
        <v>3.0057777774999996</v>
      </c>
      <c r="R18" s="39">
        <f>Price!R18/'Price D Coupon'!R$5</f>
        <v>0</v>
      </c>
      <c r="S18" s="39">
        <f>Price!S18/'Price D Coupon'!S$5</f>
        <v>3.3861111111111111</v>
      </c>
      <c r="T18" s="39">
        <f>Price!T18/'Price D Coupon'!T$5</f>
        <v>2.7021111111111114</v>
      </c>
      <c r="U18" s="39">
        <f>Price!U18/'Price D Coupon'!U$5</f>
        <v>3.5903777779999997</v>
      </c>
      <c r="V18" s="39">
        <f>Price!V18/'Price D Coupon'!V$5</f>
        <v>3.0215777780000002</v>
      </c>
      <c r="W18" s="39">
        <f>Price!W18/'Price D Coupon'!W$5</f>
        <v>2.2744141418181818</v>
      </c>
      <c r="X18" s="39">
        <f>Price!X18/'Price D Coupon'!X$5</f>
        <v>2.3834444449999999</v>
      </c>
      <c r="Y18" s="39">
        <f>Price!Y18/'Price D Coupon'!Y$5</f>
        <v>2.591239316923077</v>
      </c>
      <c r="Z18" s="45"/>
      <c r="AA18" s="46"/>
      <c r="AB18" s="47"/>
      <c r="AC18" s="33">
        <v>14.673172223</v>
      </c>
      <c r="AE18" s="8">
        <v>40939</v>
      </c>
      <c r="AF18" s="9">
        <f>VLOOKUP(AE18,CurrentCoupon!$B$4:$C$1468,2,0)</f>
        <v>2.716402515</v>
      </c>
      <c r="AI18" s="4"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61">
        <f t="shared" si="0"/>
        <v>0.99999999999999967</v>
      </c>
      <c r="BE18" s="4">
        <v>40907</v>
      </c>
      <c r="BF18" s="23">
        <v>-2.7877513927723988E-2</v>
      </c>
    </row>
    <row r="19" spans="6:58" x14ac:dyDescent="0.2">
      <c r="F19" s="4">
        <v>40968</v>
      </c>
      <c r="G19" s="39">
        <f>Price!G19/'Price D Coupon'!G$5</f>
        <v>0</v>
      </c>
      <c r="H19" s="39">
        <f>Price!H19/'Price D Coupon'!H$5</f>
        <v>0</v>
      </c>
      <c r="I19" s="39">
        <f>Price!I19/'Price D Coupon'!I$5</f>
        <v>0</v>
      </c>
      <c r="J19" s="39">
        <f>Price!J19/'Price D Coupon'!J$5</f>
        <v>0</v>
      </c>
      <c r="K19" s="39">
        <f>Price!K19/'Price D Coupon'!K$5</f>
        <v>0</v>
      </c>
      <c r="L19" s="39">
        <f>Price!L19/'Price D Coupon'!L$5</f>
        <v>5.1153492057142866</v>
      </c>
      <c r="M19" s="39">
        <f>Price!M19/'Price D Coupon'!M$5</f>
        <v>0</v>
      </c>
      <c r="N19" s="39">
        <f>Price!N19/'Price D Coupon'!N$5</f>
        <v>0</v>
      </c>
      <c r="O19" s="39">
        <f>Price!O19/'Price D Coupon'!O$5</f>
        <v>0</v>
      </c>
      <c r="P19" s="39">
        <f>Price!P19/'Price D Coupon'!P$5</f>
        <v>4.2090277775000002</v>
      </c>
      <c r="Q19" s="39">
        <f>Price!Q19/'Price D Coupon'!Q$5</f>
        <v>3.4082777774999999</v>
      </c>
      <c r="R19" s="39">
        <f>Price!R19/'Price D Coupon'!R$5</f>
        <v>0</v>
      </c>
      <c r="S19" s="39">
        <f>Price!S19/'Price D Coupon'!S$5</f>
        <v>3.823666666666667</v>
      </c>
      <c r="T19" s="39">
        <f>Price!T19/'Price D Coupon'!T$5</f>
        <v>3.0563333333333333</v>
      </c>
      <c r="U19" s="39">
        <f>Price!U19/'Price D Coupon'!U$5</f>
        <v>3.955977978</v>
      </c>
      <c r="V19" s="39">
        <f>Price!V19/'Price D Coupon'!V$5</f>
        <v>3.330977978</v>
      </c>
      <c r="W19" s="39">
        <f>Price!W19/'Price D Coupon'!W$5</f>
        <v>2.4391414145454546</v>
      </c>
      <c r="X19" s="39">
        <f>Price!X19/'Price D Coupon'!X$5</f>
        <v>2.5762777783333335</v>
      </c>
      <c r="Y19" s="39">
        <f>Price!Y19/'Price D Coupon'!Y$5</f>
        <v>2.7330856246153847</v>
      </c>
      <c r="Z19" s="45"/>
      <c r="AA19" s="46"/>
      <c r="AB19" s="47"/>
      <c r="AC19" s="33">
        <v>16.240572523000001</v>
      </c>
      <c r="AE19" s="8">
        <v>40968</v>
      </c>
      <c r="AF19" s="9">
        <f>VLOOKUP(AE19,CurrentCoupon!$B$4:$C$1468,2,0)</f>
        <v>2.8908030060000001</v>
      </c>
      <c r="AI19" s="4"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61">
        <f t="shared" si="0"/>
        <v>1</v>
      </c>
      <c r="BE19" s="4">
        <v>40939</v>
      </c>
      <c r="BF19" s="23">
        <v>-8.8730633004441312E-2</v>
      </c>
    </row>
    <row r="20" spans="6:58" x14ac:dyDescent="0.2">
      <c r="F20" s="4">
        <v>40998</v>
      </c>
      <c r="G20" s="39">
        <f>Price!G20/'Price D Coupon'!G$5</f>
        <v>0</v>
      </c>
      <c r="H20" s="39">
        <f>Price!H20/'Price D Coupon'!H$5</f>
        <v>0</v>
      </c>
      <c r="I20" s="39">
        <f>Price!I20/'Price D Coupon'!I$5</f>
        <v>0</v>
      </c>
      <c r="J20" s="39">
        <f>Price!J20/'Price D Coupon'!J$5</f>
        <v>0</v>
      </c>
      <c r="K20" s="39">
        <f>Price!K20/'Price D Coupon'!K$5</f>
        <v>0</v>
      </c>
      <c r="L20" s="39">
        <f>Price!L20/'Price D Coupon'!L$5</f>
        <v>5.6181269828571434</v>
      </c>
      <c r="M20" s="39">
        <f>Price!M20/'Price D Coupon'!M$5</f>
        <v>0</v>
      </c>
      <c r="N20" s="39">
        <f>Price!N20/'Price D Coupon'!N$5</f>
        <v>0</v>
      </c>
      <c r="O20" s="39">
        <f>Price!O20/'Price D Coupon'!O$5</f>
        <v>5.0945555549999995</v>
      </c>
      <c r="P20" s="39">
        <f>Price!P20/'Price D Coupon'!P$5</f>
        <v>4.7078053049999999</v>
      </c>
      <c r="Q20" s="39">
        <f>Price!Q20/'Price D Coupon'!Q$5</f>
        <v>3.9305555550000002</v>
      </c>
      <c r="R20" s="39">
        <f>Price!R20/'Price D Coupon'!R$5</f>
        <v>4.6075553333333339</v>
      </c>
      <c r="S20" s="39">
        <f>Price!S20/'Price D Coupon'!S$5</f>
        <v>4.1804444444444444</v>
      </c>
      <c r="T20" s="39">
        <f>Price!T20/'Price D Coupon'!T$5</f>
        <v>3.406222222222222</v>
      </c>
      <c r="U20" s="39">
        <f>Price!U20/'Price D Coupon'!U$5</f>
        <v>4.2837557559999997</v>
      </c>
      <c r="V20" s="39">
        <f>Price!V20/'Price D Coupon'!V$5</f>
        <v>3.7023553560000004</v>
      </c>
      <c r="W20" s="39">
        <f>Price!W20/'Price D Coupon'!W$5</f>
        <v>2.5668282836363634</v>
      </c>
      <c r="X20" s="39">
        <f>Price!X20/'Price D Coupon'!X$5</f>
        <v>2.717055555</v>
      </c>
      <c r="Y20" s="39">
        <f>Price!Y20/'Price D Coupon'!Y$5</f>
        <v>2.8584786323076923</v>
      </c>
      <c r="Z20" s="45"/>
      <c r="AA20" s="46"/>
      <c r="AB20" s="47"/>
      <c r="AC20" s="33">
        <v>18.199972055</v>
      </c>
      <c r="AE20" s="10">
        <v>40998</v>
      </c>
      <c r="AF20" s="9">
        <f>VLOOKUP(AE20,CurrentCoupon!$B$4:$C$1468,2,0)</f>
        <v>3.164915846</v>
      </c>
      <c r="AI20" s="4"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61">
        <f t="shared" si="0"/>
        <v>0.99999999999999978</v>
      </c>
      <c r="BE20" s="4">
        <v>40968</v>
      </c>
      <c r="BF20" s="23">
        <v>0.12672609655781239</v>
      </c>
    </row>
    <row r="21" spans="6:58" x14ac:dyDescent="0.2">
      <c r="F21" s="4">
        <v>41029</v>
      </c>
      <c r="G21" s="39">
        <f>Price!G21/'Price D Coupon'!G$5</f>
        <v>0</v>
      </c>
      <c r="H21" s="39">
        <f>Price!H21/'Price D Coupon'!H$5</f>
        <v>0</v>
      </c>
      <c r="I21" s="39">
        <f>Price!I21/'Price D Coupon'!I$5</f>
        <v>0</v>
      </c>
      <c r="J21" s="39">
        <f>Price!J21/'Price D Coupon'!J$5</f>
        <v>0</v>
      </c>
      <c r="K21" s="39">
        <f>Price!K21/'Price D Coupon'!K$5</f>
        <v>0</v>
      </c>
      <c r="L21" s="39">
        <f>Price!L21/'Price D Coupon'!L$5</f>
        <v>5.2313492057142863</v>
      </c>
      <c r="M21" s="39">
        <f>Price!M21/'Price D Coupon'!M$5</f>
        <v>0</v>
      </c>
      <c r="N21" s="39">
        <f>Price!N21/'Price D Coupon'!N$5</f>
        <v>0</v>
      </c>
      <c r="O21" s="39">
        <f>Price!O21/'Price D Coupon'!O$5</f>
        <v>4.7675275275000004</v>
      </c>
      <c r="P21" s="39">
        <f>Price!P21/'Price D Coupon'!P$5</f>
        <v>4.3847775274999998</v>
      </c>
      <c r="Q21" s="39">
        <f>Price!Q21/'Price D Coupon'!Q$5</f>
        <v>3.6270277774999999</v>
      </c>
      <c r="R21" s="39">
        <f>Price!R21/'Price D Coupon'!R$5</f>
        <v>4.3096666666666668</v>
      </c>
      <c r="S21" s="39">
        <f>Price!S21/'Price D Coupon'!S$5</f>
        <v>3.8756664444444442</v>
      </c>
      <c r="T21" s="39">
        <f>Price!T21/'Price D Coupon'!T$5</f>
        <v>3.1292222222222223</v>
      </c>
      <c r="U21" s="39">
        <f>Price!U21/'Price D Coupon'!U$5</f>
        <v>4.143377578</v>
      </c>
      <c r="V21" s="39">
        <f>Price!V21/'Price D Coupon'!V$5</f>
        <v>3.5715777780000004</v>
      </c>
      <c r="W21" s="39">
        <f>Price!W21/'Price D Coupon'!W$5</f>
        <v>2.4618686872727271</v>
      </c>
      <c r="X21" s="39">
        <f>Price!X21/'Price D Coupon'!X$5</f>
        <v>2.6047777783333332</v>
      </c>
      <c r="Y21" s="39">
        <f>Price!Y21/'Price D Coupon'!Y$5</f>
        <v>2.9398548553846151</v>
      </c>
      <c r="Z21" s="45"/>
      <c r="AA21" s="46"/>
      <c r="AB21" s="47"/>
      <c r="AC21" s="33">
        <v>17.266277528333333</v>
      </c>
      <c r="AE21" s="10">
        <v>41029</v>
      </c>
      <c r="AF21" s="9">
        <f>VLOOKUP(AE21,CurrentCoupon!$B$4:$C$1468,2,0)</f>
        <v>2.873380955</v>
      </c>
      <c r="AI21" s="4"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61">
        <f t="shared" si="0"/>
        <v>0.99999999999999989</v>
      </c>
      <c r="BE21" s="4">
        <v>40998</v>
      </c>
      <c r="BF21" s="23">
        <v>0.1005025355831364</v>
      </c>
    </row>
    <row r="22" spans="6:58" x14ac:dyDescent="0.2">
      <c r="F22" s="4">
        <v>41060</v>
      </c>
      <c r="G22" s="39">
        <f>Price!G22/'Price D Coupon'!G$5</f>
        <v>0</v>
      </c>
      <c r="H22" s="39">
        <f>Price!H22/'Price D Coupon'!H$5</f>
        <v>0</v>
      </c>
      <c r="I22" s="39">
        <f>Price!I22/'Price D Coupon'!I$5</f>
        <v>0</v>
      </c>
      <c r="J22" s="39">
        <f>Price!J22/'Price D Coupon'!J$5</f>
        <v>0</v>
      </c>
      <c r="K22" s="39">
        <f>Price!K22/'Price D Coupon'!K$5</f>
        <v>0</v>
      </c>
      <c r="L22" s="39">
        <f>Price!L22/'Price D Coupon'!L$5</f>
        <v>4.4053492057142858</v>
      </c>
      <c r="M22" s="39">
        <f>Price!M22/'Price D Coupon'!M$5</f>
        <v>0</v>
      </c>
      <c r="N22" s="39">
        <f>Price!N22/'Price D Coupon'!N$5</f>
        <v>0</v>
      </c>
      <c r="O22" s="39">
        <f>Price!O22/'Price D Coupon'!O$5</f>
        <v>4.1777777775000002</v>
      </c>
      <c r="P22" s="39">
        <f>Price!P22/'Price D Coupon'!P$5</f>
        <v>3.7557777774999996</v>
      </c>
      <c r="Q22" s="39">
        <f>Price!Q22/'Price D Coupon'!Q$5</f>
        <v>2.9747777774999999</v>
      </c>
      <c r="R22" s="39">
        <f>Price!R22/'Price D Coupon'!R$5</f>
        <v>3.8305555555555557</v>
      </c>
      <c r="S22" s="39">
        <f>Price!S22/'Price D Coupon'!S$5</f>
        <v>3.3930000000000002</v>
      </c>
      <c r="T22" s="39">
        <f>Price!T22/'Price D Coupon'!T$5</f>
        <v>2.6952222222222222</v>
      </c>
      <c r="U22" s="39">
        <f>Price!U22/'Price D Coupon'!U$5</f>
        <v>3.7495775780000002</v>
      </c>
      <c r="V22" s="39">
        <f>Price!V22/'Price D Coupon'!V$5</f>
        <v>3.196577778</v>
      </c>
      <c r="W22" s="39">
        <f>Price!W22/'Price D Coupon'!W$5</f>
        <v>2.2147777781818183</v>
      </c>
      <c r="X22" s="39">
        <f>Price!X22/'Price D Coupon'!X$5</f>
        <v>2.3652777783333332</v>
      </c>
      <c r="Y22" s="39">
        <f>Price!Y22/'Price D Coupon'!Y$5</f>
        <v>2.8172393169230769</v>
      </c>
      <c r="Z22" s="45"/>
      <c r="AA22" s="46"/>
      <c r="AB22" s="47"/>
      <c r="AC22" s="33">
        <v>15.258527695</v>
      </c>
      <c r="AE22" s="10">
        <v>41060</v>
      </c>
      <c r="AF22" s="9">
        <f>VLOOKUP(AE22,CurrentCoupon!$B$4:$C$1468,2,0)</f>
        <v>2.6222560549999998</v>
      </c>
      <c r="AI22" s="4"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61">
        <f t="shared" si="0"/>
        <v>0.99999999999999967</v>
      </c>
      <c r="BE22" s="4">
        <v>41029</v>
      </c>
      <c r="BF22" s="23">
        <v>-6.9145834011835092E-2</v>
      </c>
    </row>
    <row r="23" spans="6:58" x14ac:dyDescent="0.2">
      <c r="F23" s="4">
        <v>41089</v>
      </c>
      <c r="G23" s="39">
        <f>Price!G23/'Price D Coupon'!G$5</f>
        <v>0</v>
      </c>
      <c r="H23" s="39">
        <f>Price!H23/'Price D Coupon'!H$5</f>
        <v>0</v>
      </c>
      <c r="I23" s="39">
        <f>Price!I23/'Price D Coupon'!I$5</f>
        <v>0</v>
      </c>
      <c r="J23" s="39">
        <f>Price!J23/'Price D Coupon'!J$5</f>
        <v>0</v>
      </c>
      <c r="K23" s="39">
        <f>Price!K23/'Price D Coupon'!K$5</f>
        <v>0</v>
      </c>
      <c r="L23" s="39">
        <f>Price!L23/'Price D Coupon'!L$5</f>
        <v>4.5244126971428571</v>
      </c>
      <c r="M23" s="39">
        <f>Price!M23/'Price D Coupon'!M$5</f>
        <v>0</v>
      </c>
      <c r="N23" s="39">
        <f>Price!N23/'Price D Coupon'!N$5</f>
        <v>0</v>
      </c>
      <c r="O23" s="39">
        <f>Price!O23/'Price D Coupon'!O$5</f>
        <v>4.1025555549999995</v>
      </c>
      <c r="P23" s="39">
        <f>Price!P23/'Price D Coupon'!P$5</f>
        <v>3.8563055550000001</v>
      </c>
      <c r="Q23" s="39">
        <f>Price!Q23/'Price D Coupon'!Q$5</f>
        <v>3.1298055550000003</v>
      </c>
      <c r="R23" s="39">
        <f>Price!R23/'Price D Coupon'!R$5</f>
        <v>3.8506664444444443</v>
      </c>
      <c r="S23" s="39">
        <f>Price!S23/'Price D Coupon'!S$5</f>
        <v>3.5035555555555558</v>
      </c>
      <c r="T23" s="39">
        <f>Price!T23/'Price D Coupon'!T$5</f>
        <v>2.8819999999999997</v>
      </c>
      <c r="U23" s="39">
        <f>Price!U23/'Price D Coupon'!U$5</f>
        <v>3.808755756</v>
      </c>
      <c r="V23" s="39">
        <f>Price!V23/'Price D Coupon'!V$5</f>
        <v>3.2773553560000002</v>
      </c>
      <c r="W23" s="39">
        <f>Price!W23/'Price D Coupon'!W$5</f>
        <v>2.2373737381818182</v>
      </c>
      <c r="X23" s="39">
        <f>Price!X23/'Price D Coupon'!X$5</f>
        <v>2.3445555549999999</v>
      </c>
      <c r="Y23" s="39">
        <f>Price!Y23/'Price D Coupon'!Y$5</f>
        <v>2.7454015553846154</v>
      </c>
      <c r="Z23" s="45"/>
      <c r="AA23" s="46"/>
      <c r="AB23" s="47"/>
      <c r="AC23" s="33">
        <v>15.491805388333333</v>
      </c>
      <c r="AE23" s="10">
        <v>41089</v>
      </c>
      <c r="AF23" s="9">
        <f>VLOOKUP(AE23,CurrentCoupon!$B$4:$C$1468,2,0)</f>
        <v>2.5832822040000001</v>
      </c>
      <c r="AI23" s="4"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61">
        <f t="shared" si="0"/>
        <v>1.0000000000000002</v>
      </c>
      <c r="BE23" s="4">
        <v>41060</v>
      </c>
      <c r="BF23" s="23">
        <v>-0.12851627707292326</v>
      </c>
    </row>
    <row r="24" spans="6:58" x14ac:dyDescent="0.2">
      <c r="F24" s="4">
        <v>41121</v>
      </c>
      <c r="G24" s="39">
        <f>Price!G24/'Price D Coupon'!G$5</f>
        <v>0</v>
      </c>
      <c r="H24" s="39">
        <f>Price!H24/'Price D Coupon'!H$5</f>
        <v>0</v>
      </c>
      <c r="I24" s="39">
        <f>Price!I24/'Price D Coupon'!I$5</f>
        <v>0</v>
      </c>
      <c r="J24" s="39">
        <f>Price!J24/'Price D Coupon'!J$5</f>
        <v>0</v>
      </c>
      <c r="K24" s="39">
        <f>Price!K24/'Price D Coupon'!K$5</f>
        <v>0</v>
      </c>
      <c r="L24" s="39">
        <f>Price!L24/'Price D Coupon'!L$5</f>
        <v>3.9502063485714283</v>
      </c>
      <c r="M24" s="39">
        <f>Price!M24/'Price D Coupon'!M$5</f>
        <v>0</v>
      </c>
      <c r="N24" s="39">
        <f>Price!N24/'Price D Coupon'!N$5</f>
        <v>0</v>
      </c>
      <c r="O24" s="39">
        <f>Price!O24/'Price D Coupon'!O$5</f>
        <v>3.8067777774999998</v>
      </c>
      <c r="P24" s="39">
        <f>Price!P24/'Price D Coupon'!P$5</f>
        <v>3.6777777774999998</v>
      </c>
      <c r="Q24" s="39">
        <f>Price!Q24/'Price D Coupon'!Q$5</f>
        <v>3.0527777774999998</v>
      </c>
      <c r="R24" s="39">
        <f>Price!R24/'Price D Coupon'!R$5</f>
        <v>3.9138888888888892</v>
      </c>
      <c r="S24" s="39">
        <f>Price!S24/'Price D Coupon'!S$5</f>
        <v>3.5145555555555554</v>
      </c>
      <c r="T24" s="39">
        <f>Price!T24/'Price D Coupon'!T$5</f>
        <v>2.9174444444444445</v>
      </c>
      <c r="U24" s="39">
        <f>Price!U24/'Price D Coupon'!U$5</f>
        <v>3.7871779780000003</v>
      </c>
      <c r="V24" s="39">
        <f>Price!V24/'Price D Coupon'!V$5</f>
        <v>3.2495777779999999</v>
      </c>
      <c r="W24" s="39">
        <f>Price!W24/'Price D Coupon'!W$5</f>
        <v>2.2316868690909093</v>
      </c>
      <c r="X24" s="39">
        <f>Price!X24/'Price D Coupon'!X$5</f>
        <v>2.3157777783333331</v>
      </c>
      <c r="Y24" s="39">
        <f>Price!Y24/'Price D Coupon'!Y$5</f>
        <v>2.7860087015384614</v>
      </c>
      <c r="Z24" s="45"/>
      <c r="AA24" s="46"/>
      <c r="AB24" s="47"/>
      <c r="AC24" s="33">
        <v>15.166111278333332</v>
      </c>
      <c r="AE24" s="10">
        <v>41121</v>
      </c>
      <c r="AF24" s="9">
        <f>VLOOKUP(AE24,CurrentCoupon!$B$4:$C$1468,2,0)</f>
        <v>2.3365718910000002</v>
      </c>
      <c r="AI24" s="4"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61">
        <f t="shared" si="0"/>
        <v>1.0000000000000004</v>
      </c>
      <c r="BE24" s="4">
        <v>41089</v>
      </c>
      <c r="BF24" s="23">
        <v>3.0132718760613676E-2</v>
      </c>
    </row>
    <row r="25" spans="6:58" x14ac:dyDescent="0.2">
      <c r="F25" s="4">
        <v>41152</v>
      </c>
      <c r="G25" s="39">
        <f>Price!G25/'Price D Coupon'!G$5</f>
        <v>0</v>
      </c>
      <c r="H25" s="39">
        <f>Price!H25/'Price D Coupon'!H$5</f>
        <v>0</v>
      </c>
      <c r="I25" s="39">
        <f>Price!I25/'Price D Coupon'!I$5</f>
        <v>0</v>
      </c>
      <c r="J25" s="39">
        <f>Price!J25/'Price D Coupon'!J$5</f>
        <v>0</v>
      </c>
      <c r="K25" s="39">
        <f>Price!K25/'Price D Coupon'!K$5</f>
        <v>0</v>
      </c>
      <c r="L25" s="39">
        <f>Price!L25/'Price D Coupon'!L$5</f>
        <v>4.2708253971428567</v>
      </c>
      <c r="M25" s="39">
        <f>Price!M25/'Price D Coupon'!M$5</f>
        <v>0</v>
      </c>
      <c r="N25" s="39">
        <f>Price!N25/'Price D Coupon'!N$5</f>
        <v>0</v>
      </c>
      <c r="O25" s="39">
        <f>Price!O25/'Price D Coupon'!O$5</f>
        <v>4.1276113599999995</v>
      </c>
      <c r="P25" s="39">
        <f>Price!P25/'Price D Coupon'!P$5</f>
        <v>3.95161111</v>
      </c>
      <c r="Q25" s="39">
        <f>Price!Q25/'Price D Coupon'!Q$5</f>
        <v>3.3111111100000001</v>
      </c>
      <c r="R25" s="39">
        <f>Price!R25/'Price D Coupon'!R$5</f>
        <v>4.120222444444444</v>
      </c>
      <c r="S25" s="39">
        <f>Price!S25/'Price D Coupon'!S$5</f>
        <v>3.6722222222222221</v>
      </c>
      <c r="T25" s="39">
        <f>Price!T25/'Price D Coupon'!T$5</f>
        <v>3.1235555555555559</v>
      </c>
      <c r="U25" s="39">
        <f>Price!U25/'Price D Coupon'!U$5</f>
        <v>3.9673111119999995</v>
      </c>
      <c r="V25" s="39">
        <f>Price!V25/'Price D Coupon'!V$5</f>
        <v>3.5017109119999992</v>
      </c>
      <c r="W25" s="39">
        <f>Price!W25/'Price D Coupon'!W$5</f>
        <v>2.3196565654545456</v>
      </c>
      <c r="X25" s="39">
        <f>Price!X25/'Price D Coupon'!X$5</f>
        <v>2.4101111116666667</v>
      </c>
      <c r="Y25" s="39">
        <f>Price!Y25/'Price D Coupon'!Y$5</f>
        <v>2.8158803415384615</v>
      </c>
      <c r="Z25" s="45"/>
      <c r="AA25" s="46"/>
      <c r="AB25" s="47"/>
      <c r="AC25" s="33">
        <v>16.04152786083333</v>
      </c>
      <c r="AE25" s="10">
        <v>41152</v>
      </c>
      <c r="AF25" s="9">
        <f>VLOOKUP(AE25,CurrentCoupon!$B$4:$C$1468,2,0)</f>
        <v>2.3952760710000001</v>
      </c>
      <c r="AI25" s="4"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61">
        <f t="shared" si="0"/>
        <v>1</v>
      </c>
      <c r="BE25" s="4">
        <v>41121</v>
      </c>
      <c r="BF25" s="23">
        <v>-1.5907642368620453E-2</v>
      </c>
    </row>
    <row r="26" spans="6:58" x14ac:dyDescent="0.2">
      <c r="F26" s="4">
        <v>41180</v>
      </c>
      <c r="G26" s="39">
        <f>Price!G26/'Price D Coupon'!G$5</f>
        <v>0</v>
      </c>
      <c r="H26" s="39">
        <f>Price!H26/'Price D Coupon'!H$5</f>
        <v>0</v>
      </c>
      <c r="I26" s="39">
        <f>Price!I26/'Price D Coupon'!I$5</f>
        <v>0</v>
      </c>
      <c r="J26" s="39">
        <f>Price!J26/'Price D Coupon'!J$5</f>
        <v>0</v>
      </c>
      <c r="K26" s="39">
        <f>Price!K26/'Price D Coupon'!K$5</f>
        <v>0</v>
      </c>
      <c r="L26" s="39">
        <f>Price!L26/'Price D Coupon'!L$5</f>
        <v>3.3519206342857144</v>
      </c>
      <c r="M26" s="39">
        <f>Price!M26/'Price D Coupon'!M$5</f>
        <v>0</v>
      </c>
      <c r="N26" s="39">
        <f>Price!N26/'Price D Coupon'!N$5</f>
        <v>0</v>
      </c>
      <c r="O26" s="39">
        <f>Price!O26/'Price D Coupon'!O$5</f>
        <v>3.4432777774999996</v>
      </c>
      <c r="P26" s="39">
        <f>Price!P26/'Price D Coupon'!P$5</f>
        <v>3.2872777774999999</v>
      </c>
      <c r="Q26" s="39">
        <f>Price!Q26/'Price D Coupon'!Q$5</f>
        <v>2.8067777774999998</v>
      </c>
      <c r="R26" s="39">
        <f>Price!R26/'Price D Coupon'!R$5</f>
        <v>3.5596666666666668</v>
      </c>
      <c r="S26" s="39">
        <f>Price!S26/'Price D Coupon'!S$5</f>
        <v>3.198555555555556</v>
      </c>
      <c r="T26" s="39">
        <f>Price!T26/'Price D Coupon'!T$5</f>
        <v>2.7612222222222225</v>
      </c>
      <c r="U26" s="39">
        <f>Price!U26/'Price D Coupon'!U$5</f>
        <v>3.7745775780000002</v>
      </c>
      <c r="V26" s="39">
        <f>Price!V26/'Price D Coupon'!V$5</f>
        <v>3.3403777779999997</v>
      </c>
      <c r="W26" s="39">
        <f>Price!W26/'Price D Coupon'!W$5</f>
        <v>2.1351414145454544</v>
      </c>
      <c r="X26" s="39">
        <f>Price!X26/'Price D Coupon'!X$5</f>
        <v>2.3184444449999999</v>
      </c>
      <c r="Y26" s="39">
        <f>Price!Y26/'Price D Coupon'!Y$5</f>
        <v>2.7161623938461541</v>
      </c>
      <c r="Z26" s="45"/>
      <c r="AA26" s="46"/>
      <c r="AB26" s="47"/>
      <c r="AC26" s="33">
        <v>14.300194361666668</v>
      </c>
      <c r="AE26" s="10">
        <v>41180</v>
      </c>
      <c r="AF26" s="9">
        <f>VLOOKUP(AE26,CurrentCoupon!$B$4:$C$1468,2,0)</f>
        <v>1.8992686999999999</v>
      </c>
      <c r="AI26" s="4"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61">
        <f t="shared" si="0"/>
        <v>0.99999999999999989</v>
      </c>
      <c r="BE26" s="4">
        <v>41152</v>
      </c>
      <c r="BF26" s="23">
        <v>5.8693092581460653E-2</v>
      </c>
    </row>
    <row r="27" spans="6:58" x14ac:dyDescent="0.2">
      <c r="F27" s="4">
        <v>41213</v>
      </c>
      <c r="G27" s="39">
        <f>Price!G27/'Price D Coupon'!G$5</f>
        <v>0</v>
      </c>
      <c r="H27" s="39">
        <f>Price!H27/'Price D Coupon'!H$5</f>
        <v>0</v>
      </c>
      <c r="I27" s="39">
        <f>Price!I27/'Price D Coupon'!I$5</f>
        <v>0</v>
      </c>
      <c r="J27" s="39">
        <f>Price!J27/'Price D Coupon'!J$5</f>
        <v>0</v>
      </c>
      <c r="K27" s="39">
        <f>Price!K27/'Price D Coupon'!K$5</f>
        <v>0</v>
      </c>
      <c r="L27" s="39">
        <f>Price!L27/'Price D Coupon'!L$5</f>
        <v>3.38763492</v>
      </c>
      <c r="M27" s="39">
        <f>Price!M27/'Price D Coupon'!M$5</f>
        <v>0</v>
      </c>
      <c r="N27" s="39">
        <f>Price!N27/'Price D Coupon'!N$5</f>
        <v>0</v>
      </c>
      <c r="O27" s="39">
        <f>Price!O27/'Price D Coupon'!O$5</f>
        <v>3.4747777774999999</v>
      </c>
      <c r="P27" s="39">
        <f>Price!P27/'Price D Coupon'!P$5</f>
        <v>3.3497777774999999</v>
      </c>
      <c r="Q27" s="39">
        <f>Price!Q27/'Price D Coupon'!Q$5</f>
        <v>2.8105277774999999</v>
      </c>
      <c r="R27" s="39">
        <f>Price!R27/'Price D Coupon'!R$5</f>
        <v>3.6881108888888892</v>
      </c>
      <c r="S27" s="39">
        <f>Price!S27/'Price D Coupon'!S$5</f>
        <v>3.3514444444444447</v>
      </c>
      <c r="T27" s="39">
        <f>Price!T27/'Price D Coupon'!T$5</f>
        <v>2.8514444444444447</v>
      </c>
      <c r="U27" s="39">
        <f>Price!U27/'Price D Coupon'!U$5</f>
        <v>3.7433775779999996</v>
      </c>
      <c r="V27" s="39">
        <f>Price!V27/'Price D Coupon'!V$5</f>
        <v>3.3495775780000003</v>
      </c>
      <c r="W27" s="39">
        <f>Price!W27/'Price D Coupon'!W$5</f>
        <v>2.2460505054545457</v>
      </c>
      <c r="X27" s="39">
        <f>Price!X27/'Price D Coupon'!X$5</f>
        <v>2.430444445</v>
      </c>
      <c r="Y27" s="39">
        <f>Price!Y27/'Price D Coupon'!Y$5</f>
        <v>2.7547777784615382</v>
      </c>
      <c r="Z27" s="45"/>
      <c r="AA27" s="46"/>
      <c r="AB27" s="47"/>
      <c r="AC27" s="33">
        <v>14.601110861666669</v>
      </c>
      <c r="AE27" s="10">
        <v>41213</v>
      </c>
      <c r="AF27" s="9">
        <f>VLOOKUP(AE27,CurrentCoupon!$B$4:$C$1468,2,0)</f>
        <v>2.1949310629999998</v>
      </c>
      <c r="AI27" s="4"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61">
        <f t="shared" si="0"/>
        <v>0.99999999999999978</v>
      </c>
      <c r="BE27" s="4">
        <v>41180</v>
      </c>
      <c r="BF27" s="23">
        <v>-0.13606250669448994</v>
      </c>
    </row>
    <row r="28" spans="6:58" x14ac:dyDescent="0.2">
      <c r="F28" s="4">
        <v>41243</v>
      </c>
      <c r="G28" s="39">
        <f>Price!G28/'Price D Coupon'!G$5</f>
        <v>0</v>
      </c>
      <c r="H28" s="39">
        <f>Price!H28/'Price D Coupon'!H$5</f>
        <v>0</v>
      </c>
      <c r="I28" s="39">
        <f>Price!I28/'Price D Coupon'!I$5</f>
        <v>0</v>
      </c>
      <c r="J28" s="39">
        <f>Price!J28/'Price D Coupon'!J$5</f>
        <v>0</v>
      </c>
      <c r="K28" s="39">
        <f>Price!K28/'Price D Coupon'!K$5</f>
        <v>0</v>
      </c>
      <c r="L28" s="39">
        <f>Price!L28/'Price D Coupon'!L$5</f>
        <v>3.4377619057142854</v>
      </c>
      <c r="M28" s="39">
        <f>Price!M28/'Price D Coupon'!M$5</f>
        <v>0</v>
      </c>
      <c r="N28" s="39">
        <f>Price!N28/'Price D Coupon'!N$5</f>
        <v>0</v>
      </c>
      <c r="O28" s="39">
        <f>Price!O28/'Price D Coupon'!O$5</f>
        <v>3.4645833325000002</v>
      </c>
      <c r="P28" s="39">
        <f>Price!P28/'Price D Coupon'!P$5</f>
        <v>3.2810833325000002</v>
      </c>
      <c r="Q28" s="39">
        <f>Price!Q28/'Price D Coupon'!Q$5</f>
        <v>2.7105833325000002</v>
      </c>
      <c r="R28" s="39">
        <f>Price!R28/'Price D Coupon'!R$5</f>
        <v>3.4334444444444445</v>
      </c>
      <c r="S28" s="39">
        <f>Price!S28/'Price D Coupon'!S$5</f>
        <v>3.2076666666666664</v>
      </c>
      <c r="T28" s="39">
        <f>Price!T28/'Price D Coupon'!T$5</f>
        <v>2.6798888888888888</v>
      </c>
      <c r="U28" s="39">
        <f>Price!U28/'Price D Coupon'!U$5</f>
        <v>3.4895333339999999</v>
      </c>
      <c r="V28" s="39">
        <f>Price!V28/'Price D Coupon'!V$5</f>
        <v>3.0645333340000001</v>
      </c>
      <c r="W28" s="39">
        <f>Price!W28/'Price D Coupon'!W$5</f>
        <v>2.0554242418181818</v>
      </c>
      <c r="X28" s="39">
        <f>Price!X28/'Price D Coupon'!X$5</f>
        <v>2.2718333333333334</v>
      </c>
      <c r="Y28" s="39">
        <f>Price!Y28/'Price D Coupon'!Y$5</f>
        <v>2.5872564107692306</v>
      </c>
      <c r="Z28" s="45"/>
      <c r="AA28" s="46"/>
      <c r="AB28" s="47"/>
      <c r="AC28" s="33">
        <v>13.860416666666667</v>
      </c>
      <c r="AE28" s="10">
        <v>41243</v>
      </c>
      <c r="AF28" s="9">
        <f>VLOOKUP(AE28,CurrentCoupon!$B$4:$C$1468,2,0)</f>
        <v>2.0678302369999999</v>
      </c>
      <c r="AI28" s="4"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61">
        <f t="shared" si="0"/>
        <v>0.99999999999999989</v>
      </c>
      <c r="BE28" s="4">
        <v>41213</v>
      </c>
      <c r="BF28" s="23">
        <v>1.7655999043972182E-2</v>
      </c>
    </row>
    <row r="29" spans="6:58" x14ac:dyDescent="0.2">
      <c r="F29" s="4">
        <v>41274</v>
      </c>
      <c r="G29" s="39">
        <f>Price!G29/'Price D Coupon'!G$5</f>
        <v>0</v>
      </c>
      <c r="H29" s="39">
        <f>Price!H29/'Price D Coupon'!H$5</f>
        <v>0</v>
      </c>
      <c r="I29" s="39">
        <f>Price!I29/'Price D Coupon'!I$5</f>
        <v>0</v>
      </c>
      <c r="J29" s="39">
        <f>Price!J29/'Price D Coupon'!J$5</f>
        <v>0</v>
      </c>
      <c r="K29" s="39">
        <f>Price!K29/'Price D Coupon'!K$5</f>
        <v>0</v>
      </c>
      <c r="L29" s="39">
        <f>Price!L29/'Price D Coupon'!L$5</f>
        <v>3.4975555542857144</v>
      </c>
      <c r="M29" s="39">
        <f>Price!M29/'Price D Coupon'!M$5</f>
        <v>0</v>
      </c>
      <c r="N29" s="39">
        <f>Price!N29/'Price D Coupon'!N$5</f>
        <v>0</v>
      </c>
      <c r="O29" s="39">
        <f>Price!O29/'Price D Coupon'!O$5</f>
        <v>3.5595555550000002</v>
      </c>
      <c r="P29" s="39">
        <f>Price!P29/'Price D Coupon'!P$5</f>
        <v>3.3250555550000001</v>
      </c>
      <c r="Q29" s="39">
        <f>Price!Q29/'Price D Coupon'!Q$5</f>
        <v>2.8290555550000001</v>
      </c>
      <c r="R29" s="39">
        <f>Price!R29/'Price D Coupon'!R$5</f>
        <v>3.5764444444444448</v>
      </c>
      <c r="S29" s="39">
        <f>Price!S29/'Price D Coupon'!S$5</f>
        <v>3.3160000000000003</v>
      </c>
      <c r="T29" s="39">
        <f>Price!T29/'Price D Coupon'!T$5</f>
        <v>2.854222222222222</v>
      </c>
      <c r="U29" s="39">
        <f>Price!U29/'Price D Coupon'!U$5</f>
        <v>3.5649557560000007</v>
      </c>
      <c r="V29" s="39">
        <f>Price!V29/'Price D Coupon'!V$5</f>
        <v>3.130555556</v>
      </c>
      <c r="W29" s="39">
        <f>Price!W29/'Price D Coupon'!W$5</f>
        <v>2.1806464654545454</v>
      </c>
      <c r="X29" s="39">
        <f>Price!X29/'Price D Coupon'!X$5</f>
        <v>2.3837222216666665</v>
      </c>
      <c r="Y29" s="39">
        <f>Price!Y29/'Price D Coupon'!Y$5</f>
        <v>2.6661709400000002</v>
      </c>
      <c r="Z29" s="45"/>
      <c r="AA29" s="46"/>
      <c r="AB29" s="47"/>
      <c r="AC29" s="33">
        <v>14.338305638333333</v>
      </c>
      <c r="AE29" s="10">
        <v>41274</v>
      </c>
      <c r="AF29" s="9">
        <f>VLOOKUP(AE29,CurrentCoupon!$B$4:$C$1468,2,0)</f>
        <v>2.3389352730000001</v>
      </c>
      <c r="AI29" s="4"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61">
        <f t="shared" si="0"/>
        <v>0.99999999999999989</v>
      </c>
      <c r="BE29" s="4">
        <v>41243</v>
      </c>
      <c r="BF29" s="23">
        <v>-5.8156333129240345E-2</v>
      </c>
    </row>
    <row r="30" spans="6:58" x14ac:dyDescent="0.2">
      <c r="F30" s="4">
        <v>41305</v>
      </c>
      <c r="G30" s="39">
        <f>Price!G30/'Price D Coupon'!G$5</f>
        <v>0</v>
      </c>
      <c r="H30" s="39">
        <f>Price!H30/'Price D Coupon'!H$5</f>
        <v>0</v>
      </c>
      <c r="I30" s="39">
        <f>Price!I30/'Price D Coupon'!I$5</f>
        <v>0</v>
      </c>
      <c r="J30" s="39">
        <f>Price!J30/'Price D Coupon'!J$5</f>
        <v>0</v>
      </c>
      <c r="K30" s="39">
        <f>Price!K30/'Price D Coupon'!K$5</f>
        <v>0</v>
      </c>
      <c r="L30" s="39">
        <f>Price!L30/'Price D Coupon'!L$5</f>
        <v>4.2313492057142854</v>
      </c>
      <c r="M30" s="39">
        <f>Price!M30/'Price D Coupon'!M$5</f>
        <v>0</v>
      </c>
      <c r="N30" s="39">
        <f>Price!N30/'Price D Coupon'!N$5</f>
        <v>0</v>
      </c>
      <c r="O30" s="39">
        <f>Price!O30/'Price D Coupon'!O$5</f>
        <v>4.0957780275000006</v>
      </c>
      <c r="P30" s="39">
        <f>Price!P30/'Price D Coupon'!P$5</f>
        <v>3.8417777774999999</v>
      </c>
      <c r="Q30" s="39">
        <f>Price!Q30/'Price D Coupon'!Q$5</f>
        <v>3.2675277774999998</v>
      </c>
      <c r="R30" s="39">
        <f>Price!R30/'Price D Coupon'!R$5</f>
        <v>3.8825553333333338</v>
      </c>
      <c r="S30" s="39">
        <f>Price!S30/'Price D Coupon'!S$5</f>
        <v>3.5978888888888889</v>
      </c>
      <c r="T30" s="39">
        <f>Price!T30/'Price D Coupon'!T$5</f>
        <v>3.0318888888888891</v>
      </c>
      <c r="U30" s="39">
        <f>Price!U30/'Price D Coupon'!U$5</f>
        <v>3.6245775780000002</v>
      </c>
      <c r="V30" s="39">
        <f>Price!V30/'Price D Coupon'!V$5</f>
        <v>3.183977778</v>
      </c>
      <c r="W30" s="39">
        <f>Price!W30/'Price D Coupon'!W$5</f>
        <v>2.197686869090909</v>
      </c>
      <c r="X30" s="39">
        <f>Price!X30/'Price D Coupon'!X$5</f>
        <v>2.3157777783333331</v>
      </c>
      <c r="Y30" s="39">
        <f>Price!Y30/'Price D Coupon'!Y$5</f>
        <v>2.5672393169230769</v>
      </c>
      <c r="Z30" s="45"/>
      <c r="AA30" s="46"/>
      <c r="AB30" s="47"/>
      <c r="AC30" s="33">
        <v>15.303944361666666</v>
      </c>
      <c r="AE30" s="10">
        <v>41305</v>
      </c>
      <c r="AF30" s="9">
        <f>VLOOKUP(AE30,CurrentCoupon!$B$4:$C$1468,2,0)</f>
        <v>2.5556270130000001</v>
      </c>
      <c r="AI30" s="4"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61">
        <f t="shared" si="0"/>
        <v>0.99999999999999978</v>
      </c>
      <c r="BE30" s="4">
        <v>41274</v>
      </c>
      <c r="BF30" s="23">
        <v>3.1244329246387089E-2</v>
      </c>
    </row>
    <row r="31" spans="6:58" x14ac:dyDescent="0.2">
      <c r="F31" s="4">
        <v>41333</v>
      </c>
      <c r="G31" s="39">
        <f>Price!G31/'Price D Coupon'!G$5</f>
        <v>0</v>
      </c>
      <c r="H31" s="39">
        <f>Price!H31/'Price D Coupon'!H$5</f>
        <v>0</v>
      </c>
      <c r="I31" s="39">
        <f>Price!I31/'Price D Coupon'!I$5</f>
        <v>0</v>
      </c>
      <c r="J31" s="39">
        <f>Price!J31/'Price D Coupon'!J$5</f>
        <v>0</v>
      </c>
      <c r="K31" s="39">
        <f>Price!K31/'Price D Coupon'!K$5</f>
        <v>0</v>
      </c>
      <c r="L31" s="39">
        <f>Price!L31/'Price D Coupon'!L$5</f>
        <v>4.3207777771428573</v>
      </c>
      <c r="M31" s="39">
        <f>Price!M31/'Price D Coupon'!M$5</f>
        <v>0</v>
      </c>
      <c r="N31" s="39">
        <f>Price!N31/'Price D Coupon'!N$5</f>
        <v>0</v>
      </c>
      <c r="O31" s="39">
        <f>Price!O31/'Price D Coupon'!O$5</f>
        <v>4.0175277774999998</v>
      </c>
      <c r="P31" s="39">
        <f>Price!P31/'Price D Coupon'!P$5</f>
        <v>3.7987777774999998</v>
      </c>
      <c r="Q31" s="39">
        <f>Price!Q31/'Price D Coupon'!Q$5</f>
        <v>3.2675277774999998</v>
      </c>
      <c r="R31" s="39">
        <f>Price!R31/'Price D Coupon'!R$5</f>
        <v>3.8478886666666665</v>
      </c>
      <c r="S31" s="39">
        <f>Price!S31/'Price D Coupon'!S$5</f>
        <v>3.577</v>
      </c>
      <c r="T31" s="39">
        <f>Price!T31/'Price D Coupon'!T$5</f>
        <v>3.0285555555555557</v>
      </c>
      <c r="U31" s="39">
        <f>Price!U31/'Price D Coupon'!U$5</f>
        <v>3.580977978</v>
      </c>
      <c r="V31" s="39">
        <f>Price!V31/'Price D Coupon'!V$5</f>
        <v>3.212177778</v>
      </c>
      <c r="W31" s="39">
        <f>Price!W31/'Price D Coupon'!W$5</f>
        <v>2.2431414145454549</v>
      </c>
      <c r="X31" s="39">
        <f>Price!X31/'Price D Coupon'!X$5</f>
        <v>2.3157777783333331</v>
      </c>
      <c r="Y31" s="39">
        <f>Price!Y31/'Price D Coupon'!Y$5</f>
        <v>2.5118547015384616</v>
      </c>
      <c r="Z31" s="45"/>
      <c r="AA31" s="46"/>
      <c r="AB31" s="47"/>
      <c r="AC31" s="33">
        <v>15.251944444999998</v>
      </c>
      <c r="AE31" s="10">
        <v>41333</v>
      </c>
      <c r="AF31" s="9">
        <f>VLOOKUP(AE31,CurrentCoupon!$B$4:$C$1468,2,0)</f>
        <v>2.545776005</v>
      </c>
      <c r="AI31" s="4"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61">
        <f t="shared" si="0"/>
        <v>1</v>
      </c>
      <c r="BE31" s="4">
        <v>41305</v>
      </c>
      <c r="BF31" s="23">
        <v>7.6720092823496691E-2</v>
      </c>
    </row>
    <row r="32" spans="6:58" x14ac:dyDescent="0.2">
      <c r="F32" s="4">
        <v>41361</v>
      </c>
      <c r="G32" s="39">
        <f>Price!G32/'Price D Coupon'!G$5</f>
        <v>0</v>
      </c>
      <c r="H32" s="39">
        <f>Price!H32/'Price D Coupon'!H$5</f>
        <v>6.3444444433333338</v>
      </c>
      <c r="I32" s="39">
        <f>Price!I32/'Price D Coupon'!I$5</f>
        <v>0</v>
      </c>
      <c r="J32" s="39">
        <f>Price!J32/'Price D Coupon'!J$5</f>
        <v>0</v>
      </c>
      <c r="K32" s="39">
        <f>Price!K32/'Price D Coupon'!K$5</f>
        <v>5.5036346342857145</v>
      </c>
      <c r="L32" s="39">
        <f>Price!L32/'Price D Coupon'!L$5</f>
        <v>4.7044920628571427</v>
      </c>
      <c r="M32" s="39">
        <f>Price!M32/'Price D Coupon'!M$5</f>
        <v>0</v>
      </c>
      <c r="N32" s="39">
        <f>Price!N32/'Price D Coupon'!N$5</f>
        <v>0</v>
      </c>
      <c r="O32" s="39">
        <f>Price!O32/'Price D Coupon'!O$5</f>
        <v>4.2872777774999999</v>
      </c>
      <c r="P32" s="39">
        <f>Price!P32/'Price D Coupon'!P$5</f>
        <v>4.0567780275000001</v>
      </c>
      <c r="Q32" s="39">
        <f>Price!Q32/'Price D Coupon'!Q$5</f>
        <v>3.5057777774999996</v>
      </c>
      <c r="R32" s="39">
        <f>Price!R32/'Price D Coupon'!R$5</f>
        <v>3.9694444444444446</v>
      </c>
      <c r="S32" s="39">
        <f>Price!S32/'Price D Coupon'!S$5</f>
        <v>3.7332222222222224</v>
      </c>
      <c r="T32" s="39">
        <f>Price!T32/'Price D Coupon'!T$5</f>
        <v>3.1916666666666669</v>
      </c>
      <c r="U32" s="39">
        <f>Price!U32/'Price D Coupon'!U$5</f>
        <v>3.6651777780000003</v>
      </c>
      <c r="V32" s="39">
        <f>Price!V32/'Price D Coupon'!V$5</f>
        <v>3.3277777780000002</v>
      </c>
      <c r="W32" s="39">
        <f>Price!W32/'Price D Coupon'!W$5</f>
        <v>2.3027777781818184</v>
      </c>
      <c r="X32" s="39">
        <f>Price!X32/'Price D Coupon'!X$5</f>
        <v>2.3757777783333336</v>
      </c>
      <c r="Y32" s="39">
        <f>Price!Y32/'Price D Coupon'!Y$5</f>
        <v>2.4733931630769233</v>
      </c>
      <c r="Z32" s="45"/>
      <c r="AA32" s="46"/>
      <c r="AB32" s="47"/>
      <c r="AC32" s="33">
        <v>16.367670635</v>
      </c>
      <c r="AE32" s="11">
        <v>41361</v>
      </c>
      <c r="AF32" s="9">
        <f>VLOOKUP(AE32,CurrentCoupon!$B$4:$C$1468,2,0)</f>
        <v>2.610199122</v>
      </c>
      <c r="AI32" s="4"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61">
        <f t="shared" si="0"/>
        <v>1</v>
      </c>
      <c r="BE32" s="4">
        <v>41333</v>
      </c>
      <c r="BF32" s="23">
        <v>-1.7108062596615532E-2</v>
      </c>
    </row>
    <row r="33" spans="6:58" x14ac:dyDescent="0.2">
      <c r="F33" s="4">
        <v>41394</v>
      </c>
      <c r="G33" s="39">
        <f>Price!G33/'Price D Coupon'!G$5</f>
        <v>0</v>
      </c>
      <c r="H33" s="39">
        <f>Price!H33/'Price D Coupon'!H$5</f>
        <v>5.8601114433333343</v>
      </c>
      <c r="I33" s="39">
        <f>Price!I33/'Price D Coupon'!I$5</f>
        <v>0</v>
      </c>
      <c r="J33" s="39">
        <f>Price!J33/'Price D Coupon'!J$5</f>
        <v>0</v>
      </c>
      <c r="K33" s="39">
        <f>Price!K33/'Price D Coupon'!K$5</f>
        <v>4.798206062857143</v>
      </c>
      <c r="L33" s="39">
        <f>Price!L33/'Price D Coupon'!L$5</f>
        <v>3.9187777771428571</v>
      </c>
      <c r="M33" s="39">
        <f>Price!M33/'Price D Coupon'!M$5</f>
        <v>0</v>
      </c>
      <c r="N33" s="39">
        <f>Price!N33/'Price D Coupon'!N$5</f>
        <v>0</v>
      </c>
      <c r="O33" s="39">
        <f>Price!O33/'Price D Coupon'!O$5</f>
        <v>3.7755277774999998</v>
      </c>
      <c r="P33" s="39">
        <f>Price!P33/'Price D Coupon'!P$5</f>
        <v>3.4667777774999999</v>
      </c>
      <c r="Q33" s="39">
        <f>Price!Q33/'Price D Coupon'!Q$5</f>
        <v>2.8145277774999999</v>
      </c>
      <c r="R33" s="39">
        <f>Price!R33/'Price D Coupon'!R$5</f>
        <v>3.4763333333333337</v>
      </c>
      <c r="S33" s="39">
        <f>Price!S33/'Price D Coupon'!S$5</f>
        <v>3.1152222222222226</v>
      </c>
      <c r="T33" s="39">
        <f>Price!T33/'Price D Coupon'!T$5</f>
        <v>2.6118888888888891</v>
      </c>
      <c r="U33" s="39">
        <f>Price!U33/'Price D Coupon'!U$5</f>
        <v>3.1903777780000002</v>
      </c>
      <c r="V33" s="39">
        <f>Price!V33/'Price D Coupon'!V$5</f>
        <v>2.9309777779999999</v>
      </c>
      <c r="W33" s="39">
        <f>Price!W33/'Price D Coupon'!W$5</f>
        <v>2.007323232727273</v>
      </c>
      <c r="X33" s="39">
        <f>Price!X33/'Price D Coupon'!X$5</f>
        <v>2.1101111116666664</v>
      </c>
      <c r="Y33" s="39">
        <f>Price!Y33/'Price D Coupon'!Y$5</f>
        <v>2.2233931630769233</v>
      </c>
      <c r="Z33" s="45"/>
      <c r="AA33" s="46"/>
      <c r="AB33" s="47"/>
      <c r="AC33" s="33">
        <v>14.178027777857142</v>
      </c>
      <c r="AE33" s="11">
        <v>41394</v>
      </c>
      <c r="AF33" s="9">
        <f>VLOOKUP(AE33,CurrentCoupon!$B$4:$C$1468,2,0)</f>
        <v>2.342103679</v>
      </c>
      <c r="AI33" s="4"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61">
        <f t="shared" si="0"/>
        <v>1</v>
      </c>
      <c r="BE33" s="4">
        <v>41361</v>
      </c>
      <c r="BF33" s="23">
        <v>4.7163211473699472E-2</v>
      </c>
    </row>
    <row r="34" spans="6:58" x14ac:dyDescent="0.2">
      <c r="F34" s="4">
        <v>41425</v>
      </c>
      <c r="G34" s="39">
        <f>Price!G34/'Price D Coupon'!G$5</f>
        <v>0</v>
      </c>
      <c r="H34" s="39">
        <f>Price!H34/'Price D Coupon'!H$5</f>
        <v>6.7823336666666671</v>
      </c>
      <c r="I34" s="39">
        <f>Price!I34/'Price D Coupon'!I$5</f>
        <v>0</v>
      </c>
      <c r="J34" s="39">
        <f>Price!J34/'Price D Coupon'!J$5</f>
        <v>0</v>
      </c>
      <c r="K34" s="39">
        <f>Price!K34/'Price D Coupon'!K$5</f>
        <v>5.8263333342857138</v>
      </c>
      <c r="L34" s="39">
        <f>Price!L34/'Price D Coupon'!L$5</f>
        <v>5.1966187628571427</v>
      </c>
      <c r="M34" s="39">
        <f>Price!M34/'Price D Coupon'!M$5</f>
        <v>0</v>
      </c>
      <c r="N34" s="39">
        <f>Price!N34/'Price D Coupon'!N$5</f>
        <v>0</v>
      </c>
      <c r="O34" s="39">
        <f>Price!O34/'Price D Coupon'!O$5</f>
        <v>4.7848333324999999</v>
      </c>
      <c r="P34" s="39">
        <f>Price!P34/'Price D Coupon'!P$5</f>
        <v>4.4255833325000005</v>
      </c>
      <c r="Q34" s="39">
        <f>Price!Q34/'Price D Coupon'!Q$5</f>
        <v>3.9605833325000002</v>
      </c>
      <c r="R34" s="39">
        <f>Price!R34/'Price D Coupon'!R$5</f>
        <v>4.1103331111111112</v>
      </c>
      <c r="S34" s="39">
        <f>Price!S34/'Price D Coupon'!S$5</f>
        <v>3.7041111111111107</v>
      </c>
      <c r="T34" s="39">
        <f>Price!T34/'Price D Coupon'!T$5</f>
        <v>3.3361111111111108</v>
      </c>
      <c r="U34" s="39">
        <f>Price!U34/'Price D Coupon'!U$5</f>
        <v>3.2333333340000001</v>
      </c>
      <c r="V34" s="39">
        <f>Price!V34/'Price D Coupon'!V$5</f>
        <v>2.964533334</v>
      </c>
      <c r="W34" s="39">
        <f>Price!W34/'Price D Coupon'!W$5</f>
        <v>2.1265151509090909</v>
      </c>
      <c r="X34" s="39">
        <f>Price!X34/'Price D Coupon'!X$5</f>
        <v>2.0245000000000002</v>
      </c>
      <c r="Y34" s="39">
        <f>Price!Y34/'Price D Coupon'!Y$5</f>
        <v>2.149717949230769</v>
      </c>
      <c r="Z34" s="45"/>
      <c r="AA34" s="46"/>
      <c r="AB34" s="47"/>
      <c r="AC34" s="33">
        <v>16.471011833571428</v>
      </c>
      <c r="AE34" s="11">
        <v>41425</v>
      </c>
      <c r="AF34" s="9">
        <f>VLOOKUP(AE34,CurrentCoupon!$B$4:$C$1468,2,0)</f>
        <v>2.989735767</v>
      </c>
      <c r="AI34" s="4"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61">
        <f t="shared" si="0"/>
        <v>0.99999999999999989</v>
      </c>
      <c r="BE34" s="4">
        <v>41394</v>
      </c>
      <c r="BF34" s="23">
        <v>-0.1375545320631599</v>
      </c>
    </row>
    <row r="35" spans="6:58" x14ac:dyDescent="0.2">
      <c r="F35" s="4">
        <v>41453</v>
      </c>
      <c r="G35" s="39">
        <f>Price!G35/'Price D Coupon'!G$5</f>
        <v>0</v>
      </c>
      <c r="H35" s="39">
        <f>Price!H35/'Price D Coupon'!H$5</f>
        <v>6.9434447766666674</v>
      </c>
      <c r="I35" s="39">
        <f>Price!I35/'Price D Coupon'!I$5</f>
        <v>0</v>
      </c>
      <c r="J35" s="39">
        <f>Price!J35/'Price D Coupon'!J$5</f>
        <v>0</v>
      </c>
      <c r="K35" s="39">
        <f>Price!K35/'Price D Coupon'!K$5</f>
        <v>6.0527777771428575</v>
      </c>
      <c r="L35" s="39">
        <f>Price!L35/'Price D Coupon'!L$5</f>
        <v>5.6107774914285713</v>
      </c>
      <c r="M35" s="39">
        <f>Price!M35/'Price D Coupon'!M$5</f>
        <v>0</v>
      </c>
      <c r="N35" s="39">
        <f>Price!N35/'Price D Coupon'!N$5</f>
        <v>0</v>
      </c>
      <c r="O35" s="39">
        <f>Price!O35/'Price D Coupon'!O$5</f>
        <v>5.2520280275000006</v>
      </c>
      <c r="P35" s="39">
        <f>Price!P35/'Price D Coupon'!P$5</f>
        <v>5.0057777775000005</v>
      </c>
      <c r="Q35" s="39">
        <f>Price!Q35/'Price D Coupon'!Q$5</f>
        <v>4.6542777774999999</v>
      </c>
      <c r="R35" s="39">
        <f>Price!R35/'Price D Coupon'!R$5</f>
        <v>4.6152222222222221</v>
      </c>
      <c r="S35" s="39">
        <f>Price!S35/'Price D Coupon'!S$5</f>
        <v>4.3756664444444446</v>
      </c>
      <c r="T35" s="39">
        <f>Price!T35/'Price D Coupon'!T$5</f>
        <v>4.052777777777778</v>
      </c>
      <c r="U35" s="39">
        <f>Price!U35/'Price D Coupon'!U$5</f>
        <v>3.7371779780000005</v>
      </c>
      <c r="V35" s="39">
        <f>Price!V35/'Price D Coupon'!V$5</f>
        <v>3.4777777780000001</v>
      </c>
      <c r="W35" s="39">
        <f>Price!W35/'Price D Coupon'!W$5</f>
        <v>2.413505050909091</v>
      </c>
      <c r="X35" s="39">
        <f>Price!X35/'Price D Coupon'!X$5</f>
        <v>2.2689444450000003</v>
      </c>
      <c r="Y35" s="39">
        <f>Price!Y35/'Price D Coupon'!Y$5</f>
        <v>2.2883162399999999</v>
      </c>
      <c r="Z35" s="45"/>
      <c r="AA35" s="46"/>
      <c r="AB35" s="47"/>
      <c r="AC35" s="33">
        <v>18.416742135</v>
      </c>
      <c r="AE35" s="11">
        <v>41453</v>
      </c>
      <c r="AF35" s="9">
        <f>VLOOKUP(AE35,CurrentCoupon!$B$4:$C$1468,2,0)</f>
        <v>3.31181825</v>
      </c>
      <c r="AI35" s="4"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61">
        <f t="shared" si="0"/>
        <v>0.99999999999999978</v>
      </c>
      <c r="BE35" s="4">
        <v>41425</v>
      </c>
      <c r="BF35" s="23">
        <v>0.20085392209736164</v>
      </c>
    </row>
    <row r="36" spans="6:58" x14ac:dyDescent="0.2">
      <c r="F36" s="4">
        <v>41486</v>
      </c>
      <c r="G36" s="39">
        <f>Price!G36/'Price D Coupon'!G$5</f>
        <v>0</v>
      </c>
      <c r="H36" s="39">
        <f>Price!H36/'Price D Coupon'!H$5</f>
        <v>7.2037774433333333</v>
      </c>
      <c r="I36" s="39">
        <f>Price!I36/'Price D Coupon'!I$5</f>
        <v>0</v>
      </c>
      <c r="J36" s="39">
        <f>Price!J36/'Price D Coupon'!J$5</f>
        <v>0</v>
      </c>
      <c r="K36" s="39">
        <f>Price!K36/'Price D Coupon'!K$5</f>
        <v>6.4859209199999999</v>
      </c>
      <c r="L36" s="39">
        <f>Price!L36/'Price D Coupon'!L$5</f>
        <v>6.1107774914285713</v>
      </c>
      <c r="M36" s="39">
        <f>Price!M36/'Price D Coupon'!M$5</f>
        <v>0</v>
      </c>
      <c r="N36" s="39">
        <f>Price!N36/'Price D Coupon'!N$5</f>
        <v>0</v>
      </c>
      <c r="O36" s="39">
        <f>Price!O36/'Price D Coupon'!O$5</f>
        <v>5.7130280275000001</v>
      </c>
      <c r="P36" s="39">
        <f>Price!P36/'Price D Coupon'!P$5</f>
        <v>5.4005280275000001</v>
      </c>
      <c r="Q36" s="39">
        <f>Price!Q36/'Price D Coupon'!Q$5</f>
        <v>5.0997777774999999</v>
      </c>
      <c r="R36" s="39">
        <f>Price!R36/'Price D Coupon'!R$5</f>
        <v>4.8478886666666661</v>
      </c>
      <c r="S36" s="39">
        <f>Price!S36/'Price D Coupon'!S$5</f>
        <v>4.5458888888888893</v>
      </c>
      <c r="T36" s="39">
        <f>Price!T36/'Price D Coupon'!T$5</f>
        <v>4.2230002222222218</v>
      </c>
      <c r="U36" s="39">
        <f>Price!U36/'Price D Coupon'!U$5</f>
        <v>3.9183775779999999</v>
      </c>
      <c r="V36" s="39">
        <f>Price!V36/'Price D Coupon'!V$5</f>
        <v>3.640377778</v>
      </c>
      <c r="W36" s="39">
        <f>Price!W36/'Price D Coupon'!W$5</f>
        <v>2.6862323236363639</v>
      </c>
      <c r="X36" s="39">
        <f>Price!X36/'Price D Coupon'!X$5</f>
        <v>2.4616111116666666</v>
      </c>
      <c r="Y36" s="39">
        <f>Price!Y36/'Price D Coupon'!Y$5</f>
        <v>2.4421623938461541</v>
      </c>
      <c r="Z36" s="45"/>
      <c r="AA36" s="46"/>
      <c r="AB36" s="47"/>
      <c r="AC36" s="33">
        <v>19.645742063571429</v>
      </c>
      <c r="AE36" s="11">
        <v>41486</v>
      </c>
      <c r="AF36" s="9">
        <f>VLOOKUP(AE36,CurrentCoupon!$B$4:$C$1468,2,0)</f>
        <v>3.403566251</v>
      </c>
      <c r="AI36" s="4"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61">
        <f t="shared" si="0"/>
        <v>1</v>
      </c>
      <c r="BE36" s="4">
        <v>41453</v>
      </c>
      <c r="BF36" s="23">
        <v>9.7209580368906881E-2</v>
      </c>
    </row>
    <row r="37" spans="6:58" x14ac:dyDescent="0.2">
      <c r="F37" s="4">
        <v>41516</v>
      </c>
      <c r="G37" s="39">
        <f>Price!G37/'Price D Coupon'!G$5</f>
        <v>0</v>
      </c>
      <c r="H37" s="39">
        <f>Price!H37/'Price D Coupon'!H$5</f>
        <v>7.256333333333334</v>
      </c>
      <c r="I37" s="39">
        <f>Price!I37/'Price D Coupon'!I$5</f>
        <v>0</v>
      </c>
      <c r="J37" s="39">
        <f>Price!J37/'Price D Coupon'!J$5</f>
        <v>0</v>
      </c>
      <c r="K37" s="39">
        <f>Price!K37/'Price D Coupon'!K$5</f>
        <v>6.5314761914285713</v>
      </c>
      <c r="L37" s="39">
        <f>Price!L37/'Price D Coupon'!L$5</f>
        <v>6.1566190485714287</v>
      </c>
      <c r="M37" s="39">
        <f>Price!M37/'Price D Coupon'!M$5</f>
        <v>0</v>
      </c>
      <c r="N37" s="39">
        <f>Price!N37/'Price D Coupon'!N$5</f>
        <v>0</v>
      </c>
      <c r="O37" s="39">
        <f>Price!O37/'Price D Coupon'!O$5</f>
        <v>5.8863333325000005</v>
      </c>
      <c r="P37" s="39">
        <f>Price!P37/'Price D Coupon'!P$5</f>
        <v>5.6168330825000004</v>
      </c>
      <c r="Q37" s="39">
        <f>Price!Q37/'Price D Coupon'!Q$5</f>
        <v>5.3200835825000006</v>
      </c>
      <c r="R37" s="39">
        <f>Price!R37/'Price D Coupon'!R$5</f>
        <v>5.1832222222222226</v>
      </c>
      <c r="S37" s="39">
        <f>Price!S37/'Price D Coupon'!S$5</f>
        <v>4.8465557777777777</v>
      </c>
      <c r="T37" s="39">
        <f>Price!T37/'Price D Coupon'!T$5</f>
        <v>4.5341113333333327</v>
      </c>
      <c r="U37" s="39">
        <f>Price!U37/'Price D Coupon'!U$5</f>
        <v>4.2989331340000003</v>
      </c>
      <c r="V37" s="39">
        <f>Price!V37/'Price D Coupon'!V$5</f>
        <v>3.961533534</v>
      </c>
      <c r="W37" s="39">
        <f>Price!W37/'Price D Coupon'!W$5</f>
        <v>2.9332424236363637</v>
      </c>
      <c r="X37" s="39">
        <f>Price!X37/'Price D Coupon'!X$5</f>
        <v>2.6676666666666669</v>
      </c>
      <c r="Y37" s="39">
        <f>Price!Y37/'Price D Coupon'!Y$5</f>
        <v>2.6040257953846155</v>
      </c>
      <c r="Z37" s="45"/>
      <c r="AA37" s="46"/>
      <c r="AB37" s="47"/>
      <c r="AC37" s="33">
        <v>20.669654976428575</v>
      </c>
      <c r="AE37" s="11">
        <v>41516</v>
      </c>
      <c r="AF37" s="9">
        <f>VLOOKUP(AE37,CurrentCoupon!$B$4:$C$1468,2,0)</f>
        <v>3.6795741620000002</v>
      </c>
      <c r="AI37" s="4"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61">
        <f t="shared" si="0"/>
        <v>1</v>
      </c>
      <c r="BE37" s="4">
        <v>41486</v>
      </c>
      <c r="BF37" s="23">
        <v>5.3115329310679596E-2</v>
      </c>
    </row>
    <row r="38" spans="6:58" x14ac:dyDescent="0.2">
      <c r="F38" s="4">
        <v>41547</v>
      </c>
      <c r="G38" s="39">
        <f>Price!G38/'Price D Coupon'!G$5</f>
        <v>0</v>
      </c>
      <c r="H38" s="39">
        <f>Price!H38/'Price D Coupon'!H$5</f>
        <v>7.3757777766666672</v>
      </c>
      <c r="I38" s="39">
        <f>Price!I38/'Price D Coupon'!I$5</f>
        <v>0</v>
      </c>
      <c r="J38" s="39">
        <f>Price!J38/'Price D Coupon'!J$5</f>
        <v>0</v>
      </c>
      <c r="K38" s="39">
        <f>Price!K38/'Price D Coupon'!K$5</f>
        <v>6.6733494914285725</v>
      </c>
      <c r="L38" s="39">
        <f>Price!L38/'Price D Coupon'!L$5</f>
        <v>6.2002066342857143</v>
      </c>
      <c r="M38" s="39">
        <f>Price!M38/'Price D Coupon'!M$5</f>
        <v>0</v>
      </c>
      <c r="N38" s="39">
        <f>Price!N38/'Price D Coupon'!N$5</f>
        <v>0</v>
      </c>
      <c r="O38" s="39">
        <f>Price!O38/'Price D Coupon'!O$5</f>
        <v>5.7872777774999999</v>
      </c>
      <c r="P38" s="39">
        <f>Price!P38/'Price D Coupon'!P$5</f>
        <v>5.5292777774999999</v>
      </c>
      <c r="Q38" s="39">
        <f>Price!Q38/'Price D Coupon'!Q$5</f>
        <v>5.1737775275000004</v>
      </c>
      <c r="R38" s="39">
        <f>Price!R38/'Price D Coupon'!R$5</f>
        <v>5.1361111111111111</v>
      </c>
      <c r="S38" s="39">
        <f>Price!S38/'Price D Coupon'!S$5</f>
        <v>4.7714442222222226</v>
      </c>
      <c r="T38" s="39">
        <f>Price!T38/'Price D Coupon'!T$5</f>
        <v>4.4174446666666665</v>
      </c>
      <c r="U38" s="39">
        <f>Price!U38/'Price D Coupon'!U$5</f>
        <v>4.2027777779999997</v>
      </c>
      <c r="V38" s="39">
        <f>Price!V38/'Price D Coupon'!V$5</f>
        <v>3.8403777779999997</v>
      </c>
      <c r="W38" s="39">
        <f>Price!W38/'Price D Coupon'!W$5</f>
        <v>2.8255050509090909</v>
      </c>
      <c r="X38" s="39">
        <f>Price!X38/'Price D Coupon'!X$5</f>
        <v>2.6387777783333335</v>
      </c>
      <c r="Y38" s="39">
        <f>Price!Y38/'Price D Coupon'!Y$5</f>
        <v>2.6681623938461536</v>
      </c>
      <c r="Z38" s="45"/>
      <c r="AA38" s="46"/>
      <c r="AB38" s="47"/>
      <c r="AC38" s="33">
        <v>20.467170706428568</v>
      </c>
      <c r="AE38" s="11">
        <v>41547</v>
      </c>
      <c r="AF38" s="9">
        <f>VLOOKUP(AE38,CurrentCoupon!$B$4:$C$1468,2,0)</f>
        <v>3.3078730300000001</v>
      </c>
      <c r="AI38" s="4"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61">
        <f t="shared" si="0"/>
        <v>1.0000000000000002</v>
      </c>
      <c r="BE38" s="4">
        <v>41516</v>
      </c>
      <c r="BF38" s="23">
        <v>3.3668875494796441E-2</v>
      </c>
    </row>
    <row r="39" spans="6:58" x14ac:dyDescent="0.2">
      <c r="F39" s="4">
        <v>41578</v>
      </c>
      <c r="G39" s="39">
        <f>Price!G39/'Price D Coupon'!G$5</f>
        <v>0</v>
      </c>
      <c r="H39" s="39">
        <f>Price!H39/'Price D Coupon'!H$5</f>
        <v>7.2715277766666668</v>
      </c>
      <c r="I39" s="39">
        <f>Price!I39/'Price D Coupon'!I$5</f>
        <v>0</v>
      </c>
      <c r="J39" s="39">
        <f>Price!J39/'Price D Coupon'!J$5</f>
        <v>0</v>
      </c>
      <c r="K39" s="39">
        <f>Price!K39/'Price D Coupon'!K$5</f>
        <v>6.5259920628571431</v>
      </c>
      <c r="L39" s="39">
        <f>Price!L39/'Price D Coupon'!L$5</f>
        <v>6.0438492057142863</v>
      </c>
      <c r="M39" s="39">
        <f>Price!M39/'Price D Coupon'!M$5</f>
        <v>0</v>
      </c>
      <c r="N39" s="39">
        <f>Price!N39/'Price D Coupon'!N$5</f>
        <v>0</v>
      </c>
      <c r="O39" s="39">
        <f>Price!O39/'Price D Coupon'!O$5</f>
        <v>5.6348105275</v>
      </c>
      <c r="P39" s="39">
        <f>Price!P39/'Price D Coupon'!P$5</f>
        <v>5.3848105275</v>
      </c>
      <c r="Q39" s="39">
        <f>Price!Q39/'Price D Coupon'!Q$5</f>
        <v>4.9082480275</v>
      </c>
      <c r="R39" s="39">
        <f>Price!R39/'Price D Coupon'!R$5</f>
        <v>5.0493068888888892</v>
      </c>
      <c r="S39" s="39">
        <f>Price!S39/'Price D Coupon'!S$5</f>
        <v>4.6256957777777776</v>
      </c>
      <c r="T39" s="39">
        <f>Price!T39/'Price D Coupon'!T$5</f>
        <v>4.1847222222222227</v>
      </c>
      <c r="U39" s="39">
        <f>Price!U39/'Price D Coupon'!U$5</f>
        <v>4.0559039779999999</v>
      </c>
      <c r="V39" s="39">
        <f>Price!V39/'Price D Coupon'!V$5</f>
        <v>3.6309039780000001</v>
      </c>
      <c r="W39" s="39">
        <f>Price!W39/'Price D Coupon'!W$5</f>
        <v>2.7686868690909092</v>
      </c>
      <c r="X39" s="39">
        <f>Price!X39/'Price D Coupon'!X$5</f>
        <v>2.6256944450000002</v>
      </c>
      <c r="Y39" s="39">
        <f>Price!Y39/'Price D Coupon'!Y$5</f>
        <v>2.7450854707692307</v>
      </c>
      <c r="Z39" s="45"/>
      <c r="AA39" s="46"/>
      <c r="AB39" s="47"/>
      <c r="AC39" s="33">
        <v>19.939164706428567</v>
      </c>
      <c r="AE39" s="11">
        <v>41578</v>
      </c>
      <c r="AF39" s="9">
        <f>VLOOKUP(AE39,CurrentCoupon!$B$4:$C$1468,2,0)</f>
        <v>3.2387584519999999</v>
      </c>
      <c r="AI39" s="4"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61">
        <f t="shared" si="0"/>
        <v>1</v>
      </c>
      <c r="BE39" s="4">
        <v>41547</v>
      </c>
      <c r="BF39" s="23">
        <v>-3.2124263956386616E-3</v>
      </c>
    </row>
    <row r="40" spans="6:58" x14ac:dyDescent="0.2">
      <c r="F40" s="4">
        <v>41607</v>
      </c>
      <c r="G40" s="39">
        <f>Price!G40/'Price D Coupon'!G$5</f>
        <v>0</v>
      </c>
      <c r="H40" s="39">
        <f>Price!H40/'Price D Coupon'!H$5</f>
        <v>7.5399325566666668</v>
      </c>
      <c r="I40" s="39">
        <f>Price!I40/'Price D Coupon'!I$5</f>
        <v>0</v>
      </c>
      <c r="J40" s="39">
        <f>Price!J40/'Price D Coupon'!J$5</f>
        <v>0</v>
      </c>
      <c r="K40" s="39">
        <f>Price!K40/'Price D Coupon'!K$5</f>
        <v>6.9439501257142862</v>
      </c>
      <c r="L40" s="39">
        <f>Price!L40/'Price D Coupon'!L$5</f>
        <v>6.5510929828571429</v>
      </c>
      <c r="M40" s="39">
        <f>Price!M40/'Price D Coupon'!M$5</f>
        <v>0</v>
      </c>
      <c r="N40" s="39">
        <f>Price!N40/'Price D Coupon'!N$5</f>
        <v>0</v>
      </c>
      <c r="O40" s="39">
        <f>Price!O40/'Price D Coupon'!O$5</f>
        <v>6.1375883049999995</v>
      </c>
      <c r="P40" s="39">
        <f>Price!P40/'Price D Coupon'!P$5</f>
        <v>5.8836805549999998</v>
      </c>
      <c r="Q40" s="39">
        <f>Price!Q40/'Price D Coupon'!Q$5</f>
        <v>5.4383680549999998</v>
      </c>
      <c r="R40" s="39">
        <f>Price!R40/'Price D Coupon'!R$5</f>
        <v>5.4826402222222219</v>
      </c>
      <c r="S40" s="39">
        <f>Price!S40/'Price D Coupon'!S$5</f>
        <v>5.0243068888888889</v>
      </c>
      <c r="T40" s="39">
        <f>Price!T40/'Price D Coupon'!T$5</f>
        <v>4.5972222222222223</v>
      </c>
      <c r="U40" s="39">
        <f>Price!U40/'Price D Coupon'!U$5</f>
        <v>4.3211817559999997</v>
      </c>
      <c r="V40" s="39">
        <f>Price!V40/'Price D Coupon'!V$5</f>
        <v>3.9211817560000002</v>
      </c>
      <c r="W40" s="39">
        <f>Price!W40/'Price D Coupon'!W$5</f>
        <v>3.0896464654545452</v>
      </c>
      <c r="X40" s="39">
        <f>Price!X40/'Price D Coupon'!X$5</f>
        <v>2.8967023883333329</v>
      </c>
      <c r="Y40" s="39">
        <f>Price!Y40/'Price D Coupon'!Y$5</f>
        <v>2.9666141707692306</v>
      </c>
      <c r="Z40" s="45"/>
      <c r="AA40" s="46"/>
      <c r="AB40" s="47"/>
      <c r="AC40" s="33">
        <v>21.609131269285712</v>
      </c>
      <c r="AE40" s="11">
        <v>41607</v>
      </c>
      <c r="AF40" s="9">
        <f>VLOOKUP(AE40,CurrentCoupon!$B$4:$C$1468,2,0)</f>
        <v>3.4820134459999998</v>
      </c>
      <c r="AI40" s="4"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61">
        <f t="shared" si="0"/>
        <v>1</v>
      </c>
      <c r="BE40" s="4">
        <v>41578</v>
      </c>
      <c r="BF40" s="23">
        <v>-2.3217150723686644E-2</v>
      </c>
    </row>
    <row r="41" spans="6:58" x14ac:dyDescent="0.2">
      <c r="F41" s="4">
        <v>41639</v>
      </c>
      <c r="G41" s="39">
        <f>Price!G41/'Price D Coupon'!G$5</f>
        <v>0</v>
      </c>
      <c r="H41" s="39">
        <f>Price!H41/'Price D Coupon'!H$5</f>
        <v>7.6284722233333335</v>
      </c>
      <c r="I41" s="39">
        <f>Price!I41/'Price D Coupon'!I$5</f>
        <v>0</v>
      </c>
      <c r="J41" s="39">
        <f>Price!J41/'Price D Coupon'!J$5</f>
        <v>0</v>
      </c>
      <c r="K41" s="39">
        <f>Price!K41/'Price D Coupon'!K$5</f>
        <v>7.1135929828571429</v>
      </c>
      <c r="L41" s="39">
        <f>Price!L41/'Price D Coupon'!L$5</f>
        <v>6.7162698400000007</v>
      </c>
      <c r="M41" s="39">
        <f>Price!M41/'Price D Coupon'!M$5</f>
        <v>0</v>
      </c>
      <c r="N41" s="39">
        <f>Price!N41/'Price D Coupon'!N$5</f>
        <v>0</v>
      </c>
      <c r="O41" s="39">
        <f>Price!O41/'Price D Coupon'!O$5</f>
        <v>6.4500883049999995</v>
      </c>
      <c r="P41" s="39">
        <f>Price!P41/'Price D Coupon'!P$5</f>
        <v>6.2352430549999998</v>
      </c>
      <c r="Q41" s="39">
        <f>Price!Q41/'Price D Coupon'!Q$5</f>
        <v>5.8563383049999995</v>
      </c>
      <c r="R41" s="39">
        <f>Price!R41/'Price D Coupon'!R$5</f>
        <v>5.8437513333333335</v>
      </c>
      <c r="S41" s="39">
        <f>Price!S41/'Price D Coupon'!S$5</f>
        <v>5.4965291111111112</v>
      </c>
      <c r="T41" s="39">
        <f>Price!T41/'Price D Coupon'!T$5</f>
        <v>5.229166666666667</v>
      </c>
      <c r="U41" s="39">
        <f>Price!U41/'Price D Coupon'!U$5</f>
        <v>4.7961817560000002</v>
      </c>
      <c r="V41" s="39">
        <f>Price!V41/'Price D Coupon'!V$5</f>
        <v>4.4274317559999998</v>
      </c>
      <c r="W41" s="39">
        <f>Price!W41/'Price D Coupon'!W$5</f>
        <v>3.4447611927272721</v>
      </c>
      <c r="X41" s="39">
        <f>Price!X41/'Price D Coupon'!X$5</f>
        <v>3.2326388883333332</v>
      </c>
      <c r="Y41" s="39">
        <f>Price!Y41/'Price D Coupon'!Y$5</f>
        <v>3.2382478630769231</v>
      </c>
      <c r="Z41" s="45"/>
      <c r="AA41" s="46"/>
      <c r="AB41" s="47"/>
      <c r="AC41" s="33">
        <v>23.251987554999999</v>
      </c>
      <c r="AE41" s="11">
        <v>41639</v>
      </c>
      <c r="AF41" s="9">
        <f>VLOOKUP(AE41,CurrentCoupon!$B$4:$C$1468,2,0)</f>
        <v>3.6032550849999998</v>
      </c>
      <c r="AI41" s="4"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61">
        <f t="shared" si="0"/>
        <v>0.99999999999999989</v>
      </c>
      <c r="BE41" s="4">
        <v>41607</v>
      </c>
      <c r="BF41" s="23">
        <v>7.9306297728596223E-2</v>
      </c>
    </row>
    <row r="42" spans="6:58" x14ac:dyDescent="0.2">
      <c r="F42" s="4">
        <v>41670</v>
      </c>
      <c r="G42" s="39">
        <f>Price!G42/'Price D Coupon'!G$5</f>
        <v>0</v>
      </c>
      <c r="H42" s="39">
        <f>Price!H42/'Price D Coupon'!H$5</f>
        <v>7.5062500000000005</v>
      </c>
      <c r="I42" s="39">
        <f>Price!I42/'Price D Coupon'!I$5</f>
        <v>0</v>
      </c>
      <c r="J42" s="39">
        <f>Price!J42/'Price D Coupon'!J$5</f>
        <v>0</v>
      </c>
      <c r="K42" s="39">
        <f>Price!K42/'Price D Coupon'!K$5</f>
        <v>6.9690476199999996</v>
      </c>
      <c r="L42" s="39">
        <f>Price!L42/'Price D Coupon'!L$5</f>
        <v>6.5002993342857138</v>
      </c>
      <c r="M42" s="39">
        <f>Price!M42/'Price D Coupon'!M$5</f>
        <v>0</v>
      </c>
      <c r="N42" s="39">
        <f>Price!N42/'Price D Coupon'!N$5</f>
        <v>0</v>
      </c>
      <c r="O42" s="39">
        <f>Price!O42/'Price D Coupon'!O$5</f>
        <v>6.1794285824999999</v>
      </c>
      <c r="P42" s="39">
        <f>Price!P42/'Price D Coupon'!P$5</f>
        <v>5.9372410824999999</v>
      </c>
      <c r="Q42" s="39">
        <f>Price!Q42/'Price D Coupon'!Q$5</f>
        <v>5.5934910824999999</v>
      </c>
      <c r="R42" s="39">
        <f>Price!R42/'Price D Coupon'!R$5</f>
        <v>5.5409735555555555</v>
      </c>
      <c r="S42" s="39">
        <f>Price!S42/'Price D Coupon'!S$5</f>
        <v>5.2145846666666662</v>
      </c>
      <c r="T42" s="39">
        <f>Price!T42/'Price D Coupon'!T$5</f>
        <v>4.8951402222222216</v>
      </c>
      <c r="U42" s="39">
        <f>Price!U42/'Price D Coupon'!U$5</f>
        <v>4.5645833339999999</v>
      </c>
      <c r="V42" s="39">
        <f>Price!V42/'Price D Coupon'!V$5</f>
        <v>4.2677095339999997</v>
      </c>
      <c r="W42" s="39">
        <f>Price!W42/'Price D Coupon'!W$5</f>
        <v>3.5128787872727272</v>
      </c>
      <c r="X42" s="39">
        <f>Price!X42/'Price D Coupon'!X$5</f>
        <v>3.2406250000000001</v>
      </c>
      <c r="Y42" s="39">
        <f>Price!Y42/'Price D Coupon'!Y$5</f>
        <v>3.2241996415384615</v>
      </c>
      <c r="Z42" s="45"/>
      <c r="AA42" s="46"/>
      <c r="AB42" s="47"/>
      <c r="AC42" s="33">
        <v>22.486685405000003</v>
      </c>
      <c r="AE42" s="11">
        <v>41670</v>
      </c>
      <c r="AF42" s="9">
        <f>VLOOKUP(AE42,CurrentCoupon!$B$4:$C$1468,2,0)</f>
        <v>3.3111616480000001</v>
      </c>
      <c r="AI42" s="4"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61">
        <f t="shared" si="0"/>
        <v>1.0000000000000002</v>
      </c>
      <c r="BE42" s="4">
        <v>41639</v>
      </c>
      <c r="BF42" s="23">
        <v>6.3918956307837907E-2</v>
      </c>
    </row>
    <row r="43" spans="6:58" x14ac:dyDescent="0.2">
      <c r="F43" s="4">
        <v>41698</v>
      </c>
      <c r="G43" s="39">
        <f>Price!G43/'Price D Coupon'!G$5</f>
        <v>0</v>
      </c>
      <c r="H43" s="39">
        <f>Price!H43/'Price D Coupon'!H$5</f>
        <v>7.5218769999999999</v>
      </c>
      <c r="I43" s="39">
        <f>Price!I43/'Price D Coupon'!I$5</f>
        <v>0</v>
      </c>
      <c r="J43" s="39">
        <f>Price!J43/'Price D Coupon'!J$5</f>
        <v>0</v>
      </c>
      <c r="K43" s="39">
        <f>Price!K43/'Price D Coupon'!K$5</f>
        <v>7.0226190485714284</v>
      </c>
      <c r="L43" s="39">
        <f>Price!L43/'Price D Coupon'!L$5</f>
        <v>6.5761904771428572</v>
      </c>
      <c r="M43" s="39">
        <f>Price!M43/'Price D Coupon'!M$5</f>
        <v>0</v>
      </c>
      <c r="N43" s="39">
        <f>Price!N43/'Price D Coupon'!N$5</f>
        <v>0</v>
      </c>
      <c r="O43" s="39">
        <f>Price!O43/'Price D Coupon'!O$5</f>
        <v>6.2809910824999999</v>
      </c>
      <c r="P43" s="39">
        <f>Price!P43/'Price D Coupon'!P$5</f>
        <v>6.0427083325000002</v>
      </c>
      <c r="Q43" s="39">
        <f>Price!Q43/'Price D Coupon'!Q$5</f>
        <v>5.7106785824999999</v>
      </c>
      <c r="R43" s="39">
        <f>Price!R43/'Price D Coupon'!R$5</f>
        <v>5.6104179999999992</v>
      </c>
      <c r="S43" s="39">
        <f>Price!S43/'Price D Coupon'!S$5</f>
        <v>5.3187513333333332</v>
      </c>
      <c r="T43" s="39">
        <f>Price!T43/'Price D Coupon'!T$5</f>
        <v>5.0236111111111112</v>
      </c>
      <c r="U43" s="39">
        <f>Price!U43/'Price D Coupon'!U$5</f>
        <v>4.8052095340000003</v>
      </c>
      <c r="V43" s="39">
        <f>Price!V43/'Price D Coupon'!V$5</f>
        <v>4.4989595339999999</v>
      </c>
      <c r="W43" s="39">
        <f>Price!W43/'Price D Coupon'!W$5</f>
        <v>3.6378787872727272</v>
      </c>
      <c r="X43" s="39">
        <f>Price!X43/'Price D Coupon'!X$5</f>
        <v>3.3734385000000002</v>
      </c>
      <c r="Y43" s="39">
        <f>Price!Y43/'Price D Coupon'!Y$5</f>
        <v>3.3467948723076923</v>
      </c>
      <c r="Z43" s="45"/>
      <c r="AA43" s="46"/>
      <c r="AB43" s="47"/>
      <c r="AC43" s="33">
        <v>23.04360461928572</v>
      </c>
      <c r="AE43" s="11">
        <v>41698</v>
      </c>
      <c r="AF43" s="9">
        <f>VLOOKUP(AE43,CurrentCoupon!$B$4:$C$1468,2,0)</f>
        <v>3.398313259</v>
      </c>
      <c r="AI43" s="4"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61">
        <f t="shared" si="0"/>
        <v>1</v>
      </c>
      <c r="BE43" s="4">
        <v>41670</v>
      </c>
      <c r="BF43" s="23">
        <v>-3.1266771542105026E-2</v>
      </c>
    </row>
    <row r="44" spans="6:58" x14ac:dyDescent="0.2">
      <c r="F44" s="4">
        <v>41729</v>
      </c>
      <c r="G44" s="39">
        <f>Price!G44/'Price D Coupon'!G$5</f>
        <v>7.7871547766666671</v>
      </c>
      <c r="H44" s="39">
        <f>Price!H44/'Price D Coupon'!H$5</f>
        <v>7.5631944433333338</v>
      </c>
      <c r="I44" s="39">
        <f>Price!I44/'Price D Coupon'!I$5</f>
        <v>0</v>
      </c>
      <c r="J44" s="39">
        <f>Price!J44/'Price D Coupon'!J$5</f>
        <v>7.3340294914285717</v>
      </c>
      <c r="K44" s="39">
        <f>Price!K44/'Price D Coupon'!K$5</f>
        <v>7.0929580628571429</v>
      </c>
      <c r="L44" s="39">
        <f>Price!L44/'Price D Coupon'!L$5</f>
        <v>6.6867063485714286</v>
      </c>
      <c r="M44" s="39">
        <f>Price!M44/'Price D Coupon'!M$5</f>
        <v>0</v>
      </c>
      <c r="N44" s="39">
        <f>Price!N44/'Price D Coupon'!N$5</f>
        <v>6.4172758050000001</v>
      </c>
      <c r="O44" s="39">
        <f>Price!O44/'Price D Coupon'!O$5</f>
        <v>6.3769980275</v>
      </c>
      <c r="P44" s="39">
        <f>Price!P44/'Price D Coupon'!P$5</f>
        <v>6.1543402775000002</v>
      </c>
      <c r="Q44" s="39">
        <f>Price!Q44/'Price D Coupon'!Q$5</f>
        <v>5.8652777775000002</v>
      </c>
      <c r="R44" s="39">
        <f>Price!R44/'Price D Coupon'!R$5</f>
        <v>5.743751333333333</v>
      </c>
      <c r="S44" s="39">
        <f>Price!S44/'Price D Coupon'!S$5</f>
        <v>5.5145846666666669</v>
      </c>
      <c r="T44" s="39">
        <f>Price!T44/'Price D Coupon'!T$5</f>
        <v>5.2125000000000004</v>
      </c>
      <c r="U44" s="39">
        <f>Price!U44/'Price D Coupon'!U$5</f>
        <v>4.9715277780000005</v>
      </c>
      <c r="V44" s="39">
        <f>Price!V44/'Price D Coupon'!V$5</f>
        <v>4.6871539779999996</v>
      </c>
      <c r="W44" s="39">
        <f>Price!W44/'Price D Coupon'!W$5</f>
        <v>3.7800505054545455</v>
      </c>
      <c r="X44" s="39">
        <f>Price!X44/'Price D Coupon'!X$5</f>
        <v>3.4616329449999999</v>
      </c>
      <c r="Y44" s="39">
        <f>Price!Y44/'Price D Coupon'!Y$5</f>
        <v>3.3532594707692307</v>
      </c>
      <c r="Z44" s="45"/>
      <c r="AA44" s="46"/>
      <c r="AB44" s="47"/>
      <c r="AC44" s="33">
        <v>23.821939803529414</v>
      </c>
      <c r="AE44" s="12">
        <v>41729</v>
      </c>
      <c r="AF44" s="9">
        <f>VLOOKUP(AE44,CurrentCoupon!$B$4:$C$1468,2,0)</f>
        <v>3.506626942</v>
      </c>
      <c r="AG44">
        <f t="shared" ref="AG44:AG54" si="1">IF(AF44&lt;$G$5,G44,(H44-G44)/0.5*(AF44-$G$5)+G44)</f>
        <v>7.5602260990547325</v>
      </c>
      <c r="AI44" s="4"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61">
        <f t="shared" si="0"/>
        <v>0.99999999999999989</v>
      </c>
      <c r="BE44" s="4">
        <v>41698</v>
      </c>
      <c r="BF44" s="24">
        <v>2.1801735188962241E-2</v>
      </c>
    </row>
    <row r="45" spans="6:58" x14ac:dyDescent="0.2">
      <c r="F45" s="4">
        <v>41759</v>
      </c>
      <c r="G45" s="39">
        <f>Price!G45/'Price D Coupon'!G$5</f>
        <v>7.7767381100000001</v>
      </c>
      <c r="H45" s="39">
        <f>Price!H45/'Price D Coupon'!H$5</f>
        <v>7.5684047766666671</v>
      </c>
      <c r="I45" s="39">
        <f>Price!I45/'Price D Coupon'!I$5</f>
        <v>0</v>
      </c>
      <c r="J45" s="39">
        <f>Price!J45/'Price D Coupon'!J$5</f>
        <v>7.2715294914285717</v>
      </c>
      <c r="K45" s="39">
        <f>Price!K45/'Price D Coupon'!K$5</f>
        <v>7.0081349200000007</v>
      </c>
      <c r="L45" s="39">
        <f>Price!L45/'Price D Coupon'!L$5</f>
        <v>6.5840294914285717</v>
      </c>
      <c r="M45" s="39">
        <f>Price!M45/'Price D Coupon'!M$5</f>
        <v>0</v>
      </c>
      <c r="N45" s="39">
        <f>Price!N45/'Price D Coupon'!N$5</f>
        <v>6.3625883050000001</v>
      </c>
      <c r="O45" s="39">
        <f>Price!O45/'Price D Coupon'!O$5</f>
        <v>6.2988730275</v>
      </c>
      <c r="P45" s="39">
        <f>Price!P45/'Price D Coupon'!P$5</f>
        <v>6.0684027775000002</v>
      </c>
      <c r="Q45" s="39">
        <f>Price!Q45/'Price D Coupon'!Q$5</f>
        <v>5.7832480275</v>
      </c>
      <c r="R45" s="39">
        <f>Price!R45/'Price D Coupon'!R$5</f>
        <v>5.615277777777778</v>
      </c>
      <c r="S45" s="39">
        <f>Price!S45/'Price D Coupon'!S$5</f>
        <v>5.3965291111111107</v>
      </c>
      <c r="T45" s="39">
        <f>Price!T45/'Price D Coupon'!T$5</f>
        <v>5.0805555555555557</v>
      </c>
      <c r="U45" s="39">
        <f>Price!U45/'Price D Coupon'!U$5</f>
        <v>4.8715277779999999</v>
      </c>
      <c r="V45" s="39">
        <f>Price!V45/'Price D Coupon'!V$5</f>
        <v>4.5871539779999999</v>
      </c>
      <c r="W45" s="39">
        <f>Price!W45/'Price D Coupon'!W$5</f>
        <v>3.7260743236363636</v>
      </c>
      <c r="X45" s="39">
        <f>Price!X45/'Price D Coupon'!X$5</f>
        <v>3.4538194450000002</v>
      </c>
      <c r="Y45" s="39">
        <f>Price!Y45/'Price D Coupon'!Y$5</f>
        <v>3.3989316246153845</v>
      </c>
      <c r="Z45" s="45"/>
      <c r="AA45" s="46"/>
      <c r="AB45" s="47"/>
      <c r="AC45" s="33">
        <v>23.537013332941179</v>
      </c>
      <c r="AE45" s="12">
        <v>41759</v>
      </c>
      <c r="AF45" s="9">
        <f>VLOOKUP(AE45,CurrentCoupon!$B$4:$C$1468,2,0)</f>
        <v>3.2758212279999999</v>
      </c>
      <c r="AG45">
        <f t="shared" si="1"/>
        <v>7.6618125983333334</v>
      </c>
      <c r="AI45" s="4"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61">
        <f t="shared" si="0"/>
        <v>1.0000000000000002</v>
      </c>
      <c r="BE45" s="4">
        <v>41729</v>
      </c>
      <c r="BF45" s="23">
        <v>2.1192306923944068E-2</v>
      </c>
    </row>
    <row r="46" spans="6:58" x14ac:dyDescent="0.2">
      <c r="F46" s="4">
        <v>41789</v>
      </c>
      <c r="G46" s="39">
        <f>Price!G46/'Price D Coupon'!G$5</f>
        <v>7.6753492233333338</v>
      </c>
      <c r="H46" s="39">
        <f>Price!H46/'Price D Coupon'!H$5</f>
        <v>7.4930555566666674</v>
      </c>
      <c r="I46" s="39">
        <f>Price!I46/'Price D Coupon'!I$5</f>
        <v>0</v>
      </c>
      <c r="J46" s="39">
        <f>Price!J46/'Price D Coupon'!J$5</f>
        <v>7.0734126971428575</v>
      </c>
      <c r="K46" s="39">
        <f>Price!K46/'Price D Coupon'!K$5</f>
        <v>6.8412698400000007</v>
      </c>
      <c r="L46" s="39">
        <f>Price!L46/'Price D Coupon'!L$5</f>
        <v>6.3859126971428575</v>
      </c>
      <c r="M46" s="39">
        <f>Price!M46/'Price D Coupon'!M$5</f>
        <v>0</v>
      </c>
      <c r="N46" s="39">
        <f>Price!N46/'Price D Coupon'!N$5</f>
        <v>6.1892361100000004</v>
      </c>
      <c r="O46" s="39">
        <f>Price!O46/'Price D Coupon'!O$5</f>
        <v>6.0789930549999998</v>
      </c>
      <c r="P46" s="39">
        <f>Price!P46/'Price D Coupon'!P$5</f>
        <v>5.8368055549999998</v>
      </c>
      <c r="Q46" s="39">
        <f>Price!Q46/'Price D Coupon'!Q$5</f>
        <v>5.5125883049999995</v>
      </c>
      <c r="R46" s="39">
        <f>Price!R46/'Price D Coupon'!R$5</f>
        <v>5.3402777777777777</v>
      </c>
      <c r="S46" s="39">
        <f>Price!S46/'Price D Coupon'!S$5</f>
        <v>5.083333333333333</v>
      </c>
      <c r="T46" s="39">
        <f>Price!T46/'Price D Coupon'!T$5</f>
        <v>4.7187513333333335</v>
      </c>
      <c r="U46" s="39">
        <f>Price!U46/'Price D Coupon'!U$5</f>
        <v>4.5461817560000002</v>
      </c>
      <c r="V46" s="39">
        <f>Price!V46/'Price D Coupon'!V$5</f>
        <v>4.2649317560000002</v>
      </c>
      <c r="W46" s="39">
        <f>Price!W46/'Price D Coupon'!W$5</f>
        <v>3.5612373745454544</v>
      </c>
      <c r="X46" s="39">
        <f>Price!X46/'Price D Coupon'!X$5</f>
        <v>3.4175357216666664</v>
      </c>
      <c r="Y46" s="39">
        <f>Price!Y46/'Price D Coupon'!Y$5</f>
        <v>3.4017094015384615</v>
      </c>
      <c r="Z46" s="45"/>
      <c r="AA46" s="46"/>
      <c r="AB46" s="47"/>
      <c r="AC46" s="33">
        <v>22.672183489411765</v>
      </c>
      <c r="AE46" s="12">
        <v>41789</v>
      </c>
      <c r="AF46" s="9">
        <f>VLOOKUP(AE46,CurrentCoupon!$B$4:$C$1468,2,0)</f>
        <v>3.2594551209999998</v>
      </c>
      <c r="AG46">
        <f t="shared" si="1"/>
        <v>7.5807551726482671</v>
      </c>
      <c r="AI46" s="4"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61">
        <f t="shared" si="0"/>
        <v>1</v>
      </c>
      <c r="BE46" s="4">
        <v>41759</v>
      </c>
      <c r="BF46" s="23">
        <v>-7.8448556933493809E-3</v>
      </c>
    </row>
    <row r="47" spans="6:58" x14ac:dyDescent="0.2">
      <c r="F47" s="4">
        <v>41820</v>
      </c>
      <c r="G47" s="39">
        <f>Price!G47/'Price D Coupon'!G$5</f>
        <v>7.7038214433333332</v>
      </c>
      <c r="H47" s="39">
        <f>Price!H47/'Price D Coupon'!H$5</f>
        <v>7.5059047766666671</v>
      </c>
      <c r="I47" s="39">
        <f>Price!I47/'Price D Coupon'!I$5</f>
        <v>0</v>
      </c>
      <c r="J47" s="39">
        <f>Price!J47/'Price D Coupon'!J$5</f>
        <v>7.1643866342857141</v>
      </c>
      <c r="K47" s="39">
        <f>Price!K47/'Price D Coupon'!K$5</f>
        <v>6.9367063485714286</v>
      </c>
      <c r="L47" s="39">
        <f>Price!L47/'Price D Coupon'!L$5</f>
        <v>6.4858152057142862</v>
      </c>
      <c r="M47" s="39">
        <f>Price!M47/'Price D Coupon'!M$5</f>
        <v>0</v>
      </c>
      <c r="N47" s="39">
        <f>Price!N47/'Price D Coupon'!N$5</f>
        <v>6.2688383050000001</v>
      </c>
      <c r="O47" s="39">
        <f>Price!O47/'Price D Coupon'!O$5</f>
        <v>6.2285605275</v>
      </c>
      <c r="P47" s="39">
        <f>Price!P47/'Price D Coupon'!P$5</f>
        <v>6.0566855275</v>
      </c>
      <c r="Q47" s="39">
        <f>Price!Q47/'Price D Coupon'!Q$5</f>
        <v>5.7012152775000002</v>
      </c>
      <c r="R47" s="39">
        <f>Price!R47/'Price D Coupon'!R$5</f>
        <v>5.5770846666666669</v>
      </c>
      <c r="S47" s="39">
        <f>Price!S47/'Price D Coupon'!S$5</f>
        <v>5.365277777777778</v>
      </c>
      <c r="T47" s="39">
        <f>Price!T47/'Price D Coupon'!T$5</f>
        <v>4.9798624444444446</v>
      </c>
      <c r="U47" s="39">
        <f>Price!U47/'Price D Coupon'!U$5</f>
        <v>4.8621539780000003</v>
      </c>
      <c r="V47" s="39">
        <f>Price!V47/'Price D Coupon'!V$5</f>
        <v>4.5715277780000001</v>
      </c>
      <c r="W47" s="39">
        <f>Price!W47/'Price D Coupon'!W$5</f>
        <v>3.6380050509090909</v>
      </c>
      <c r="X47" s="39">
        <f>Price!X47/'Price D Coupon'!X$5</f>
        <v>3.5397579449999999</v>
      </c>
      <c r="Y47" s="39">
        <f>Price!Y47/'Price D Coupon'!Y$5</f>
        <v>3.4854700861538461</v>
      </c>
      <c r="Z47" s="45"/>
      <c r="AA47" s="46"/>
      <c r="AB47" s="47"/>
      <c r="AC47" s="33">
        <v>23.378006332941172</v>
      </c>
      <c r="AE47" s="12">
        <v>41820</v>
      </c>
      <c r="AF47" s="9">
        <f>VLOOKUP(AE47,CurrentCoupon!$B$4:$C$1468,2,0)</f>
        <v>3.2580485750000001</v>
      </c>
      <c r="AG47">
        <f t="shared" si="1"/>
        <v>7.6016772157291665</v>
      </c>
      <c r="AI47" s="4"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61">
        <f t="shared" si="0"/>
        <v>1</v>
      </c>
      <c r="BE47" s="4">
        <v>41789</v>
      </c>
      <c r="BF47" s="23">
        <v>-2.9344377458100548E-2</v>
      </c>
    </row>
    <row r="48" spans="6:58" x14ac:dyDescent="0.2">
      <c r="F48" s="4">
        <v>41851</v>
      </c>
      <c r="G48" s="39">
        <f>Price!G48/'Price D Coupon'!G$5</f>
        <v>7.6829881100000001</v>
      </c>
      <c r="H48" s="39">
        <f>Price!H48/'Price D Coupon'!H$5</f>
        <v>7.4746547766666671</v>
      </c>
      <c r="I48" s="39">
        <f>Price!I48/'Price D Coupon'!I$5</f>
        <v>0</v>
      </c>
      <c r="J48" s="39">
        <f>Price!J48/'Price D Coupon'!J$5</f>
        <v>7.1197437771428573</v>
      </c>
      <c r="K48" s="39">
        <f>Price!K48/'Price D Coupon'!K$5</f>
        <v>6.9143866342857141</v>
      </c>
      <c r="L48" s="39">
        <f>Price!L48/'Price D Coupon'!L$5</f>
        <v>6.5215294914285717</v>
      </c>
      <c r="M48" s="39">
        <f>Price!M48/'Price D Coupon'!M$5</f>
        <v>0</v>
      </c>
      <c r="N48" s="39">
        <f>Price!N48/'Price D Coupon'!N$5</f>
        <v>6.2297758050000001</v>
      </c>
      <c r="O48" s="39">
        <f>Price!O48/'Price D Coupon'!O$5</f>
        <v>6.2519980275</v>
      </c>
      <c r="P48" s="39">
        <f>Price!P48/'Price D Coupon'!P$5</f>
        <v>6.0957480275</v>
      </c>
      <c r="Q48" s="39">
        <f>Price!Q48/'Price D Coupon'!Q$5</f>
        <v>5.7559027775000002</v>
      </c>
      <c r="R48" s="39">
        <f>Price!R48/'Price D Coupon'!R$5</f>
        <v>5.656944444444445</v>
      </c>
      <c r="S48" s="39">
        <f>Price!S48/'Price D Coupon'!S$5</f>
        <v>5.4729179999999999</v>
      </c>
      <c r="T48" s="39">
        <f>Price!T48/'Price D Coupon'!T$5</f>
        <v>5.1361111111111111</v>
      </c>
      <c r="U48" s="39">
        <f>Price!U48/'Price D Coupon'!U$5</f>
        <v>5.0184039780000003</v>
      </c>
      <c r="V48" s="39">
        <f>Price!V48/'Price D Coupon'!V$5</f>
        <v>4.7684039780000003</v>
      </c>
      <c r="W48" s="39">
        <f>Price!W48/'Price D Coupon'!W$5</f>
        <v>3.8283470509090907</v>
      </c>
      <c r="X48" s="39">
        <f>Price!X48/'Price D Coupon'!X$5</f>
        <v>3.6986111116666667</v>
      </c>
      <c r="Y48" s="39">
        <f>Price!Y48/'Price D Coupon'!Y$5</f>
        <v>3.6224902399999999</v>
      </c>
      <c r="Z48" s="45"/>
      <c r="AA48" s="46"/>
      <c r="AB48" s="47"/>
      <c r="AC48" s="33">
        <v>23.745654097647066</v>
      </c>
      <c r="AE48" s="12">
        <v>41851</v>
      </c>
      <c r="AF48" s="9">
        <f>VLOOKUP(AE48,CurrentCoupon!$B$4:$C$1468,2,0)</f>
        <v>3.2178217899999999</v>
      </c>
      <c r="AG48">
        <f t="shared" si="1"/>
        <v>7.5922290308333338</v>
      </c>
      <c r="AI48" s="4"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61">
        <f t="shared" si="0"/>
        <v>1</v>
      </c>
      <c r="BE48" s="4">
        <v>41820</v>
      </c>
      <c r="BF48" s="23">
        <v>2.7757434832433588E-2</v>
      </c>
    </row>
    <row r="49" spans="6:58" x14ac:dyDescent="0.2">
      <c r="F49" s="4">
        <v>41880</v>
      </c>
      <c r="G49" s="39">
        <f>Price!G49/'Price D Coupon'!G$5</f>
        <v>7.4774325566666668</v>
      </c>
      <c r="H49" s="39">
        <f>Price!H49/'Price D Coupon'!H$5</f>
        <v>7.2899325566666668</v>
      </c>
      <c r="I49" s="39">
        <f>Price!I49/'Price D Coupon'!I$5</f>
        <v>0</v>
      </c>
      <c r="J49" s="39">
        <f>Price!J49/'Price D Coupon'!J$5</f>
        <v>6.8234126971428575</v>
      </c>
      <c r="K49" s="39">
        <f>Price!K49/'Price D Coupon'!K$5</f>
        <v>6.6314501257142862</v>
      </c>
      <c r="L49" s="39">
        <f>Price!L49/'Price D Coupon'!L$5</f>
        <v>6.1894841257142863</v>
      </c>
      <c r="M49" s="39">
        <f>Price!M49/'Price D Coupon'!M$5</f>
        <v>0</v>
      </c>
      <c r="N49" s="39">
        <f>Price!N49/'Price D Coupon'!N$5</f>
        <v>5.9704861100000004</v>
      </c>
      <c r="O49" s="39">
        <f>Price!O49/'Price D Coupon'!O$5</f>
        <v>5.8563383049999995</v>
      </c>
      <c r="P49" s="39">
        <f>Price!P49/'Price D Coupon'!P$5</f>
        <v>5.7586805549999998</v>
      </c>
      <c r="Q49" s="39">
        <f>Price!Q49/'Price D Coupon'!Q$5</f>
        <v>5.3954008049999995</v>
      </c>
      <c r="R49" s="39">
        <f>Price!R49/'Price D Coupon'!R$5</f>
        <v>5.291666666666667</v>
      </c>
      <c r="S49" s="39">
        <f>Price!S49/'Price D Coupon'!S$5</f>
        <v>5.0763888888888893</v>
      </c>
      <c r="T49" s="39">
        <f>Price!T49/'Price D Coupon'!T$5</f>
        <v>4.7256957777777773</v>
      </c>
      <c r="U49" s="39">
        <f>Price!U49/'Price D Coupon'!U$5</f>
        <v>4.7055555560000002</v>
      </c>
      <c r="V49" s="39">
        <f>Price!V49/'Price D Coupon'!V$5</f>
        <v>4.4649317560000004</v>
      </c>
      <c r="W49" s="39">
        <f>Price!W49/'Price D Coupon'!W$5</f>
        <v>3.6862373745454544</v>
      </c>
      <c r="X49" s="39">
        <f>Price!X49/'Price D Coupon'!X$5</f>
        <v>3.5894107216666664</v>
      </c>
      <c r="Y49" s="39">
        <f>Price!Y49/'Price D Coupon'!Y$5</f>
        <v>3.5868064784615381</v>
      </c>
      <c r="Z49" s="45"/>
      <c r="AA49" s="46"/>
      <c r="AB49" s="47"/>
      <c r="AC49" s="33">
        <v>22.581191901176474</v>
      </c>
      <c r="AE49" s="12">
        <v>41880</v>
      </c>
      <c r="AF49" s="9">
        <f>VLOOKUP(AE49,CurrentCoupon!$B$4:$C$1468,2,0)</f>
        <v>3.1253552920000001</v>
      </c>
      <c r="AG49">
        <f t="shared" si="1"/>
        <v>7.430424322166667</v>
      </c>
      <c r="AI49" s="4"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61">
        <f t="shared" si="0"/>
        <v>1.0000000000000002</v>
      </c>
      <c r="BE49" s="4">
        <v>41851</v>
      </c>
      <c r="BF49" s="23">
        <v>7.4645314168620231E-3</v>
      </c>
    </row>
    <row r="50" spans="6:58" x14ac:dyDescent="0.2">
      <c r="F50" s="4">
        <v>41912</v>
      </c>
      <c r="G50" s="39">
        <f>Price!G50/'Price D Coupon'!G$5</f>
        <v>7.6100714433333332</v>
      </c>
      <c r="H50" s="39">
        <f>Price!H50/'Price D Coupon'!H$5</f>
        <v>7.4381944433333338</v>
      </c>
      <c r="I50" s="39">
        <f>Price!I50/'Price D Coupon'!I$5</f>
        <v>0</v>
      </c>
      <c r="J50" s="39">
        <f>Price!J50/'Price D Coupon'!J$5</f>
        <v>6.9947437771428573</v>
      </c>
      <c r="K50" s="39">
        <f>Price!K50/'Price D Coupon'!K$5</f>
        <v>6.8429580628571429</v>
      </c>
      <c r="L50" s="39">
        <f>Price!L50/'Price D Coupon'!L$5</f>
        <v>6.4277777771428575</v>
      </c>
      <c r="M50" s="39">
        <f>Price!M50/'Price D Coupon'!M$5</f>
        <v>0</v>
      </c>
      <c r="N50" s="39">
        <f>Price!N50/'Price D Coupon'!N$5</f>
        <v>6.1204008050000001</v>
      </c>
      <c r="O50" s="39">
        <f>Price!O50/'Price D Coupon'!O$5</f>
        <v>6.1035605275</v>
      </c>
      <c r="P50" s="39">
        <f>Price!P50/'Price D Coupon'!P$5</f>
        <v>5.9746527775000002</v>
      </c>
      <c r="Q50" s="39">
        <f>Price!Q50/'Price D Coupon'!Q$5</f>
        <v>5.6582480275</v>
      </c>
      <c r="R50" s="39">
        <f>Price!R50/'Price D Coupon'!R$5</f>
        <v>5.656944444444445</v>
      </c>
      <c r="S50" s="39">
        <f>Price!S50/'Price D Coupon'!S$5</f>
        <v>5.4451402222222223</v>
      </c>
      <c r="T50" s="39">
        <f>Price!T50/'Price D Coupon'!T$5</f>
        <v>5.1256957777777776</v>
      </c>
      <c r="U50" s="39">
        <f>Price!U50/'Price D Coupon'!U$5</f>
        <v>5.0715277780000001</v>
      </c>
      <c r="V50" s="39">
        <f>Price!V50/'Price D Coupon'!V$5</f>
        <v>4.8277777779999997</v>
      </c>
      <c r="W50" s="39">
        <f>Price!W50/'Price D Coupon'!W$5</f>
        <v>3.8567561418181815</v>
      </c>
      <c r="X50" s="39">
        <f>Price!X50/'Price D Coupon'!X$5</f>
        <v>3.7376746116666664</v>
      </c>
      <c r="Y50" s="39">
        <f>Price!Y50/'Price D Coupon'!Y$5</f>
        <v>3.7018162399999999</v>
      </c>
      <c r="Z50" s="45"/>
      <c r="AA50" s="46"/>
      <c r="AB50" s="47"/>
      <c r="AC50" s="33">
        <v>23.630763332941171</v>
      </c>
      <c r="AE50" s="12">
        <v>41912</v>
      </c>
      <c r="AF50" s="9">
        <f>VLOOKUP(AE50,CurrentCoupon!$B$4:$C$1468,2,0)</f>
        <v>3.1361016859999999</v>
      </c>
      <c r="AG50">
        <f t="shared" si="1"/>
        <v>7.5632859443640896</v>
      </c>
      <c r="AI50" s="4"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61">
        <f t="shared" si="0"/>
        <v>1</v>
      </c>
      <c r="BE50" s="4">
        <v>41880</v>
      </c>
      <c r="BF50" s="23">
        <v>-4.7313023299059113E-2</v>
      </c>
    </row>
    <row r="51" spans="6:58" x14ac:dyDescent="0.2">
      <c r="F51" s="4">
        <v>41943</v>
      </c>
      <c r="G51" s="39">
        <f>Price!G51/'Price D Coupon'!G$5</f>
        <v>7.4854166666666666</v>
      </c>
      <c r="H51" s="39">
        <f>Price!H51/'Price D Coupon'!H$5</f>
        <v>7.2979166666666666</v>
      </c>
      <c r="I51" s="39">
        <f>Price!I51/'Price D Coupon'!I$5</f>
        <v>0</v>
      </c>
      <c r="J51" s="39">
        <f>Price!J51/'Price D Coupon'!J$5</f>
        <v>6.7502993342857138</v>
      </c>
      <c r="K51" s="39">
        <f>Price!K51/'Price D Coupon'!K$5</f>
        <v>6.6074421914285706</v>
      </c>
      <c r="L51" s="39">
        <f>Price!L51/'Price D Coupon'!L$5</f>
        <v>6.1565476199999996</v>
      </c>
      <c r="M51" s="39">
        <f>Price!M51/'Price D Coupon'!M$5</f>
        <v>0</v>
      </c>
      <c r="N51" s="39">
        <f>Price!N51/'Price D Coupon'!N$5</f>
        <v>5.9065119174999996</v>
      </c>
      <c r="O51" s="39">
        <f>Price!O51/'Price D Coupon'!O$5</f>
        <v>5.8083333325000002</v>
      </c>
      <c r="P51" s="39">
        <f>Price!P51/'Price D Coupon'!P$5</f>
        <v>5.6872410824999999</v>
      </c>
      <c r="Q51" s="39">
        <f>Price!Q51/'Price D Coupon'!Q$5</f>
        <v>5.2888035824999999</v>
      </c>
      <c r="R51" s="39">
        <f>Price!R51/'Price D Coupon'!R$5</f>
        <v>5.3534735555555555</v>
      </c>
      <c r="S51" s="39">
        <f>Price!S51/'Price D Coupon'!S$5</f>
        <v>5.1243068888888885</v>
      </c>
      <c r="T51" s="39">
        <f>Price!T51/'Price D Coupon'!T$5</f>
        <v>4.7840291111111108</v>
      </c>
      <c r="U51" s="39">
        <f>Price!U51/'Price D Coupon'!U$5</f>
        <v>4.7114595340000003</v>
      </c>
      <c r="V51" s="39">
        <f>Price!V51/'Price D Coupon'!V$5</f>
        <v>4.4802095340000001</v>
      </c>
      <c r="W51" s="39">
        <f>Price!W51/'Price D Coupon'!W$5</f>
        <v>3.6577662418181816</v>
      </c>
      <c r="X51" s="39">
        <f>Price!X51/'Price D Coupon'!X$5</f>
        <v>3.5739583333333336</v>
      </c>
      <c r="Y51" s="39">
        <f>Price!Y51/'Price D Coupon'!Y$5</f>
        <v>3.6040073338461536</v>
      </c>
      <c r="Z51" s="45"/>
      <c r="AA51" s="46"/>
      <c r="AB51" s="47"/>
      <c r="AC51" s="33">
        <v>22.531621882941181</v>
      </c>
      <c r="AE51" s="12">
        <v>41943</v>
      </c>
      <c r="AF51" s="9">
        <f>VLOOKUP(AE51,CurrentCoupon!$B$4:$C$1468,2,0)</f>
        <v>3.0442418</v>
      </c>
      <c r="AG51">
        <f t="shared" si="1"/>
        <v>7.4688259916666668</v>
      </c>
      <c r="AI51" s="4"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61">
        <f t="shared" si="0"/>
        <v>1.0000000000000004</v>
      </c>
      <c r="BE51" s="4">
        <v>41912</v>
      </c>
      <c r="BF51" s="23">
        <v>4.3121934944080051E-2</v>
      </c>
    </row>
    <row r="52" spans="6:58" x14ac:dyDescent="0.2">
      <c r="F52" s="4">
        <v>41971</v>
      </c>
      <c r="G52" s="39">
        <f>Price!G52/'Price D Coupon'!G$5</f>
        <v>7.3392381100000001</v>
      </c>
      <c r="H52" s="39">
        <f>Price!H52/'Price D Coupon'!H$5</f>
        <v>7.1621547766666671</v>
      </c>
      <c r="I52" s="39">
        <f>Price!I52/'Price D Coupon'!I$5</f>
        <v>0</v>
      </c>
      <c r="J52" s="39">
        <f>Price!J52/'Price D Coupon'!J$5</f>
        <v>6.5215294914285717</v>
      </c>
      <c r="K52" s="39">
        <f>Price!K52/'Price D Coupon'!K$5</f>
        <v>6.3920634914285719</v>
      </c>
      <c r="L52" s="39">
        <f>Price!L52/'Price D Coupon'!L$5</f>
        <v>5.8965294914285717</v>
      </c>
      <c r="M52" s="39">
        <f>Price!M52/'Price D Coupon'!M$5</f>
        <v>0</v>
      </c>
      <c r="N52" s="39">
        <f>Price!N52/'Price D Coupon'!N$5</f>
        <v>5.7063383050000001</v>
      </c>
      <c r="O52" s="39">
        <f>Price!O52/'Price D Coupon'!O$5</f>
        <v>5.5371527775000002</v>
      </c>
      <c r="P52" s="39">
        <f>Price!P52/'Price D Coupon'!P$5</f>
        <v>5.4199652775000002</v>
      </c>
      <c r="Q52" s="39">
        <f>Price!Q52/'Price D Coupon'!Q$5</f>
        <v>4.9707480275</v>
      </c>
      <c r="R52" s="39">
        <f>Price!R52/'Price D Coupon'!R$5</f>
        <v>5.1326402222222223</v>
      </c>
      <c r="S52" s="39">
        <f>Price!S52/'Price D Coupon'!S$5</f>
        <v>4.9034735555555553</v>
      </c>
      <c r="T52" s="39">
        <f>Price!T52/'Price D Coupon'!T$5</f>
        <v>4.5284735555555553</v>
      </c>
      <c r="U52" s="39">
        <f>Price!U52/'Price D Coupon'!U$5</f>
        <v>4.5496539780000003</v>
      </c>
      <c r="V52" s="39">
        <f>Price!V52/'Price D Coupon'!V$5</f>
        <v>4.3090277779999999</v>
      </c>
      <c r="W52" s="39">
        <f>Price!W52/'Price D Coupon'!W$5</f>
        <v>3.5527777781818184</v>
      </c>
      <c r="X52" s="39">
        <f>Price!X52/'Price D Coupon'!X$5</f>
        <v>3.5032996116666664</v>
      </c>
      <c r="Y52" s="39">
        <f>Price!Y52/'Price D Coupon'!Y$5</f>
        <v>3.5599902399999999</v>
      </c>
      <c r="Z52" s="45"/>
      <c r="AA52" s="46"/>
      <c r="AB52" s="47"/>
      <c r="AC52" s="33">
        <v>21.730028744705884</v>
      </c>
      <c r="AE52" s="12">
        <v>41971</v>
      </c>
      <c r="AF52" s="9">
        <f>VLOOKUP(AE52,CurrentCoupon!$B$4:$C$1468,2,0)</f>
        <v>2.9250412909999999</v>
      </c>
      <c r="AG52">
        <f t="shared" si="1"/>
        <v>7.3392381100000001</v>
      </c>
      <c r="AI52" s="4"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61">
        <f t="shared" si="0"/>
        <v>1.0000000000000002</v>
      </c>
      <c r="BE52" s="4">
        <v>41943</v>
      </c>
      <c r="BF52" s="23">
        <v>-3.9672604856606668E-2</v>
      </c>
    </row>
    <row r="53" spans="6:58" x14ac:dyDescent="0.2">
      <c r="F53" s="4">
        <v>42004</v>
      </c>
      <c r="G53" s="39">
        <f>Price!G53/'Price D Coupon'!G$5</f>
        <v>7.0138888900000005</v>
      </c>
      <c r="H53" s="39">
        <f>Price!H53/'Price D Coupon'!H$5</f>
        <v>6.9513888900000005</v>
      </c>
      <c r="I53" s="39">
        <f>Price!I53/'Price D Coupon'!I$5</f>
        <v>0</v>
      </c>
      <c r="J53" s="39">
        <f>Price!J53/'Price D Coupon'!J$5</f>
        <v>6.1894841257142863</v>
      </c>
      <c r="K53" s="39">
        <f>Price!K53/'Price D Coupon'!K$5</f>
        <v>6.2921644114285717</v>
      </c>
      <c r="L53" s="39">
        <f>Price!L53/'Price D Coupon'!L$5</f>
        <v>5.7519841257142863</v>
      </c>
      <c r="M53" s="39">
        <f>Price!M53/'Price D Coupon'!M$5</f>
        <v>0</v>
      </c>
      <c r="N53" s="39">
        <f>Price!N53/'Price D Coupon'!N$5</f>
        <v>5.4157986100000004</v>
      </c>
      <c r="O53" s="39">
        <f>Price!O53/'Price D Coupon'!O$5</f>
        <v>5.4383680549999998</v>
      </c>
      <c r="P53" s="39">
        <f>Price!P53/'Price D Coupon'!P$5</f>
        <v>5.3172758049999995</v>
      </c>
      <c r="Q53" s="39">
        <f>Price!Q53/'Price D Coupon'!Q$5</f>
        <v>4.8563383049999995</v>
      </c>
      <c r="R53" s="39">
        <f>Price!R53/'Price D Coupon'!R$5</f>
        <v>5.065973555555555</v>
      </c>
      <c r="S53" s="39">
        <f>Price!S53/'Price D Coupon'!S$5</f>
        <v>4.854166666666667</v>
      </c>
      <c r="T53" s="39">
        <f>Price!T53/'Price D Coupon'!T$5</f>
        <v>4.4687513333333335</v>
      </c>
      <c r="U53" s="39">
        <f>Price!U53/'Price D Coupon'!U$5</f>
        <v>4.5086817559999997</v>
      </c>
      <c r="V53" s="39">
        <f>Price!V53/'Price D Coupon'!V$5</f>
        <v>4.2586817559999997</v>
      </c>
      <c r="W53" s="39">
        <f>Price!W53/'Price D Coupon'!W$5</f>
        <v>3.5385101018181815</v>
      </c>
      <c r="X53" s="39">
        <f>Price!X53/'Price D Coupon'!X$5</f>
        <v>3.4956607216666664</v>
      </c>
      <c r="Y53" s="39">
        <f>Price!Y53/'Price D Coupon'!Y$5</f>
        <v>3.5603632476923077</v>
      </c>
      <c r="Z53" s="45"/>
      <c r="AA53" s="46"/>
      <c r="AB53" s="47"/>
      <c r="AC53" s="33">
        <v>21.293507724705883</v>
      </c>
      <c r="AE53" s="12">
        <v>42004</v>
      </c>
      <c r="AF53" s="9">
        <f>VLOOKUP(AE53,CurrentCoupon!$B$4:$C$1468,2,0)</f>
        <v>2.696270127</v>
      </c>
      <c r="AG53">
        <f t="shared" si="1"/>
        <v>7.0138888900000005</v>
      </c>
      <c r="AI53" s="4"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61">
        <f t="shared" si="0"/>
        <v>0.99999999999999978</v>
      </c>
      <c r="BE53" s="4">
        <v>41971</v>
      </c>
      <c r="BF53" s="23">
        <v>-3.3127566680121533E-2</v>
      </c>
    </row>
    <row r="54" spans="6:58" x14ac:dyDescent="0.2">
      <c r="F54" s="4">
        <v>42034</v>
      </c>
      <c r="G54" s="39">
        <f>Price!G54/'Price D Coupon'!G$5</f>
        <v>5.8940992233333338</v>
      </c>
      <c r="H54" s="39">
        <f>Price!H54/'Price D Coupon'!H$5</f>
        <v>5.8524325566666668</v>
      </c>
      <c r="I54" s="39">
        <f>Price!I54/'Price D Coupon'!I$5</f>
        <v>0</v>
      </c>
      <c r="J54" s="39">
        <f>Price!J54/'Price D Coupon'!J$5</f>
        <v>4.8948412685714286</v>
      </c>
      <c r="K54" s="39">
        <f>Price!K54/'Price D Coupon'!K$5</f>
        <v>5.0734126971428575</v>
      </c>
      <c r="L54" s="39">
        <f>Price!L54/'Price D Coupon'!L$5</f>
        <v>4.5466269828571431</v>
      </c>
      <c r="M54" s="39">
        <f>Price!M54/'Price D Coupon'!M$5</f>
        <v>0</v>
      </c>
      <c r="N54" s="39">
        <f>Price!N54/'Price D Coupon'!N$5</f>
        <v>4.2829861100000004</v>
      </c>
      <c r="O54" s="39">
        <f>Price!O54/'Price D Coupon'!O$5</f>
        <v>4.2899305549999998</v>
      </c>
      <c r="P54" s="39">
        <f>Price!P54/'Price D Coupon'!P$5</f>
        <v>4.2000883049999995</v>
      </c>
      <c r="Q54" s="39">
        <f>Price!Q54/'Price D Coupon'!Q$5</f>
        <v>3.7821180550000002</v>
      </c>
      <c r="R54" s="39">
        <f>Price!R54/'Price D Coupon'!R$5</f>
        <v>4.128473555555555</v>
      </c>
      <c r="S54" s="39">
        <f>Price!S54/'Price D Coupon'!S$5</f>
        <v>3.9027777777777777</v>
      </c>
      <c r="T54" s="39">
        <f>Price!T54/'Price D Coupon'!T$5</f>
        <v>3.5694444444444446</v>
      </c>
      <c r="U54" s="39">
        <f>Price!U54/'Price D Coupon'!U$5</f>
        <v>3.7618055560000001</v>
      </c>
      <c r="V54" s="39">
        <f>Price!V54/'Price D Coupon'!V$5</f>
        <v>3.5461817560000002</v>
      </c>
      <c r="W54" s="39">
        <f>Price!W54/'Price D Coupon'!W$5</f>
        <v>3.3083975563636359</v>
      </c>
      <c r="X54" s="39">
        <f>Price!X54/'Price D Coupon'!X$5</f>
        <v>3.3237857216666664</v>
      </c>
      <c r="Y54" s="39">
        <f>Price!Y54/'Price D Coupon'!Y$5</f>
        <v>3.459401709230769</v>
      </c>
      <c r="Z54" s="45"/>
      <c r="AA54" s="46"/>
      <c r="AB54" s="47"/>
      <c r="AC54" s="33">
        <v>17.742955901176472</v>
      </c>
      <c r="AE54" s="12">
        <v>42034</v>
      </c>
      <c r="AF54" s="9">
        <f>VLOOKUP(AE54,CurrentCoupon!$B$4:$C$1468,2,0)</f>
        <v>2.5386092040000001</v>
      </c>
      <c r="AG54">
        <f t="shared" si="1"/>
        <v>5.8940992233333338</v>
      </c>
      <c r="AI54" s="4"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61">
        <f t="shared" si="0"/>
        <v>1</v>
      </c>
      <c r="BE54" s="4">
        <v>42004</v>
      </c>
      <c r="BF54" s="23">
        <v>-2.6017101954365164E-2</v>
      </c>
    </row>
    <row r="55" spans="6:58" x14ac:dyDescent="0.2">
      <c r="F55" s="4">
        <v>42062</v>
      </c>
      <c r="G55" s="39">
        <f>Price!G55/'Price D Coupon'!G$5</f>
        <v>6.5815992233333338</v>
      </c>
      <c r="H55" s="39">
        <f>Price!H55/'Price D Coupon'!H$5</f>
        <v>6.5243055566666674</v>
      </c>
      <c r="I55" s="39">
        <f>Price!I55/'Price D Coupon'!I$5</f>
        <v>0</v>
      </c>
      <c r="J55" s="39">
        <f>Price!J55/'Price D Coupon'!J$5</f>
        <v>5.7296644114285717</v>
      </c>
      <c r="K55" s="39">
        <f>Price!K55/'Price D Coupon'!K$5</f>
        <v>5.8323412685714286</v>
      </c>
      <c r="L55" s="39">
        <f>Price!L55/'Price D Coupon'!L$5</f>
        <v>5.3635929828571429</v>
      </c>
      <c r="M55" s="39">
        <f>Price!M55/'Price D Coupon'!M$5</f>
        <v>0</v>
      </c>
      <c r="N55" s="39">
        <f>Price!N55/'Price D Coupon'!N$5</f>
        <v>5.0134563600000002</v>
      </c>
      <c r="O55" s="39">
        <f>Price!O55/'Price D Coupon'!O$5</f>
        <v>5.0907133049999995</v>
      </c>
      <c r="P55" s="39">
        <f>Price!P55/'Price D Coupon'!P$5</f>
        <v>4.9735258049999995</v>
      </c>
      <c r="Q55" s="39">
        <f>Price!Q55/'Price D Coupon'!Q$5</f>
        <v>4.5946180549999998</v>
      </c>
      <c r="R55" s="39">
        <f>Price!R55/'Price D Coupon'!R$5</f>
        <v>4.791666666666667</v>
      </c>
      <c r="S55" s="39">
        <f>Price!S55/'Price D Coupon'!S$5</f>
        <v>4.6006957777777773</v>
      </c>
      <c r="T55" s="39">
        <f>Price!T55/'Price D Coupon'!T$5</f>
        <v>4.2743068888888889</v>
      </c>
      <c r="U55" s="39">
        <f>Price!U55/'Price D Coupon'!U$5</f>
        <v>4.3399317560000004</v>
      </c>
      <c r="V55" s="39">
        <f>Price!V55/'Price D Coupon'!V$5</f>
        <v>4.1336817559999997</v>
      </c>
      <c r="W55" s="39">
        <f>Price!W55/'Price D Coupon'!W$5</f>
        <v>3.7714646472727269</v>
      </c>
      <c r="X55" s="39">
        <f>Price!X55/'Price D Coupon'!X$5</f>
        <v>3.7508690549999995</v>
      </c>
      <c r="Y55" s="39">
        <f>Price!Y55/'Price D Coupon'!Y$5</f>
        <v>3.7935372476923073</v>
      </c>
      <c r="Z55" s="45"/>
      <c r="AA55" s="46"/>
      <c r="AB55" s="47"/>
      <c r="AC55" s="33">
        <v>20.530641489411764</v>
      </c>
      <c r="AE55" s="12">
        <v>42062</v>
      </c>
      <c r="AF55" s="9">
        <f>VLOOKUP(AE55,CurrentCoupon!$B$4:$C$1468,2,0)</f>
        <v>2.83419994</v>
      </c>
      <c r="AG55">
        <f>IF(AF55&lt;$G$5,G55,(H55-G55)/0.5*(AF55-$G$5)+G55)</f>
        <v>6.5815992233333338</v>
      </c>
      <c r="AI55" s="5"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20">
        <v>5.4880753604206883E-3</v>
      </c>
      <c r="BB55" s="21">
        <v>9.0123685564205257E-3</v>
      </c>
      <c r="BC55" s="61">
        <f t="shared" si="0"/>
        <v>0.99999999999999989</v>
      </c>
      <c r="BE55" s="4">
        <v>42034</v>
      </c>
      <c r="BF55" s="23">
        <v>-0.18730149031261209</v>
      </c>
    </row>
    <row r="56" spans="6:58" x14ac:dyDescent="0.2">
      <c r="F56" s="5">
        <v>42094</v>
      </c>
      <c r="G56" s="39">
        <f>Price!G56/'Price D Coupon'!G$5</f>
        <v>6.4225714433333332</v>
      </c>
      <c r="H56" s="39">
        <f>Price!H56/'Price D Coupon'!H$5</f>
        <v>6.3756944433333338</v>
      </c>
      <c r="I56" s="39">
        <f>Price!I56/'Price D Coupon'!I$5</f>
        <v>4.7536723485714285</v>
      </c>
      <c r="J56" s="39">
        <f>Price!J56/'Price D Coupon'!J$5</f>
        <v>5.5483152057142862</v>
      </c>
      <c r="K56" s="39">
        <f>Price!K56/'Price D Coupon'!K$5</f>
        <v>5.6777777771428575</v>
      </c>
      <c r="L56" s="39">
        <f>Price!L56/'Price D Coupon'!L$5</f>
        <v>5.2313492057142863</v>
      </c>
      <c r="M56" s="39">
        <f>Price!M56/'Price D Coupon'!M$5</f>
        <v>4.4824652775000002</v>
      </c>
      <c r="N56" s="39">
        <f>Price!N56/'Price D Coupon'!N$5</f>
        <v>4.8547758050000001</v>
      </c>
      <c r="O56" s="39">
        <f>Price!O56/'Price D Coupon'!O$5</f>
        <v>4.9277777775000002</v>
      </c>
      <c r="P56" s="39">
        <f>Price!P56/'Price D Coupon'!P$5</f>
        <v>4.8066855275</v>
      </c>
      <c r="Q56" s="39">
        <f>Price!Q56/'Price D Coupon'!Q$5</f>
        <v>4.4316855275</v>
      </c>
      <c r="R56" s="39">
        <f>Price!R56/'Price D Coupon'!R$5</f>
        <v>4.6951402222222223</v>
      </c>
      <c r="S56" s="39">
        <f>Price!S56/'Price D Coupon'!S$5</f>
        <v>4.4659735555555553</v>
      </c>
      <c r="T56" s="39">
        <f>Price!T56/'Price D Coupon'!T$5</f>
        <v>4.1500000000000004</v>
      </c>
      <c r="U56" s="39">
        <f>Price!U56/'Price D Coupon'!U$5</f>
        <v>4.2434039779999999</v>
      </c>
      <c r="V56" s="39">
        <f>Price!V56/'Price D Coupon'!V$5</f>
        <v>4.0527777780000003</v>
      </c>
      <c r="W56" s="39">
        <f>Price!W56/'Price D Coupon'!W$5</f>
        <v>3.9306197781818182</v>
      </c>
      <c r="X56" s="39">
        <f>Price!X56/'Price D Coupon'!X$5</f>
        <v>3.9772579449999999</v>
      </c>
      <c r="Y56" s="39">
        <f>Price!Y56/'Price D Coupon'!Y$5</f>
        <v>3.9854700861538461</v>
      </c>
      <c r="Z56" s="45"/>
      <c r="AA56" s="46"/>
      <c r="AB56" s="47"/>
      <c r="AC56" s="33">
        <v>19.969246894210524</v>
      </c>
      <c r="AE56" s="5">
        <v>42094</v>
      </c>
      <c r="AF56" s="9">
        <f>VLOOKUP(AE56,CurrentCoupon!$B$4:$C$1468,2,0)</f>
        <v>2.6512826679999999</v>
      </c>
      <c r="AG56">
        <f t="shared" ref="AG56:AG57" si="2">IF(AF56&lt;$G$5,G56,(H56-G56)/0.5*(AF56-$G$5)+G56)</f>
        <v>6.4225714433333332</v>
      </c>
      <c r="AI56" s="5"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20">
        <v>5.4262526405433192E-3</v>
      </c>
      <c r="BB56" s="21">
        <v>8.9235167630754685E-3</v>
      </c>
      <c r="BC56" s="61">
        <f t="shared" si="0"/>
        <v>1</v>
      </c>
      <c r="BE56" s="5">
        <v>42062</v>
      </c>
      <c r="BF56" s="25">
        <v>0.16728926046005554</v>
      </c>
    </row>
    <row r="57" spans="6:58" x14ac:dyDescent="0.2">
      <c r="F57" s="5">
        <v>42124</v>
      </c>
      <c r="G57" s="39">
        <f>Price!G57/'Price D Coupon'!G$5</f>
        <v>6.7090277766666668</v>
      </c>
      <c r="H57" s="39">
        <f>Price!H57/'Price D Coupon'!H$5</f>
        <v>6.6413214433333332</v>
      </c>
      <c r="I57" s="39">
        <f>Price!I57/'Price D Coupon'!I$5</f>
        <v>5.3027777771428575</v>
      </c>
      <c r="J57" s="39">
        <f>Price!J57/'Price D Coupon'!J$5</f>
        <v>5.9009920628571431</v>
      </c>
      <c r="K57" s="39">
        <f>Price!K57/'Price D Coupon'!K$5</f>
        <v>5.9947437771428573</v>
      </c>
      <c r="L57" s="39">
        <f>Price!L57/'Price D Coupon'!L$5</f>
        <v>5.5527777771428575</v>
      </c>
      <c r="M57" s="39">
        <f>Price!M57/'Price D Coupon'!M$5</f>
        <v>4.8613730275</v>
      </c>
      <c r="N57" s="39">
        <f>Price!N57/'Price D Coupon'!N$5</f>
        <v>5.1633680550000003</v>
      </c>
      <c r="O57" s="39">
        <f>Price!O57/'Price D Coupon'!O$5</f>
        <v>5.2090277775000002</v>
      </c>
      <c r="P57" s="39">
        <f>Price!P57/'Price D Coupon'!P$5</f>
        <v>5.0801230275</v>
      </c>
      <c r="Q57" s="39">
        <f>Price!Q57/'Price D Coupon'!Q$5</f>
        <v>4.7051230275</v>
      </c>
      <c r="R57" s="39">
        <f>Price!R57/'Price D Coupon'!R$5</f>
        <v>4.9138888888888888</v>
      </c>
      <c r="S57" s="39">
        <f>Price!S57/'Price D Coupon'!S$5</f>
        <v>4.6847222222222227</v>
      </c>
      <c r="T57" s="39">
        <f>Price!T57/'Price D Coupon'!T$5</f>
        <v>4.3826402222222223</v>
      </c>
      <c r="U57" s="39">
        <f>Price!U57/'Price D Coupon'!U$5</f>
        <v>4.4465277780000001</v>
      </c>
      <c r="V57" s="39">
        <f>Price!V57/'Price D Coupon'!V$5</f>
        <v>4.2652777779999997</v>
      </c>
      <c r="W57" s="39">
        <f>Price!W57/'Price D Coupon'!W$5</f>
        <v>4.1209595963636367</v>
      </c>
      <c r="X57" s="39">
        <f>Price!X57/'Price D Coupon'!X$5</f>
        <v>4.1439246116666668</v>
      </c>
      <c r="Y57" s="39">
        <f>Price!Y57/'Price D Coupon'!Y$5</f>
        <v>4.1176825476923078</v>
      </c>
      <c r="Z57" s="56"/>
      <c r="AA57" s="57"/>
      <c r="AB57" s="58"/>
      <c r="AC57" s="33">
        <v>21.080265683684207</v>
      </c>
      <c r="AE57" s="5">
        <v>42124</v>
      </c>
      <c r="AF57" s="9">
        <f>VLOOKUP(AE57,CurrentCoupon!$B$4:$C$1468,2,0)</f>
        <v>2.8416760060000001</v>
      </c>
      <c r="AG57">
        <f t="shared" si="2"/>
        <v>6.7090277766666668</v>
      </c>
      <c r="AI57" s="5"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20">
        <v>4.4720981386912016E-3</v>
      </c>
      <c r="BB57" s="21">
        <v>7.3617783709241146E-3</v>
      </c>
      <c r="BC57" s="61">
        <f t="shared" si="0"/>
        <v>1.0000000000000002</v>
      </c>
    </row>
    <row r="58" spans="6:58" x14ac:dyDescent="0.2">
      <c r="F58" s="35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E58" s="35"/>
      <c r="AF58" s="37"/>
    </row>
    <row r="59" spans="6:58" x14ac:dyDescent="0.2"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E59" s="35"/>
      <c r="AF59" s="37"/>
    </row>
    <row r="61" spans="6:58" ht="15" x14ac:dyDescent="0.25">
      <c r="AI61" s="29" t="s">
        <v>32</v>
      </c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59"/>
    </row>
    <row r="62" spans="6:58" ht="39" x14ac:dyDescent="0.25">
      <c r="AI62" s="13" t="s">
        <v>0</v>
      </c>
      <c r="AJ62" s="13" t="s">
        <v>1</v>
      </c>
      <c r="AK62" s="14" t="s">
        <v>4</v>
      </c>
      <c r="AL62" s="14" t="s">
        <v>30</v>
      </c>
      <c r="AM62" s="14" t="s">
        <v>2</v>
      </c>
      <c r="AN62" s="14" t="s">
        <v>5</v>
      </c>
      <c r="AO62" s="14" t="s">
        <v>8</v>
      </c>
      <c r="AP62" s="14" t="s">
        <v>31</v>
      </c>
      <c r="AQ62" s="14" t="s">
        <v>3</v>
      </c>
      <c r="AR62" s="14" t="s">
        <v>6</v>
      </c>
      <c r="AS62" s="14" t="s">
        <v>9</v>
      </c>
      <c r="AT62" s="14" t="s">
        <v>12</v>
      </c>
      <c r="AU62" s="14" t="s">
        <v>7</v>
      </c>
      <c r="AV62" s="14" t="s">
        <v>10</v>
      </c>
      <c r="AW62" s="14" t="s">
        <v>13</v>
      </c>
      <c r="AX62" s="14" t="s">
        <v>11</v>
      </c>
      <c r="AY62" s="14" t="s">
        <v>14</v>
      </c>
      <c r="AZ62" s="14" t="s">
        <v>15</v>
      </c>
      <c r="BA62" s="13" t="s">
        <v>16</v>
      </c>
      <c r="BB62" s="14" t="s">
        <v>17</v>
      </c>
      <c r="BC62" s="60" t="s">
        <v>24</v>
      </c>
    </row>
    <row r="63" spans="6:58" x14ac:dyDescent="0.2">
      <c r="AI63" s="4">
        <v>40633</v>
      </c>
      <c r="AJ63" s="26">
        <f>G8*AJ8</f>
        <v>0</v>
      </c>
      <c r="AK63" s="26">
        <f t="shared" ref="AK63:BB63" si="3">H8*AK8</f>
        <v>0</v>
      </c>
      <c r="AL63" s="26">
        <f t="shared" si="3"/>
        <v>0</v>
      </c>
      <c r="AM63" s="26">
        <f t="shared" si="3"/>
        <v>0</v>
      </c>
      <c r="AN63" s="26">
        <f t="shared" si="3"/>
        <v>0</v>
      </c>
      <c r="AO63" s="26">
        <f t="shared" si="3"/>
        <v>0.19426940743160775</v>
      </c>
      <c r="AP63" s="26">
        <f t="shared" si="3"/>
        <v>0</v>
      </c>
      <c r="AQ63" s="26">
        <f t="shared" si="3"/>
        <v>0</v>
      </c>
      <c r="AR63" s="26">
        <f t="shared" si="3"/>
        <v>0</v>
      </c>
      <c r="AS63" s="26">
        <f t="shared" si="3"/>
        <v>0.91289559438924583</v>
      </c>
      <c r="AT63" s="26">
        <f t="shared" si="3"/>
        <v>0.78309191439817027</v>
      </c>
      <c r="AU63" s="26">
        <f t="shared" si="3"/>
        <v>0</v>
      </c>
      <c r="AV63" s="26">
        <f t="shared" si="3"/>
        <v>0.75494034446277414</v>
      </c>
      <c r="AW63" s="26">
        <f t="shared" si="3"/>
        <v>1.5662942466816236</v>
      </c>
      <c r="AX63" s="26">
        <f t="shared" si="3"/>
        <v>0.32706757431121647</v>
      </c>
      <c r="AY63" s="26">
        <f t="shared" si="3"/>
        <v>0.3209251468092636</v>
      </c>
      <c r="AZ63" s="26">
        <f t="shared" si="3"/>
        <v>0.26256775407087318</v>
      </c>
      <c r="BA63" s="26">
        <f t="shared" si="3"/>
        <v>0.1237934793289539</v>
      </c>
      <c r="BB63" s="26">
        <f t="shared" si="3"/>
        <v>0.15815760300404103</v>
      </c>
      <c r="BC63" s="62">
        <f>SUM(AJ63:BB63)</f>
        <v>5.4040030648877693</v>
      </c>
    </row>
    <row r="64" spans="6:58" x14ac:dyDescent="0.2">
      <c r="AI64" s="4">
        <v>40662</v>
      </c>
      <c r="AJ64" s="26">
        <f t="shared" ref="AJ64:AJ112" si="4">G9*AJ9</f>
        <v>0</v>
      </c>
      <c r="AK64" s="26">
        <f t="shared" ref="AK64:AK112" si="5">H9*AK9</f>
        <v>0</v>
      </c>
      <c r="AL64" s="26">
        <f t="shared" ref="AL64:AL112" si="6">I9*AL9</f>
        <v>0</v>
      </c>
      <c r="AM64" s="26">
        <f t="shared" ref="AM64:AM112" si="7">J9*AM9</f>
        <v>0</v>
      </c>
      <c r="AN64" s="26">
        <f t="shared" ref="AN64:AN112" si="8">K9*AN9</f>
        <v>0</v>
      </c>
      <c r="AO64" s="26">
        <f t="shared" ref="AO64:AO112" si="9">L9*AO9</f>
        <v>0.19655332428244604</v>
      </c>
      <c r="AP64" s="26">
        <f t="shared" ref="AP64:AP112" si="10">M9*AP9</f>
        <v>0</v>
      </c>
      <c r="AQ64" s="26">
        <f t="shared" ref="AQ64:AQ112" si="11">N9*AQ9</f>
        <v>0</v>
      </c>
      <c r="AR64" s="26">
        <f t="shared" ref="AR64:AR112" si="12">O9*AR9</f>
        <v>0</v>
      </c>
      <c r="AS64" s="26">
        <f t="shared" ref="AS64:AS112" si="13">P9*AS9</f>
        <v>0.92813469969945039</v>
      </c>
      <c r="AT64" s="26">
        <f t="shared" ref="AT64:AT112" si="14">Q9*AT9</f>
        <v>0.7912811799947278</v>
      </c>
      <c r="AU64" s="26">
        <f t="shared" ref="AU64:AU112" si="15">R9*AU9</f>
        <v>0</v>
      </c>
      <c r="AV64" s="26">
        <f t="shared" ref="AV64:AV112" si="16">S9*AV9</f>
        <v>0.76309871720791389</v>
      </c>
      <c r="AW64" s="26">
        <f t="shared" ref="AW64:AW112" si="17">T9*AW9</f>
        <v>1.584653672985201</v>
      </c>
      <c r="AX64" s="26">
        <f t="shared" ref="AX64:AX112" si="18">U9*AX9</f>
        <v>0.33478405057425553</v>
      </c>
      <c r="AY64" s="26">
        <f t="shared" ref="AY64:AY112" si="19">V9*AY9</f>
        <v>0.33111522873141552</v>
      </c>
      <c r="AZ64" s="26">
        <f t="shared" ref="AZ64:AZ112" si="20">W9*AZ9</f>
        <v>0.26206981195680296</v>
      </c>
      <c r="BA64" s="26">
        <f t="shared" ref="BA64:BA112" si="21">X9*BA9</f>
        <v>0.1225632783619916</v>
      </c>
      <c r="BB64" s="26">
        <f t="shared" ref="BB64:BB112" si="22">Y9*BB9</f>
        <v>0.15702832838189112</v>
      </c>
      <c r="BC64" s="62">
        <f t="shared" ref="BC64:BC112" si="23">SUM(AJ64:BB64)</f>
        <v>5.4712822921760953</v>
      </c>
    </row>
    <row r="65" spans="35:55" x14ac:dyDescent="0.2">
      <c r="AI65" s="4">
        <v>40694</v>
      </c>
      <c r="AJ65" s="26">
        <f t="shared" si="4"/>
        <v>0</v>
      </c>
      <c r="AK65" s="26">
        <f t="shared" si="5"/>
        <v>0</v>
      </c>
      <c r="AL65" s="26">
        <f t="shared" si="6"/>
        <v>0</v>
      </c>
      <c r="AM65" s="26">
        <f t="shared" si="7"/>
        <v>0</v>
      </c>
      <c r="AN65" s="26">
        <f t="shared" si="8"/>
        <v>0</v>
      </c>
      <c r="AO65" s="26">
        <f t="shared" si="9"/>
        <v>0.20173043627035467</v>
      </c>
      <c r="AP65" s="26">
        <f t="shared" si="10"/>
        <v>0</v>
      </c>
      <c r="AQ65" s="26">
        <f t="shared" si="11"/>
        <v>0</v>
      </c>
      <c r="AR65" s="26">
        <f t="shared" si="12"/>
        <v>0</v>
      </c>
      <c r="AS65" s="26">
        <f t="shared" si="13"/>
        <v>0.94642976844309334</v>
      </c>
      <c r="AT65" s="26">
        <f t="shared" si="14"/>
        <v>0.80442181530395451</v>
      </c>
      <c r="AU65" s="26">
        <f t="shared" si="15"/>
        <v>0</v>
      </c>
      <c r="AV65" s="26">
        <f t="shared" si="16"/>
        <v>0.77192943110337431</v>
      </c>
      <c r="AW65" s="26">
        <f t="shared" si="17"/>
        <v>1.5785639500324939</v>
      </c>
      <c r="AX65" s="26">
        <f t="shared" si="18"/>
        <v>0.33685514710436765</v>
      </c>
      <c r="AY65" s="26">
        <f t="shared" si="19"/>
        <v>0.32568320423590924</v>
      </c>
      <c r="AZ65" s="26">
        <f t="shared" si="20"/>
        <v>0.24980441728745881</v>
      </c>
      <c r="BA65" s="26">
        <f t="shared" si="21"/>
        <v>0.1208779798913653</v>
      </c>
      <c r="BB65" s="26">
        <f t="shared" si="22"/>
        <v>0.1591412916805017</v>
      </c>
      <c r="BC65" s="62">
        <f t="shared" si="23"/>
        <v>5.4954374413528742</v>
      </c>
    </row>
    <row r="66" spans="35:55" x14ac:dyDescent="0.2">
      <c r="AI66" s="4">
        <v>40724</v>
      </c>
      <c r="AJ66" s="26">
        <f t="shared" si="4"/>
        <v>0</v>
      </c>
      <c r="AK66" s="26">
        <f t="shared" si="5"/>
        <v>0</v>
      </c>
      <c r="AL66" s="26">
        <f t="shared" si="6"/>
        <v>0</v>
      </c>
      <c r="AM66" s="26">
        <f t="shared" si="7"/>
        <v>0</v>
      </c>
      <c r="AN66" s="26">
        <f t="shared" si="8"/>
        <v>0</v>
      </c>
      <c r="AO66" s="26">
        <f t="shared" si="9"/>
        <v>0.20465914794087278</v>
      </c>
      <c r="AP66" s="26">
        <f t="shared" si="10"/>
        <v>0</v>
      </c>
      <c r="AQ66" s="26">
        <f t="shared" si="11"/>
        <v>0</v>
      </c>
      <c r="AR66" s="26">
        <f t="shared" si="12"/>
        <v>0</v>
      </c>
      <c r="AS66" s="26">
        <f t="shared" si="13"/>
        <v>0.9608942671920242</v>
      </c>
      <c r="AT66" s="26">
        <f t="shared" si="14"/>
        <v>0.80487731940629292</v>
      </c>
      <c r="AU66" s="26">
        <f t="shared" si="15"/>
        <v>0</v>
      </c>
      <c r="AV66" s="26">
        <f t="shared" si="16"/>
        <v>0.7858628557659042</v>
      </c>
      <c r="AW66" s="26">
        <f t="shared" si="17"/>
        <v>1.5816760892888277</v>
      </c>
      <c r="AX66" s="26">
        <f t="shared" si="18"/>
        <v>0.3466658316214361</v>
      </c>
      <c r="AY66" s="26">
        <f t="shared" si="19"/>
        <v>0.3299343436781681</v>
      </c>
      <c r="AZ66" s="26">
        <f t="shared" si="20"/>
        <v>0.24708249753488598</v>
      </c>
      <c r="BA66" s="26">
        <f t="shared" si="21"/>
        <v>0.12073747052144346</v>
      </c>
      <c r="BB66" s="26">
        <f t="shared" si="22"/>
        <v>0.15917741534936228</v>
      </c>
      <c r="BC66" s="62">
        <f t="shared" si="23"/>
        <v>5.5415672382992183</v>
      </c>
    </row>
    <row r="67" spans="35:55" x14ac:dyDescent="0.2">
      <c r="AI67" s="4">
        <v>40753</v>
      </c>
      <c r="AJ67" s="26">
        <f t="shared" si="4"/>
        <v>0</v>
      </c>
      <c r="AK67" s="26">
        <f t="shared" si="5"/>
        <v>0</v>
      </c>
      <c r="AL67" s="26">
        <f t="shared" si="6"/>
        <v>0</v>
      </c>
      <c r="AM67" s="26">
        <f t="shared" si="7"/>
        <v>0</v>
      </c>
      <c r="AN67" s="26">
        <f t="shared" si="8"/>
        <v>0</v>
      </c>
      <c r="AO67" s="26">
        <f t="shared" si="9"/>
        <v>0.20001887336827151</v>
      </c>
      <c r="AP67" s="26">
        <f t="shared" si="10"/>
        <v>0</v>
      </c>
      <c r="AQ67" s="26">
        <f t="shared" si="11"/>
        <v>0</v>
      </c>
      <c r="AR67" s="26">
        <f t="shared" si="12"/>
        <v>0</v>
      </c>
      <c r="AS67" s="26">
        <f t="shared" si="13"/>
        <v>0.92397020022286858</v>
      </c>
      <c r="AT67" s="26">
        <f t="shared" si="14"/>
        <v>0.76466881886098903</v>
      </c>
      <c r="AU67" s="26">
        <f t="shared" si="15"/>
        <v>0</v>
      </c>
      <c r="AV67" s="26">
        <f t="shared" si="16"/>
        <v>0.73449703779419984</v>
      </c>
      <c r="AW67" s="26">
        <f t="shared" si="17"/>
        <v>1.46083415691369</v>
      </c>
      <c r="AX67" s="26">
        <f t="shared" si="18"/>
        <v>0.32268814379984673</v>
      </c>
      <c r="AY67" s="26">
        <f t="shared" si="19"/>
        <v>0.30230813318830929</v>
      </c>
      <c r="AZ67" s="26">
        <f t="shared" si="20"/>
        <v>0.23241269197830272</v>
      </c>
      <c r="BA67" s="26">
        <f t="shared" si="21"/>
        <v>0.11407613926176907</v>
      </c>
      <c r="BB67" s="26">
        <f t="shared" si="22"/>
        <v>0.15254069805597825</v>
      </c>
      <c r="BC67" s="62">
        <f t="shared" si="23"/>
        <v>5.2080148934442265</v>
      </c>
    </row>
    <row r="68" spans="35:55" x14ac:dyDescent="0.2">
      <c r="AI68" s="4">
        <v>40786</v>
      </c>
      <c r="AJ68" s="26">
        <f t="shared" si="4"/>
        <v>0</v>
      </c>
      <c r="AK68" s="26">
        <f t="shared" si="5"/>
        <v>0</v>
      </c>
      <c r="AL68" s="26">
        <f t="shared" si="6"/>
        <v>0</v>
      </c>
      <c r="AM68" s="26">
        <f t="shared" si="7"/>
        <v>0</v>
      </c>
      <c r="AN68" s="26">
        <f t="shared" si="8"/>
        <v>0</v>
      </c>
      <c r="AO68" s="26">
        <f t="shared" si="9"/>
        <v>0.17817213982137964</v>
      </c>
      <c r="AP68" s="26">
        <f t="shared" si="10"/>
        <v>0</v>
      </c>
      <c r="AQ68" s="26">
        <f t="shared" si="11"/>
        <v>0</v>
      </c>
      <c r="AR68" s="26">
        <f t="shared" si="12"/>
        <v>0</v>
      </c>
      <c r="AS68" s="26">
        <f t="shared" si="13"/>
        <v>0.76844345821132121</v>
      </c>
      <c r="AT68" s="26">
        <f t="shared" si="14"/>
        <v>0.63620853000024635</v>
      </c>
      <c r="AU68" s="26">
        <f t="shared" si="15"/>
        <v>0</v>
      </c>
      <c r="AV68" s="26">
        <f t="shared" si="16"/>
        <v>0.54551704980004512</v>
      </c>
      <c r="AW68" s="26">
        <f t="shared" si="17"/>
        <v>1.0860161902304808</v>
      </c>
      <c r="AX68" s="26">
        <f t="shared" si="18"/>
        <v>0.24930881846916392</v>
      </c>
      <c r="AY68" s="26">
        <f t="shared" si="19"/>
        <v>0.22973416939335092</v>
      </c>
      <c r="AZ68" s="26">
        <f t="shared" si="20"/>
        <v>0.19049838926268003</v>
      </c>
      <c r="BA68" s="26">
        <f t="shared" si="21"/>
        <v>9.8132881599576297E-2</v>
      </c>
      <c r="BB68" s="26">
        <f t="shared" si="22"/>
        <v>0.1379401350559252</v>
      </c>
      <c r="BC68" s="62">
        <f t="shared" si="23"/>
        <v>4.1199717618441705</v>
      </c>
    </row>
    <row r="69" spans="35:55" x14ac:dyDescent="0.2">
      <c r="AI69" s="4">
        <v>40816</v>
      </c>
      <c r="AJ69" s="26">
        <f t="shared" si="4"/>
        <v>0</v>
      </c>
      <c r="AK69" s="26">
        <f t="shared" si="5"/>
        <v>0</v>
      </c>
      <c r="AL69" s="26">
        <f t="shared" si="6"/>
        <v>0</v>
      </c>
      <c r="AM69" s="26">
        <f t="shared" si="7"/>
        <v>0</v>
      </c>
      <c r="AN69" s="26">
        <f t="shared" si="8"/>
        <v>0</v>
      </c>
      <c r="AO69" s="26">
        <f t="shared" si="9"/>
        <v>0.14997670482920095</v>
      </c>
      <c r="AP69" s="26">
        <f t="shared" si="10"/>
        <v>0</v>
      </c>
      <c r="AQ69" s="26">
        <f t="shared" si="11"/>
        <v>0</v>
      </c>
      <c r="AR69" s="26">
        <f t="shared" si="12"/>
        <v>0</v>
      </c>
      <c r="AS69" s="26">
        <f t="shared" si="13"/>
        <v>0.61502039608772185</v>
      </c>
      <c r="AT69" s="26">
        <f t="shared" si="14"/>
        <v>0.49291713033037454</v>
      </c>
      <c r="AU69" s="26">
        <f t="shared" si="15"/>
        <v>0</v>
      </c>
      <c r="AV69" s="26">
        <f t="shared" si="16"/>
        <v>0.44768096413103609</v>
      </c>
      <c r="AW69" s="26">
        <f t="shared" si="17"/>
        <v>0.85610382048690825</v>
      </c>
      <c r="AX69" s="26">
        <f t="shared" si="18"/>
        <v>0.21276931304226923</v>
      </c>
      <c r="AY69" s="26">
        <f t="shared" si="19"/>
        <v>0.18864545417123971</v>
      </c>
      <c r="AZ69" s="26">
        <f t="shared" si="20"/>
        <v>0.15310080581040911</v>
      </c>
      <c r="BA69" s="26">
        <f t="shared" si="21"/>
        <v>8.1716343138592495E-2</v>
      </c>
      <c r="BB69" s="26">
        <f t="shared" si="22"/>
        <v>0.11944067784408073</v>
      </c>
      <c r="BC69" s="62">
        <f t="shared" si="23"/>
        <v>3.3173716098718331</v>
      </c>
    </row>
    <row r="70" spans="35:55" x14ac:dyDescent="0.2">
      <c r="AI70" s="4">
        <v>40847</v>
      </c>
      <c r="AJ70" s="26">
        <f t="shared" si="4"/>
        <v>0</v>
      </c>
      <c r="AK70" s="26">
        <f t="shared" si="5"/>
        <v>0</v>
      </c>
      <c r="AL70" s="26">
        <f t="shared" si="6"/>
        <v>0</v>
      </c>
      <c r="AM70" s="26">
        <f t="shared" si="7"/>
        <v>0</v>
      </c>
      <c r="AN70" s="26">
        <f t="shared" si="8"/>
        <v>0</v>
      </c>
      <c r="AO70" s="26">
        <f t="shared" si="9"/>
        <v>0.14860666399010908</v>
      </c>
      <c r="AP70" s="26">
        <f t="shared" si="10"/>
        <v>0</v>
      </c>
      <c r="AQ70" s="26">
        <f t="shared" si="11"/>
        <v>0</v>
      </c>
      <c r="AR70" s="26">
        <f t="shared" si="12"/>
        <v>0</v>
      </c>
      <c r="AS70" s="26">
        <f t="shared" si="13"/>
        <v>0.61055134197080141</v>
      </c>
      <c r="AT70" s="26">
        <f t="shared" si="14"/>
        <v>0.50570658065986629</v>
      </c>
      <c r="AU70" s="26">
        <f t="shared" si="15"/>
        <v>0</v>
      </c>
      <c r="AV70" s="26">
        <f t="shared" si="16"/>
        <v>0.48456655925999453</v>
      </c>
      <c r="AW70" s="26">
        <f t="shared" si="17"/>
        <v>0.90853739191010208</v>
      </c>
      <c r="AX70" s="26">
        <f t="shared" si="18"/>
        <v>0.24636454292608673</v>
      </c>
      <c r="AY70" s="26">
        <f t="shared" si="19"/>
        <v>0.22369316494209765</v>
      </c>
      <c r="AZ70" s="26">
        <f t="shared" si="20"/>
        <v>0.15021306017286329</v>
      </c>
      <c r="BA70" s="26">
        <f t="shared" si="21"/>
        <v>7.9328490092501508E-2</v>
      </c>
      <c r="BB70" s="26">
        <f t="shared" si="22"/>
        <v>0.11451005139508386</v>
      </c>
      <c r="BC70" s="62">
        <f t="shared" si="23"/>
        <v>3.4720778473195062</v>
      </c>
    </row>
    <row r="71" spans="35:55" x14ac:dyDescent="0.2">
      <c r="AI71" s="4">
        <v>40877</v>
      </c>
      <c r="AJ71" s="26">
        <f t="shared" si="4"/>
        <v>0</v>
      </c>
      <c r="AK71" s="26">
        <f t="shared" si="5"/>
        <v>0</v>
      </c>
      <c r="AL71" s="26">
        <f t="shared" si="6"/>
        <v>0</v>
      </c>
      <c r="AM71" s="26">
        <f t="shared" si="7"/>
        <v>0</v>
      </c>
      <c r="AN71" s="26">
        <f t="shared" si="8"/>
        <v>0</v>
      </c>
      <c r="AO71" s="26">
        <f t="shared" si="9"/>
        <v>0.14710392502833058</v>
      </c>
      <c r="AP71" s="26">
        <f t="shared" si="10"/>
        <v>0</v>
      </c>
      <c r="AQ71" s="26">
        <f t="shared" si="11"/>
        <v>0</v>
      </c>
      <c r="AR71" s="26">
        <f t="shared" si="12"/>
        <v>0</v>
      </c>
      <c r="AS71" s="26">
        <f t="shared" si="13"/>
        <v>0.59530649993966023</v>
      </c>
      <c r="AT71" s="26">
        <f t="shared" si="14"/>
        <v>0.47421658388517574</v>
      </c>
      <c r="AU71" s="26">
        <f t="shared" si="15"/>
        <v>0</v>
      </c>
      <c r="AV71" s="26">
        <f t="shared" si="16"/>
        <v>0.49655375765760706</v>
      </c>
      <c r="AW71" s="26">
        <f t="shared" si="17"/>
        <v>0.88451046470770955</v>
      </c>
      <c r="AX71" s="26">
        <f t="shared" si="18"/>
        <v>0.25640086300930792</v>
      </c>
      <c r="AY71" s="26">
        <f t="shared" si="19"/>
        <v>0.2282440279186497</v>
      </c>
      <c r="AZ71" s="26">
        <f t="shared" si="20"/>
        <v>0.1568060720737722</v>
      </c>
      <c r="BA71" s="26">
        <f t="shared" si="21"/>
        <v>8.4837956805826675E-2</v>
      </c>
      <c r="BB71" s="26">
        <f t="shared" si="22"/>
        <v>0.12071413565568391</v>
      </c>
      <c r="BC71" s="62">
        <f t="shared" si="23"/>
        <v>3.4446942866817238</v>
      </c>
    </row>
    <row r="72" spans="35:55" x14ac:dyDescent="0.2">
      <c r="AI72" s="4">
        <v>40907</v>
      </c>
      <c r="AJ72" s="26">
        <f t="shared" si="4"/>
        <v>0</v>
      </c>
      <c r="AK72" s="26">
        <f t="shared" si="5"/>
        <v>0</v>
      </c>
      <c r="AL72" s="26">
        <f t="shared" si="6"/>
        <v>0</v>
      </c>
      <c r="AM72" s="26">
        <f t="shared" si="7"/>
        <v>0</v>
      </c>
      <c r="AN72" s="26">
        <f t="shared" si="8"/>
        <v>0</v>
      </c>
      <c r="AO72" s="26">
        <f t="shared" si="9"/>
        <v>0.1450043216586426</v>
      </c>
      <c r="AP72" s="26">
        <f t="shared" si="10"/>
        <v>0</v>
      </c>
      <c r="AQ72" s="26">
        <f t="shared" si="11"/>
        <v>0</v>
      </c>
      <c r="AR72" s="26">
        <f t="shared" si="12"/>
        <v>0</v>
      </c>
      <c r="AS72" s="26">
        <f t="shared" si="13"/>
        <v>0.58320458274985054</v>
      </c>
      <c r="AT72" s="26">
        <f t="shared" si="14"/>
        <v>0.45086981232511575</v>
      </c>
      <c r="AU72" s="26">
        <f t="shared" si="15"/>
        <v>0</v>
      </c>
      <c r="AV72" s="26">
        <f t="shared" si="16"/>
        <v>0.49786382214119995</v>
      </c>
      <c r="AW72" s="26">
        <f t="shared" si="17"/>
        <v>0.85963016835478667</v>
      </c>
      <c r="AX72" s="26">
        <f t="shared" si="18"/>
        <v>0.25773922384467735</v>
      </c>
      <c r="AY72" s="26">
        <f t="shared" si="19"/>
        <v>0.22285396678314423</v>
      </c>
      <c r="AZ72" s="26">
        <f t="shared" si="20"/>
        <v>0.14770476434905891</v>
      </c>
      <c r="BA72" s="26">
        <f t="shared" si="21"/>
        <v>8.2378302555954325E-2</v>
      </c>
      <c r="BB72" s="26">
        <f t="shared" si="22"/>
        <v>0.11870994573502772</v>
      </c>
      <c r="BC72" s="62">
        <f t="shared" si="23"/>
        <v>3.3659589104974579</v>
      </c>
    </row>
    <row r="73" spans="35:55" x14ac:dyDescent="0.2">
      <c r="AI73" s="4">
        <v>40939</v>
      </c>
      <c r="AJ73" s="26">
        <f t="shared" si="4"/>
        <v>0</v>
      </c>
      <c r="AK73" s="26">
        <f t="shared" si="5"/>
        <v>0</v>
      </c>
      <c r="AL73" s="26">
        <f t="shared" si="6"/>
        <v>0</v>
      </c>
      <c r="AM73" s="26">
        <f t="shared" si="7"/>
        <v>0</v>
      </c>
      <c r="AN73" s="26">
        <f t="shared" si="8"/>
        <v>0</v>
      </c>
      <c r="AO73" s="26">
        <f t="shared" si="9"/>
        <v>0.13739045484361589</v>
      </c>
      <c r="AP73" s="26">
        <f t="shared" si="10"/>
        <v>0</v>
      </c>
      <c r="AQ73" s="26">
        <f t="shared" si="11"/>
        <v>0</v>
      </c>
      <c r="AR73" s="26">
        <f t="shared" si="12"/>
        <v>0</v>
      </c>
      <c r="AS73" s="26">
        <f t="shared" si="13"/>
        <v>0.53729833402507354</v>
      </c>
      <c r="AT73" s="26">
        <f t="shared" si="14"/>
        <v>0.39626079388311686</v>
      </c>
      <c r="AU73" s="26">
        <f t="shared" si="15"/>
        <v>0</v>
      </c>
      <c r="AV73" s="26">
        <f t="shared" si="16"/>
        <v>0.45519550529008324</v>
      </c>
      <c r="AW73" s="26">
        <f t="shared" si="17"/>
        <v>0.76655847972053281</v>
      </c>
      <c r="AX73" s="26">
        <f t="shared" si="18"/>
        <v>0.23550551018571933</v>
      </c>
      <c r="AY73" s="26">
        <f t="shared" si="19"/>
        <v>0.19926243626042373</v>
      </c>
      <c r="AZ73" s="26">
        <f t="shared" si="20"/>
        <v>0.14304776762561006</v>
      </c>
      <c r="BA73" s="26">
        <f t="shared" si="21"/>
        <v>7.8749440999215811E-2</v>
      </c>
      <c r="BB73" s="26">
        <f t="shared" si="22"/>
        <v>0.11611248014418632</v>
      </c>
      <c r="BC73" s="62">
        <f t="shared" si="23"/>
        <v>3.0653812029775778</v>
      </c>
    </row>
    <row r="74" spans="35:55" x14ac:dyDescent="0.2">
      <c r="AI74" s="4">
        <v>40968</v>
      </c>
      <c r="AJ74" s="26">
        <f t="shared" si="4"/>
        <v>0</v>
      </c>
      <c r="AK74" s="26">
        <f t="shared" si="5"/>
        <v>0</v>
      </c>
      <c r="AL74" s="26">
        <f t="shared" si="6"/>
        <v>0</v>
      </c>
      <c r="AM74" s="26">
        <f t="shared" si="7"/>
        <v>0</v>
      </c>
      <c r="AN74" s="26">
        <f t="shared" si="8"/>
        <v>0</v>
      </c>
      <c r="AO74" s="26">
        <f t="shared" si="9"/>
        <v>0.15546898783324126</v>
      </c>
      <c r="AP74" s="26">
        <f t="shared" si="10"/>
        <v>0</v>
      </c>
      <c r="AQ74" s="26">
        <f t="shared" si="11"/>
        <v>0</v>
      </c>
      <c r="AR74" s="26">
        <f t="shared" si="12"/>
        <v>0</v>
      </c>
      <c r="AS74" s="26">
        <f t="shared" si="13"/>
        <v>0.62706689664988213</v>
      </c>
      <c r="AT74" s="26">
        <f t="shared" si="14"/>
        <v>0.44883611824343195</v>
      </c>
      <c r="AU74" s="26">
        <f t="shared" si="15"/>
        <v>0</v>
      </c>
      <c r="AV74" s="26">
        <f t="shared" si="16"/>
        <v>0.51609761857956393</v>
      </c>
      <c r="AW74" s="26">
        <f t="shared" si="17"/>
        <v>0.86042462876318115</v>
      </c>
      <c r="AX74" s="26">
        <f t="shared" si="18"/>
        <v>0.26138420084205533</v>
      </c>
      <c r="AY74" s="26">
        <f t="shared" si="19"/>
        <v>0.21953220398419168</v>
      </c>
      <c r="AZ74" s="26">
        <f t="shared" si="20"/>
        <v>0.15246058536469598</v>
      </c>
      <c r="BA74" s="26">
        <f t="shared" si="21"/>
        <v>8.4964858830242393E-2</v>
      </c>
      <c r="BB74" s="26">
        <f t="shared" si="22"/>
        <v>0.1229193383744019</v>
      </c>
      <c r="BC74" s="62">
        <f t="shared" si="23"/>
        <v>3.4491554374648876</v>
      </c>
    </row>
    <row r="75" spans="35:55" x14ac:dyDescent="0.2">
      <c r="AI75" s="4">
        <v>40998</v>
      </c>
      <c r="AJ75" s="26">
        <f t="shared" si="4"/>
        <v>0</v>
      </c>
      <c r="AK75" s="26">
        <f t="shared" si="5"/>
        <v>0</v>
      </c>
      <c r="AL75" s="26">
        <f t="shared" si="6"/>
        <v>0</v>
      </c>
      <c r="AM75" s="26">
        <f t="shared" si="7"/>
        <v>0</v>
      </c>
      <c r="AN75" s="26">
        <f t="shared" si="8"/>
        <v>0</v>
      </c>
      <c r="AO75" s="26">
        <f t="shared" si="9"/>
        <v>0.13891365804622596</v>
      </c>
      <c r="AP75" s="26">
        <f t="shared" si="10"/>
        <v>0</v>
      </c>
      <c r="AQ75" s="26">
        <f t="shared" si="11"/>
        <v>0</v>
      </c>
      <c r="AR75" s="26">
        <f t="shared" si="12"/>
        <v>0.48559358705553607</v>
      </c>
      <c r="AS75" s="26">
        <f t="shared" si="13"/>
        <v>0.56706923690980671</v>
      </c>
      <c r="AT75" s="26">
        <f t="shared" si="14"/>
        <v>0.41568935724034961</v>
      </c>
      <c r="AU75" s="26">
        <f t="shared" si="15"/>
        <v>0.46365863619983044</v>
      </c>
      <c r="AV75" s="26">
        <f t="shared" si="16"/>
        <v>0.45547291739873613</v>
      </c>
      <c r="AW75" s="26">
        <f t="shared" si="17"/>
        <v>0.76636162125215124</v>
      </c>
      <c r="AX75" s="26">
        <f t="shared" si="18"/>
        <v>0.22921374611615986</v>
      </c>
      <c r="AY75" s="26">
        <f t="shared" si="19"/>
        <v>0.19636959571140788</v>
      </c>
      <c r="AZ75" s="26">
        <f t="shared" si="20"/>
        <v>0.12816745536260249</v>
      </c>
      <c r="BA75" s="26">
        <f t="shared" si="21"/>
        <v>7.1819657109059201E-2</v>
      </c>
      <c r="BB75" s="26">
        <f t="shared" si="22"/>
        <v>0.10365559731820778</v>
      </c>
      <c r="BC75" s="62">
        <f t="shared" si="23"/>
        <v>4.0219850657200737</v>
      </c>
    </row>
    <row r="76" spans="35:55" x14ac:dyDescent="0.2">
      <c r="AI76" s="4">
        <v>41029</v>
      </c>
      <c r="AJ76" s="26">
        <f t="shared" si="4"/>
        <v>0</v>
      </c>
      <c r="AK76" s="26">
        <f t="shared" si="5"/>
        <v>0</v>
      </c>
      <c r="AL76" s="26">
        <f t="shared" si="6"/>
        <v>0</v>
      </c>
      <c r="AM76" s="26">
        <f t="shared" si="7"/>
        <v>0</v>
      </c>
      <c r="AN76" s="26">
        <f t="shared" si="8"/>
        <v>0</v>
      </c>
      <c r="AO76" s="26">
        <f t="shared" si="9"/>
        <v>0.13072890511357829</v>
      </c>
      <c r="AP76" s="26">
        <f t="shared" si="10"/>
        <v>0</v>
      </c>
      <c r="AQ76" s="26">
        <f t="shared" si="11"/>
        <v>0</v>
      </c>
      <c r="AR76" s="26">
        <f t="shared" si="12"/>
        <v>0.45888450680375503</v>
      </c>
      <c r="AS76" s="26">
        <f t="shared" si="13"/>
        <v>0.53038655008721958</v>
      </c>
      <c r="AT76" s="26">
        <f t="shared" si="14"/>
        <v>0.38174843697376709</v>
      </c>
      <c r="AU76" s="26">
        <f t="shared" si="15"/>
        <v>0.43711680936586494</v>
      </c>
      <c r="AV76" s="26">
        <f t="shared" si="16"/>
        <v>0.42285974305164831</v>
      </c>
      <c r="AW76" s="26">
        <f t="shared" si="17"/>
        <v>0.69736986561405467</v>
      </c>
      <c r="AX76" s="26">
        <f t="shared" si="18"/>
        <v>0.22342141483295808</v>
      </c>
      <c r="AY76" s="26">
        <f t="shared" si="19"/>
        <v>0.18957402225137662</v>
      </c>
      <c r="AZ76" s="26">
        <f t="shared" si="20"/>
        <v>0.12175298615335174</v>
      </c>
      <c r="BA76" s="26">
        <f t="shared" si="21"/>
        <v>6.8603503924835399E-2</v>
      </c>
      <c r="BB76" s="26">
        <f t="shared" si="22"/>
        <v>0.10689813652713269</v>
      </c>
      <c r="BC76" s="62">
        <f t="shared" si="23"/>
        <v>3.7693448806995424</v>
      </c>
    </row>
    <row r="77" spans="35:55" x14ac:dyDescent="0.2">
      <c r="AI77" s="4">
        <v>41060</v>
      </c>
      <c r="AJ77" s="26">
        <f t="shared" si="4"/>
        <v>0</v>
      </c>
      <c r="AK77" s="26">
        <f t="shared" si="5"/>
        <v>0</v>
      </c>
      <c r="AL77" s="26">
        <f t="shared" si="6"/>
        <v>0</v>
      </c>
      <c r="AM77" s="26">
        <f t="shared" si="7"/>
        <v>0</v>
      </c>
      <c r="AN77" s="26">
        <f t="shared" si="8"/>
        <v>0</v>
      </c>
      <c r="AO77" s="26">
        <f t="shared" si="9"/>
        <v>0.11133823167130733</v>
      </c>
      <c r="AP77" s="26">
        <f t="shared" si="10"/>
        <v>0</v>
      </c>
      <c r="AQ77" s="26">
        <f t="shared" si="11"/>
        <v>0</v>
      </c>
      <c r="AR77" s="26">
        <f t="shared" si="12"/>
        <v>0.40633642614499521</v>
      </c>
      <c r="AS77" s="26">
        <f t="shared" si="13"/>
        <v>0.45648526102111969</v>
      </c>
      <c r="AT77" s="26">
        <f t="shared" si="14"/>
        <v>0.31067492369078259</v>
      </c>
      <c r="AU77" s="26">
        <f t="shared" si="15"/>
        <v>0.39225233623754546</v>
      </c>
      <c r="AV77" s="26">
        <f t="shared" si="16"/>
        <v>0.37109215834010784</v>
      </c>
      <c r="AW77" s="26">
        <f t="shared" si="17"/>
        <v>0.59446633747948363</v>
      </c>
      <c r="AX77" s="26">
        <f t="shared" si="18"/>
        <v>0.20394596510037752</v>
      </c>
      <c r="AY77" s="26">
        <f t="shared" si="19"/>
        <v>0.16988121969618583</v>
      </c>
      <c r="AZ77" s="26">
        <f t="shared" si="20"/>
        <v>0.10846169416159933</v>
      </c>
      <c r="BA77" s="26">
        <f t="shared" si="21"/>
        <v>6.1997409918920235E-2</v>
      </c>
      <c r="BB77" s="26">
        <f t="shared" si="22"/>
        <v>0.10264091783944682</v>
      </c>
      <c r="BC77" s="62">
        <f t="shared" si="23"/>
        <v>3.2895728813018716</v>
      </c>
    </row>
    <row r="78" spans="35:55" x14ac:dyDescent="0.2">
      <c r="AI78" s="4">
        <v>41089</v>
      </c>
      <c r="AJ78" s="26">
        <f t="shared" si="4"/>
        <v>0</v>
      </c>
      <c r="AK78" s="26">
        <f t="shared" si="5"/>
        <v>0</v>
      </c>
      <c r="AL78" s="26">
        <f t="shared" si="6"/>
        <v>0</v>
      </c>
      <c r="AM78" s="26">
        <f t="shared" si="7"/>
        <v>0</v>
      </c>
      <c r="AN78" s="26">
        <f t="shared" si="8"/>
        <v>0</v>
      </c>
      <c r="AO78" s="26">
        <f t="shared" si="9"/>
        <v>0.1157444005169079</v>
      </c>
      <c r="AP78" s="26">
        <f t="shared" si="10"/>
        <v>0</v>
      </c>
      <c r="AQ78" s="26">
        <f t="shared" si="11"/>
        <v>0</v>
      </c>
      <c r="AR78" s="26">
        <f t="shared" si="12"/>
        <v>0.40392988003992736</v>
      </c>
      <c r="AS78" s="26">
        <f t="shared" si="13"/>
        <v>0.47189679405925727</v>
      </c>
      <c r="AT78" s="26">
        <f t="shared" si="14"/>
        <v>0.32526717594938181</v>
      </c>
      <c r="AU78" s="26">
        <f t="shared" si="15"/>
        <v>0.39788785873886845</v>
      </c>
      <c r="AV78" s="26">
        <f t="shared" si="16"/>
        <v>0.38415478164705164</v>
      </c>
      <c r="AW78" s="26">
        <f t="shared" si="17"/>
        <v>0.63001920201175099</v>
      </c>
      <c r="AX78" s="26">
        <f t="shared" si="18"/>
        <v>0.20839663688795421</v>
      </c>
      <c r="AY78" s="26">
        <f t="shared" si="19"/>
        <v>0.17400055800647143</v>
      </c>
      <c r="AZ78" s="26">
        <f t="shared" si="20"/>
        <v>0.10766543184419704</v>
      </c>
      <c r="BA78" s="26">
        <f t="shared" si="21"/>
        <v>6.0645503445366025E-2</v>
      </c>
      <c r="BB78" s="26">
        <f t="shared" si="22"/>
        <v>9.9623676323506355E-2</v>
      </c>
      <c r="BC78" s="62">
        <f t="shared" si="23"/>
        <v>3.3792318994706405</v>
      </c>
    </row>
    <row r="79" spans="35:55" x14ac:dyDescent="0.2">
      <c r="AI79" s="4">
        <v>41121</v>
      </c>
      <c r="AJ79" s="26">
        <f t="shared" si="4"/>
        <v>0</v>
      </c>
      <c r="AK79" s="26">
        <f t="shared" si="5"/>
        <v>0</v>
      </c>
      <c r="AL79" s="26">
        <f t="shared" si="6"/>
        <v>0</v>
      </c>
      <c r="AM79" s="26">
        <f t="shared" si="7"/>
        <v>0</v>
      </c>
      <c r="AN79" s="26">
        <f t="shared" si="8"/>
        <v>0</v>
      </c>
      <c r="AO79" s="26">
        <f t="shared" si="9"/>
        <v>0.10225804620300626</v>
      </c>
      <c r="AP79" s="26">
        <f t="shared" si="10"/>
        <v>0</v>
      </c>
      <c r="AQ79" s="26">
        <f t="shared" si="11"/>
        <v>0</v>
      </c>
      <c r="AR79" s="26">
        <f t="shared" si="12"/>
        <v>0.37916822996904354</v>
      </c>
      <c r="AS79" s="26">
        <f t="shared" si="13"/>
        <v>0.45352644885164783</v>
      </c>
      <c r="AT79" s="26">
        <f t="shared" si="14"/>
        <v>0.31619445087876513</v>
      </c>
      <c r="AU79" s="26">
        <f t="shared" si="15"/>
        <v>0.40818215740218816</v>
      </c>
      <c r="AV79" s="26">
        <f t="shared" si="16"/>
        <v>0.38642770461619974</v>
      </c>
      <c r="AW79" s="26">
        <f t="shared" si="17"/>
        <v>0.63307457361119512</v>
      </c>
      <c r="AX79" s="26">
        <f t="shared" si="18"/>
        <v>0.20851705719183303</v>
      </c>
      <c r="AY79" s="26">
        <f t="shared" si="19"/>
        <v>0.17225960950592475</v>
      </c>
      <c r="AZ79" s="26">
        <f t="shared" si="20"/>
        <v>0.1048501042562941</v>
      </c>
      <c r="BA79" s="26">
        <f t="shared" si="21"/>
        <v>5.8774822712357802E-2</v>
      </c>
      <c r="BB79" s="26">
        <f t="shared" si="22"/>
        <v>0.10015614718806895</v>
      </c>
      <c r="BC79" s="62">
        <f t="shared" si="23"/>
        <v>3.323389352386525</v>
      </c>
    </row>
    <row r="80" spans="35:55" x14ac:dyDescent="0.2">
      <c r="AI80" s="4">
        <v>41152</v>
      </c>
      <c r="AJ80" s="26">
        <f t="shared" si="4"/>
        <v>0</v>
      </c>
      <c r="AK80" s="26">
        <f t="shared" si="5"/>
        <v>0</v>
      </c>
      <c r="AL80" s="26">
        <f t="shared" si="6"/>
        <v>0</v>
      </c>
      <c r="AM80" s="26">
        <f t="shared" si="7"/>
        <v>0</v>
      </c>
      <c r="AN80" s="26">
        <f t="shared" si="8"/>
        <v>0</v>
      </c>
      <c r="AO80" s="26">
        <f t="shared" si="9"/>
        <v>0.11147983976555004</v>
      </c>
      <c r="AP80" s="26">
        <f t="shared" si="10"/>
        <v>0</v>
      </c>
      <c r="AQ80" s="26">
        <f t="shared" si="11"/>
        <v>0</v>
      </c>
      <c r="AR80" s="26">
        <f t="shared" si="12"/>
        <v>0.41440322984913358</v>
      </c>
      <c r="AS80" s="26">
        <f t="shared" si="13"/>
        <v>0.48996029290382453</v>
      </c>
      <c r="AT80" s="26">
        <f t="shared" si="14"/>
        <v>0.34139507142044728</v>
      </c>
      <c r="AU80" s="26">
        <f t="shared" si="15"/>
        <v>0.43388962425021815</v>
      </c>
      <c r="AV80" s="26">
        <f t="shared" si="16"/>
        <v>0.40543299465361321</v>
      </c>
      <c r="AW80" s="26">
        <f t="shared" si="17"/>
        <v>0.67322658660658685</v>
      </c>
      <c r="AX80" s="26">
        <f t="shared" si="18"/>
        <v>0.22026364252686417</v>
      </c>
      <c r="AY80" s="26">
        <f t="shared" si="19"/>
        <v>0.18593598956957216</v>
      </c>
      <c r="AZ80" s="26">
        <f t="shared" si="20"/>
        <v>0.10655642072856958</v>
      </c>
      <c r="BA80" s="26">
        <f t="shared" si="21"/>
        <v>6.0151274947786583E-2</v>
      </c>
      <c r="BB80" s="26">
        <f t="shared" si="22"/>
        <v>0.10037596340800965</v>
      </c>
      <c r="BC80" s="62">
        <f t="shared" si="23"/>
        <v>3.5430709306301758</v>
      </c>
    </row>
    <row r="81" spans="35:55" x14ac:dyDescent="0.2">
      <c r="AI81" s="4">
        <v>41180</v>
      </c>
      <c r="AJ81" s="26">
        <f t="shared" si="4"/>
        <v>0</v>
      </c>
      <c r="AK81" s="26">
        <f t="shared" si="5"/>
        <v>0</v>
      </c>
      <c r="AL81" s="26">
        <f t="shared" si="6"/>
        <v>0</v>
      </c>
      <c r="AM81" s="26">
        <f t="shared" si="7"/>
        <v>0</v>
      </c>
      <c r="AN81" s="26">
        <f t="shared" si="8"/>
        <v>0</v>
      </c>
      <c r="AO81" s="26">
        <f t="shared" si="9"/>
        <v>8.7864003255205297E-2</v>
      </c>
      <c r="AP81" s="26">
        <f t="shared" si="10"/>
        <v>0</v>
      </c>
      <c r="AQ81" s="26">
        <f t="shared" si="11"/>
        <v>0</v>
      </c>
      <c r="AR81" s="26">
        <f t="shared" si="12"/>
        <v>0.34744806951370144</v>
      </c>
      <c r="AS81" s="26">
        <f t="shared" si="13"/>
        <v>0.40886233768844416</v>
      </c>
      <c r="AT81" s="26">
        <f t="shared" si="14"/>
        <v>0.28735404076694432</v>
      </c>
      <c r="AU81" s="26">
        <f t="shared" si="15"/>
        <v>0.37892105535961884</v>
      </c>
      <c r="AV81" s="26">
        <f t="shared" si="16"/>
        <v>0.35481342880393496</v>
      </c>
      <c r="AW81" s="26">
        <f t="shared" si="17"/>
        <v>0.59092171571424923</v>
      </c>
      <c r="AX81" s="26">
        <f t="shared" si="18"/>
        <v>0.2121480460431949</v>
      </c>
      <c r="AY81" s="26">
        <f t="shared" si="19"/>
        <v>0.17830424855693219</v>
      </c>
      <c r="AZ81" s="26">
        <f t="shared" si="20"/>
        <v>9.6260227101620716E-2</v>
      </c>
      <c r="BA81" s="26">
        <f t="shared" si="21"/>
        <v>5.7118038885700106E-2</v>
      </c>
      <c r="BB81" s="26">
        <f t="shared" si="22"/>
        <v>9.6252330109059592E-2</v>
      </c>
      <c r="BC81" s="62">
        <f t="shared" si="23"/>
        <v>3.0962675417986052</v>
      </c>
    </row>
    <row r="82" spans="35:55" x14ac:dyDescent="0.2">
      <c r="AI82" s="4">
        <v>41213</v>
      </c>
      <c r="AJ82" s="26">
        <f t="shared" si="4"/>
        <v>0</v>
      </c>
      <c r="AK82" s="26">
        <f t="shared" si="5"/>
        <v>0</v>
      </c>
      <c r="AL82" s="26">
        <f t="shared" si="6"/>
        <v>0</v>
      </c>
      <c r="AM82" s="26">
        <f t="shared" si="7"/>
        <v>0</v>
      </c>
      <c r="AN82" s="26">
        <f t="shared" si="8"/>
        <v>0</v>
      </c>
      <c r="AO82" s="26">
        <f t="shared" si="9"/>
        <v>8.8879760971579611E-2</v>
      </c>
      <c r="AP82" s="26">
        <f t="shared" si="10"/>
        <v>0</v>
      </c>
      <c r="AQ82" s="26">
        <f t="shared" si="11"/>
        <v>0</v>
      </c>
      <c r="AR82" s="26">
        <f t="shared" si="12"/>
        <v>0.35241201458190291</v>
      </c>
      <c r="AS82" s="26">
        <f t="shared" si="13"/>
        <v>0.41660691689235202</v>
      </c>
      <c r="AT82" s="26">
        <f t="shared" si="14"/>
        <v>0.28476606657701525</v>
      </c>
      <c r="AU82" s="26">
        <f t="shared" si="15"/>
        <v>0.39740175337490186</v>
      </c>
      <c r="AV82" s="26">
        <f t="shared" si="16"/>
        <v>0.37377677764472955</v>
      </c>
      <c r="AW82" s="26">
        <f t="shared" si="17"/>
        <v>0.60577252233431234</v>
      </c>
      <c r="AX82" s="26">
        <f t="shared" si="18"/>
        <v>0.2134777911495751</v>
      </c>
      <c r="AY82" s="26">
        <f t="shared" si="19"/>
        <v>0.17997385819758921</v>
      </c>
      <c r="AZ82" s="26">
        <f t="shared" si="20"/>
        <v>9.9541323359048264E-2</v>
      </c>
      <c r="BA82" s="26">
        <f t="shared" si="21"/>
        <v>5.9343908865797809E-2</v>
      </c>
      <c r="BB82" s="26">
        <f t="shared" si="22"/>
        <v>9.762034671685807E-2</v>
      </c>
      <c r="BC82" s="62">
        <f t="shared" si="23"/>
        <v>3.1695730406656621</v>
      </c>
    </row>
    <row r="83" spans="35:55" x14ac:dyDescent="0.2">
      <c r="AI83" s="4">
        <v>41243</v>
      </c>
      <c r="AJ83" s="26">
        <f t="shared" si="4"/>
        <v>0</v>
      </c>
      <c r="AK83" s="26">
        <f t="shared" si="5"/>
        <v>0</v>
      </c>
      <c r="AL83" s="26">
        <f t="shared" si="6"/>
        <v>0</v>
      </c>
      <c r="AM83" s="26">
        <f t="shared" si="7"/>
        <v>0</v>
      </c>
      <c r="AN83" s="26">
        <f t="shared" si="8"/>
        <v>0</v>
      </c>
      <c r="AO83" s="26">
        <f t="shared" si="9"/>
        <v>9.0356603328137206E-2</v>
      </c>
      <c r="AP83" s="26">
        <f t="shared" si="10"/>
        <v>0</v>
      </c>
      <c r="AQ83" s="26">
        <f t="shared" si="11"/>
        <v>0</v>
      </c>
      <c r="AR83" s="26">
        <f t="shared" si="12"/>
        <v>0.3532416937288726</v>
      </c>
      <c r="AS83" s="26">
        <f t="shared" si="13"/>
        <v>0.40809515439714655</v>
      </c>
      <c r="AT83" s="26">
        <f t="shared" si="14"/>
        <v>0.27163626226044463</v>
      </c>
      <c r="AU83" s="26">
        <f t="shared" si="15"/>
        <v>0.37394342158396437</v>
      </c>
      <c r="AV83" s="26">
        <f t="shared" si="16"/>
        <v>0.35934448821215198</v>
      </c>
      <c r="AW83" s="26">
        <f t="shared" si="17"/>
        <v>0.56542305686465255</v>
      </c>
      <c r="AX83" s="26">
        <f t="shared" si="18"/>
        <v>0.20153087396036448</v>
      </c>
      <c r="AY83" s="26">
        <f t="shared" si="19"/>
        <v>0.16550810263906524</v>
      </c>
      <c r="AZ83" s="26">
        <f t="shared" si="20"/>
        <v>8.9901039873466024E-2</v>
      </c>
      <c r="BA83" s="26">
        <f t="shared" si="21"/>
        <v>5.5103792769804379E-2</v>
      </c>
      <c r="BB83" s="26">
        <f t="shared" si="22"/>
        <v>9.1813054329170765E-2</v>
      </c>
      <c r="BC83" s="62">
        <f t="shared" si="23"/>
        <v>3.0258975439472406</v>
      </c>
    </row>
    <row r="84" spans="35:55" x14ac:dyDescent="0.2">
      <c r="AI84" s="4">
        <v>41274</v>
      </c>
      <c r="AJ84" s="26">
        <f t="shared" si="4"/>
        <v>0</v>
      </c>
      <c r="AK84" s="26">
        <f t="shared" si="5"/>
        <v>0</v>
      </c>
      <c r="AL84" s="26">
        <f t="shared" si="6"/>
        <v>0</v>
      </c>
      <c r="AM84" s="26">
        <f t="shared" si="7"/>
        <v>0</v>
      </c>
      <c r="AN84" s="26">
        <f t="shared" si="8"/>
        <v>0</v>
      </c>
      <c r="AO84" s="26">
        <f t="shared" si="9"/>
        <v>9.2282823783108814E-2</v>
      </c>
      <c r="AP84" s="26">
        <f t="shared" si="10"/>
        <v>0</v>
      </c>
      <c r="AQ84" s="26">
        <f t="shared" si="11"/>
        <v>0</v>
      </c>
      <c r="AR84" s="26">
        <f t="shared" si="12"/>
        <v>0.36547126837957289</v>
      </c>
      <c r="AS84" s="26">
        <f t="shared" si="13"/>
        <v>0.41409384374748676</v>
      </c>
      <c r="AT84" s="26">
        <f t="shared" si="14"/>
        <v>0.28059254991028054</v>
      </c>
      <c r="AU84" s="26">
        <f t="shared" si="15"/>
        <v>0.39429281209524125</v>
      </c>
      <c r="AV84" s="26">
        <f t="shared" si="16"/>
        <v>0.37339916172988274</v>
      </c>
      <c r="AW84" s="26">
        <f t="shared" si="17"/>
        <v>0.59721251782740903</v>
      </c>
      <c r="AX84" s="26">
        <f t="shared" si="18"/>
        <v>0.2087272842194472</v>
      </c>
      <c r="AY84" s="26">
        <f t="shared" si="19"/>
        <v>0.16995502464175274</v>
      </c>
      <c r="AZ84" s="26">
        <f t="shared" si="20"/>
        <v>9.3655002864904274E-2</v>
      </c>
      <c r="BA84" s="26">
        <f t="shared" si="21"/>
        <v>5.7079635639095065E-2</v>
      </c>
      <c r="BB84" s="26">
        <f t="shared" si="22"/>
        <v>9.4378459888063079E-2</v>
      </c>
      <c r="BC84" s="62">
        <f t="shared" si="23"/>
        <v>3.1411403847262447</v>
      </c>
    </row>
    <row r="85" spans="35:55" x14ac:dyDescent="0.2">
      <c r="AI85" s="4">
        <v>41305</v>
      </c>
      <c r="AJ85" s="26">
        <f t="shared" si="4"/>
        <v>0</v>
      </c>
      <c r="AK85" s="26">
        <f t="shared" si="5"/>
        <v>0</v>
      </c>
      <c r="AL85" s="26">
        <f t="shared" si="6"/>
        <v>0</v>
      </c>
      <c r="AM85" s="26">
        <f t="shared" si="7"/>
        <v>0</v>
      </c>
      <c r="AN85" s="26">
        <f t="shared" si="8"/>
        <v>0</v>
      </c>
      <c r="AO85" s="26">
        <f t="shared" si="9"/>
        <v>0.11147565421554079</v>
      </c>
      <c r="AP85" s="26">
        <f t="shared" si="10"/>
        <v>0</v>
      </c>
      <c r="AQ85" s="26">
        <f t="shared" si="11"/>
        <v>0</v>
      </c>
      <c r="AR85" s="26">
        <f t="shared" si="12"/>
        <v>0.42225856481441765</v>
      </c>
      <c r="AS85" s="26">
        <f t="shared" si="13"/>
        <v>0.4779042838769601</v>
      </c>
      <c r="AT85" s="26">
        <f t="shared" si="14"/>
        <v>0.32070735739133249</v>
      </c>
      <c r="AU85" s="26">
        <f t="shared" si="15"/>
        <v>0.43294117218115347</v>
      </c>
      <c r="AV85" s="26">
        <f t="shared" si="16"/>
        <v>0.40738294186419105</v>
      </c>
      <c r="AW85" s="26">
        <f t="shared" si="17"/>
        <v>0.63050223037523623</v>
      </c>
      <c r="AX85" s="26">
        <f t="shared" si="18"/>
        <v>0.21519895198885725</v>
      </c>
      <c r="AY85" s="26">
        <f t="shared" si="19"/>
        <v>0.17403623019297221</v>
      </c>
      <c r="AZ85" s="26">
        <f t="shared" si="20"/>
        <v>9.2825461731603637E-2</v>
      </c>
      <c r="BA85" s="26">
        <f t="shared" si="21"/>
        <v>5.4932452066018392E-2</v>
      </c>
      <c r="BB85" s="26">
        <f t="shared" si="22"/>
        <v>9.0692334148986795E-2</v>
      </c>
      <c r="BC85" s="62">
        <f t="shared" si="23"/>
        <v>3.4308576348472699</v>
      </c>
    </row>
    <row r="86" spans="35:55" x14ac:dyDescent="0.2">
      <c r="AI86" s="4">
        <v>41333</v>
      </c>
      <c r="AJ86" s="26">
        <f t="shared" si="4"/>
        <v>0</v>
      </c>
      <c r="AK86" s="26">
        <f t="shared" si="5"/>
        <v>0</v>
      </c>
      <c r="AL86" s="26">
        <f t="shared" si="6"/>
        <v>0</v>
      </c>
      <c r="AM86" s="26">
        <f t="shared" si="7"/>
        <v>0</v>
      </c>
      <c r="AN86" s="26">
        <f t="shared" si="8"/>
        <v>0</v>
      </c>
      <c r="AO86" s="26">
        <f t="shared" si="9"/>
        <v>0.11373759151810174</v>
      </c>
      <c r="AP86" s="26">
        <f t="shared" si="10"/>
        <v>0</v>
      </c>
      <c r="AQ86" s="26">
        <f t="shared" si="11"/>
        <v>0</v>
      </c>
      <c r="AR86" s="26">
        <f t="shared" si="12"/>
        <v>0.41620965553578354</v>
      </c>
      <c r="AS86" s="26">
        <f t="shared" si="13"/>
        <v>0.47243574241847974</v>
      </c>
      <c r="AT86" s="26">
        <f t="shared" si="14"/>
        <v>0.31699345834919673</v>
      </c>
      <c r="AU86" s="26">
        <f t="shared" si="15"/>
        <v>0.43429766348471338</v>
      </c>
      <c r="AV86" s="26">
        <f t="shared" si="16"/>
        <v>0.40718253407512123</v>
      </c>
      <c r="AW86" s="26">
        <f t="shared" si="17"/>
        <v>0.62504553083721703</v>
      </c>
      <c r="AX86" s="26">
        <f t="shared" si="18"/>
        <v>0.21563697727694839</v>
      </c>
      <c r="AY86" s="26">
        <f t="shared" si="19"/>
        <v>0.17683164264493831</v>
      </c>
      <c r="AZ86" s="26">
        <f t="shared" si="20"/>
        <v>9.3203544508513397E-2</v>
      </c>
      <c r="BA86" s="26">
        <f t="shared" si="21"/>
        <v>5.4496543614864973E-2</v>
      </c>
      <c r="BB86" s="26">
        <f t="shared" si="22"/>
        <v>8.8579922203624151E-2</v>
      </c>
      <c r="BC86" s="62">
        <f t="shared" si="23"/>
        <v>3.4146508064675021</v>
      </c>
    </row>
    <row r="87" spans="35:55" x14ac:dyDescent="0.2">
      <c r="AI87" s="4">
        <v>41361</v>
      </c>
      <c r="AJ87" s="26">
        <f t="shared" si="4"/>
        <v>0</v>
      </c>
      <c r="AK87" s="26">
        <f t="shared" si="5"/>
        <v>1.0534661571650057</v>
      </c>
      <c r="AL87" s="26">
        <f t="shared" si="6"/>
        <v>0</v>
      </c>
      <c r="AM87" s="26">
        <f t="shared" si="7"/>
        <v>0</v>
      </c>
      <c r="AN87" s="26">
        <f t="shared" si="8"/>
        <v>1.1843385142141729</v>
      </c>
      <c r="AO87" s="26">
        <f t="shared" si="9"/>
        <v>7.693144295843693E-2</v>
      </c>
      <c r="AP87" s="26">
        <f t="shared" si="10"/>
        <v>0</v>
      </c>
      <c r="AQ87" s="26">
        <f t="shared" si="11"/>
        <v>0</v>
      </c>
      <c r="AR87" s="26">
        <f t="shared" si="12"/>
        <v>0.27613848793604312</v>
      </c>
      <c r="AS87" s="26">
        <f t="shared" si="13"/>
        <v>0.31262665841357656</v>
      </c>
      <c r="AT87" s="26">
        <f t="shared" si="14"/>
        <v>0.2082197789949127</v>
      </c>
      <c r="AU87" s="26">
        <f t="shared" si="15"/>
        <v>0.28018607133466555</v>
      </c>
      <c r="AV87" s="26">
        <f t="shared" si="16"/>
        <v>0.26420124081344853</v>
      </c>
      <c r="AW87" s="26">
        <f t="shared" si="17"/>
        <v>0.4045700302679861</v>
      </c>
      <c r="AX87" s="26">
        <f t="shared" si="18"/>
        <v>0.13830011470081338</v>
      </c>
      <c r="AY87" s="26">
        <f t="shared" si="19"/>
        <v>0.1141853525858038</v>
      </c>
      <c r="AZ87" s="26">
        <f t="shared" si="20"/>
        <v>5.8240231388522461E-2</v>
      </c>
      <c r="BA87" s="26">
        <f t="shared" si="21"/>
        <v>3.4225443233026252E-2</v>
      </c>
      <c r="BB87" s="26">
        <f t="shared" si="22"/>
        <v>5.3640282338419477E-2</v>
      </c>
      <c r="BC87" s="62">
        <f t="shared" si="23"/>
        <v>4.4592698063448344</v>
      </c>
    </row>
    <row r="88" spans="35:55" x14ac:dyDescent="0.2">
      <c r="AI88" s="4">
        <v>41394</v>
      </c>
      <c r="AJ88" s="26">
        <f t="shared" si="4"/>
        <v>0</v>
      </c>
      <c r="AK88" s="26">
        <f t="shared" si="5"/>
        <v>0.99171004500891691</v>
      </c>
      <c r="AL88" s="26">
        <f t="shared" si="6"/>
        <v>0</v>
      </c>
      <c r="AM88" s="26">
        <f t="shared" si="7"/>
        <v>0</v>
      </c>
      <c r="AN88" s="26">
        <f t="shared" si="8"/>
        <v>1.0443831853405086</v>
      </c>
      <c r="AO88" s="26">
        <f t="shared" si="9"/>
        <v>6.3860774094008269E-2</v>
      </c>
      <c r="AP88" s="26">
        <f t="shared" si="10"/>
        <v>0</v>
      </c>
      <c r="AQ88" s="26">
        <f t="shared" si="11"/>
        <v>0</v>
      </c>
      <c r="AR88" s="26">
        <f t="shared" si="12"/>
        <v>0.24281113065275262</v>
      </c>
      <c r="AS88" s="26">
        <f t="shared" si="13"/>
        <v>0.26529898344211988</v>
      </c>
      <c r="AT88" s="26">
        <f t="shared" si="14"/>
        <v>0.16375852125726273</v>
      </c>
      <c r="AU88" s="26">
        <f t="shared" si="15"/>
        <v>0.24555736676719908</v>
      </c>
      <c r="AV88" s="26">
        <f t="shared" si="16"/>
        <v>0.21919228352632442</v>
      </c>
      <c r="AW88" s="26">
        <f t="shared" si="17"/>
        <v>0.3257778809870599</v>
      </c>
      <c r="AX88" s="26">
        <f t="shared" si="18"/>
        <v>0.12054461820130651</v>
      </c>
      <c r="AY88" s="26">
        <f t="shared" si="19"/>
        <v>0.10019232330928479</v>
      </c>
      <c r="AZ88" s="26">
        <f t="shared" si="20"/>
        <v>4.9449839427247129E-2</v>
      </c>
      <c r="BA88" s="26">
        <f t="shared" si="21"/>
        <v>2.9754063762360207E-2</v>
      </c>
      <c r="BB88" s="26">
        <f t="shared" si="22"/>
        <v>4.749242225212405E-2</v>
      </c>
      <c r="BC88" s="62">
        <f t="shared" si="23"/>
        <v>3.9097834380284753</v>
      </c>
    </row>
    <row r="89" spans="35:55" x14ac:dyDescent="0.2">
      <c r="AI89" s="4">
        <v>41425</v>
      </c>
      <c r="AJ89" s="26">
        <f t="shared" si="4"/>
        <v>0</v>
      </c>
      <c r="AK89" s="26">
        <f t="shared" si="5"/>
        <v>1.1702923986528342</v>
      </c>
      <c r="AL89" s="26">
        <f t="shared" si="6"/>
        <v>0</v>
      </c>
      <c r="AM89" s="26">
        <f t="shared" si="7"/>
        <v>0</v>
      </c>
      <c r="AN89" s="26">
        <f t="shared" si="8"/>
        <v>1.2852239391679479</v>
      </c>
      <c r="AO89" s="26">
        <f t="shared" si="9"/>
        <v>8.4646027857573178E-2</v>
      </c>
      <c r="AP89" s="26">
        <f t="shared" si="10"/>
        <v>0</v>
      </c>
      <c r="AQ89" s="26">
        <f t="shared" si="11"/>
        <v>0</v>
      </c>
      <c r="AR89" s="26">
        <f t="shared" si="12"/>
        <v>0.30746970484149688</v>
      </c>
      <c r="AS89" s="26">
        <f t="shared" si="13"/>
        <v>0.33672386908398877</v>
      </c>
      <c r="AT89" s="26">
        <f t="shared" si="14"/>
        <v>0.22627706270544165</v>
      </c>
      <c r="AU89" s="26">
        <f t="shared" si="15"/>
        <v>0.28974397314046357</v>
      </c>
      <c r="AV89" s="26">
        <f t="shared" si="16"/>
        <v>0.25857409934020292</v>
      </c>
      <c r="AW89" s="26">
        <f t="shared" si="17"/>
        <v>0.40864378403164592</v>
      </c>
      <c r="AX89" s="26">
        <f t="shared" si="18"/>
        <v>0.12213882932628811</v>
      </c>
      <c r="AY89" s="26">
        <f t="shared" si="19"/>
        <v>0.10060660534680568</v>
      </c>
      <c r="AZ89" s="26">
        <f t="shared" si="20"/>
        <v>5.0751905603761104E-2</v>
      </c>
      <c r="BA89" s="26">
        <f t="shared" si="21"/>
        <v>2.7786318752515277E-2</v>
      </c>
      <c r="BB89" s="26">
        <f t="shared" si="22"/>
        <v>4.5148963252193287E-2</v>
      </c>
      <c r="BC89" s="62">
        <f t="shared" si="23"/>
        <v>4.7140274811031579</v>
      </c>
    </row>
    <row r="90" spans="35:55" x14ac:dyDescent="0.2">
      <c r="AI90" s="4">
        <v>41453</v>
      </c>
      <c r="AJ90" s="26">
        <f t="shared" si="4"/>
        <v>0</v>
      </c>
      <c r="AK90" s="26">
        <f t="shared" si="5"/>
        <v>1.2208504190725671</v>
      </c>
      <c r="AL90" s="26">
        <f t="shared" si="6"/>
        <v>0</v>
      </c>
      <c r="AM90" s="26">
        <f t="shared" si="7"/>
        <v>0</v>
      </c>
      <c r="AN90" s="26">
        <f t="shared" si="8"/>
        <v>1.3536517315968191</v>
      </c>
      <c r="AO90" s="26">
        <f t="shared" si="9"/>
        <v>9.1559288443635548E-2</v>
      </c>
      <c r="AP90" s="26">
        <f t="shared" si="10"/>
        <v>0</v>
      </c>
      <c r="AQ90" s="26">
        <f t="shared" si="11"/>
        <v>0</v>
      </c>
      <c r="AR90" s="26">
        <f t="shared" si="12"/>
        <v>0.33749656995736932</v>
      </c>
      <c r="AS90" s="26">
        <f t="shared" si="13"/>
        <v>0.37939782205501293</v>
      </c>
      <c r="AT90" s="26">
        <f t="shared" si="14"/>
        <v>0.26164556144064377</v>
      </c>
      <c r="AU90" s="26">
        <f t="shared" si="15"/>
        <v>0.32443847186575686</v>
      </c>
      <c r="AV90" s="26">
        <f t="shared" si="16"/>
        <v>0.30277685235213408</v>
      </c>
      <c r="AW90" s="26">
        <f t="shared" si="17"/>
        <v>0.48751093307620952</v>
      </c>
      <c r="AX90" s="26">
        <f t="shared" si="18"/>
        <v>0.14074747857011566</v>
      </c>
      <c r="AY90" s="26">
        <f t="shared" si="19"/>
        <v>0.11697331031166985</v>
      </c>
      <c r="AZ90" s="26">
        <f t="shared" si="20"/>
        <v>5.5548764199514239E-2</v>
      </c>
      <c r="BA90" s="26">
        <f t="shared" si="21"/>
        <v>3.0164602777617202E-2</v>
      </c>
      <c r="BB90" s="26">
        <f t="shared" si="22"/>
        <v>4.7034187944017009E-2</v>
      </c>
      <c r="BC90" s="62">
        <f t="shared" si="23"/>
        <v>5.1497959936630808</v>
      </c>
    </row>
    <row r="91" spans="35:55" x14ac:dyDescent="0.2">
      <c r="AI91" s="4">
        <v>41486</v>
      </c>
      <c r="AJ91" s="26">
        <f t="shared" si="4"/>
        <v>0</v>
      </c>
      <c r="AK91" s="26">
        <f t="shared" si="5"/>
        <v>1.2903787135839853</v>
      </c>
      <c r="AL91" s="26">
        <f t="shared" si="6"/>
        <v>0</v>
      </c>
      <c r="AM91" s="26">
        <f t="shared" si="7"/>
        <v>0</v>
      </c>
      <c r="AN91" s="26">
        <f t="shared" si="8"/>
        <v>1.4680409981077325</v>
      </c>
      <c r="AO91" s="26">
        <f t="shared" si="9"/>
        <v>9.9693797772190978E-2</v>
      </c>
      <c r="AP91" s="26">
        <f t="shared" si="10"/>
        <v>0</v>
      </c>
      <c r="AQ91" s="26">
        <f t="shared" si="11"/>
        <v>0</v>
      </c>
      <c r="AR91" s="26">
        <f t="shared" si="12"/>
        <v>0.36706542030633665</v>
      </c>
      <c r="AS91" s="26">
        <f t="shared" si="13"/>
        <v>0.40738491568568214</v>
      </c>
      <c r="AT91" s="26">
        <f t="shared" si="14"/>
        <v>0.28220419069181107</v>
      </c>
      <c r="AU91" s="26">
        <f t="shared" si="15"/>
        <v>0.34034408184027348</v>
      </c>
      <c r="AV91" s="26">
        <f t="shared" si="16"/>
        <v>0.31239209276411201</v>
      </c>
      <c r="AW91" s="26">
        <f t="shared" si="17"/>
        <v>0.49940908323671884</v>
      </c>
      <c r="AX91" s="26">
        <f t="shared" si="18"/>
        <v>0.14722773406530326</v>
      </c>
      <c r="AY91" s="26">
        <f t="shared" si="19"/>
        <v>0.12140485048158302</v>
      </c>
      <c r="AZ91" s="26">
        <f t="shared" si="20"/>
        <v>5.9488451654478636E-2</v>
      </c>
      <c r="BA91" s="26">
        <f t="shared" si="21"/>
        <v>3.1631905078660677E-2</v>
      </c>
      <c r="BB91" s="26">
        <f t="shared" si="22"/>
        <v>4.9071843131550455E-2</v>
      </c>
      <c r="BC91" s="62">
        <f t="shared" si="23"/>
        <v>5.4757380784004193</v>
      </c>
    </row>
    <row r="92" spans="35:55" x14ac:dyDescent="0.2">
      <c r="AI92" s="4">
        <v>41516</v>
      </c>
      <c r="AJ92" s="26">
        <f t="shared" si="4"/>
        <v>0</v>
      </c>
      <c r="AK92" s="26">
        <f t="shared" si="5"/>
        <v>1.3224246470505765</v>
      </c>
      <c r="AL92" s="26">
        <f t="shared" si="6"/>
        <v>0</v>
      </c>
      <c r="AM92" s="26">
        <f t="shared" si="7"/>
        <v>0</v>
      </c>
      <c r="AN92" s="26">
        <f t="shared" si="8"/>
        <v>1.4953595277041627</v>
      </c>
      <c r="AO92" s="26">
        <f t="shared" si="9"/>
        <v>0.10054569826584384</v>
      </c>
      <c r="AP92" s="26">
        <f t="shared" si="10"/>
        <v>0</v>
      </c>
      <c r="AQ92" s="26">
        <f t="shared" si="11"/>
        <v>0</v>
      </c>
      <c r="AR92" s="26">
        <f t="shared" si="12"/>
        <v>0.378089821657981</v>
      </c>
      <c r="AS92" s="26">
        <f t="shared" si="13"/>
        <v>0.42161103080162338</v>
      </c>
      <c r="AT92" s="26">
        <f t="shared" si="14"/>
        <v>0.29012679893552656</v>
      </c>
      <c r="AU92" s="26">
        <f t="shared" si="15"/>
        <v>0.36324427925125891</v>
      </c>
      <c r="AV92" s="26">
        <f t="shared" si="16"/>
        <v>0.33087590168823316</v>
      </c>
      <c r="AW92" s="26">
        <f t="shared" si="17"/>
        <v>0.52733758660270325</v>
      </c>
      <c r="AX92" s="26">
        <f t="shared" si="18"/>
        <v>0.16114789166788238</v>
      </c>
      <c r="AY92" s="26">
        <f t="shared" si="19"/>
        <v>0.13102535032467943</v>
      </c>
      <c r="AZ92" s="26">
        <f t="shared" si="20"/>
        <v>6.249816379307311E-2</v>
      </c>
      <c r="BA92" s="26">
        <f t="shared" si="21"/>
        <v>3.3208646587823167E-2</v>
      </c>
      <c r="BB92" s="26">
        <f t="shared" si="22"/>
        <v>5.1243937485172079E-2</v>
      </c>
      <c r="BC92" s="62">
        <f t="shared" si="23"/>
        <v>5.6687392818165403</v>
      </c>
    </row>
    <row r="93" spans="35:55" x14ac:dyDescent="0.2">
      <c r="AI93" s="4">
        <v>41547</v>
      </c>
      <c r="AJ93" s="26">
        <f t="shared" si="4"/>
        <v>0</v>
      </c>
      <c r="AK93" s="26">
        <f t="shared" si="5"/>
        <v>1.3650291992713155</v>
      </c>
      <c r="AL93" s="26">
        <f t="shared" si="6"/>
        <v>0</v>
      </c>
      <c r="AM93" s="26">
        <f t="shared" si="7"/>
        <v>0</v>
      </c>
      <c r="AN93" s="26">
        <f t="shared" si="8"/>
        <v>1.5457535534716789</v>
      </c>
      <c r="AO93" s="26">
        <f t="shared" si="9"/>
        <v>0.10154588186970416</v>
      </c>
      <c r="AP93" s="26">
        <f t="shared" si="10"/>
        <v>0</v>
      </c>
      <c r="AQ93" s="26">
        <f t="shared" si="11"/>
        <v>0</v>
      </c>
      <c r="AR93" s="26">
        <f t="shared" si="12"/>
        <v>0.37236758794174596</v>
      </c>
      <c r="AS93" s="26">
        <f t="shared" si="13"/>
        <v>0.4141434490601601</v>
      </c>
      <c r="AT93" s="26">
        <f t="shared" si="14"/>
        <v>0.27928432086615013</v>
      </c>
      <c r="AU93" s="26">
        <f t="shared" si="15"/>
        <v>0.35908316312017746</v>
      </c>
      <c r="AV93" s="26">
        <f t="shared" si="16"/>
        <v>0.32331831367319669</v>
      </c>
      <c r="AW93" s="26">
        <f t="shared" si="17"/>
        <v>0.5059967263253905</v>
      </c>
      <c r="AX93" s="26">
        <f t="shared" si="18"/>
        <v>0.15643714967782213</v>
      </c>
      <c r="AY93" s="26">
        <f t="shared" si="19"/>
        <v>0.12555785198881825</v>
      </c>
      <c r="AZ93" s="26">
        <f t="shared" si="20"/>
        <v>5.7749594843199276E-2</v>
      </c>
      <c r="BA93" s="26">
        <f t="shared" si="21"/>
        <v>3.1642494699172151E-2</v>
      </c>
      <c r="BB93" s="26">
        <f t="shared" si="22"/>
        <v>5.1049230181215807E-2</v>
      </c>
      <c r="BC93" s="62">
        <f t="shared" si="23"/>
        <v>5.6889585169897474</v>
      </c>
    </row>
    <row r="94" spans="35:55" x14ac:dyDescent="0.2">
      <c r="AI94" s="4">
        <v>41578</v>
      </c>
      <c r="AJ94" s="26">
        <f t="shared" si="4"/>
        <v>0</v>
      </c>
      <c r="AK94" s="26">
        <f t="shared" si="5"/>
        <v>1.3600162186744202</v>
      </c>
      <c r="AL94" s="26">
        <f t="shared" si="6"/>
        <v>0</v>
      </c>
      <c r="AM94" s="26">
        <f t="shared" si="7"/>
        <v>0</v>
      </c>
      <c r="AN94" s="26">
        <f t="shared" si="8"/>
        <v>1.5244981713288301</v>
      </c>
      <c r="AO94" s="26">
        <f t="shared" si="9"/>
        <v>9.9375085681580183E-2</v>
      </c>
      <c r="AP94" s="26">
        <f t="shared" si="10"/>
        <v>0</v>
      </c>
      <c r="AQ94" s="26">
        <f t="shared" si="11"/>
        <v>0</v>
      </c>
      <c r="AR94" s="26">
        <f t="shared" si="12"/>
        <v>0.3635110702240546</v>
      </c>
      <c r="AS94" s="26">
        <f t="shared" si="13"/>
        <v>0.4032590293867489</v>
      </c>
      <c r="AT94" s="26">
        <f t="shared" si="14"/>
        <v>0.26379212508894767</v>
      </c>
      <c r="AU94" s="26">
        <f t="shared" si="15"/>
        <v>0.35259164627360012</v>
      </c>
      <c r="AV94" s="26">
        <f t="shared" si="16"/>
        <v>0.31185212718220467</v>
      </c>
      <c r="AW94" s="26">
        <f t="shared" si="17"/>
        <v>0.47490753003934039</v>
      </c>
      <c r="AX94" s="26">
        <f t="shared" si="18"/>
        <v>0.15000868757007765</v>
      </c>
      <c r="AY94" s="26">
        <f t="shared" si="19"/>
        <v>0.11732746991267066</v>
      </c>
      <c r="AZ94" s="26">
        <f t="shared" si="20"/>
        <v>5.4517195608718858E-2</v>
      </c>
      <c r="BA94" s="26">
        <f t="shared" si="21"/>
        <v>3.029640463797054E-2</v>
      </c>
      <c r="BB94" s="26">
        <f t="shared" si="22"/>
        <v>5.0825100833939152E-2</v>
      </c>
      <c r="BC94" s="62">
        <f t="shared" si="23"/>
        <v>5.5567778624431039</v>
      </c>
    </row>
    <row r="95" spans="35:55" x14ac:dyDescent="0.2">
      <c r="AI95" s="4">
        <v>41607</v>
      </c>
      <c r="AJ95" s="26">
        <f t="shared" si="4"/>
        <v>0</v>
      </c>
      <c r="AK95" s="26">
        <f t="shared" si="5"/>
        <v>1.4201417288342852</v>
      </c>
      <c r="AL95" s="26">
        <f t="shared" si="6"/>
        <v>0</v>
      </c>
      <c r="AM95" s="26">
        <f t="shared" si="7"/>
        <v>0</v>
      </c>
      <c r="AN95" s="26">
        <f t="shared" si="8"/>
        <v>1.6312717998006656</v>
      </c>
      <c r="AO95" s="26">
        <f t="shared" si="9"/>
        <v>0.1080438324663499</v>
      </c>
      <c r="AP95" s="26">
        <f t="shared" si="10"/>
        <v>0</v>
      </c>
      <c r="AQ95" s="26">
        <f t="shared" si="11"/>
        <v>0</v>
      </c>
      <c r="AR95" s="26">
        <f t="shared" si="12"/>
        <v>0.39696048105393378</v>
      </c>
      <c r="AS95" s="26">
        <f t="shared" si="13"/>
        <v>0.44089958460495116</v>
      </c>
      <c r="AT95" s="26">
        <f t="shared" si="14"/>
        <v>0.29181501663315429</v>
      </c>
      <c r="AU95" s="26">
        <f t="shared" si="15"/>
        <v>0.38252566173510127</v>
      </c>
      <c r="AV95" s="26">
        <f t="shared" si="16"/>
        <v>0.33777000763528009</v>
      </c>
      <c r="AW95" s="26">
        <f t="shared" si="17"/>
        <v>0.51903799870164569</v>
      </c>
      <c r="AX95" s="26">
        <f t="shared" si="18"/>
        <v>0.15889004449574184</v>
      </c>
      <c r="AY95" s="26">
        <f t="shared" si="19"/>
        <v>0.12555856014149883</v>
      </c>
      <c r="AZ95" s="26">
        <f t="shared" si="20"/>
        <v>5.9068152705298402E-2</v>
      </c>
      <c r="BA95" s="26">
        <f t="shared" si="21"/>
        <v>3.234413189581075E-2</v>
      </c>
      <c r="BB95" s="26">
        <f t="shared" si="22"/>
        <v>5.337562625184044E-2</v>
      </c>
      <c r="BC95" s="62">
        <f t="shared" si="23"/>
        <v>5.957702626955558</v>
      </c>
    </row>
    <row r="96" spans="35:55" x14ac:dyDescent="0.2">
      <c r="AI96" s="4">
        <v>41639</v>
      </c>
      <c r="AJ96" s="26">
        <f t="shared" si="4"/>
        <v>0</v>
      </c>
      <c r="AK96" s="26">
        <f t="shared" si="5"/>
        <v>1.4457753584928816</v>
      </c>
      <c r="AL96" s="26">
        <f t="shared" si="6"/>
        <v>0</v>
      </c>
      <c r="AM96" s="26">
        <f t="shared" si="7"/>
        <v>0</v>
      </c>
      <c r="AN96" s="26">
        <f t="shared" si="8"/>
        <v>1.6792643190733048</v>
      </c>
      <c r="AO96" s="26">
        <f t="shared" si="9"/>
        <v>0.1110320232124269</v>
      </c>
      <c r="AP96" s="26">
        <f t="shared" si="10"/>
        <v>0</v>
      </c>
      <c r="AQ96" s="26">
        <f t="shared" si="11"/>
        <v>0</v>
      </c>
      <c r="AR96" s="26">
        <f t="shared" si="12"/>
        <v>0.41773462592762634</v>
      </c>
      <c r="AS96" s="26">
        <f t="shared" si="13"/>
        <v>0.46771391825402786</v>
      </c>
      <c r="AT96" s="26">
        <f t="shared" si="14"/>
        <v>0.31411844512543485</v>
      </c>
      <c r="AU96" s="26">
        <f t="shared" si="15"/>
        <v>0.40740274277122401</v>
      </c>
      <c r="AV96" s="26">
        <f t="shared" si="16"/>
        <v>0.3686106130674035</v>
      </c>
      <c r="AW96" s="26">
        <f t="shared" si="17"/>
        <v>0.58795809134905441</v>
      </c>
      <c r="AX96" s="26">
        <f t="shared" si="18"/>
        <v>0.17545754998711713</v>
      </c>
      <c r="AY96" s="26">
        <f t="shared" si="19"/>
        <v>0.14062896888498169</v>
      </c>
      <c r="AZ96" s="26">
        <f t="shared" si="20"/>
        <v>6.4072856843733442E-2</v>
      </c>
      <c r="BA96" s="26">
        <f t="shared" si="21"/>
        <v>3.5049123640467909E-2</v>
      </c>
      <c r="BB96" s="26">
        <f t="shared" si="22"/>
        <v>5.6548898115743609E-2</v>
      </c>
      <c r="BC96" s="62">
        <f t="shared" si="23"/>
        <v>6.2713675347454272</v>
      </c>
    </row>
    <row r="97" spans="35:55" x14ac:dyDescent="0.2">
      <c r="AI97" s="4">
        <v>41670</v>
      </c>
      <c r="AJ97" s="26">
        <f t="shared" si="4"/>
        <v>0</v>
      </c>
      <c r="AK97" s="26">
        <f t="shared" si="5"/>
        <v>1.4309787693454301</v>
      </c>
      <c r="AL97" s="26">
        <f t="shared" si="6"/>
        <v>0</v>
      </c>
      <c r="AM97" s="26">
        <f t="shared" si="7"/>
        <v>0</v>
      </c>
      <c r="AN97" s="26">
        <f t="shared" si="8"/>
        <v>1.6524149085082325</v>
      </c>
      <c r="AO97" s="26">
        <f t="shared" si="9"/>
        <v>0.10770421434847982</v>
      </c>
      <c r="AP97" s="26">
        <f t="shared" si="10"/>
        <v>0</v>
      </c>
      <c r="AQ97" s="26">
        <f t="shared" si="11"/>
        <v>0</v>
      </c>
      <c r="AR97" s="26">
        <f t="shared" si="12"/>
        <v>0.40083452414572535</v>
      </c>
      <c r="AS97" s="26">
        <f t="shared" si="13"/>
        <v>0.44575117079509152</v>
      </c>
      <c r="AT97" s="26">
        <f t="shared" si="14"/>
        <v>0.29989627798937402</v>
      </c>
      <c r="AU97" s="26">
        <f t="shared" si="15"/>
        <v>0.38587050621592933</v>
      </c>
      <c r="AV97" s="26">
        <f t="shared" si="16"/>
        <v>0.34871733367533098</v>
      </c>
      <c r="AW97" s="26">
        <f t="shared" si="17"/>
        <v>0.54798056835028908</v>
      </c>
      <c r="AX97" s="26">
        <f t="shared" si="18"/>
        <v>0.16613034777041996</v>
      </c>
      <c r="AY97" s="26">
        <f t="shared" si="19"/>
        <v>0.13459681988324002</v>
      </c>
      <c r="AZ97" s="26">
        <f t="shared" si="20"/>
        <v>6.3819799800151011E-2</v>
      </c>
      <c r="BA97" s="26">
        <f t="shared" si="21"/>
        <v>3.417258578760906E-2</v>
      </c>
      <c r="BB97" s="26">
        <f t="shared" si="22"/>
        <v>5.4886945073375729E-2</v>
      </c>
      <c r="BC97" s="62">
        <f t="shared" si="23"/>
        <v>6.0737547716886793</v>
      </c>
    </row>
    <row r="98" spans="35:55" x14ac:dyDescent="0.2">
      <c r="AI98" s="4">
        <v>41698</v>
      </c>
      <c r="AJ98" s="26">
        <f t="shared" si="4"/>
        <v>0</v>
      </c>
      <c r="AK98" s="26">
        <f t="shared" si="5"/>
        <v>1.4430243630376347</v>
      </c>
      <c r="AL98" s="26">
        <f t="shared" si="6"/>
        <v>0</v>
      </c>
      <c r="AM98" s="26">
        <f t="shared" si="7"/>
        <v>0</v>
      </c>
      <c r="AN98" s="26">
        <f t="shared" si="8"/>
        <v>1.6732012047825258</v>
      </c>
      <c r="AO98" s="26">
        <f t="shared" si="9"/>
        <v>0.10925874015495604</v>
      </c>
      <c r="AP98" s="26">
        <f t="shared" si="10"/>
        <v>0</v>
      </c>
      <c r="AQ98" s="26">
        <f t="shared" si="11"/>
        <v>0</v>
      </c>
      <c r="AR98" s="26">
        <f t="shared" si="12"/>
        <v>0.40817410994717246</v>
      </c>
      <c r="AS98" s="26">
        <f t="shared" si="13"/>
        <v>0.4540820988688738</v>
      </c>
      <c r="AT98" s="26">
        <f t="shared" si="14"/>
        <v>0.30593670509309434</v>
      </c>
      <c r="AU98" s="26">
        <f t="shared" si="15"/>
        <v>0.39013669009701996</v>
      </c>
      <c r="AV98" s="26">
        <f t="shared" si="16"/>
        <v>0.35468689336653431</v>
      </c>
      <c r="AW98" s="26">
        <f t="shared" si="17"/>
        <v>0.55918687981535176</v>
      </c>
      <c r="AX98" s="26">
        <f t="shared" si="18"/>
        <v>0.17375913394501707</v>
      </c>
      <c r="AY98" s="26">
        <f t="shared" si="19"/>
        <v>0.1407337307110833</v>
      </c>
      <c r="AZ98" s="26">
        <f t="shared" si="20"/>
        <v>6.4504244363464178E-2</v>
      </c>
      <c r="BA98" s="26">
        <f t="shared" si="21"/>
        <v>3.4626216321625686E-2</v>
      </c>
      <c r="BB98" s="26">
        <f t="shared" si="22"/>
        <v>5.5576869964926064E-2</v>
      </c>
      <c r="BC98" s="62">
        <f t="shared" si="23"/>
        <v>6.1668878804692797</v>
      </c>
    </row>
    <row r="99" spans="35:55" x14ac:dyDescent="0.2">
      <c r="AI99" s="4">
        <v>41729</v>
      </c>
      <c r="AJ99" s="26">
        <f t="shared" si="4"/>
        <v>1.0914439608060942</v>
      </c>
      <c r="AK99" s="26">
        <f t="shared" si="5"/>
        <v>0.97392146492209553</v>
      </c>
      <c r="AL99" s="26">
        <f t="shared" si="6"/>
        <v>0</v>
      </c>
      <c r="AM99" s="26">
        <f t="shared" si="7"/>
        <v>0.72134763631519505</v>
      </c>
      <c r="AN99" s="26">
        <f t="shared" si="8"/>
        <v>1.1331932846514621</v>
      </c>
      <c r="AO99" s="26">
        <f t="shared" si="9"/>
        <v>7.4376062396594056E-2</v>
      </c>
      <c r="AP99" s="26">
        <f t="shared" si="10"/>
        <v>0</v>
      </c>
      <c r="AQ99" s="26">
        <f t="shared" si="11"/>
        <v>0.59883503378193426</v>
      </c>
      <c r="AR99" s="26">
        <f t="shared" si="12"/>
        <v>0.27721933082546529</v>
      </c>
      <c r="AS99" s="26">
        <f t="shared" si="13"/>
        <v>0.30923863302513899</v>
      </c>
      <c r="AT99" s="26">
        <f t="shared" si="14"/>
        <v>0.20981946580531907</v>
      </c>
      <c r="AU99" s="26">
        <f t="shared" si="15"/>
        <v>0.26669922317278416</v>
      </c>
      <c r="AV99" s="26">
        <f t="shared" si="16"/>
        <v>0.24522061993582464</v>
      </c>
      <c r="AW99" s="26">
        <f t="shared" si="17"/>
        <v>0.38632071569377935</v>
      </c>
      <c r="AX99" s="26">
        <f t="shared" si="18"/>
        <v>0.1197250037614206</v>
      </c>
      <c r="AY99" s="26">
        <f t="shared" si="19"/>
        <v>9.7374310567919078E-2</v>
      </c>
      <c r="AZ99" s="26">
        <f t="shared" si="20"/>
        <v>4.3866091644331896E-2</v>
      </c>
      <c r="BA99" s="26">
        <f t="shared" si="21"/>
        <v>2.3203900693867106E-2</v>
      </c>
      <c r="BB99" s="26">
        <f t="shared" si="22"/>
        <v>3.6346529236056052E-2</v>
      </c>
      <c r="BC99" s="62">
        <f t="shared" si="23"/>
        <v>6.6081512672352796</v>
      </c>
    </row>
    <row r="100" spans="35:55" x14ac:dyDescent="0.2">
      <c r="AI100" s="4">
        <v>41759</v>
      </c>
      <c r="AJ100" s="26">
        <f t="shared" si="4"/>
        <v>1.0935740139289902</v>
      </c>
      <c r="AK100" s="26">
        <f t="shared" si="5"/>
        <v>0.97719302574912259</v>
      </c>
      <c r="AL100" s="26">
        <f t="shared" si="6"/>
        <v>0</v>
      </c>
      <c r="AM100" s="26">
        <f t="shared" si="7"/>
        <v>0.7172916676213994</v>
      </c>
      <c r="AN100" s="26">
        <f t="shared" si="8"/>
        <v>1.1213954215328821</v>
      </c>
      <c r="AO100" s="26">
        <f t="shared" si="9"/>
        <v>7.3230133841444681E-2</v>
      </c>
      <c r="AP100" s="26">
        <f t="shared" si="10"/>
        <v>0</v>
      </c>
      <c r="AQ100" s="26">
        <f t="shared" si="11"/>
        <v>0.59505139987211264</v>
      </c>
      <c r="AR100" s="26">
        <f t="shared" si="12"/>
        <v>0.2737752340239985</v>
      </c>
      <c r="AS100" s="26">
        <f t="shared" si="13"/>
        <v>0.3047425048569557</v>
      </c>
      <c r="AT100" s="26">
        <f t="shared" si="14"/>
        <v>0.20652026023893802</v>
      </c>
      <c r="AU100" s="26">
        <f t="shared" si="15"/>
        <v>0.26017303547417692</v>
      </c>
      <c r="AV100" s="26">
        <f t="shared" si="16"/>
        <v>0.23929678856413292</v>
      </c>
      <c r="AW100" s="26">
        <f t="shared" si="17"/>
        <v>0.37483430915681465</v>
      </c>
      <c r="AX100" s="26">
        <f t="shared" si="18"/>
        <v>0.11667142484396097</v>
      </c>
      <c r="AY100" s="26">
        <f t="shared" si="19"/>
        <v>9.4607799718199687E-2</v>
      </c>
      <c r="AZ100" s="26">
        <f t="shared" si="20"/>
        <v>4.236879944668908E-2</v>
      </c>
      <c r="BA100" s="26">
        <f t="shared" si="21"/>
        <v>2.2658977998531549E-2</v>
      </c>
      <c r="BB100" s="26">
        <f t="shared" si="22"/>
        <v>3.6059790912528311E-2</v>
      </c>
      <c r="BC100" s="62">
        <f t="shared" si="23"/>
        <v>6.5494445877808785</v>
      </c>
    </row>
    <row r="101" spans="35:55" x14ac:dyDescent="0.2">
      <c r="AI101" s="4">
        <v>41789</v>
      </c>
      <c r="AJ101" s="26">
        <f t="shared" si="4"/>
        <v>1.0835036556463173</v>
      </c>
      <c r="AK101" s="26">
        <f t="shared" si="5"/>
        <v>0.97061017284856443</v>
      </c>
      <c r="AL101" s="26">
        <f t="shared" si="6"/>
        <v>0</v>
      </c>
      <c r="AM101" s="26">
        <f t="shared" si="7"/>
        <v>0.70021245237065521</v>
      </c>
      <c r="AN101" s="26">
        <f t="shared" si="8"/>
        <v>1.0969639891718956</v>
      </c>
      <c r="AO101" s="26">
        <f t="shared" si="9"/>
        <v>7.1046246126799578E-2</v>
      </c>
      <c r="AP101" s="26">
        <f t="shared" si="10"/>
        <v>0</v>
      </c>
      <c r="AQ101" s="26">
        <f t="shared" si="11"/>
        <v>0.57961582134372802</v>
      </c>
      <c r="AR101" s="26">
        <f t="shared" si="12"/>
        <v>0.26421584239640339</v>
      </c>
      <c r="AS101" s="26">
        <f t="shared" si="13"/>
        <v>0.29285923767443878</v>
      </c>
      <c r="AT101" s="26">
        <f t="shared" si="14"/>
        <v>0.19635525072818252</v>
      </c>
      <c r="AU101" s="26">
        <f t="shared" si="15"/>
        <v>0.24672951244591518</v>
      </c>
      <c r="AV101" s="26">
        <f t="shared" si="16"/>
        <v>0.22457067457249216</v>
      </c>
      <c r="AW101" s="26">
        <f t="shared" si="17"/>
        <v>0.34599761942709356</v>
      </c>
      <c r="AX101" s="26">
        <f t="shared" si="18"/>
        <v>0.10825939139049133</v>
      </c>
      <c r="AY101" s="26">
        <f t="shared" si="19"/>
        <v>8.7245825710077995E-2</v>
      </c>
      <c r="AZ101" s="26">
        <f t="shared" si="20"/>
        <v>3.9706949746779845E-2</v>
      </c>
      <c r="BA101" s="26">
        <f t="shared" si="21"/>
        <v>2.1899674479509985E-2</v>
      </c>
      <c r="BB101" s="26">
        <f t="shared" si="22"/>
        <v>3.5371487248511677E-2</v>
      </c>
      <c r="BC101" s="62">
        <f t="shared" si="23"/>
        <v>6.3651638033278557</v>
      </c>
    </row>
    <row r="102" spans="35:55" x14ac:dyDescent="0.2">
      <c r="AI102" s="4">
        <v>41820</v>
      </c>
      <c r="AJ102" s="26">
        <f t="shared" si="4"/>
        <v>1.0917711498345795</v>
      </c>
      <c r="AK102" s="26">
        <f t="shared" si="5"/>
        <v>0.97557319338710213</v>
      </c>
      <c r="AL102" s="26">
        <f t="shared" si="6"/>
        <v>0</v>
      </c>
      <c r="AM102" s="26">
        <f t="shared" si="7"/>
        <v>0.71157902860434574</v>
      </c>
      <c r="AN102" s="26">
        <f t="shared" si="8"/>
        <v>1.1142555311032309</v>
      </c>
      <c r="AO102" s="26">
        <f t="shared" si="9"/>
        <v>7.2201773928814786E-2</v>
      </c>
      <c r="AP102" s="26">
        <f t="shared" si="10"/>
        <v>0</v>
      </c>
      <c r="AQ102" s="26">
        <f t="shared" si="11"/>
        <v>0.58828177057895303</v>
      </c>
      <c r="AR102" s="26">
        <f t="shared" si="12"/>
        <v>0.27061251951670995</v>
      </c>
      <c r="AS102" s="26">
        <f t="shared" si="13"/>
        <v>0.30355571835292011</v>
      </c>
      <c r="AT102" s="26">
        <f t="shared" si="14"/>
        <v>0.2024908212267828</v>
      </c>
      <c r="AU102" s="26">
        <f t="shared" si="15"/>
        <v>0.2570504619071261</v>
      </c>
      <c r="AV102" s="26">
        <f t="shared" si="16"/>
        <v>0.23611350523279084</v>
      </c>
      <c r="AW102" s="26">
        <f t="shared" si="17"/>
        <v>0.36272316921151682</v>
      </c>
      <c r="AX102" s="26">
        <f t="shared" si="18"/>
        <v>0.11517298731734472</v>
      </c>
      <c r="AY102" s="26">
        <f t="shared" si="19"/>
        <v>9.269478530957799E-2</v>
      </c>
      <c r="AZ102" s="26">
        <f t="shared" si="20"/>
        <v>3.9758991857709876E-2</v>
      </c>
      <c r="BA102" s="26">
        <f t="shared" si="21"/>
        <v>2.222251007490849E-2</v>
      </c>
      <c r="BB102" s="26">
        <f t="shared" si="22"/>
        <v>3.5514866717344301E-2</v>
      </c>
      <c r="BC102" s="62">
        <f t="shared" si="23"/>
        <v>6.4915727841617583</v>
      </c>
    </row>
    <row r="103" spans="35:55" x14ac:dyDescent="0.2">
      <c r="AI103" s="4">
        <v>41851</v>
      </c>
      <c r="AJ103" s="26">
        <f t="shared" si="4"/>
        <v>1.093332651958093</v>
      </c>
      <c r="AK103" s="26">
        <f t="shared" si="5"/>
        <v>0.97474994123397918</v>
      </c>
      <c r="AL103" s="26">
        <f t="shared" si="6"/>
        <v>0</v>
      </c>
      <c r="AM103" s="26">
        <f t="shared" si="7"/>
        <v>0.70951560671431757</v>
      </c>
      <c r="AN103" s="26">
        <f t="shared" si="8"/>
        <v>1.1126356347904367</v>
      </c>
      <c r="AO103" s="26">
        <f t="shared" si="9"/>
        <v>7.260959153736346E-2</v>
      </c>
      <c r="AP103" s="26">
        <f t="shared" si="10"/>
        <v>0</v>
      </c>
      <c r="AQ103" s="26">
        <f t="shared" si="11"/>
        <v>0.58573167862890574</v>
      </c>
      <c r="AR103" s="26">
        <f t="shared" si="12"/>
        <v>0.27140837002554274</v>
      </c>
      <c r="AS103" s="26">
        <f t="shared" si="13"/>
        <v>0.30519306271336799</v>
      </c>
      <c r="AT103" s="26">
        <f t="shared" si="14"/>
        <v>0.20381507322167958</v>
      </c>
      <c r="AU103" s="26">
        <f t="shared" si="15"/>
        <v>0.25986906401552129</v>
      </c>
      <c r="AV103" s="26">
        <f t="shared" si="16"/>
        <v>0.23989427704524668</v>
      </c>
      <c r="AW103" s="26">
        <f t="shared" si="17"/>
        <v>0.37163388347781723</v>
      </c>
      <c r="AX103" s="26">
        <f t="shared" si="18"/>
        <v>0.11826926180119013</v>
      </c>
      <c r="AY103" s="26">
        <f t="shared" si="19"/>
        <v>9.5847207768371384E-2</v>
      </c>
      <c r="AZ103" s="26">
        <f t="shared" si="20"/>
        <v>4.1091691086516259E-2</v>
      </c>
      <c r="BA103" s="26">
        <f t="shared" si="21"/>
        <v>2.2771653140327943E-2</v>
      </c>
      <c r="BB103" s="26">
        <f t="shared" si="22"/>
        <v>3.61792155859764E-2</v>
      </c>
      <c r="BC103" s="62">
        <f t="shared" si="23"/>
        <v>6.514547864744654</v>
      </c>
    </row>
    <row r="104" spans="35:55" x14ac:dyDescent="0.2">
      <c r="AI104" s="4">
        <v>41880</v>
      </c>
      <c r="AJ104" s="26">
        <f t="shared" si="4"/>
        <v>1.0691962412074432</v>
      </c>
      <c r="AK104" s="26">
        <f t="shared" si="5"/>
        <v>0.95465595104672241</v>
      </c>
      <c r="AL104" s="26">
        <f t="shared" si="6"/>
        <v>0</v>
      </c>
      <c r="AM104" s="26">
        <f t="shared" si="7"/>
        <v>0.68275083545316895</v>
      </c>
      <c r="AN104" s="26">
        <f t="shared" si="8"/>
        <v>1.0694638098154323</v>
      </c>
      <c r="AO104" s="26">
        <f t="shared" si="9"/>
        <v>6.8900464535951167E-2</v>
      </c>
      <c r="AP104" s="26">
        <f t="shared" si="10"/>
        <v>0</v>
      </c>
      <c r="AQ104" s="26">
        <f t="shared" si="11"/>
        <v>0.56094355729661716</v>
      </c>
      <c r="AR104" s="26">
        <f t="shared" si="12"/>
        <v>0.25400565662718166</v>
      </c>
      <c r="AS104" s="26">
        <f t="shared" si="13"/>
        <v>0.28783649733871997</v>
      </c>
      <c r="AT104" s="26">
        <f t="shared" si="14"/>
        <v>0.19037184362981857</v>
      </c>
      <c r="AU104" s="26">
        <f t="shared" si="15"/>
        <v>0.24225546284739338</v>
      </c>
      <c r="AV104" s="26">
        <f t="shared" si="16"/>
        <v>0.22156952691511075</v>
      </c>
      <c r="AW104" s="26">
        <f t="shared" si="17"/>
        <v>0.33946974462862706</v>
      </c>
      <c r="AX104" s="26">
        <f t="shared" si="18"/>
        <v>0.11024335182149535</v>
      </c>
      <c r="AY104" s="26">
        <f t="shared" si="19"/>
        <v>8.8988937001121968E-2</v>
      </c>
      <c r="AZ104" s="26">
        <f t="shared" si="20"/>
        <v>3.8809950746744246E-2</v>
      </c>
      <c r="BA104" s="26">
        <f t="shared" si="21"/>
        <v>2.1694276914290569E-2</v>
      </c>
      <c r="BB104" s="26">
        <f t="shared" si="22"/>
        <v>3.5168714496397233E-2</v>
      </c>
      <c r="BC104" s="62">
        <f t="shared" si="23"/>
        <v>6.2363248223222341</v>
      </c>
    </row>
    <row r="105" spans="35:55" x14ac:dyDescent="0.2">
      <c r="AI105" s="4">
        <v>41912</v>
      </c>
      <c r="AJ105" s="26">
        <f t="shared" si="4"/>
        <v>1.0938305354451523</v>
      </c>
      <c r="AK105" s="26">
        <f t="shared" si="5"/>
        <v>0.97838332653518978</v>
      </c>
      <c r="AL105" s="26">
        <f t="shared" si="6"/>
        <v>0</v>
      </c>
      <c r="AM105" s="26">
        <f t="shared" si="7"/>
        <v>0.70259160551232525</v>
      </c>
      <c r="AN105" s="26">
        <f t="shared" si="8"/>
        <v>1.1064662325608958</v>
      </c>
      <c r="AO105" s="26">
        <f t="shared" si="9"/>
        <v>7.1615257880048716E-2</v>
      </c>
      <c r="AP105" s="26">
        <f t="shared" si="10"/>
        <v>0</v>
      </c>
      <c r="AQ105" s="26">
        <f t="shared" si="11"/>
        <v>0.57422242575164739</v>
      </c>
      <c r="AR105" s="26">
        <f t="shared" si="12"/>
        <v>0.26428656159151176</v>
      </c>
      <c r="AS105" s="26">
        <f t="shared" si="13"/>
        <v>0.29812487911525293</v>
      </c>
      <c r="AT105" s="26">
        <f t="shared" si="14"/>
        <v>0.19880647587567762</v>
      </c>
      <c r="AU105" s="26">
        <f t="shared" si="15"/>
        <v>0.25810926832364006</v>
      </c>
      <c r="AV105" s="26">
        <f t="shared" si="16"/>
        <v>0.23650785013633344</v>
      </c>
      <c r="AW105" s="26">
        <f t="shared" si="17"/>
        <v>0.36519262659343643</v>
      </c>
      <c r="AX105" s="26">
        <f t="shared" si="18"/>
        <v>0.11804212329484702</v>
      </c>
      <c r="AY105" s="26">
        <f t="shared" si="19"/>
        <v>9.5365516018527607E-2</v>
      </c>
      <c r="AZ105" s="26">
        <f t="shared" si="20"/>
        <v>3.9977285044976371E-2</v>
      </c>
      <c r="BA105" s="26">
        <f t="shared" si="21"/>
        <v>2.2234863879216585E-2</v>
      </c>
      <c r="BB105" s="26">
        <f t="shared" si="22"/>
        <v>3.56900190828289E-2</v>
      </c>
      <c r="BC105" s="62">
        <f t="shared" si="23"/>
        <v>6.4594468526415074</v>
      </c>
    </row>
    <row r="106" spans="35:55" x14ac:dyDescent="0.2">
      <c r="AI106" s="4">
        <v>41943</v>
      </c>
      <c r="AJ106" s="26">
        <f t="shared" si="4"/>
        <v>1.081179842101132</v>
      </c>
      <c r="AK106" s="26">
        <f t="shared" si="5"/>
        <v>0.96382403377403125</v>
      </c>
      <c r="AL106" s="26">
        <f t="shared" si="6"/>
        <v>0</v>
      </c>
      <c r="AM106" s="26">
        <f t="shared" si="7"/>
        <v>0.68039580890653606</v>
      </c>
      <c r="AN106" s="26">
        <f t="shared" si="8"/>
        <v>1.0706530083665671</v>
      </c>
      <c r="AO106" s="26">
        <f t="shared" si="9"/>
        <v>6.8554680358701242E-2</v>
      </c>
      <c r="AP106" s="26">
        <f t="shared" si="10"/>
        <v>0</v>
      </c>
      <c r="AQ106" s="26">
        <f t="shared" si="11"/>
        <v>0.55405295933165888</v>
      </c>
      <c r="AR106" s="26">
        <f t="shared" si="12"/>
        <v>0.25132337010269207</v>
      </c>
      <c r="AS106" s="26">
        <f t="shared" si="13"/>
        <v>0.28329835563819794</v>
      </c>
      <c r="AT106" s="26">
        <f t="shared" si="14"/>
        <v>0.18513437981611455</v>
      </c>
      <c r="AU106" s="26">
        <f t="shared" si="15"/>
        <v>0.2434166163312092</v>
      </c>
      <c r="AV106" s="26">
        <f t="shared" si="16"/>
        <v>0.22146354171220478</v>
      </c>
      <c r="AW106" s="26">
        <f t="shared" si="17"/>
        <v>0.33831281015386488</v>
      </c>
      <c r="AX106" s="26">
        <f t="shared" si="18"/>
        <v>0.10899645547681223</v>
      </c>
      <c r="AY106" s="26">
        <f t="shared" si="19"/>
        <v>8.7673050741292891E-2</v>
      </c>
      <c r="AZ106" s="26">
        <f t="shared" si="20"/>
        <v>3.7252482868642009E-2</v>
      </c>
      <c r="BA106" s="26">
        <f t="shared" si="21"/>
        <v>2.0895961779266649E-2</v>
      </c>
      <c r="BB106" s="26">
        <f t="shared" si="22"/>
        <v>3.4223433419580125E-2</v>
      </c>
      <c r="BC106" s="62">
        <f t="shared" si="23"/>
        <v>6.230650790878502</v>
      </c>
    </row>
    <row r="107" spans="35:55" x14ac:dyDescent="0.2">
      <c r="AI107" s="4">
        <v>41971</v>
      </c>
      <c r="AJ107" s="26">
        <f t="shared" si="4"/>
        <v>1.0653493381387558</v>
      </c>
      <c r="AK107" s="26">
        <f t="shared" si="5"/>
        <v>0.95006294781623546</v>
      </c>
      <c r="AL107" s="26">
        <f t="shared" si="6"/>
        <v>0</v>
      </c>
      <c r="AM107" s="26">
        <f t="shared" si="7"/>
        <v>0.65978037643805143</v>
      </c>
      <c r="AN107" s="26">
        <f t="shared" si="8"/>
        <v>1.0383564783776702</v>
      </c>
      <c r="AO107" s="26">
        <f t="shared" si="9"/>
        <v>6.5697659735412098E-2</v>
      </c>
      <c r="AP107" s="26">
        <f t="shared" si="10"/>
        <v>0</v>
      </c>
      <c r="AQ107" s="26">
        <f t="shared" si="11"/>
        <v>0.53446099810648007</v>
      </c>
      <c r="AR107" s="26">
        <f t="shared" si="12"/>
        <v>0.23930605793997087</v>
      </c>
      <c r="AS107" s="26">
        <f t="shared" si="13"/>
        <v>0.26950978133154024</v>
      </c>
      <c r="AT107" s="26">
        <f t="shared" si="14"/>
        <v>0.17339638107163677</v>
      </c>
      <c r="AU107" s="26">
        <f t="shared" si="15"/>
        <v>0.23256044547103166</v>
      </c>
      <c r="AV107" s="26">
        <f t="shared" si="16"/>
        <v>0.21084471827605902</v>
      </c>
      <c r="AW107" s="26">
        <f t="shared" si="17"/>
        <v>0.3177916017050153</v>
      </c>
      <c r="AX107" s="26">
        <f t="shared" si="18"/>
        <v>0.10444669077793835</v>
      </c>
      <c r="AY107" s="26">
        <f t="shared" si="19"/>
        <v>8.3533547596983129E-2</v>
      </c>
      <c r="AZ107" s="26">
        <f t="shared" si="20"/>
        <v>3.5584822495201535E-2</v>
      </c>
      <c r="BA107" s="26">
        <f t="shared" si="21"/>
        <v>2.013873498678391E-2</v>
      </c>
      <c r="BB107" s="26">
        <f t="shared" si="22"/>
        <v>3.3303160483342358E-2</v>
      </c>
      <c r="BC107" s="62">
        <f t="shared" si="23"/>
        <v>6.0341237407481083</v>
      </c>
    </row>
    <row r="108" spans="35:55" x14ac:dyDescent="0.2">
      <c r="AI108" s="4">
        <v>42004</v>
      </c>
      <c r="AJ108" s="26">
        <f t="shared" si="4"/>
        <v>1.0234075933010409</v>
      </c>
      <c r="AK108" s="26">
        <f t="shared" si="5"/>
        <v>0.92612544701697386</v>
      </c>
      <c r="AL108" s="26">
        <f t="shared" si="6"/>
        <v>0</v>
      </c>
      <c r="AM108" s="26">
        <f t="shared" si="7"/>
        <v>0.62833610958203201</v>
      </c>
      <c r="AN108" s="26">
        <f t="shared" si="8"/>
        <v>1.0245769797706612</v>
      </c>
      <c r="AO108" s="26">
        <f t="shared" si="9"/>
        <v>6.4074062963634604E-2</v>
      </c>
      <c r="AP108" s="26">
        <f t="shared" si="10"/>
        <v>0</v>
      </c>
      <c r="AQ108" s="26">
        <f t="shared" si="11"/>
        <v>0.50647164198793593</v>
      </c>
      <c r="AR108" s="26">
        <f t="shared" si="12"/>
        <v>0.23483559041789182</v>
      </c>
      <c r="AS108" s="26">
        <f t="shared" si="13"/>
        <v>0.26393304273154944</v>
      </c>
      <c r="AT108" s="26">
        <f t="shared" si="14"/>
        <v>0.16887636865971228</v>
      </c>
      <c r="AU108" s="26">
        <f t="shared" si="15"/>
        <v>0.22874994308784025</v>
      </c>
      <c r="AV108" s="26">
        <f t="shared" si="16"/>
        <v>0.20769633913564339</v>
      </c>
      <c r="AW108" s="26">
        <f t="shared" si="17"/>
        <v>0.31120228421153701</v>
      </c>
      <c r="AX108" s="26">
        <f t="shared" si="18"/>
        <v>0.10272147973520936</v>
      </c>
      <c r="AY108" s="26">
        <f t="shared" si="19"/>
        <v>8.173547205024731E-2</v>
      </c>
      <c r="AZ108" s="26">
        <f t="shared" si="20"/>
        <v>3.4818922759596665E-2</v>
      </c>
      <c r="BA108" s="26">
        <f t="shared" si="21"/>
        <v>1.9709302985268923E-2</v>
      </c>
      <c r="BB108" s="26">
        <f t="shared" si="22"/>
        <v>3.2842891623287879E-2</v>
      </c>
      <c r="BC108" s="62">
        <f t="shared" si="23"/>
        <v>5.8601134720200623</v>
      </c>
    </row>
    <row r="109" spans="35:55" x14ac:dyDescent="0.2">
      <c r="AI109" s="4">
        <v>42034</v>
      </c>
      <c r="AJ109" s="26">
        <f t="shared" si="4"/>
        <v>0.86471682324399723</v>
      </c>
      <c r="AK109" s="26">
        <f t="shared" si="5"/>
        <v>0.78349674135629543</v>
      </c>
      <c r="AL109" s="26">
        <f t="shared" si="6"/>
        <v>0</v>
      </c>
      <c r="AM109" s="26">
        <f t="shared" si="7"/>
        <v>0.49813804190612165</v>
      </c>
      <c r="AN109" s="26">
        <f t="shared" si="8"/>
        <v>0.82855726901999671</v>
      </c>
      <c r="AO109" s="26">
        <f t="shared" si="9"/>
        <v>5.072775186645536E-2</v>
      </c>
      <c r="AP109" s="26">
        <f t="shared" si="10"/>
        <v>0</v>
      </c>
      <c r="AQ109" s="26">
        <f t="shared" si="11"/>
        <v>0.39776204809352106</v>
      </c>
      <c r="AR109" s="26">
        <f t="shared" si="12"/>
        <v>0.18521755319484645</v>
      </c>
      <c r="AS109" s="26">
        <f t="shared" si="13"/>
        <v>0.20822373685799214</v>
      </c>
      <c r="AT109" s="26">
        <f t="shared" si="14"/>
        <v>0.13107987980150448</v>
      </c>
      <c r="AU109" s="26">
        <f t="shared" si="15"/>
        <v>0.18594184833939909</v>
      </c>
      <c r="AV109" s="26">
        <f t="shared" si="16"/>
        <v>0.16628102531840405</v>
      </c>
      <c r="AW109" s="26">
        <f t="shared" si="17"/>
        <v>0.24678592959273035</v>
      </c>
      <c r="AX109" s="26">
        <f t="shared" si="18"/>
        <v>8.5282923053993931E-2</v>
      </c>
      <c r="AY109" s="26">
        <f t="shared" si="19"/>
        <v>6.752664699090033E-2</v>
      </c>
      <c r="AZ109" s="26">
        <f t="shared" si="20"/>
        <v>3.2144960957219471E-2</v>
      </c>
      <c r="BA109" s="26">
        <f t="shared" si="21"/>
        <v>1.8511083742715137E-2</v>
      </c>
      <c r="BB109" s="26">
        <f t="shared" si="22"/>
        <v>3.1537375193686649E-2</v>
      </c>
      <c r="BC109" s="62">
        <f t="shared" si="23"/>
        <v>4.7819316385297785</v>
      </c>
    </row>
    <row r="110" spans="35:55" x14ac:dyDescent="0.2">
      <c r="AI110" s="5">
        <v>42062</v>
      </c>
      <c r="AJ110" s="26">
        <f t="shared" si="4"/>
        <v>0.97179287925741265</v>
      </c>
      <c r="AK110" s="26">
        <f t="shared" si="5"/>
        <v>0.87852901445101417</v>
      </c>
      <c r="AL110" s="26">
        <f t="shared" si="6"/>
        <v>0</v>
      </c>
      <c r="AM110" s="26">
        <f t="shared" si="7"/>
        <v>0.58501771464030849</v>
      </c>
      <c r="AN110" s="26">
        <f t="shared" si="8"/>
        <v>0.95588183948055983</v>
      </c>
      <c r="AO110" s="26">
        <f t="shared" si="9"/>
        <v>5.9956380687599148E-2</v>
      </c>
      <c r="AP110" s="26">
        <f t="shared" si="10"/>
        <v>0</v>
      </c>
      <c r="AQ110" s="26">
        <f t="shared" si="11"/>
        <v>0.4620951906742175</v>
      </c>
      <c r="AR110" s="26">
        <f t="shared" si="12"/>
        <v>0.21955088432373646</v>
      </c>
      <c r="AS110" s="26">
        <f t="shared" si="13"/>
        <v>0.24615221134035611</v>
      </c>
      <c r="AT110" s="26">
        <f t="shared" si="14"/>
        <v>0.15853935961257695</v>
      </c>
      <c r="AU110" s="26">
        <f t="shared" si="15"/>
        <v>0.21498174990348967</v>
      </c>
      <c r="AV110" s="26">
        <f t="shared" si="16"/>
        <v>0.19489489948417257</v>
      </c>
      <c r="AW110" s="26">
        <f t="shared" si="17"/>
        <v>0.2928226975289755</v>
      </c>
      <c r="AX110" s="26">
        <f t="shared" si="18"/>
        <v>9.774436748060647E-2</v>
      </c>
      <c r="AY110" s="26">
        <f t="shared" si="19"/>
        <v>7.8056490466127018E-2</v>
      </c>
      <c r="AZ110" s="26">
        <f t="shared" si="20"/>
        <v>3.6128655943699718E-2</v>
      </c>
      <c r="BA110" s="26">
        <f t="shared" si="21"/>
        <v>2.0585052040909928E-2</v>
      </c>
      <c r="BB110" s="26">
        <f t="shared" si="22"/>
        <v>3.4188755808712216E-2</v>
      </c>
      <c r="BC110" s="62">
        <f t="shared" si="23"/>
        <v>5.5069181431244747</v>
      </c>
    </row>
    <row r="111" spans="35:55" x14ac:dyDescent="0.2">
      <c r="AI111" s="5">
        <v>42094</v>
      </c>
      <c r="AJ111" s="26">
        <f t="shared" si="4"/>
        <v>0.95369712100707082</v>
      </c>
      <c r="AK111" s="26">
        <f t="shared" si="5"/>
        <v>0.86291389300530885</v>
      </c>
      <c r="AL111" s="26">
        <f t="shared" si="6"/>
        <v>0</v>
      </c>
      <c r="AM111" s="26">
        <f t="shared" si="7"/>
        <v>0.56768590477677927</v>
      </c>
      <c r="AN111" s="26">
        <f t="shared" si="8"/>
        <v>0.93314420557377609</v>
      </c>
      <c r="AO111" s="26">
        <f t="shared" si="9"/>
        <v>5.8539445756144691E-2</v>
      </c>
      <c r="AP111" s="26">
        <f t="shared" si="10"/>
        <v>0</v>
      </c>
      <c r="AQ111" s="26">
        <f t="shared" si="11"/>
        <v>0.44467318502443248</v>
      </c>
      <c r="AR111" s="26">
        <f t="shared" si="12"/>
        <v>0.21243766973844683</v>
      </c>
      <c r="AS111" s="26">
        <f t="shared" si="13"/>
        <v>0.23752292798607536</v>
      </c>
      <c r="AT111" s="26">
        <f t="shared" si="14"/>
        <v>0.15218970061032649</v>
      </c>
      <c r="AU111" s="26">
        <f t="shared" si="15"/>
        <v>0.20993887995512173</v>
      </c>
      <c r="AV111" s="26">
        <f t="shared" si="16"/>
        <v>0.18841963735571327</v>
      </c>
      <c r="AW111" s="26">
        <f t="shared" si="17"/>
        <v>0.2820167389562116</v>
      </c>
      <c r="AX111" s="26">
        <f t="shared" si="18"/>
        <v>9.5004272551899721E-2</v>
      </c>
      <c r="AY111" s="26">
        <f t="shared" si="19"/>
        <v>7.6046667574628038E-2</v>
      </c>
      <c r="AZ111" s="26">
        <f t="shared" si="20"/>
        <v>3.7273677664685069E-2</v>
      </c>
      <c r="BA111" s="26">
        <f t="shared" si="21"/>
        <v>2.1581606426178145E-2</v>
      </c>
      <c r="BB111" s="26">
        <f t="shared" si="22"/>
        <v>3.5564409122529679E-2</v>
      </c>
      <c r="BC111" s="62">
        <f t="shared" si="23"/>
        <v>5.3686499430853276</v>
      </c>
    </row>
    <row r="112" spans="35:55" x14ac:dyDescent="0.2">
      <c r="AI112" s="5">
        <v>42124</v>
      </c>
      <c r="AJ112" s="26">
        <f t="shared" si="4"/>
        <v>0.83352739728725578</v>
      </c>
      <c r="AK112" s="26">
        <f t="shared" si="5"/>
        <v>0.75153204282707076</v>
      </c>
      <c r="AL112" s="26">
        <f t="shared" si="6"/>
        <v>0.34544159538159647</v>
      </c>
      <c r="AM112" s="26">
        <f t="shared" si="7"/>
        <v>0.50105336988982085</v>
      </c>
      <c r="AN112" s="26">
        <f t="shared" si="8"/>
        <v>0.82081992545397042</v>
      </c>
      <c r="AO112" s="26">
        <f t="shared" si="9"/>
        <v>5.1487022054763396E-2</v>
      </c>
      <c r="AP112" s="26">
        <f t="shared" si="10"/>
        <v>0.51127860919326784</v>
      </c>
      <c r="AQ112" s="26">
        <f t="shared" si="11"/>
        <v>0.38686899480634956</v>
      </c>
      <c r="AR112" s="26">
        <f t="shared" si="12"/>
        <v>0.18589829216513226</v>
      </c>
      <c r="AS112" s="26">
        <f t="shared" si="13"/>
        <v>0.20779681994498791</v>
      </c>
      <c r="AT112" s="26">
        <f t="shared" si="14"/>
        <v>0.13291922196266356</v>
      </c>
      <c r="AU112" s="26">
        <f t="shared" si="15"/>
        <v>0.18193900842050351</v>
      </c>
      <c r="AV112" s="26">
        <f t="shared" si="16"/>
        <v>0.1633146918744891</v>
      </c>
      <c r="AW112" s="26">
        <f t="shared" si="17"/>
        <v>0.2448978660551232</v>
      </c>
      <c r="AX112" s="26">
        <f t="shared" si="18"/>
        <v>8.2306639717172739E-2</v>
      </c>
      <c r="AY112" s="26">
        <f t="shared" si="19"/>
        <v>6.6081994022123822E-2</v>
      </c>
      <c r="AZ112" s="26">
        <f t="shared" si="20"/>
        <v>3.2182567232353534E-2</v>
      </c>
      <c r="BA112" s="26">
        <f t="shared" si="21"/>
        <v>1.8532037542711162E-2</v>
      </c>
      <c r="BB112" s="26">
        <f t="shared" si="22"/>
        <v>3.0313466317932934E-2</v>
      </c>
      <c r="BC112" s="62">
        <f t="shared" si="23"/>
        <v>5.5481915621492881</v>
      </c>
    </row>
  </sheetData>
  <mergeCells count="1">
    <mergeCell ref="F6:AC6"/>
  </mergeCells>
  <conditionalFormatting sqref="G8:AB8 G9:Z59">
    <cfRule type="cellIs" dxfId="2" priority="3" operator="equal">
      <formula>0</formula>
    </cfRule>
  </conditionalFormatting>
  <conditionalFormatting sqref="AJ8:BC57">
    <cfRule type="cellIs" dxfId="1" priority="2" operator="equal">
      <formula>0</formula>
    </cfRule>
  </conditionalFormatting>
  <conditionalFormatting sqref="AJ63:BC11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58"/>
  <sheetViews>
    <sheetView workbookViewId="0">
      <selection activeCell="P61" sqref="P61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63" t="s">
        <v>29</v>
      </c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30</v>
      </c>
      <c r="J7" s="2" t="s">
        <v>2</v>
      </c>
      <c r="K7" s="2" t="s">
        <v>5</v>
      </c>
      <c r="L7" s="38" t="s">
        <v>8</v>
      </c>
      <c r="M7" s="1" t="s">
        <v>31</v>
      </c>
      <c r="N7" s="2" t="s">
        <v>3</v>
      </c>
      <c r="O7" s="2" t="s">
        <v>6</v>
      </c>
      <c r="P7" s="2" t="s">
        <v>9</v>
      </c>
      <c r="Q7" s="38" t="s">
        <v>12</v>
      </c>
      <c r="R7" s="1" t="s">
        <v>7</v>
      </c>
      <c r="S7" s="2" t="s">
        <v>10</v>
      </c>
      <c r="T7" s="38" t="s">
        <v>13</v>
      </c>
      <c r="U7" s="1" t="s">
        <v>11</v>
      </c>
      <c r="V7" s="38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9"/>
      <c r="H8" s="40"/>
      <c r="I8" s="31"/>
      <c r="J8" s="32"/>
      <c r="K8" s="32"/>
      <c r="L8" s="40">
        <v>24.809722220000001</v>
      </c>
      <c r="M8" s="31"/>
      <c r="N8" s="32"/>
      <c r="O8" s="32"/>
      <c r="P8" s="32">
        <v>25.996111110000001</v>
      </c>
      <c r="Q8" s="40">
        <v>24.191111110000001</v>
      </c>
      <c r="R8" s="31"/>
      <c r="S8" s="32">
        <v>26.182500000000001</v>
      </c>
      <c r="T8" s="40">
        <v>24.448499999999999</v>
      </c>
      <c r="U8" s="31">
        <v>25.970889890000002</v>
      </c>
      <c r="V8" s="40">
        <v>24.161889890000001</v>
      </c>
      <c r="W8" s="41">
        <v>20.548276780000002</v>
      </c>
      <c r="X8" s="41">
        <v>20.218666670000001</v>
      </c>
      <c r="Y8" s="41">
        <v>21.327054560000001</v>
      </c>
      <c r="Z8" s="42"/>
      <c r="AA8" s="43"/>
      <c r="AB8" s="44"/>
      <c r="AC8" s="33">
        <v>23.785472222999999</v>
      </c>
    </row>
    <row r="9" spans="6:29" x14ac:dyDescent="0.2">
      <c r="F9" s="4">
        <v>40662</v>
      </c>
      <c r="G9" s="31"/>
      <c r="H9" s="40"/>
      <c r="I9" s="31"/>
      <c r="J9" s="32"/>
      <c r="K9" s="32"/>
      <c r="L9" s="40">
        <v>24.928443440000002</v>
      </c>
      <c r="M9" s="31"/>
      <c r="N9" s="32"/>
      <c r="O9" s="32"/>
      <c r="P9" s="32">
        <v>26.261222220000001</v>
      </c>
      <c r="Q9" s="40">
        <v>24.35122222</v>
      </c>
      <c r="R9" s="31"/>
      <c r="S9" s="32">
        <v>26.347999999999999</v>
      </c>
      <c r="T9" s="40">
        <v>24.707001000000002</v>
      </c>
      <c r="U9" s="31">
        <v>26.527777780000001</v>
      </c>
      <c r="V9" s="40">
        <v>24.980776779999999</v>
      </c>
      <c r="W9" s="41">
        <v>20.86755556</v>
      </c>
      <c r="X9" s="41">
        <v>20.384334329999998</v>
      </c>
      <c r="Y9" s="41">
        <v>21.451111109999999</v>
      </c>
      <c r="Z9" s="45"/>
      <c r="AA9" s="46"/>
      <c r="AB9" s="47"/>
      <c r="AC9" s="33">
        <v>24.080744444</v>
      </c>
    </row>
    <row r="10" spans="6:29" x14ac:dyDescent="0.2">
      <c r="F10" s="4">
        <v>40694</v>
      </c>
      <c r="G10" s="31"/>
      <c r="H10" s="40"/>
      <c r="I10" s="31"/>
      <c r="J10" s="32"/>
      <c r="K10" s="32"/>
      <c r="L10" s="40">
        <v>25.422723220000002</v>
      </c>
      <c r="M10" s="31"/>
      <c r="N10" s="32"/>
      <c r="O10" s="32"/>
      <c r="P10" s="32">
        <v>26.61711111</v>
      </c>
      <c r="Q10" s="40">
        <v>24.668112110000003</v>
      </c>
      <c r="R10" s="31"/>
      <c r="S10" s="32">
        <v>26.538501</v>
      </c>
      <c r="T10" s="40">
        <v>24.573499999999999</v>
      </c>
      <c r="U10" s="31">
        <v>26.618888890000001</v>
      </c>
      <c r="V10" s="40">
        <v>24.595889890000002</v>
      </c>
      <c r="W10" s="41">
        <v>20.21627878</v>
      </c>
      <c r="X10" s="41">
        <v>20.484665669999998</v>
      </c>
      <c r="Y10" s="41">
        <v>22.12805556</v>
      </c>
      <c r="Z10" s="45"/>
      <c r="AA10" s="46"/>
      <c r="AB10" s="47"/>
      <c r="AC10" s="33">
        <v>24.186372623</v>
      </c>
    </row>
    <row r="11" spans="6:29" x14ac:dyDescent="0.2">
      <c r="F11" s="4">
        <v>40724</v>
      </c>
      <c r="G11" s="31"/>
      <c r="H11" s="40"/>
      <c r="I11" s="31"/>
      <c r="J11" s="32"/>
      <c r="K11" s="32"/>
      <c r="L11" s="40">
        <v>25.649722220000001</v>
      </c>
      <c r="M11" s="31"/>
      <c r="N11" s="32"/>
      <c r="O11" s="32"/>
      <c r="P11" s="32">
        <v>26.88711211</v>
      </c>
      <c r="Q11" s="40">
        <v>24.613111110000002</v>
      </c>
      <c r="R11" s="31"/>
      <c r="S11" s="32">
        <v>26.9175</v>
      </c>
      <c r="T11" s="40">
        <v>24.581500000000002</v>
      </c>
      <c r="U11" s="31">
        <v>27.333888890000001</v>
      </c>
      <c r="V11" s="40">
        <v>24.931887889999999</v>
      </c>
      <c r="W11" s="41">
        <v>20.29027778</v>
      </c>
      <c r="X11" s="41">
        <v>20.83666667</v>
      </c>
      <c r="Y11" s="41">
        <v>22.460056559999998</v>
      </c>
      <c r="Z11" s="45"/>
      <c r="AA11" s="46"/>
      <c r="AB11" s="47"/>
      <c r="AC11" s="33">
        <v>24.450172322999997</v>
      </c>
    </row>
    <row r="12" spans="6:29" x14ac:dyDescent="0.2">
      <c r="F12" s="4">
        <v>40753</v>
      </c>
      <c r="G12" s="31"/>
      <c r="H12" s="40"/>
      <c r="I12" s="31"/>
      <c r="J12" s="32"/>
      <c r="K12" s="32"/>
      <c r="L12" s="40">
        <v>24.934722220000001</v>
      </c>
      <c r="M12" s="31"/>
      <c r="N12" s="32"/>
      <c r="O12" s="32"/>
      <c r="P12" s="32">
        <v>25.72711211</v>
      </c>
      <c r="Q12" s="40">
        <v>23.320110110000002</v>
      </c>
      <c r="R12" s="31"/>
      <c r="S12" s="32">
        <v>25.065498999999999</v>
      </c>
      <c r="T12" s="40">
        <v>22.6755</v>
      </c>
      <c r="U12" s="31">
        <v>25.38888889</v>
      </c>
      <c r="V12" s="40">
        <v>22.857888890000002</v>
      </c>
      <c r="W12" s="41">
        <v>19.352277780000001</v>
      </c>
      <c r="X12" s="41">
        <v>20.004666669999999</v>
      </c>
      <c r="Y12" s="41">
        <v>21.84305556</v>
      </c>
      <c r="Z12" s="45"/>
      <c r="AA12" s="46"/>
      <c r="AB12" s="47"/>
      <c r="AC12" s="33">
        <v>23.116972123000004</v>
      </c>
    </row>
    <row r="13" spans="6:29" x14ac:dyDescent="0.2">
      <c r="F13" s="4">
        <v>40786</v>
      </c>
      <c r="G13" s="31"/>
      <c r="H13" s="40"/>
      <c r="I13" s="31"/>
      <c r="J13" s="32"/>
      <c r="K13" s="32"/>
      <c r="L13" s="40">
        <v>22.059722220000001</v>
      </c>
      <c r="M13" s="31"/>
      <c r="N13" s="32"/>
      <c r="O13" s="32"/>
      <c r="P13" s="32">
        <v>21.273111110000002</v>
      </c>
      <c r="Q13" s="40">
        <v>19.336111110000001</v>
      </c>
      <c r="R13" s="31"/>
      <c r="S13" s="32">
        <v>18.549500000000002</v>
      </c>
      <c r="T13" s="40">
        <v>16.862500000000001</v>
      </c>
      <c r="U13" s="31">
        <v>19.575888890000002</v>
      </c>
      <c r="V13" s="40">
        <v>17.419888889999999</v>
      </c>
      <c r="W13" s="41">
        <v>16.071277779999999</v>
      </c>
      <c r="X13" s="41">
        <v>17.44166667</v>
      </c>
      <c r="Y13" s="41">
        <v>19.96805556</v>
      </c>
      <c r="Z13" s="45"/>
      <c r="AA13" s="46"/>
      <c r="AB13" s="47"/>
      <c r="AC13" s="33">
        <v>18.855772223000002</v>
      </c>
    </row>
    <row r="14" spans="6:29" x14ac:dyDescent="0.2">
      <c r="F14" s="4">
        <v>40816</v>
      </c>
      <c r="G14" s="31"/>
      <c r="H14" s="40"/>
      <c r="I14" s="31"/>
      <c r="J14" s="32"/>
      <c r="K14" s="32"/>
      <c r="L14" s="40">
        <v>18.423166670000001</v>
      </c>
      <c r="M14" s="31"/>
      <c r="N14" s="32"/>
      <c r="O14" s="32"/>
      <c r="P14" s="32">
        <v>16.92133333</v>
      </c>
      <c r="Q14" s="40">
        <v>14.93633333</v>
      </c>
      <c r="R14" s="31"/>
      <c r="S14" s="32">
        <v>15.1685</v>
      </c>
      <c r="T14" s="40">
        <v>13.3095</v>
      </c>
      <c r="U14" s="31">
        <v>16.682667670000001</v>
      </c>
      <c r="V14" s="40">
        <v>14.33866667</v>
      </c>
      <c r="W14" s="41">
        <v>13.070833329999999</v>
      </c>
      <c r="X14" s="41">
        <v>14.693999999999999</v>
      </c>
      <c r="Y14" s="41">
        <v>17.441166670000001</v>
      </c>
      <c r="Z14" s="45"/>
      <c r="AA14" s="46"/>
      <c r="AB14" s="47"/>
      <c r="AC14" s="33">
        <v>15.498616766999998</v>
      </c>
    </row>
    <row r="15" spans="6:29" x14ac:dyDescent="0.2">
      <c r="F15" s="4">
        <v>40847</v>
      </c>
      <c r="G15" s="31"/>
      <c r="H15" s="40"/>
      <c r="I15" s="31"/>
      <c r="J15" s="32"/>
      <c r="K15" s="32"/>
      <c r="L15" s="40">
        <v>18.106723220000003</v>
      </c>
      <c r="M15" s="31"/>
      <c r="N15" s="32"/>
      <c r="O15" s="32"/>
      <c r="P15" s="32">
        <v>16.695110110000002</v>
      </c>
      <c r="Q15" s="40">
        <v>15.273111109999999</v>
      </c>
      <c r="R15" s="31"/>
      <c r="S15" s="32">
        <v>16.362500000000001</v>
      </c>
      <c r="T15" s="40">
        <v>14.143500000000001</v>
      </c>
      <c r="U15" s="31">
        <v>19.26388889</v>
      </c>
      <c r="V15" s="40">
        <v>17.044888889999999</v>
      </c>
      <c r="W15" s="41">
        <v>12.99327778</v>
      </c>
      <c r="X15" s="41">
        <v>14.44166667</v>
      </c>
      <c r="Y15" s="41">
        <v>16.874055559999999</v>
      </c>
      <c r="Z15" s="45"/>
      <c r="AA15" s="46"/>
      <c r="AB15" s="47"/>
      <c r="AC15" s="33">
        <v>16.119872222999998</v>
      </c>
    </row>
    <row r="16" spans="6:29" x14ac:dyDescent="0.2">
      <c r="F16" s="4">
        <v>40877</v>
      </c>
      <c r="G16" s="31"/>
      <c r="H16" s="40"/>
      <c r="I16" s="31"/>
      <c r="J16" s="32"/>
      <c r="K16" s="32"/>
      <c r="L16" s="40">
        <v>17.684722220000001</v>
      </c>
      <c r="M16" s="31"/>
      <c r="N16" s="32"/>
      <c r="O16" s="32"/>
      <c r="P16" s="32">
        <v>16.22711211</v>
      </c>
      <c r="Q16" s="40">
        <v>14.320111109999999</v>
      </c>
      <c r="R16" s="31"/>
      <c r="S16" s="32">
        <v>16.737500000000001</v>
      </c>
      <c r="T16" s="40">
        <v>13.8315</v>
      </c>
      <c r="U16" s="31">
        <v>19.919888889999999</v>
      </c>
      <c r="V16" s="40">
        <v>17.372887890000001</v>
      </c>
      <c r="W16" s="41">
        <v>13.63427778</v>
      </c>
      <c r="X16" s="41">
        <v>15.472666670000001</v>
      </c>
      <c r="Y16" s="41">
        <v>17.749055559999999</v>
      </c>
      <c r="Z16" s="45"/>
      <c r="AA16" s="46"/>
      <c r="AB16" s="47"/>
      <c r="AC16" s="33">
        <v>16.294972222999998</v>
      </c>
    </row>
    <row r="17" spans="6:29" x14ac:dyDescent="0.2">
      <c r="F17" s="4">
        <v>40907</v>
      </c>
      <c r="G17" s="31"/>
      <c r="H17" s="40"/>
      <c r="I17" s="31"/>
      <c r="J17" s="32"/>
      <c r="K17" s="32"/>
      <c r="L17" s="40">
        <v>17.18816567</v>
      </c>
      <c r="M17" s="31"/>
      <c r="N17" s="32"/>
      <c r="O17" s="32"/>
      <c r="P17" s="32">
        <v>15.842333330000001</v>
      </c>
      <c r="Q17" s="40">
        <v>13.639333330000001</v>
      </c>
      <c r="R17" s="31"/>
      <c r="S17" s="32">
        <v>16.7315</v>
      </c>
      <c r="T17" s="40">
        <v>13.528499999999999</v>
      </c>
      <c r="U17" s="31">
        <v>19.853666670000003</v>
      </c>
      <c r="V17" s="40">
        <v>16.932667670000001</v>
      </c>
      <c r="W17" s="41">
        <v>12.882833329999999</v>
      </c>
      <c r="X17" s="41">
        <v>15.006</v>
      </c>
      <c r="Y17" s="41">
        <v>17.363165670000001</v>
      </c>
      <c r="Z17" s="45"/>
      <c r="AA17" s="46"/>
      <c r="AB17" s="47"/>
      <c r="AC17" s="33">
        <v>15.896816567000002</v>
      </c>
    </row>
    <row r="18" spans="6:29" x14ac:dyDescent="0.2">
      <c r="F18" s="4">
        <v>40939</v>
      </c>
      <c r="G18" s="31"/>
      <c r="H18" s="40"/>
      <c r="I18" s="31"/>
      <c r="J18" s="32"/>
      <c r="K18" s="32"/>
      <c r="L18" s="40">
        <v>16.059722220000001</v>
      </c>
      <c r="M18" s="31"/>
      <c r="N18" s="32"/>
      <c r="O18" s="32"/>
      <c r="P18" s="32">
        <v>14.539111109999999</v>
      </c>
      <c r="Q18" s="40">
        <v>12.023111109999999</v>
      </c>
      <c r="R18" s="31"/>
      <c r="S18" s="32">
        <v>15.237500000000001</v>
      </c>
      <c r="T18" s="40">
        <v>12.159500000000001</v>
      </c>
      <c r="U18" s="31">
        <v>17.951888889999999</v>
      </c>
      <c r="V18" s="40">
        <v>15.10788889</v>
      </c>
      <c r="W18" s="41">
        <v>12.50927778</v>
      </c>
      <c r="X18" s="41">
        <v>14.30066667</v>
      </c>
      <c r="Y18" s="41">
        <v>16.84305556</v>
      </c>
      <c r="Z18" s="45"/>
      <c r="AA18" s="46"/>
      <c r="AB18" s="47"/>
      <c r="AC18" s="33">
        <v>14.673172223</v>
      </c>
    </row>
    <row r="19" spans="6:29" x14ac:dyDescent="0.2">
      <c r="F19" s="4">
        <v>40968</v>
      </c>
      <c r="G19" s="31"/>
      <c r="H19" s="40"/>
      <c r="I19" s="31"/>
      <c r="J19" s="32"/>
      <c r="K19" s="32"/>
      <c r="L19" s="40">
        <v>17.903722220000002</v>
      </c>
      <c r="M19" s="31"/>
      <c r="N19" s="32"/>
      <c r="O19" s="32"/>
      <c r="P19" s="32">
        <v>16.836111110000001</v>
      </c>
      <c r="Q19" s="40">
        <v>13.63311111</v>
      </c>
      <c r="R19" s="31"/>
      <c r="S19" s="32">
        <v>17.206500000000002</v>
      </c>
      <c r="T19" s="40">
        <v>13.753500000000001</v>
      </c>
      <c r="U19" s="31">
        <v>19.77988989</v>
      </c>
      <c r="V19" s="40">
        <v>16.65488989</v>
      </c>
      <c r="W19" s="41">
        <v>13.41527778</v>
      </c>
      <c r="X19" s="41">
        <v>15.45766667</v>
      </c>
      <c r="Y19" s="41">
        <v>17.765056560000001</v>
      </c>
      <c r="Z19" s="45"/>
      <c r="AA19" s="46"/>
      <c r="AB19" s="47"/>
      <c r="AC19" s="33">
        <v>16.240572523000001</v>
      </c>
    </row>
    <row r="20" spans="6:29" x14ac:dyDescent="0.2">
      <c r="F20" s="4">
        <v>40998</v>
      </c>
      <c r="G20" s="31"/>
      <c r="H20" s="40"/>
      <c r="I20" s="31"/>
      <c r="J20" s="32"/>
      <c r="K20" s="32"/>
      <c r="L20" s="40">
        <v>19.663444440000003</v>
      </c>
      <c r="M20" s="31"/>
      <c r="N20" s="32"/>
      <c r="O20" s="32">
        <v>20.378222219999998</v>
      </c>
      <c r="P20" s="32">
        <v>18.83122122</v>
      </c>
      <c r="Q20" s="40">
        <v>15.722222220000001</v>
      </c>
      <c r="R20" s="31">
        <v>20.733999000000001</v>
      </c>
      <c r="S20" s="32">
        <v>18.812000000000001</v>
      </c>
      <c r="T20" s="40">
        <v>15.327999999999999</v>
      </c>
      <c r="U20" s="31">
        <v>21.41877878</v>
      </c>
      <c r="V20" s="40">
        <v>18.511776780000002</v>
      </c>
      <c r="W20" s="41">
        <v>14.11755556</v>
      </c>
      <c r="X20" s="41">
        <v>16.30233333</v>
      </c>
      <c r="Y20" s="41">
        <v>18.580111110000001</v>
      </c>
      <c r="Z20" s="45"/>
      <c r="AA20" s="46"/>
      <c r="AB20" s="47"/>
      <c r="AC20" s="33">
        <v>18.199972055</v>
      </c>
    </row>
    <row r="21" spans="6:29" x14ac:dyDescent="0.2">
      <c r="F21" s="4">
        <v>41029</v>
      </c>
      <c r="G21" s="31"/>
      <c r="H21" s="40"/>
      <c r="I21" s="31"/>
      <c r="J21" s="32"/>
      <c r="K21" s="32"/>
      <c r="L21" s="40">
        <v>18.309722220000001</v>
      </c>
      <c r="M21" s="31"/>
      <c r="N21" s="32"/>
      <c r="O21" s="32">
        <v>19.070110110000002</v>
      </c>
      <c r="P21" s="32">
        <v>17.539110109999999</v>
      </c>
      <c r="Q21" s="40">
        <v>14.50811111</v>
      </c>
      <c r="R21" s="31">
        <v>19.3935</v>
      </c>
      <c r="S21" s="32">
        <v>17.440498999999999</v>
      </c>
      <c r="T21" s="40">
        <v>14.0815</v>
      </c>
      <c r="U21" s="31">
        <v>20.716887889999999</v>
      </c>
      <c r="V21" s="40">
        <v>17.857888890000002</v>
      </c>
      <c r="W21" s="41">
        <v>13.54027778</v>
      </c>
      <c r="X21" s="41">
        <v>15.628666669999999</v>
      </c>
      <c r="Y21" s="41">
        <v>19.109056559999999</v>
      </c>
      <c r="Z21" s="45"/>
      <c r="AA21" s="46"/>
      <c r="AB21" s="47"/>
      <c r="AC21" s="33">
        <v>17.266277528333333</v>
      </c>
    </row>
    <row r="22" spans="6:29" x14ac:dyDescent="0.2">
      <c r="F22" s="4">
        <v>41060</v>
      </c>
      <c r="G22" s="31"/>
      <c r="H22" s="40"/>
      <c r="I22" s="31"/>
      <c r="J22" s="32"/>
      <c r="K22" s="32"/>
      <c r="L22" s="40">
        <v>15.418722219999999</v>
      </c>
      <c r="M22" s="31"/>
      <c r="N22" s="32"/>
      <c r="O22" s="32">
        <v>16.711111110000001</v>
      </c>
      <c r="P22" s="32">
        <v>15.023111109999999</v>
      </c>
      <c r="Q22" s="40">
        <v>11.89911111</v>
      </c>
      <c r="R22" s="31">
        <v>17.237500000000001</v>
      </c>
      <c r="S22" s="32">
        <v>15.268500000000001</v>
      </c>
      <c r="T22" s="40">
        <v>12.128500000000001</v>
      </c>
      <c r="U22" s="31">
        <v>18.747887890000001</v>
      </c>
      <c r="V22" s="40">
        <v>15.98288889</v>
      </c>
      <c r="W22" s="41">
        <v>12.18127778</v>
      </c>
      <c r="X22" s="41">
        <v>14.19166667</v>
      </c>
      <c r="Y22" s="41">
        <v>18.312055560000001</v>
      </c>
      <c r="Z22" s="45"/>
      <c r="AA22" s="46"/>
      <c r="AB22" s="47"/>
      <c r="AC22" s="33">
        <v>15.258527695</v>
      </c>
    </row>
    <row r="23" spans="6:29" x14ac:dyDescent="0.2">
      <c r="F23" s="4">
        <v>41089</v>
      </c>
      <c r="G23" s="31"/>
      <c r="H23" s="40"/>
      <c r="I23" s="31"/>
      <c r="J23" s="32"/>
      <c r="K23" s="32"/>
      <c r="L23" s="40">
        <v>15.83544444</v>
      </c>
      <c r="M23" s="31"/>
      <c r="N23" s="32"/>
      <c r="O23" s="32">
        <v>16.410222219999998</v>
      </c>
      <c r="P23" s="32">
        <v>15.42522222</v>
      </c>
      <c r="Q23" s="40">
        <v>12.519222220000001</v>
      </c>
      <c r="R23" s="31">
        <v>17.327998999999998</v>
      </c>
      <c r="S23" s="32">
        <v>15.766</v>
      </c>
      <c r="T23" s="40">
        <v>12.968999999999999</v>
      </c>
      <c r="U23" s="31">
        <v>19.04377878</v>
      </c>
      <c r="V23" s="40">
        <v>16.386776780000002</v>
      </c>
      <c r="W23" s="41">
        <v>12.30555556</v>
      </c>
      <c r="X23" s="41">
        <v>14.06733333</v>
      </c>
      <c r="Y23" s="41">
        <v>17.84511011</v>
      </c>
      <c r="Z23" s="45"/>
      <c r="AA23" s="46"/>
      <c r="AB23" s="47"/>
      <c r="AC23" s="33">
        <v>15.491805388333333</v>
      </c>
    </row>
    <row r="24" spans="6:29" x14ac:dyDescent="0.2">
      <c r="F24" s="4">
        <v>41121</v>
      </c>
      <c r="G24" s="31"/>
      <c r="H24" s="40"/>
      <c r="I24" s="31"/>
      <c r="J24" s="32"/>
      <c r="K24" s="32"/>
      <c r="L24" s="40">
        <v>13.825722219999999</v>
      </c>
      <c r="M24" s="31"/>
      <c r="N24" s="32"/>
      <c r="O24" s="32">
        <v>15.227111109999999</v>
      </c>
      <c r="P24" s="32">
        <v>14.711111109999999</v>
      </c>
      <c r="Q24" s="40">
        <v>12.211111109999999</v>
      </c>
      <c r="R24" s="31">
        <v>17.612500000000001</v>
      </c>
      <c r="S24" s="32">
        <v>15.8155</v>
      </c>
      <c r="T24" s="40">
        <v>13.128500000000001</v>
      </c>
      <c r="U24" s="31">
        <v>18.935889890000002</v>
      </c>
      <c r="V24" s="40">
        <v>16.247888889999999</v>
      </c>
      <c r="W24" s="41">
        <v>12.27427778</v>
      </c>
      <c r="X24" s="41">
        <v>13.894666669999999</v>
      </c>
      <c r="Y24" s="41">
        <v>18.109056559999999</v>
      </c>
      <c r="Z24" s="45"/>
      <c r="AA24" s="46"/>
      <c r="AB24" s="47"/>
      <c r="AC24" s="33">
        <v>15.166111278333332</v>
      </c>
    </row>
    <row r="25" spans="6:29" x14ac:dyDescent="0.2">
      <c r="F25" s="4">
        <v>41152</v>
      </c>
      <c r="G25" s="31"/>
      <c r="H25" s="40"/>
      <c r="I25" s="31"/>
      <c r="J25" s="32"/>
      <c r="K25" s="32"/>
      <c r="L25" s="40">
        <v>14.94788889</v>
      </c>
      <c r="M25" s="31"/>
      <c r="N25" s="32"/>
      <c r="O25" s="32">
        <v>16.510445439999998</v>
      </c>
      <c r="P25" s="32">
        <v>15.80644444</v>
      </c>
      <c r="Q25" s="40">
        <v>13.244444440000001</v>
      </c>
      <c r="R25" s="31">
        <v>18.541000999999998</v>
      </c>
      <c r="S25" s="32">
        <v>16.524999999999999</v>
      </c>
      <c r="T25" s="40">
        <v>14.056000000000001</v>
      </c>
      <c r="U25" s="31">
        <v>19.836555559999997</v>
      </c>
      <c r="V25" s="40">
        <v>17.508554559999997</v>
      </c>
      <c r="W25" s="41">
        <v>12.75811111</v>
      </c>
      <c r="X25" s="41">
        <v>14.46066667</v>
      </c>
      <c r="Y25" s="41">
        <v>18.303222219999999</v>
      </c>
      <c r="Z25" s="45"/>
      <c r="AA25" s="46"/>
      <c r="AB25" s="47"/>
      <c r="AC25" s="33">
        <v>16.04152786083333</v>
      </c>
    </row>
    <row r="26" spans="6:29" x14ac:dyDescent="0.2">
      <c r="F26" s="4">
        <v>41180</v>
      </c>
      <c r="G26" s="31"/>
      <c r="H26" s="40"/>
      <c r="I26" s="31"/>
      <c r="J26" s="32"/>
      <c r="K26" s="32"/>
      <c r="L26" s="40">
        <v>11.73172222</v>
      </c>
      <c r="M26" s="31"/>
      <c r="N26" s="32"/>
      <c r="O26" s="32">
        <v>13.773111109999999</v>
      </c>
      <c r="P26" s="32">
        <v>13.14911111</v>
      </c>
      <c r="Q26" s="40">
        <v>11.227111109999999</v>
      </c>
      <c r="R26" s="31">
        <v>16.0185</v>
      </c>
      <c r="S26" s="32">
        <v>14.393500000000001</v>
      </c>
      <c r="T26" s="40">
        <v>12.425500000000001</v>
      </c>
      <c r="U26" s="31">
        <v>18.872887890000001</v>
      </c>
      <c r="V26" s="40">
        <v>16.701888889999999</v>
      </c>
      <c r="W26" s="41">
        <v>11.74327778</v>
      </c>
      <c r="X26" s="41">
        <v>13.910666669999999</v>
      </c>
      <c r="Y26" s="41">
        <v>17.655055560000001</v>
      </c>
      <c r="Z26" s="45"/>
      <c r="AA26" s="46"/>
      <c r="AB26" s="47"/>
      <c r="AC26" s="33">
        <v>14.300194361666668</v>
      </c>
    </row>
    <row r="27" spans="6:29" x14ac:dyDescent="0.2">
      <c r="F27" s="4">
        <v>41213</v>
      </c>
      <c r="G27" s="31"/>
      <c r="H27" s="40"/>
      <c r="I27" s="31"/>
      <c r="J27" s="32"/>
      <c r="K27" s="32"/>
      <c r="L27" s="40">
        <v>11.85672222</v>
      </c>
      <c r="M27" s="31"/>
      <c r="N27" s="32"/>
      <c r="O27" s="32">
        <v>13.89911111</v>
      </c>
      <c r="P27" s="32">
        <v>13.39911111</v>
      </c>
      <c r="Q27" s="40">
        <v>11.24211111</v>
      </c>
      <c r="R27" s="31">
        <v>16.596499000000001</v>
      </c>
      <c r="S27" s="32">
        <v>15.0815</v>
      </c>
      <c r="T27" s="40">
        <v>12.8315</v>
      </c>
      <c r="U27" s="31">
        <v>18.716887889999999</v>
      </c>
      <c r="V27" s="40">
        <v>16.747887890000001</v>
      </c>
      <c r="W27" s="41">
        <v>12.353277780000001</v>
      </c>
      <c r="X27" s="41">
        <v>14.58266667</v>
      </c>
      <c r="Y27" s="41">
        <v>17.906055559999999</v>
      </c>
      <c r="Z27" s="45"/>
      <c r="AA27" s="46"/>
      <c r="AB27" s="47"/>
      <c r="AC27" s="33">
        <v>14.601110861666669</v>
      </c>
    </row>
    <row r="28" spans="6:29" x14ac:dyDescent="0.2">
      <c r="F28" s="4">
        <v>41243</v>
      </c>
      <c r="G28" s="31"/>
      <c r="H28" s="40"/>
      <c r="I28" s="31"/>
      <c r="J28" s="32"/>
      <c r="K28" s="32"/>
      <c r="L28" s="40">
        <v>12.032166669999999</v>
      </c>
      <c r="M28" s="31"/>
      <c r="N28" s="32"/>
      <c r="O28" s="32">
        <v>13.858333330000001</v>
      </c>
      <c r="P28" s="32">
        <v>13.124333330000001</v>
      </c>
      <c r="Q28" s="40">
        <v>10.842333330000001</v>
      </c>
      <c r="R28" s="31">
        <v>15.4505</v>
      </c>
      <c r="S28" s="32">
        <v>14.4345</v>
      </c>
      <c r="T28" s="40">
        <v>12.0595</v>
      </c>
      <c r="U28" s="31">
        <v>17.44766667</v>
      </c>
      <c r="V28" s="40">
        <v>15.32266667</v>
      </c>
      <c r="W28" s="41">
        <v>11.304833329999999</v>
      </c>
      <c r="X28" s="41">
        <v>13.631</v>
      </c>
      <c r="Y28" s="41">
        <v>16.817166669999999</v>
      </c>
      <c r="Z28" s="45"/>
      <c r="AA28" s="46"/>
      <c r="AB28" s="47"/>
      <c r="AC28" s="33">
        <v>13.860416666666667</v>
      </c>
    </row>
    <row r="29" spans="6:29" x14ac:dyDescent="0.2">
      <c r="F29" s="4">
        <v>41274</v>
      </c>
      <c r="G29" s="31"/>
      <c r="H29" s="40"/>
      <c r="I29" s="31"/>
      <c r="J29" s="32"/>
      <c r="K29" s="32"/>
      <c r="L29" s="40">
        <v>12.24144444</v>
      </c>
      <c r="M29" s="31"/>
      <c r="N29" s="32"/>
      <c r="O29" s="32">
        <v>14.238222220000001</v>
      </c>
      <c r="P29" s="32">
        <v>13.30022222</v>
      </c>
      <c r="Q29" s="40">
        <v>11.31622222</v>
      </c>
      <c r="R29" s="31">
        <v>16.094000000000001</v>
      </c>
      <c r="S29" s="32">
        <v>14.922000000000001</v>
      </c>
      <c r="T29" s="40">
        <v>12.843999999999999</v>
      </c>
      <c r="U29" s="31">
        <v>17.824778780000003</v>
      </c>
      <c r="V29" s="40">
        <v>15.652777779999999</v>
      </c>
      <c r="W29" s="41">
        <v>11.993555560000001</v>
      </c>
      <c r="X29" s="41">
        <v>14.30233333</v>
      </c>
      <c r="Y29" s="41">
        <v>17.330111110000001</v>
      </c>
      <c r="Z29" s="45"/>
      <c r="AA29" s="46"/>
      <c r="AB29" s="47"/>
      <c r="AC29" s="33">
        <v>14.338305638333333</v>
      </c>
    </row>
    <row r="30" spans="6:29" x14ac:dyDescent="0.2">
      <c r="F30" s="4">
        <v>41305</v>
      </c>
      <c r="G30" s="31"/>
      <c r="H30" s="40"/>
      <c r="I30" s="31"/>
      <c r="J30" s="32"/>
      <c r="K30" s="32"/>
      <c r="L30" s="40">
        <v>14.809722219999999</v>
      </c>
      <c r="M30" s="31"/>
      <c r="N30" s="32"/>
      <c r="O30" s="32">
        <v>16.383112110000003</v>
      </c>
      <c r="P30" s="32">
        <v>15.36711111</v>
      </c>
      <c r="Q30" s="40">
        <v>13.070111109999999</v>
      </c>
      <c r="R30" s="31">
        <v>17.471499000000001</v>
      </c>
      <c r="S30" s="32">
        <v>16.1905</v>
      </c>
      <c r="T30" s="40">
        <v>13.643500000000001</v>
      </c>
      <c r="U30" s="31">
        <v>18.122887890000001</v>
      </c>
      <c r="V30" s="40">
        <v>15.919888890000001</v>
      </c>
      <c r="W30" s="41">
        <v>12.087277780000001</v>
      </c>
      <c r="X30" s="41">
        <v>13.894666669999999</v>
      </c>
      <c r="Y30" s="41">
        <v>16.687055560000001</v>
      </c>
      <c r="Z30" s="45"/>
      <c r="AA30" s="46"/>
      <c r="AB30" s="47"/>
      <c r="AC30" s="33">
        <v>15.303944361666666</v>
      </c>
    </row>
    <row r="31" spans="6:29" x14ac:dyDescent="0.2">
      <c r="F31" s="4">
        <v>41333</v>
      </c>
      <c r="G31" s="31"/>
      <c r="H31" s="40"/>
      <c r="I31" s="31"/>
      <c r="J31" s="32"/>
      <c r="K31" s="32"/>
      <c r="L31" s="40">
        <v>15.12272222</v>
      </c>
      <c r="M31" s="31"/>
      <c r="N31" s="32"/>
      <c r="O31" s="32">
        <v>16.070111109999999</v>
      </c>
      <c r="P31" s="32">
        <v>15.195111109999999</v>
      </c>
      <c r="Q31" s="40">
        <v>13.070111109999999</v>
      </c>
      <c r="R31" s="31">
        <v>17.315498999999999</v>
      </c>
      <c r="S31" s="32">
        <v>16.096499999999999</v>
      </c>
      <c r="T31" s="40">
        <v>13.628500000000001</v>
      </c>
      <c r="U31" s="31">
        <v>17.90488989</v>
      </c>
      <c r="V31" s="40">
        <v>16.060888890000001</v>
      </c>
      <c r="W31" s="41">
        <v>12.337277780000001</v>
      </c>
      <c r="X31" s="41">
        <v>13.894666669999999</v>
      </c>
      <c r="Y31" s="41">
        <v>16.327055560000002</v>
      </c>
      <c r="Z31" s="45"/>
      <c r="AA31" s="46"/>
      <c r="AB31" s="47"/>
      <c r="AC31" s="33">
        <v>15.251944444999998</v>
      </c>
    </row>
    <row r="32" spans="6:29" x14ac:dyDescent="0.2">
      <c r="F32" s="4">
        <v>41361</v>
      </c>
      <c r="G32" s="31"/>
      <c r="H32" s="40">
        <v>19.033333330000001</v>
      </c>
      <c r="I32" s="48"/>
      <c r="J32" s="49"/>
      <c r="K32" s="32">
        <v>19.26272122</v>
      </c>
      <c r="L32" s="40">
        <v>16.46572222</v>
      </c>
      <c r="M32" s="48"/>
      <c r="N32" s="49"/>
      <c r="O32" s="32">
        <v>17.14911111</v>
      </c>
      <c r="P32" s="32">
        <v>16.22711211</v>
      </c>
      <c r="Q32" s="40">
        <v>14.023111109999999</v>
      </c>
      <c r="R32" s="31">
        <v>17.862500000000001</v>
      </c>
      <c r="S32" s="32">
        <v>16.799500000000002</v>
      </c>
      <c r="T32" s="40">
        <v>14.362500000000001</v>
      </c>
      <c r="U32" s="31">
        <v>18.325888890000002</v>
      </c>
      <c r="V32" s="40">
        <v>16.63888889</v>
      </c>
      <c r="W32" s="41">
        <v>12.66527778</v>
      </c>
      <c r="X32" s="41">
        <v>14.254666670000001</v>
      </c>
      <c r="Y32" s="41">
        <v>16.077055560000002</v>
      </c>
      <c r="Z32" s="45"/>
      <c r="AA32" s="46"/>
      <c r="AB32" s="47"/>
      <c r="AC32" s="33">
        <v>16.367670635</v>
      </c>
    </row>
    <row r="33" spans="6:29" x14ac:dyDescent="0.2">
      <c r="F33" s="4">
        <v>41394</v>
      </c>
      <c r="G33" s="31"/>
      <c r="H33" s="40">
        <v>17.580334330000003</v>
      </c>
      <c r="I33" s="48"/>
      <c r="J33" s="49"/>
      <c r="K33" s="32">
        <v>16.793721220000002</v>
      </c>
      <c r="L33" s="40">
        <v>13.71572222</v>
      </c>
      <c r="M33" s="48"/>
      <c r="N33" s="49"/>
      <c r="O33" s="32">
        <v>15.102111109999999</v>
      </c>
      <c r="P33" s="32">
        <v>13.86711111</v>
      </c>
      <c r="Q33" s="40">
        <v>11.25811111</v>
      </c>
      <c r="R33" s="31">
        <v>15.643500000000001</v>
      </c>
      <c r="S33" s="32">
        <v>14.018500000000001</v>
      </c>
      <c r="T33" s="40">
        <v>11.753500000000001</v>
      </c>
      <c r="U33" s="31">
        <v>15.951888890000001</v>
      </c>
      <c r="V33" s="40">
        <v>14.654888890000001</v>
      </c>
      <c r="W33" s="41">
        <v>11.04027778</v>
      </c>
      <c r="X33" s="41">
        <v>12.660666669999999</v>
      </c>
      <c r="Y33" s="41">
        <v>14.45205556</v>
      </c>
      <c r="Z33" s="45"/>
      <c r="AA33" s="46"/>
      <c r="AB33" s="47"/>
      <c r="AC33" s="33">
        <v>14.178027777857142</v>
      </c>
    </row>
    <row r="34" spans="6:29" x14ac:dyDescent="0.2">
      <c r="F34" s="4">
        <v>41425</v>
      </c>
      <c r="G34" s="31"/>
      <c r="H34" s="40">
        <v>20.347001000000002</v>
      </c>
      <c r="I34" s="48"/>
      <c r="J34" s="49"/>
      <c r="K34" s="32">
        <v>20.392166669999998</v>
      </c>
      <c r="L34" s="40">
        <v>18.18816567</v>
      </c>
      <c r="M34" s="48"/>
      <c r="N34" s="49"/>
      <c r="O34" s="32">
        <v>19.139333329999999</v>
      </c>
      <c r="P34" s="32">
        <v>17.702333330000002</v>
      </c>
      <c r="Q34" s="40">
        <v>15.842333330000001</v>
      </c>
      <c r="R34" s="31">
        <v>18.496499</v>
      </c>
      <c r="S34" s="32">
        <v>16.668499999999998</v>
      </c>
      <c r="T34" s="40">
        <v>15.012499999999999</v>
      </c>
      <c r="U34" s="31">
        <v>16.166666670000001</v>
      </c>
      <c r="V34" s="40">
        <v>14.82266667</v>
      </c>
      <c r="W34" s="41">
        <v>11.695833329999999</v>
      </c>
      <c r="X34" s="41">
        <v>12.147</v>
      </c>
      <c r="Y34" s="41">
        <v>13.973166669999999</v>
      </c>
      <c r="Z34" s="45"/>
      <c r="AA34" s="46"/>
      <c r="AB34" s="47"/>
      <c r="AC34" s="33">
        <v>16.471011833571428</v>
      </c>
    </row>
    <row r="35" spans="6:29" x14ac:dyDescent="0.2">
      <c r="F35" s="4">
        <v>41453</v>
      </c>
      <c r="G35" s="31"/>
      <c r="H35" s="40">
        <v>20.830334330000003</v>
      </c>
      <c r="I35" s="48"/>
      <c r="J35" s="49"/>
      <c r="K35" s="32">
        <v>21.184722220000001</v>
      </c>
      <c r="L35" s="40">
        <v>19.63772122</v>
      </c>
      <c r="M35" s="48"/>
      <c r="N35" s="49"/>
      <c r="O35" s="32">
        <v>21.008112110000003</v>
      </c>
      <c r="P35" s="32">
        <v>20.023111110000002</v>
      </c>
      <c r="Q35" s="40">
        <v>18.61711111</v>
      </c>
      <c r="R35" s="31">
        <v>20.7685</v>
      </c>
      <c r="S35" s="32">
        <v>19.690498999999999</v>
      </c>
      <c r="T35" s="40">
        <v>18.237500000000001</v>
      </c>
      <c r="U35" s="31">
        <v>18.685889890000002</v>
      </c>
      <c r="V35" s="40">
        <v>17.38888889</v>
      </c>
      <c r="W35" s="41">
        <v>13.27427778</v>
      </c>
      <c r="X35" s="41">
        <v>13.613666670000001</v>
      </c>
      <c r="Y35" s="41">
        <v>14.87405556</v>
      </c>
      <c r="Z35" s="45"/>
      <c r="AA35" s="46"/>
      <c r="AB35" s="47"/>
      <c r="AC35" s="33">
        <v>18.416742135</v>
      </c>
    </row>
    <row r="36" spans="6:29" x14ac:dyDescent="0.2">
      <c r="F36" s="4">
        <v>41486</v>
      </c>
      <c r="G36" s="31"/>
      <c r="H36" s="40">
        <v>21.61133233</v>
      </c>
      <c r="I36" s="48"/>
      <c r="J36" s="49"/>
      <c r="K36" s="32">
        <v>22.70072322</v>
      </c>
      <c r="L36" s="40">
        <v>21.38772122</v>
      </c>
      <c r="M36" s="48"/>
      <c r="N36" s="49"/>
      <c r="O36" s="32">
        <v>22.85211211</v>
      </c>
      <c r="P36" s="32">
        <v>21.60211211</v>
      </c>
      <c r="Q36" s="40">
        <v>20.39911111</v>
      </c>
      <c r="R36" s="31">
        <v>21.815498999999999</v>
      </c>
      <c r="S36" s="32">
        <v>20.456500000000002</v>
      </c>
      <c r="T36" s="40">
        <v>19.003501</v>
      </c>
      <c r="U36" s="31">
        <v>19.591887889999999</v>
      </c>
      <c r="V36" s="40">
        <v>18.201888889999999</v>
      </c>
      <c r="W36" s="41">
        <v>14.77427778</v>
      </c>
      <c r="X36" s="41">
        <v>14.769666669999999</v>
      </c>
      <c r="Y36" s="41">
        <v>15.87405556</v>
      </c>
      <c r="Z36" s="45"/>
      <c r="AA36" s="46"/>
      <c r="AB36" s="47"/>
      <c r="AC36" s="33">
        <v>19.645742063571429</v>
      </c>
    </row>
    <row r="37" spans="6:29" x14ac:dyDescent="0.2">
      <c r="F37" s="4">
        <v>41516</v>
      </c>
      <c r="G37" s="31"/>
      <c r="H37" s="40">
        <v>21.769000000000002</v>
      </c>
      <c r="I37" s="48"/>
      <c r="J37" s="49"/>
      <c r="K37" s="32">
        <v>22.860166669999998</v>
      </c>
      <c r="L37" s="40">
        <v>21.548166670000001</v>
      </c>
      <c r="M37" s="48"/>
      <c r="N37" s="49"/>
      <c r="O37" s="32">
        <v>23.545333330000002</v>
      </c>
      <c r="P37" s="32">
        <v>22.467332330000001</v>
      </c>
      <c r="Q37" s="40">
        <v>21.280334330000002</v>
      </c>
      <c r="R37" s="31">
        <v>23.3245</v>
      </c>
      <c r="S37" s="32">
        <v>21.809501000000001</v>
      </c>
      <c r="T37" s="40">
        <v>20.403500999999999</v>
      </c>
      <c r="U37" s="31">
        <v>21.49466567</v>
      </c>
      <c r="V37" s="40">
        <v>19.807667670000001</v>
      </c>
      <c r="W37" s="41">
        <v>16.13283333</v>
      </c>
      <c r="X37" s="41">
        <v>16.006</v>
      </c>
      <c r="Y37" s="41">
        <v>16.926167670000002</v>
      </c>
      <c r="Z37" s="45"/>
      <c r="AA37" s="46"/>
      <c r="AB37" s="47"/>
      <c r="AC37" s="33">
        <v>20.669654976428575</v>
      </c>
    </row>
    <row r="38" spans="6:29" x14ac:dyDescent="0.2">
      <c r="F38" s="4">
        <v>41547</v>
      </c>
      <c r="G38" s="31"/>
      <c r="H38" s="40">
        <v>22.127333330000003</v>
      </c>
      <c r="I38" s="48"/>
      <c r="J38" s="49"/>
      <c r="K38" s="32">
        <v>23.356723220000003</v>
      </c>
      <c r="L38" s="40">
        <v>21.70072322</v>
      </c>
      <c r="M38" s="48"/>
      <c r="N38" s="49"/>
      <c r="O38" s="32">
        <v>23.14911111</v>
      </c>
      <c r="P38" s="32">
        <v>22.11711111</v>
      </c>
      <c r="Q38" s="40">
        <v>20.695110110000002</v>
      </c>
      <c r="R38" s="31">
        <v>23.112500000000001</v>
      </c>
      <c r="S38" s="32">
        <v>21.471499000000001</v>
      </c>
      <c r="T38" s="40">
        <v>19.878501</v>
      </c>
      <c r="U38" s="31">
        <v>21.01388889</v>
      </c>
      <c r="V38" s="40">
        <v>19.201888889999999</v>
      </c>
      <c r="W38" s="41">
        <v>15.54027778</v>
      </c>
      <c r="X38" s="41">
        <v>15.83266667</v>
      </c>
      <c r="Y38" s="41">
        <v>17.34305556</v>
      </c>
      <c r="Z38" s="45"/>
      <c r="AA38" s="46"/>
      <c r="AB38" s="47"/>
      <c r="AC38" s="33">
        <v>20.467170706428568</v>
      </c>
    </row>
    <row r="39" spans="6:29" x14ac:dyDescent="0.2">
      <c r="F39" s="4">
        <v>41578</v>
      </c>
      <c r="G39" s="31"/>
      <c r="H39" s="40">
        <v>21.814583330000001</v>
      </c>
      <c r="I39" s="48"/>
      <c r="J39" s="49"/>
      <c r="K39" s="32">
        <v>22.840972220000001</v>
      </c>
      <c r="L39" s="40">
        <v>21.153472220000001</v>
      </c>
      <c r="M39" s="48"/>
      <c r="N39" s="49"/>
      <c r="O39" s="32">
        <v>22.53924211</v>
      </c>
      <c r="P39" s="32">
        <v>21.53924211</v>
      </c>
      <c r="Q39" s="40">
        <v>19.63299211</v>
      </c>
      <c r="R39" s="31">
        <v>22.721881</v>
      </c>
      <c r="S39" s="32">
        <v>20.815631</v>
      </c>
      <c r="T39" s="40">
        <v>18.831250000000001</v>
      </c>
      <c r="U39" s="31">
        <v>20.27951989</v>
      </c>
      <c r="V39" s="40">
        <v>18.15451989</v>
      </c>
      <c r="W39" s="41">
        <v>15.22777778</v>
      </c>
      <c r="X39" s="41">
        <v>15.75416667</v>
      </c>
      <c r="Y39" s="41">
        <v>17.84305556</v>
      </c>
      <c r="Z39" s="45"/>
      <c r="AA39" s="46"/>
      <c r="AB39" s="47"/>
      <c r="AC39" s="33">
        <v>19.939164706428567</v>
      </c>
    </row>
    <row r="40" spans="6:29" x14ac:dyDescent="0.2">
      <c r="F40" s="4">
        <v>41607</v>
      </c>
      <c r="G40" s="31"/>
      <c r="H40" s="40">
        <v>22.619797670000001</v>
      </c>
      <c r="I40" s="48"/>
      <c r="J40" s="49"/>
      <c r="K40" s="32">
        <v>24.303825440000001</v>
      </c>
      <c r="L40" s="40">
        <v>22.928825440000001</v>
      </c>
      <c r="M40" s="48"/>
      <c r="N40" s="49"/>
      <c r="O40" s="32">
        <v>24.550353219999998</v>
      </c>
      <c r="P40" s="32">
        <v>23.534722219999999</v>
      </c>
      <c r="Q40" s="40">
        <v>21.753472219999999</v>
      </c>
      <c r="R40" s="31">
        <v>24.671880999999999</v>
      </c>
      <c r="S40" s="32">
        <v>22.609380999999999</v>
      </c>
      <c r="T40" s="40">
        <v>20.6875</v>
      </c>
      <c r="U40" s="31">
        <v>21.60590878</v>
      </c>
      <c r="V40" s="40">
        <v>19.60590878</v>
      </c>
      <c r="W40" s="41">
        <v>16.993055559999998</v>
      </c>
      <c r="X40" s="41">
        <v>17.380214329999998</v>
      </c>
      <c r="Y40" s="41">
        <v>19.282992109999999</v>
      </c>
      <c r="Z40" s="45"/>
      <c r="AA40" s="46"/>
      <c r="AB40" s="47"/>
      <c r="AC40" s="33">
        <v>21.609131269285712</v>
      </c>
    </row>
    <row r="41" spans="6:29" x14ac:dyDescent="0.2">
      <c r="F41" s="4">
        <v>41639</v>
      </c>
      <c r="G41" s="31"/>
      <c r="H41" s="40">
        <v>22.885416670000001</v>
      </c>
      <c r="I41" s="48"/>
      <c r="J41" s="49"/>
      <c r="K41" s="32">
        <v>24.897575440000001</v>
      </c>
      <c r="L41" s="40">
        <v>23.506944440000002</v>
      </c>
      <c r="M41" s="48"/>
      <c r="N41" s="49"/>
      <c r="O41" s="32">
        <v>25.800353219999998</v>
      </c>
      <c r="P41" s="32">
        <v>24.940972219999999</v>
      </c>
      <c r="Q41" s="40">
        <v>23.425353219999998</v>
      </c>
      <c r="R41" s="31">
        <v>26.296880999999999</v>
      </c>
      <c r="S41" s="32">
        <v>24.734380999999999</v>
      </c>
      <c r="T41" s="40">
        <v>23.53125</v>
      </c>
      <c r="U41" s="31">
        <v>23.98090878</v>
      </c>
      <c r="V41" s="40">
        <v>22.13715878</v>
      </c>
      <c r="W41" s="41">
        <v>18.946186559999997</v>
      </c>
      <c r="X41" s="41">
        <v>19.395833329999999</v>
      </c>
      <c r="Y41" s="41">
        <v>21.04861111</v>
      </c>
      <c r="Z41" s="45"/>
      <c r="AA41" s="46"/>
      <c r="AB41" s="47"/>
      <c r="AC41" s="33">
        <v>23.251987554999999</v>
      </c>
    </row>
    <row r="42" spans="6:29" x14ac:dyDescent="0.2">
      <c r="F42" s="4">
        <v>41670</v>
      </c>
      <c r="G42" s="31"/>
      <c r="H42" s="40">
        <v>22.518750000000001</v>
      </c>
      <c r="I42" s="48"/>
      <c r="J42" s="49"/>
      <c r="K42" s="32">
        <v>24.391666669999999</v>
      </c>
      <c r="L42" s="40">
        <v>22.751047669999998</v>
      </c>
      <c r="M42" s="48"/>
      <c r="N42" s="49"/>
      <c r="O42" s="32">
        <v>24.71771433</v>
      </c>
      <c r="P42" s="32">
        <v>23.74896433</v>
      </c>
      <c r="Q42" s="40">
        <v>22.37396433</v>
      </c>
      <c r="R42" s="31">
        <v>24.934380999999998</v>
      </c>
      <c r="S42" s="32">
        <v>23.465630999999998</v>
      </c>
      <c r="T42" s="40">
        <v>22.028130999999998</v>
      </c>
      <c r="U42" s="31">
        <v>22.822916670000001</v>
      </c>
      <c r="V42" s="40">
        <v>21.338547670000001</v>
      </c>
      <c r="W42" s="41">
        <v>19.320833329999999</v>
      </c>
      <c r="X42" s="41">
        <v>19.443750000000001</v>
      </c>
      <c r="Y42" s="41">
        <v>20.957297669999999</v>
      </c>
      <c r="Z42" s="45"/>
      <c r="AA42" s="46"/>
      <c r="AB42" s="47"/>
      <c r="AC42" s="33">
        <v>22.486685405000003</v>
      </c>
    </row>
    <row r="43" spans="6:29" x14ac:dyDescent="0.2">
      <c r="F43" s="4">
        <v>41698</v>
      </c>
      <c r="G43" s="31"/>
      <c r="H43" s="40">
        <v>22.565631</v>
      </c>
      <c r="I43" s="45"/>
      <c r="J43" s="49"/>
      <c r="K43" s="32">
        <v>24.579166669999999</v>
      </c>
      <c r="L43" s="40">
        <v>23.016666669999999</v>
      </c>
      <c r="M43" s="45"/>
      <c r="N43" s="49"/>
      <c r="O43" s="32">
        <v>25.12396433</v>
      </c>
      <c r="P43" s="32">
        <v>24.170833330000001</v>
      </c>
      <c r="Q43" s="40">
        <v>22.84271433</v>
      </c>
      <c r="R43" s="31">
        <v>25.246880999999998</v>
      </c>
      <c r="S43" s="32">
        <v>23.934380999999998</v>
      </c>
      <c r="T43" s="40">
        <v>22.606249999999999</v>
      </c>
      <c r="U43" s="31">
        <v>24.026047670000001</v>
      </c>
      <c r="V43" s="40">
        <v>22.494797670000001</v>
      </c>
      <c r="W43" s="41">
        <v>20.008333329999999</v>
      </c>
      <c r="X43" s="41">
        <v>20.240631</v>
      </c>
      <c r="Y43" s="41">
        <v>21.75416667</v>
      </c>
      <c r="Z43" s="45"/>
      <c r="AA43" s="46"/>
      <c r="AB43" s="47"/>
      <c r="AC43" s="33">
        <v>23.04360461928572</v>
      </c>
    </row>
    <row r="44" spans="6:29" x14ac:dyDescent="0.2">
      <c r="F44" s="4">
        <v>41729</v>
      </c>
      <c r="G44" s="31">
        <v>23.36146433</v>
      </c>
      <c r="H44" s="40">
        <v>22.689583330000001</v>
      </c>
      <c r="I44" s="48"/>
      <c r="J44" s="49">
        <v>25.66910322</v>
      </c>
      <c r="K44" s="32">
        <v>24.82535322</v>
      </c>
      <c r="L44" s="40">
        <v>23.403472220000001</v>
      </c>
      <c r="M44" s="48"/>
      <c r="N44" s="49">
        <v>25.66910322</v>
      </c>
      <c r="O44" s="32">
        <v>25.50799211</v>
      </c>
      <c r="P44" s="32">
        <v>24.617361110000001</v>
      </c>
      <c r="Q44" s="40">
        <v>23.461111110000001</v>
      </c>
      <c r="R44" s="31">
        <v>25.846881</v>
      </c>
      <c r="S44" s="32">
        <v>24.815631</v>
      </c>
      <c r="T44" s="40">
        <v>23.456250000000001</v>
      </c>
      <c r="U44" s="31">
        <v>24.85763889</v>
      </c>
      <c r="V44" s="40">
        <v>23.43576989</v>
      </c>
      <c r="W44" s="41">
        <v>20.79027778</v>
      </c>
      <c r="X44" s="41">
        <v>20.769797669999999</v>
      </c>
      <c r="Y44" s="41">
        <v>21.796186559999999</v>
      </c>
      <c r="Z44" s="45"/>
      <c r="AA44" s="46"/>
      <c r="AB44" s="47"/>
      <c r="AC44" s="33">
        <v>23.821939803529414</v>
      </c>
    </row>
    <row r="45" spans="6:29" x14ac:dyDescent="0.2">
      <c r="F45" s="4">
        <v>41759</v>
      </c>
      <c r="G45" s="31">
        <v>23.33021433</v>
      </c>
      <c r="H45" s="40">
        <v>22.70521433</v>
      </c>
      <c r="I45" s="48"/>
      <c r="J45" s="49">
        <v>25.45035322</v>
      </c>
      <c r="K45" s="32">
        <v>24.528472220000001</v>
      </c>
      <c r="L45" s="40">
        <v>23.04410322</v>
      </c>
      <c r="M45" s="48"/>
      <c r="N45" s="49">
        <v>25.45035322</v>
      </c>
      <c r="O45" s="32">
        <v>25.19549211</v>
      </c>
      <c r="P45" s="32">
        <v>24.273611110000001</v>
      </c>
      <c r="Q45" s="40">
        <v>23.13299211</v>
      </c>
      <c r="R45" s="31">
        <v>25.268750000000001</v>
      </c>
      <c r="S45" s="32">
        <v>24.284381</v>
      </c>
      <c r="T45" s="40">
        <v>22.862500000000001</v>
      </c>
      <c r="U45" s="31">
        <v>24.35763889</v>
      </c>
      <c r="V45" s="40">
        <v>22.93576989</v>
      </c>
      <c r="W45" s="41">
        <v>20.493408779999999</v>
      </c>
      <c r="X45" s="41">
        <v>20.72291667</v>
      </c>
      <c r="Y45" s="41">
        <v>22.09305556</v>
      </c>
      <c r="Z45" s="45"/>
      <c r="AA45" s="46"/>
      <c r="AB45" s="47"/>
      <c r="AC45" s="33">
        <v>23.537013332941179</v>
      </c>
    </row>
    <row r="46" spans="6:29" x14ac:dyDescent="0.2">
      <c r="F46" s="4">
        <v>41789</v>
      </c>
      <c r="G46" s="31">
        <v>23.026047670000001</v>
      </c>
      <c r="H46" s="40">
        <v>22.479166670000001</v>
      </c>
      <c r="I46" s="48"/>
      <c r="J46" s="49">
        <v>24.756944440000002</v>
      </c>
      <c r="K46" s="32">
        <v>23.944444440000002</v>
      </c>
      <c r="L46" s="40">
        <v>22.350694440000002</v>
      </c>
      <c r="M46" s="48"/>
      <c r="N46" s="49">
        <v>24.756944440000002</v>
      </c>
      <c r="O46" s="32">
        <v>24.315972219999999</v>
      </c>
      <c r="P46" s="32">
        <v>23.347222219999999</v>
      </c>
      <c r="Q46" s="40">
        <v>22.050353219999998</v>
      </c>
      <c r="R46" s="31">
        <v>24.03125</v>
      </c>
      <c r="S46" s="32">
        <v>22.875</v>
      </c>
      <c r="T46" s="40">
        <v>21.234380999999999</v>
      </c>
      <c r="U46" s="31">
        <v>22.73090878</v>
      </c>
      <c r="V46" s="40">
        <v>21.32465878</v>
      </c>
      <c r="W46" s="41">
        <v>19.586805559999998</v>
      </c>
      <c r="X46" s="41">
        <v>20.505214329999998</v>
      </c>
      <c r="Y46" s="41">
        <v>22.11111111</v>
      </c>
      <c r="Z46" s="45"/>
      <c r="AA46" s="46"/>
      <c r="AB46" s="47"/>
      <c r="AC46" s="33">
        <v>22.672183489411765</v>
      </c>
    </row>
    <row r="47" spans="6:29" x14ac:dyDescent="0.2">
      <c r="F47" s="4">
        <v>41820</v>
      </c>
      <c r="G47" s="31">
        <v>23.11146433</v>
      </c>
      <c r="H47" s="40">
        <v>22.51771433</v>
      </c>
      <c r="I47" s="48"/>
      <c r="J47" s="49">
        <v>25.07535322</v>
      </c>
      <c r="K47" s="32">
        <v>24.278472220000001</v>
      </c>
      <c r="L47" s="40">
        <v>22.70035322</v>
      </c>
      <c r="M47" s="48"/>
      <c r="N47" s="49">
        <v>25.07535322</v>
      </c>
      <c r="O47" s="32">
        <v>24.91424211</v>
      </c>
      <c r="P47" s="32">
        <v>24.22674211</v>
      </c>
      <c r="Q47" s="40">
        <v>22.804861110000001</v>
      </c>
      <c r="R47" s="31">
        <v>25.096881</v>
      </c>
      <c r="S47" s="32">
        <v>24.143750000000001</v>
      </c>
      <c r="T47" s="40">
        <v>22.409381</v>
      </c>
      <c r="U47" s="31">
        <v>24.31076989</v>
      </c>
      <c r="V47" s="40">
        <v>22.85763889</v>
      </c>
      <c r="W47" s="41">
        <v>20.00902778</v>
      </c>
      <c r="X47" s="41">
        <v>21.238547669999999</v>
      </c>
      <c r="Y47" s="41">
        <v>22.65555556</v>
      </c>
      <c r="Z47" s="45"/>
      <c r="AA47" s="46"/>
      <c r="AB47" s="47"/>
      <c r="AC47" s="33">
        <v>23.378006332941172</v>
      </c>
    </row>
    <row r="48" spans="6:29" x14ac:dyDescent="0.2">
      <c r="F48" s="4">
        <v>41851</v>
      </c>
      <c r="G48" s="31">
        <v>23.04896433</v>
      </c>
      <c r="H48" s="40">
        <v>22.42396433</v>
      </c>
      <c r="I48" s="48"/>
      <c r="J48" s="49">
        <v>24.91910322</v>
      </c>
      <c r="K48" s="32">
        <v>24.20035322</v>
      </c>
      <c r="L48" s="40">
        <v>22.82535322</v>
      </c>
      <c r="M48" s="48"/>
      <c r="N48" s="49">
        <v>24.91910322</v>
      </c>
      <c r="O48" s="32">
        <v>25.00799211</v>
      </c>
      <c r="P48" s="32">
        <v>24.38299211</v>
      </c>
      <c r="Q48" s="40">
        <v>23.023611110000001</v>
      </c>
      <c r="R48" s="31">
        <v>25.456250000000001</v>
      </c>
      <c r="S48" s="32">
        <v>24.628131</v>
      </c>
      <c r="T48" s="40">
        <v>23.112500000000001</v>
      </c>
      <c r="U48" s="31">
        <v>25.09201989</v>
      </c>
      <c r="V48" s="40">
        <v>23.84201989</v>
      </c>
      <c r="W48" s="41">
        <v>21.055908779999999</v>
      </c>
      <c r="X48" s="41">
        <v>22.19166667</v>
      </c>
      <c r="Y48" s="41">
        <v>23.546186559999999</v>
      </c>
      <c r="Z48" s="45"/>
      <c r="AA48" s="46"/>
      <c r="AB48" s="47"/>
      <c r="AC48" s="33">
        <v>23.745654097647066</v>
      </c>
    </row>
    <row r="49" spans="6:29" x14ac:dyDescent="0.2">
      <c r="F49" s="4">
        <v>41880</v>
      </c>
      <c r="G49" s="31">
        <v>22.432297670000001</v>
      </c>
      <c r="H49" s="40">
        <v>21.869797670000001</v>
      </c>
      <c r="I49" s="48"/>
      <c r="J49" s="49">
        <v>23.881944440000002</v>
      </c>
      <c r="K49" s="32">
        <v>23.210075440000001</v>
      </c>
      <c r="L49" s="40">
        <v>21.663194440000002</v>
      </c>
      <c r="M49" s="48"/>
      <c r="N49" s="49">
        <v>23.881944440000002</v>
      </c>
      <c r="O49" s="32">
        <v>23.425353219999998</v>
      </c>
      <c r="P49" s="32">
        <v>23.034722219999999</v>
      </c>
      <c r="Q49" s="40">
        <v>21.581603219999998</v>
      </c>
      <c r="R49" s="31">
        <v>23.8125</v>
      </c>
      <c r="S49" s="32">
        <v>22.84375</v>
      </c>
      <c r="T49" s="40">
        <v>21.265630999999999</v>
      </c>
      <c r="U49" s="31">
        <v>23.527777780000001</v>
      </c>
      <c r="V49" s="40">
        <v>22.32465878</v>
      </c>
      <c r="W49" s="41">
        <v>20.274305559999998</v>
      </c>
      <c r="X49" s="41">
        <v>21.536464329999998</v>
      </c>
      <c r="Y49" s="41">
        <v>23.314242109999999</v>
      </c>
      <c r="Z49" s="45"/>
      <c r="AA49" s="46"/>
      <c r="AB49" s="47"/>
      <c r="AC49" s="33">
        <v>22.581191901176474</v>
      </c>
    </row>
    <row r="50" spans="6:29" x14ac:dyDescent="0.2">
      <c r="F50" s="4">
        <v>41912</v>
      </c>
      <c r="G50" s="31">
        <v>22.83021433</v>
      </c>
      <c r="H50" s="40">
        <v>22.314583330000001</v>
      </c>
      <c r="I50" s="48"/>
      <c r="J50" s="49">
        <v>24.48160322</v>
      </c>
      <c r="K50" s="32">
        <v>23.95035322</v>
      </c>
      <c r="L50" s="40">
        <v>22.497222220000001</v>
      </c>
      <c r="M50" s="48"/>
      <c r="N50" s="49">
        <v>24.48160322</v>
      </c>
      <c r="O50" s="32">
        <v>24.41424211</v>
      </c>
      <c r="P50" s="32">
        <v>23.898611110000001</v>
      </c>
      <c r="Q50" s="40">
        <v>22.63299211</v>
      </c>
      <c r="R50" s="31">
        <v>25.456250000000001</v>
      </c>
      <c r="S50" s="32">
        <v>24.503131</v>
      </c>
      <c r="T50" s="40">
        <v>23.065631</v>
      </c>
      <c r="U50" s="31">
        <v>25.35763889</v>
      </c>
      <c r="V50" s="40">
        <v>24.13888889</v>
      </c>
      <c r="W50" s="41">
        <v>21.212158779999999</v>
      </c>
      <c r="X50" s="41">
        <v>22.426047669999999</v>
      </c>
      <c r="Y50" s="41">
        <v>24.06180556</v>
      </c>
      <c r="Z50" s="45"/>
      <c r="AA50" s="46"/>
      <c r="AB50" s="47"/>
      <c r="AC50" s="33">
        <v>23.630763332941171</v>
      </c>
    </row>
    <row r="51" spans="6:29" x14ac:dyDescent="0.2">
      <c r="F51" s="4">
        <v>41943</v>
      </c>
      <c r="G51" s="31">
        <v>22.456250000000001</v>
      </c>
      <c r="H51" s="40">
        <v>21.893750000000001</v>
      </c>
      <c r="I51" s="48"/>
      <c r="J51" s="49">
        <v>23.626047669999998</v>
      </c>
      <c r="K51" s="32">
        <v>23.126047669999998</v>
      </c>
      <c r="L51" s="40">
        <v>21.547916669999999</v>
      </c>
      <c r="M51" s="48"/>
      <c r="N51" s="49">
        <v>23.626047669999998</v>
      </c>
      <c r="O51" s="32">
        <v>23.233333330000001</v>
      </c>
      <c r="P51" s="32">
        <v>22.74896433</v>
      </c>
      <c r="Q51" s="40">
        <v>21.15521433</v>
      </c>
      <c r="R51" s="31">
        <v>24.090630999999998</v>
      </c>
      <c r="S51" s="32">
        <v>23.059380999999998</v>
      </c>
      <c r="T51" s="40">
        <v>21.528130999999998</v>
      </c>
      <c r="U51" s="31">
        <v>23.557297670000001</v>
      </c>
      <c r="V51" s="40">
        <v>22.401047670000001</v>
      </c>
      <c r="W51" s="41">
        <v>20.117714329999998</v>
      </c>
      <c r="X51" s="41">
        <v>21.443750000000001</v>
      </c>
      <c r="Y51" s="41">
        <v>23.426047669999999</v>
      </c>
      <c r="Z51" s="45"/>
      <c r="AA51" s="46"/>
      <c r="AB51" s="47"/>
      <c r="AC51" s="33">
        <v>22.531621882941181</v>
      </c>
    </row>
    <row r="52" spans="6:29" x14ac:dyDescent="0.2">
      <c r="F52" s="4">
        <v>41971</v>
      </c>
      <c r="G52" s="31">
        <v>22.01771433</v>
      </c>
      <c r="H52" s="40">
        <v>21.48646433</v>
      </c>
      <c r="I52" s="48"/>
      <c r="J52" s="49">
        <v>22.82535322</v>
      </c>
      <c r="K52" s="32">
        <v>22.372222220000001</v>
      </c>
      <c r="L52" s="40">
        <v>20.63785322</v>
      </c>
      <c r="M52" s="48"/>
      <c r="N52" s="49">
        <v>22.82535322</v>
      </c>
      <c r="O52" s="32">
        <v>22.148611110000001</v>
      </c>
      <c r="P52" s="32">
        <v>21.679861110000001</v>
      </c>
      <c r="Q52" s="40">
        <v>19.88299211</v>
      </c>
      <c r="R52" s="31">
        <v>23.096881</v>
      </c>
      <c r="S52" s="32">
        <v>22.065631</v>
      </c>
      <c r="T52" s="40">
        <v>20.378131</v>
      </c>
      <c r="U52" s="31">
        <v>22.74826989</v>
      </c>
      <c r="V52" s="40">
        <v>21.54513889</v>
      </c>
      <c r="W52" s="41">
        <v>19.54027778</v>
      </c>
      <c r="X52" s="41">
        <v>21.019797669999999</v>
      </c>
      <c r="Y52" s="41">
        <v>23.139936559999999</v>
      </c>
      <c r="Z52" s="45"/>
      <c r="AA52" s="46"/>
      <c r="AB52" s="47"/>
      <c r="AC52" s="33">
        <v>21.730028744705884</v>
      </c>
    </row>
    <row r="53" spans="6:29" x14ac:dyDescent="0.2">
      <c r="F53" s="4">
        <v>42004</v>
      </c>
      <c r="G53" s="31">
        <v>21.041666670000001</v>
      </c>
      <c r="H53" s="40">
        <v>20.854166670000001</v>
      </c>
      <c r="I53" s="48"/>
      <c r="J53" s="49">
        <v>21.663194440000002</v>
      </c>
      <c r="K53" s="32">
        <v>22.022575440000001</v>
      </c>
      <c r="L53" s="40">
        <v>20.131944440000002</v>
      </c>
      <c r="M53" s="48"/>
      <c r="N53" s="49">
        <v>21.663194440000002</v>
      </c>
      <c r="O53" s="32">
        <v>21.753472219999999</v>
      </c>
      <c r="P53" s="32">
        <v>21.269103219999998</v>
      </c>
      <c r="Q53" s="40">
        <v>19.425353219999998</v>
      </c>
      <c r="R53" s="31">
        <v>22.796880999999999</v>
      </c>
      <c r="S53" s="32">
        <v>21.84375</v>
      </c>
      <c r="T53" s="40">
        <v>20.109380999999999</v>
      </c>
      <c r="U53" s="31">
        <v>22.54340878</v>
      </c>
      <c r="V53" s="40">
        <v>21.29340878</v>
      </c>
      <c r="W53" s="41">
        <v>19.461805559999998</v>
      </c>
      <c r="X53" s="41">
        <v>20.973964329999998</v>
      </c>
      <c r="Y53" s="41">
        <v>23.14236111</v>
      </c>
      <c r="Z53" s="45"/>
      <c r="AA53" s="46"/>
      <c r="AB53" s="47"/>
      <c r="AC53" s="33">
        <v>21.293507724705883</v>
      </c>
    </row>
    <row r="54" spans="6:29" x14ac:dyDescent="0.2">
      <c r="F54" s="4">
        <v>42034</v>
      </c>
      <c r="G54" s="31">
        <v>17.682297670000001</v>
      </c>
      <c r="H54" s="40">
        <v>17.557297670000001</v>
      </c>
      <c r="I54" s="48"/>
      <c r="J54" s="49">
        <v>17.131944440000002</v>
      </c>
      <c r="K54" s="32">
        <v>17.756944440000002</v>
      </c>
      <c r="L54" s="40">
        <v>15.91319444</v>
      </c>
      <c r="M54" s="48"/>
      <c r="N54" s="49">
        <v>17.131944440000002</v>
      </c>
      <c r="O54" s="32">
        <v>17.159722219999999</v>
      </c>
      <c r="P54" s="32">
        <v>16.800353219999998</v>
      </c>
      <c r="Q54" s="40">
        <v>15.128472220000001</v>
      </c>
      <c r="R54" s="31">
        <v>18.578130999999999</v>
      </c>
      <c r="S54" s="32">
        <v>17.5625</v>
      </c>
      <c r="T54" s="40">
        <v>16.0625</v>
      </c>
      <c r="U54" s="31">
        <v>18.809027780000001</v>
      </c>
      <c r="V54" s="40">
        <v>17.73090878</v>
      </c>
      <c r="W54" s="41">
        <v>18.196186559999997</v>
      </c>
      <c r="X54" s="41">
        <v>19.942714329999998</v>
      </c>
      <c r="Y54" s="41">
        <v>22.48611111</v>
      </c>
      <c r="Z54" s="45"/>
      <c r="AA54" s="46"/>
      <c r="AB54" s="47"/>
      <c r="AC54" s="33">
        <v>17.742955901176472</v>
      </c>
    </row>
    <row r="55" spans="6:29" x14ac:dyDescent="0.2">
      <c r="F55" s="4">
        <v>42062</v>
      </c>
      <c r="G55" s="31">
        <v>19.744797670000001</v>
      </c>
      <c r="H55" s="40">
        <v>19.572916670000001</v>
      </c>
      <c r="I55" s="48"/>
      <c r="J55" s="49">
        <v>20.053825440000001</v>
      </c>
      <c r="K55" s="32">
        <v>20.413194440000002</v>
      </c>
      <c r="L55" s="40">
        <v>18.772575440000001</v>
      </c>
      <c r="M55" s="48"/>
      <c r="N55" s="49">
        <v>20.053825440000001</v>
      </c>
      <c r="O55" s="32">
        <v>20.362853219999998</v>
      </c>
      <c r="P55" s="32">
        <v>19.894103219999998</v>
      </c>
      <c r="Q55" s="40">
        <v>18.378472219999999</v>
      </c>
      <c r="R55" s="31">
        <v>21.5625</v>
      </c>
      <c r="S55" s="32">
        <v>20.703130999999999</v>
      </c>
      <c r="T55" s="40">
        <v>19.234380999999999</v>
      </c>
      <c r="U55" s="31">
        <v>21.69965878</v>
      </c>
      <c r="V55" s="40">
        <v>20.66840878</v>
      </c>
      <c r="W55" s="41">
        <v>20.743055559999998</v>
      </c>
      <c r="X55" s="41">
        <v>22.505214329999998</v>
      </c>
      <c r="Y55" s="41">
        <v>24.657992109999999</v>
      </c>
      <c r="Z55" s="45"/>
      <c r="AA55" s="46"/>
      <c r="AB55" s="47"/>
      <c r="AC55" s="33">
        <v>20.530641489411764</v>
      </c>
    </row>
    <row r="56" spans="6:29" x14ac:dyDescent="0.2">
      <c r="F56" s="5">
        <v>42094</v>
      </c>
      <c r="G56" s="31">
        <v>19.26771433</v>
      </c>
      <c r="H56" s="40">
        <v>19.127083330000001</v>
      </c>
      <c r="I56" s="48">
        <v>16.63785322</v>
      </c>
      <c r="J56" s="49">
        <v>19.41910322</v>
      </c>
      <c r="K56" s="32">
        <v>19.872222220000001</v>
      </c>
      <c r="L56" s="40">
        <v>18.309722220000001</v>
      </c>
      <c r="M56" s="48">
        <v>17.929861110000001</v>
      </c>
      <c r="N56" s="49">
        <v>19.41910322</v>
      </c>
      <c r="O56" s="32">
        <v>19.711111110000001</v>
      </c>
      <c r="P56" s="32">
        <v>19.22674211</v>
      </c>
      <c r="Q56" s="40">
        <v>17.72674211</v>
      </c>
      <c r="R56" s="31">
        <v>21.128131</v>
      </c>
      <c r="S56" s="32">
        <v>20.096881</v>
      </c>
      <c r="T56" s="40">
        <v>18.675000000000001</v>
      </c>
      <c r="U56" s="31">
        <v>21.21701989</v>
      </c>
      <c r="V56" s="40">
        <v>20.26388889</v>
      </c>
      <c r="W56" s="41">
        <v>21.618408779999999</v>
      </c>
      <c r="X56" s="41">
        <v>23.863547669999999</v>
      </c>
      <c r="Y56" s="41">
        <v>25.90555556</v>
      </c>
      <c r="Z56" s="45"/>
      <c r="AA56" s="46"/>
      <c r="AB56" s="47"/>
      <c r="AC56" s="33">
        <v>19.969246894210524</v>
      </c>
    </row>
    <row r="57" spans="6:29" x14ac:dyDescent="0.2">
      <c r="F57" s="5">
        <v>42124</v>
      </c>
      <c r="G57" s="50">
        <v>20.127083330000001</v>
      </c>
      <c r="H57" s="51">
        <v>19.92396433</v>
      </c>
      <c r="I57" s="52">
        <v>18.559722220000001</v>
      </c>
      <c r="J57" s="53">
        <v>20.653472220000001</v>
      </c>
      <c r="K57" s="54">
        <v>20.98160322</v>
      </c>
      <c r="L57" s="51">
        <v>19.434722220000001</v>
      </c>
      <c r="M57" s="52">
        <v>19.44549211</v>
      </c>
      <c r="N57" s="53">
        <v>20.653472220000001</v>
      </c>
      <c r="O57" s="54">
        <v>20.836111110000001</v>
      </c>
      <c r="P57" s="54">
        <v>20.32049211</v>
      </c>
      <c r="Q57" s="40">
        <v>18.82049211</v>
      </c>
      <c r="R57" s="50">
        <v>22.112500000000001</v>
      </c>
      <c r="S57" s="54">
        <v>21.081250000000001</v>
      </c>
      <c r="T57" s="40">
        <v>19.721881</v>
      </c>
      <c r="U57" s="50">
        <v>22.23263889</v>
      </c>
      <c r="V57" s="51">
        <v>21.32638889</v>
      </c>
      <c r="W57" s="55">
        <v>22.66527778</v>
      </c>
      <c r="X57" s="55">
        <v>24.863547669999999</v>
      </c>
      <c r="Y57" s="55">
        <v>26.764936559999999</v>
      </c>
      <c r="Z57" s="56"/>
      <c r="AA57" s="57"/>
      <c r="AB57" s="58"/>
      <c r="AC57" s="33">
        <v>21.080265683684207</v>
      </c>
    </row>
    <row r="58" spans="6:29" x14ac:dyDescent="0.2">
      <c r="F58" s="5"/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C1506"/>
  <sheetViews>
    <sheetView workbookViewId="0">
      <selection activeCell="G23" sqref="G23"/>
    </sheetView>
  </sheetViews>
  <sheetFormatPr defaultRowHeight="12.75" x14ac:dyDescent="0.2"/>
  <cols>
    <col min="2" max="2" width="10.42578125" bestFit="1" customWidth="1"/>
  </cols>
  <sheetData>
    <row r="3" spans="2:3" x14ac:dyDescent="0.2">
      <c r="B3" s="34" t="s">
        <v>27</v>
      </c>
      <c r="C3" s="34" t="s">
        <v>28</v>
      </c>
    </row>
    <row r="4" spans="2:3" x14ac:dyDescent="0.2">
      <c r="B4" s="6">
        <v>42130</v>
      </c>
      <c r="C4">
        <v>2.810107693</v>
      </c>
    </row>
    <row r="5" spans="2:3" x14ac:dyDescent="0.2">
      <c r="B5" s="6">
        <v>42129</v>
      </c>
      <c r="C5">
        <v>2.8617779680000002</v>
      </c>
    </row>
    <row r="6" spans="2:3" x14ac:dyDescent="0.2">
      <c r="B6" s="6">
        <v>42128</v>
      </c>
      <c r="C6">
        <v>2.9193051969999999</v>
      </c>
    </row>
    <row r="7" spans="2:3" x14ac:dyDescent="0.2">
      <c r="B7" s="6">
        <v>42125</v>
      </c>
      <c r="C7">
        <v>2.8756484750000002</v>
      </c>
    </row>
    <row r="8" spans="2:3" x14ac:dyDescent="0.2">
      <c r="B8" s="6">
        <v>42124</v>
      </c>
      <c r="C8">
        <v>2.8416760060000001</v>
      </c>
    </row>
    <row r="9" spans="2:3" x14ac:dyDescent="0.2">
      <c r="B9" s="6">
        <v>42123</v>
      </c>
      <c r="C9">
        <v>2.8064099069999999</v>
      </c>
    </row>
    <row r="10" spans="2:3" x14ac:dyDescent="0.2">
      <c r="B10" s="6">
        <v>42122</v>
      </c>
      <c r="C10">
        <v>2.7480147229999998</v>
      </c>
    </row>
    <row r="11" spans="2:3" x14ac:dyDescent="0.2">
      <c r="B11" s="6">
        <v>42121</v>
      </c>
      <c r="C11">
        <v>2.746745872</v>
      </c>
    </row>
    <row r="12" spans="2:3" x14ac:dyDescent="0.2">
      <c r="B12" s="6">
        <v>42118</v>
      </c>
      <c r="C12">
        <v>2.6991414549999999</v>
      </c>
    </row>
    <row r="13" spans="2:3" x14ac:dyDescent="0.2">
      <c r="B13" s="6">
        <v>42117</v>
      </c>
      <c r="C13">
        <v>2.6437338499999998</v>
      </c>
    </row>
    <row r="14" spans="2:3" x14ac:dyDescent="0.2">
      <c r="B14" s="6">
        <v>42116</v>
      </c>
      <c r="C14">
        <v>2.6295592179999998</v>
      </c>
    </row>
    <row r="15" spans="2:3" x14ac:dyDescent="0.2">
      <c r="B15" s="6">
        <v>42115</v>
      </c>
      <c r="C15">
        <v>2.656287582</v>
      </c>
    </row>
    <row r="16" spans="2:3" x14ac:dyDescent="0.2">
      <c r="B16" s="6">
        <v>42114</v>
      </c>
      <c r="C16">
        <v>2.6753264140000002</v>
      </c>
    </row>
    <row r="17" spans="2:3" x14ac:dyDescent="0.2">
      <c r="B17" s="6">
        <v>42111</v>
      </c>
      <c r="C17">
        <v>2.6225210799999998</v>
      </c>
    </row>
    <row r="18" spans="2:3" x14ac:dyDescent="0.2">
      <c r="B18" s="6">
        <v>42110</v>
      </c>
      <c r="C18">
        <v>2.5985892169999998</v>
      </c>
    </row>
    <row r="19" spans="2:3" x14ac:dyDescent="0.2">
      <c r="B19" s="6">
        <v>42109</v>
      </c>
      <c r="C19">
        <v>2.5671204200000002</v>
      </c>
    </row>
    <row r="20" spans="2:3" x14ac:dyDescent="0.2">
      <c r="B20" s="6">
        <v>42108</v>
      </c>
      <c r="C20">
        <v>2.5759029419999999</v>
      </c>
    </row>
    <row r="21" spans="2:3" x14ac:dyDescent="0.2">
      <c r="B21" s="6">
        <v>42107</v>
      </c>
      <c r="C21">
        <v>2.5846935850000001</v>
      </c>
    </row>
    <row r="22" spans="2:3" x14ac:dyDescent="0.2">
      <c r="B22" s="6">
        <v>42104</v>
      </c>
      <c r="C22">
        <v>2.5968587670000001</v>
      </c>
    </row>
    <row r="23" spans="2:3" x14ac:dyDescent="0.2">
      <c r="B23" s="6">
        <v>42103</v>
      </c>
      <c r="C23">
        <v>2.64134045</v>
      </c>
    </row>
    <row r="24" spans="2:3" x14ac:dyDescent="0.2">
      <c r="B24" s="6">
        <v>42102</v>
      </c>
      <c r="C24">
        <v>2.6673945630000002</v>
      </c>
    </row>
    <row r="25" spans="2:3" x14ac:dyDescent="0.2">
      <c r="B25" s="6">
        <v>42101</v>
      </c>
      <c r="C25">
        <v>2.6476582780000002</v>
      </c>
    </row>
    <row r="26" spans="2:3" x14ac:dyDescent="0.2">
      <c r="B26" s="6">
        <v>42100</v>
      </c>
      <c r="C26">
        <v>2.6203215119999999</v>
      </c>
    </row>
    <row r="27" spans="2:3" x14ac:dyDescent="0.2">
      <c r="B27" s="6">
        <v>42097</v>
      </c>
      <c r="C27">
        <v>2.628782459</v>
      </c>
    </row>
    <row r="28" spans="2:3" x14ac:dyDescent="0.2">
      <c r="B28" s="6">
        <v>42096</v>
      </c>
      <c r="C28">
        <v>2.633917104</v>
      </c>
    </row>
    <row r="29" spans="2:3" x14ac:dyDescent="0.2">
      <c r="B29" s="6">
        <v>42095</v>
      </c>
      <c r="C29">
        <v>2.5908884219999999</v>
      </c>
    </row>
    <row r="30" spans="2:3" x14ac:dyDescent="0.2">
      <c r="B30" s="6">
        <v>42094</v>
      </c>
      <c r="C30">
        <v>2.6512826679999999</v>
      </c>
    </row>
    <row r="31" spans="2:3" x14ac:dyDescent="0.2">
      <c r="B31" s="6">
        <v>42093</v>
      </c>
      <c r="C31">
        <v>2.5992657750000001</v>
      </c>
    </row>
    <row r="32" spans="2:3" x14ac:dyDescent="0.2">
      <c r="B32" s="6">
        <v>42090</v>
      </c>
      <c r="C32">
        <v>2.661035161</v>
      </c>
    </row>
    <row r="33" spans="2:3" x14ac:dyDescent="0.2">
      <c r="B33" s="6">
        <v>42089</v>
      </c>
      <c r="C33">
        <v>2.6906214300000002</v>
      </c>
    </row>
    <row r="34" spans="2:3" x14ac:dyDescent="0.2">
      <c r="B34" s="6">
        <v>42088</v>
      </c>
      <c r="C34">
        <v>2.693483246</v>
      </c>
    </row>
    <row r="35" spans="2:3" x14ac:dyDescent="0.2">
      <c r="B35" s="6">
        <v>42087</v>
      </c>
      <c r="C35">
        <v>2.7519990600000002</v>
      </c>
    </row>
    <row r="36" spans="2:3" x14ac:dyDescent="0.2">
      <c r="B36" s="6">
        <v>42086</v>
      </c>
      <c r="C36">
        <v>2.6641693960000001</v>
      </c>
    </row>
    <row r="37" spans="2:3" x14ac:dyDescent="0.2">
      <c r="B37" s="6">
        <v>42083</v>
      </c>
      <c r="C37">
        <v>2.6098467159999998</v>
      </c>
    </row>
    <row r="38" spans="2:3" x14ac:dyDescent="0.2">
      <c r="B38" s="6">
        <v>42082</v>
      </c>
      <c r="C38">
        <v>2.6575094780000001</v>
      </c>
    </row>
    <row r="39" spans="2:3" x14ac:dyDescent="0.2">
      <c r="B39" s="6">
        <v>42081</v>
      </c>
      <c r="C39">
        <v>2.6717729389999998</v>
      </c>
    </row>
    <row r="40" spans="2:3" x14ac:dyDescent="0.2">
      <c r="B40" s="6">
        <v>42080</v>
      </c>
      <c r="C40">
        <v>2.7095565640000001</v>
      </c>
    </row>
    <row r="41" spans="2:3" x14ac:dyDescent="0.2">
      <c r="B41" s="6">
        <v>42079</v>
      </c>
      <c r="C41">
        <v>2.6928489029999998</v>
      </c>
    </row>
    <row r="42" spans="2:3" x14ac:dyDescent="0.2">
      <c r="B42" s="6">
        <v>42076</v>
      </c>
      <c r="C42">
        <v>2.7958410090000001</v>
      </c>
    </row>
    <row r="43" spans="2:3" x14ac:dyDescent="0.2">
      <c r="B43" s="6">
        <v>42075</v>
      </c>
      <c r="C43">
        <v>2.8241768519999999</v>
      </c>
    </row>
    <row r="44" spans="2:3" x14ac:dyDescent="0.2">
      <c r="B44" s="6">
        <v>42074</v>
      </c>
      <c r="C44">
        <v>2.8315057490000002</v>
      </c>
    </row>
    <row r="45" spans="2:3" x14ac:dyDescent="0.2">
      <c r="B45" s="6">
        <v>42073</v>
      </c>
      <c r="C45">
        <v>2.8138191099999998</v>
      </c>
    </row>
    <row r="46" spans="2:3" x14ac:dyDescent="0.2">
      <c r="B46" s="6">
        <v>42072</v>
      </c>
      <c r="C46">
        <v>2.8278353030000001</v>
      </c>
    </row>
    <row r="47" spans="2:3" x14ac:dyDescent="0.2">
      <c r="B47" s="6">
        <v>42069</v>
      </c>
      <c r="C47">
        <v>2.8463503370000001</v>
      </c>
    </row>
    <row r="48" spans="2:3" x14ac:dyDescent="0.2">
      <c r="B48" s="6">
        <v>42068</v>
      </c>
      <c r="C48">
        <v>2.9022275240000002</v>
      </c>
    </row>
    <row r="49" spans="2:3" x14ac:dyDescent="0.2">
      <c r="B49" s="6">
        <v>42067</v>
      </c>
      <c r="C49">
        <v>2.9303170110000001</v>
      </c>
    </row>
    <row r="50" spans="2:3" x14ac:dyDescent="0.2">
      <c r="B50" s="6">
        <v>42066</v>
      </c>
      <c r="C50">
        <v>2.8155615749999998</v>
      </c>
    </row>
    <row r="51" spans="2:3" x14ac:dyDescent="0.2">
      <c r="B51" s="6">
        <v>42065</v>
      </c>
      <c r="C51">
        <v>2.824183723</v>
      </c>
    </row>
    <row r="52" spans="2:3" x14ac:dyDescent="0.2">
      <c r="B52" s="6">
        <v>42062</v>
      </c>
      <c r="C52">
        <v>2.83419994</v>
      </c>
    </row>
    <row r="53" spans="2:3" x14ac:dyDescent="0.2">
      <c r="B53" s="6">
        <v>42061</v>
      </c>
      <c r="C53">
        <v>2.7916349569999999</v>
      </c>
    </row>
    <row r="54" spans="2:3" x14ac:dyDescent="0.2">
      <c r="B54" s="6">
        <v>42060</v>
      </c>
      <c r="C54">
        <v>2.736598571</v>
      </c>
    </row>
    <row r="55" spans="2:3" x14ac:dyDescent="0.2">
      <c r="B55" s="6">
        <v>42059</v>
      </c>
      <c r="C55">
        <v>2.7641939619999998</v>
      </c>
    </row>
    <row r="56" spans="2:3" x14ac:dyDescent="0.2">
      <c r="B56" s="6">
        <v>42058</v>
      </c>
      <c r="C56">
        <v>2.726237308</v>
      </c>
    </row>
    <row r="57" spans="2:3" x14ac:dyDescent="0.2">
      <c r="B57" s="6">
        <v>42055</v>
      </c>
      <c r="C57">
        <v>2.7456841839999999</v>
      </c>
    </row>
    <row r="58" spans="2:3" x14ac:dyDescent="0.2">
      <c r="B58" s="6">
        <v>42054</v>
      </c>
      <c r="C58">
        <v>2.8051692510000001</v>
      </c>
    </row>
    <row r="59" spans="2:3" x14ac:dyDescent="0.2">
      <c r="B59" s="6">
        <v>42053</v>
      </c>
      <c r="C59">
        <v>2.849534394</v>
      </c>
    </row>
    <row r="60" spans="2:3" x14ac:dyDescent="0.2">
      <c r="B60" s="6">
        <v>42052</v>
      </c>
      <c r="C60">
        <v>2.8310816390000002</v>
      </c>
    </row>
    <row r="61" spans="2:3" x14ac:dyDescent="0.2">
      <c r="B61" s="6">
        <v>42048</v>
      </c>
      <c r="C61">
        <v>2.8066377519999999</v>
      </c>
    </row>
    <row r="62" spans="2:3" x14ac:dyDescent="0.2">
      <c r="B62" s="6">
        <v>42047</v>
      </c>
      <c r="C62">
        <v>2.8647464299999998</v>
      </c>
    </row>
    <row r="63" spans="2:3" x14ac:dyDescent="0.2">
      <c r="B63" s="6">
        <v>42046</v>
      </c>
      <c r="C63">
        <v>2.7439532600000001</v>
      </c>
    </row>
    <row r="64" spans="2:3" x14ac:dyDescent="0.2">
      <c r="B64" s="6">
        <v>42045</v>
      </c>
      <c r="C64">
        <v>2.7217472850000002</v>
      </c>
    </row>
    <row r="65" spans="2:3" x14ac:dyDescent="0.2">
      <c r="B65" s="6">
        <v>42044</v>
      </c>
      <c r="C65">
        <v>2.739094465</v>
      </c>
    </row>
    <row r="66" spans="2:3" x14ac:dyDescent="0.2">
      <c r="B66" s="6">
        <v>42041</v>
      </c>
      <c r="C66">
        <v>2.7450619010000001</v>
      </c>
    </row>
    <row r="67" spans="2:3" x14ac:dyDescent="0.2">
      <c r="B67" s="6">
        <v>42040</v>
      </c>
      <c r="C67">
        <v>2.6856648239999998</v>
      </c>
    </row>
    <row r="68" spans="2:3" x14ac:dyDescent="0.2">
      <c r="B68" s="6">
        <v>42039</v>
      </c>
      <c r="C68">
        <v>2.6748566999999999</v>
      </c>
    </row>
    <row r="69" spans="2:3" x14ac:dyDescent="0.2">
      <c r="B69" s="6">
        <v>42038</v>
      </c>
      <c r="C69">
        <v>2.5588939800000001</v>
      </c>
    </row>
    <row r="70" spans="2:3" x14ac:dyDescent="0.2">
      <c r="B70" s="6">
        <v>42037</v>
      </c>
      <c r="C70">
        <v>2.566204441</v>
      </c>
    </row>
    <row r="71" spans="2:3" x14ac:dyDescent="0.2">
      <c r="B71" s="6">
        <v>42034</v>
      </c>
      <c r="C71">
        <v>2.5386092040000001</v>
      </c>
    </row>
    <row r="72" spans="2:3" x14ac:dyDescent="0.2">
      <c r="B72" s="6">
        <v>42033</v>
      </c>
      <c r="C72">
        <v>2.4482414320000001</v>
      </c>
    </row>
    <row r="73" spans="2:3" x14ac:dyDescent="0.2">
      <c r="B73" s="6">
        <v>42032</v>
      </c>
      <c r="C73">
        <v>2.4526687900000002</v>
      </c>
    </row>
    <row r="74" spans="2:3" x14ac:dyDescent="0.2">
      <c r="B74" s="6">
        <v>42031</v>
      </c>
      <c r="C74">
        <v>2.5133603710000001</v>
      </c>
    </row>
    <row r="75" spans="2:3" x14ac:dyDescent="0.2">
      <c r="B75" s="6">
        <v>42030</v>
      </c>
      <c r="C75">
        <v>2.5075854880000001</v>
      </c>
    </row>
    <row r="76" spans="2:3" x14ac:dyDescent="0.2">
      <c r="B76" s="6">
        <v>42027</v>
      </c>
      <c r="C76">
        <v>2.5856679159999998</v>
      </c>
    </row>
    <row r="77" spans="2:3" x14ac:dyDescent="0.2">
      <c r="B77" s="6">
        <v>42026</v>
      </c>
      <c r="C77">
        <v>2.5964187920000001</v>
      </c>
    </row>
    <row r="78" spans="2:3" x14ac:dyDescent="0.2">
      <c r="B78" s="6">
        <v>42025</v>
      </c>
      <c r="C78">
        <v>2.5688065849999999</v>
      </c>
    </row>
    <row r="79" spans="2:3" x14ac:dyDescent="0.2">
      <c r="B79" s="6">
        <v>42024</v>
      </c>
      <c r="C79">
        <v>2.617020573</v>
      </c>
    </row>
    <row r="80" spans="2:3" x14ac:dyDescent="0.2">
      <c r="B80" s="6">
        <v>42020</v>
      </c>
      <c r="C80">
        <v>2.6084944349999999</v>
      </c>
    </row>
    <row r="81" spans="2:3" x14ac:dyDescent="0.2">
      <c r="B81" s="6">
        <v>42019</v>
      </c>
      <c r="C81">
        <v>2.5573717920000001</v>
      </c>
    </row>
    <row r="82" spans="2:3" x14ac:dyDescent="0.2">
      <c r="B82" s="6">
        <v>42018</v>
      </c>
      <c r="C82">
        <v>2.5454794820000002</v>
      </c>
    </row>
    <row r="83" spans="2:3" x14ac:dyDescent="0.2">
      <c r="B83" s="6">
        <v>42017</v>
      </c>
      <c r="C83">
        <v>2.4553295319999999</v>
      </c>
    </row>
    <row r="84" spans="2:3" x14ac:dyDescent="0.2">
      <c r="B84" s="6">
        <v>42016</v>
      </c>
      <c r="C84">
        <v>2.49106608</v>
      </c>
    </row>
    <row r="85" spans="2:3" x14ac:dyDescent="0.2">
      <c r="B85" s="6">
        <v>42013</v>
      </c>
      <c r="C85">
        <v>2.5795437940000001</v>
      </c>
    </row>
    <row r="86" spans="2:3" x14ac:dyDescent="0.2">
      <c r="B86" s="6">
        <v>42012</v>
      </c>
      <c r="C86">
        <v>2.5936190219999999</v>
      </c>
    </row>
    <row r="87" spans="2:3" x14ac:dyDescent="0.2">
      <c r="B87" s="6">
        <v>42011</v>
      </c>
      <c r="C87">
        <v>2.6462920310000002</v>
      </c>
    </row>
    <row r="88" spans="2:3" x14ac:dyDescent="0.2">
      <c r="B88" s="6">
        <v>42010</v>
      </c>
      <c r="C88">
        <v>2.6774292059999998</v>
      </c>
    </row>
    <row r="89" spans="2:3" x14ac:dyDescent="0.2">
      <c r="B89" s="6">
        <v>42009</v>
      </c>
      <c r="C89">
        <v>2.6248431050000001</v>
      </c>
    </row>
    <row r="90" spans="2:3" x14ac:dyDescent="0.2">
      <c r="B90" s="6">
        <v>42006</v>
      </c>
      <c r="C90">
        <v>2.6163645369999999</v>
      </c>
    </row>
    <row r="91" spans="2:3" x14ac:dyDescent="0.2">
      <c r="B91" s="6">
        <v>42004</v>
      </c>
      <c r="C91">
        <v>2.696270127</v>
      </c>
    </row>
    <row r="92" spans="2:3" x14ac:dyDescent="0.2">
      <c r="B92" s="6">
        <v>42003</v>
      </c>
      <c r="C92">
        <v>2.7854452420000002</v>
      </c>
    </row>
    <row r="93" spans="2:3" x14ac:dyDescent="0.2">
      <c r="B93" s="6">
        <v>42002</v>
      </c>
      <c r="C93">
        <v>2.8338661410000001</v>
      </c>
    </row>
    <row r="94" spans="2:3" x14ac:dyDescent="0.2">
      <c r="B94" s="6">
        <v>41999</v>
      </c>
      <c r="C94">
        <v>2.8519980739999999</v>
      </c>
    </row>
    <row r="95" spans="2:3" x14ac:dyDescent="0.2">
      <c r="B95" s="6">
        <v>41997</v>
      </c>
      <c r="C95">
        <v>2.8609798259999999</v>
      </c>
    </row>
    <row r="96" spans="2:3" x14ac:dyDescent="0.2">
      <c r="B96" s="6">
        <v>41996</v>
      </c>
      <c r="C96">
        <v>2.8912427169999999</v>
      </c>
    </row>
    <row r="97" spans="2:3" x14ac:dyDescent="0.2">
      <c r="B97" s="6">
        <v>41995</v>
      </c>
      <c r="C97">
        <v>2.90975275</v>
      </c>
    </row>
    <row r="98" spans="2:3" x14ac:dyDescent="0.2">
      <c r="B98" s="6">
        <v>41992</v>
      </c>
      <c r="C98">
        <v>2.9103244039999998</v>
      </c>
    </row>
    <row r="99" spans="2:3" x14ac:dyDescent="0.2">
      <c r="B99" s="6">
        <v>41991</v>
      </c>
      <c r="C99">
        <v>2.8256441969999999</v>
      </c>
    </row>
    <row r="100" spans="2:3" x14ac:dyDescent="0.2">
      <c r="B100" s="6">
        <v>41990</v>
      </c>
      <c r="C100">
        <v>2.8337398569999999</v>
      </c>
    </row>
    <row r="101" spans="2:3" x14ac:dyDescent="0.2">
      <c r="B101" s="6">
        <v>41989</v>
      </c>
      <c r="C101">
        <v>2.858230007</v>
      </c>
    </row>
    <row r="102" spans="2:3" x14ac:dyDescent="0.2">
      <c r="B102" s="6">
        <v>41988</v>
      </c>
      <c r="C102">
        <v>2.837150131</v>
      </c>
    </row>
    <row r="103" spans="2:3" x14ac:dyDescent="0.2">
      <c r="B103" s="6">
        <v>41985</v>
      </c>
      <c r="C103">
        <v>2.7872489969999998</v>
      </c>
    </row>
    <row r="104" spans="2:3" x14ac:dyDescent="0.2">
      <c r="B104" s="6">
        <v>41984</v>
      </c>
      <c r="C104">
        <v>2.8291749930000001</v>
      </c>
    </row>
    <row r="105" spans="2:3" x14ac:dyDescent="0.2">
      <c r="B105" s="6">
        <v>41983</v>
      </c>
      <c r="C105">
        <v>2.8005778019999998</v>
      </c>
    </row>
    <row r="106" spans="2:3" x14ac:dyDescent="0.2">
      <c r="B106" s="6">
        <v>41982</v>
      </c>
      <c r="C106">
        <v>2.86343434</v>
      </c>
    </row>
    <row r="107" spans="2:3" x14ac:dyDescent="0.2">
      <c r="B107" s="6">
        <v>41981</v>
      </c>
      <c r="C107">
        <v>2.8515070489999998</v>
      </c>
    </row>
    <row r="108" spans="2:3" x14ac:dyDescent="0.2">
      <c r="B108" s="6">
        <v>41978</v>
      </c>
      <c r="C108">
        <v>2.8860238030000001</v>
      </c>
    </row>
    <row r="109" spans="2:3" x14ac:dyDescent="0.2">
      <c r="B109" s="6">
        <v>41977</v>
      </c>
      <c r="C109">
        <v>2.908758664</v>
      </c>
    </row>
    <row r="110" spans="2:3" x14ac:dyDescent="0.2">
      <c r="B110" s="6">
        <v>41976</v>
      </c>
      <c r="C110">
        <v>2.9546349099999998</v>
      </c>
    </row>
    <row r="111" spans="2:3" x14ac:dyDescent="0.2">
      <c r="B111" s="6">
        <v>41975</v>
      </c>
      <c r="C111">
        <v>2.9025098819999999</v>
      </c>
    </row>
    <row r="112" spans="2:3" x14ac:dyDescent="0.2">
      <c r="B112" s="6">
        <v>41974</v>
      </c>
      <c r="C112">
        <v>2.9323159670000001</v>
      </c>
    </row>
    <row r="113" spans="2:3" x14ac:dyDescent="0.2">
      <c r="B113" s="6">
        <v>41971</v>
      </c>
      <c r="C113">
        <v>2.9250412909999999</v>
      </c>
    </row>
    <row r="114" spans="2:3" x14ac:dyDescent="0.2">
      <c r="B114" s="6">
        <v>41969</v>
      </c>
      <c r="C114">
        <v>2.8622800900000001</v>
      </c>
    </row>
    <row r="115" spans="2:3" x14ac:dyDescent="0.2">
      <c r="B115" s="6">
        <v>41968</v>
      </c>
      <c r="C115">
        <v>2.8456852640000001</v>
      </c>
    </row>
    <row r="116" spans="2:3" x14ac:dyDescent="0.2">
      <c r="B116" s="6">
        <v>41967</v>
      </c>
      <c r="C116">
        <v>2.8840952880000001</v>
      </c>
    </row>
    <row r="117" spans="2:3" x14ac:dyDescent="0.2">
      <c r="B117" s="6">
        <v>41964</v>
      </c>
      <c r="C117">
        <v>2.898723575</v>
      </c>
    </row>
    <row r="118" spans="2:3" x14ac:dyDescent="0.2">
      <c r="B118" s="6">
        <v>41963</v>
      </c>
      <c r="C118">
        <v>2.9533754289999998</v>
      </c>
    </row>
    <row r="119" spans="2:3" x14ac:dyDescent="0.2">
      <c r="B119" s="6">
        <v>41962</v>
      </c>
      <c r="C119">
        <v>2.9650307159999998</v>
      </c>
    </row>
    <row r="120" spans="2:3" x14ac:dyDescent="0.2">
      <c r="B120" s="6">
        <v>41961</v>
      </c>
      <c r="C120">
        <v>2.982454223</v>
      </c>
    </row>
    <row r="121" spans="2:3" x14ac:dyDescent="0.2">
      <c r="B121" s="6">
        <v>41960</v>
      </c>
      <c r="C121">
        <v>3.0039537950000001</v>
      </c>
    </row>
    <row r="122" spans="2:3" x14ac:dyDescent="0.2">
      <c r="B122" s="6">
        <v>41957</v>
      </c>
      <c r="C122">
        <v>2.982257943</v>
      </c>
    </row>
    <row r="123" spans="2:3" x14ac:dyDescent="0.2">
      <c r="B123" s="6">
        <v>41956</v>
      </c>
      <c r="C123">
        <v>2.9940977329999998</v>
      </c>
    </row>
    <row r="124" spans="2:3" x14ac:dyDescent="0.2">
      <c r="B124" s="6">
        <v>41955</v>
      </c>
      <c r="C124">
        <v>2.9883080629999998</v>
      </c>
    </row>
    <row r="125" spans="2:3" x14ac:dyDescent="0.2">
      <c r="B125" s="6">
        <v>41953</v>
      </c>
      <c r="C125">
        <v>3.0240880309999998</v>
      </c>
    </row>
    <row r="126" spans="2:3" x14ac:dyDescent="0.2">
      <c r="B126" s="6">
        <v>41950</v>
      </c>
      <c r="C126">
        <v>3.0364843320000001</v>
      </c>
    </row>
    <row r="127" spans="2:3" x14ac:dyDescent="0.2">
      <c r="B127" s="6">
        <v>41949</v>
      </c>
      <c r="C127">
        <v>3.036336532</v>
      </c>
    </row>
    <row r="128" spans="2:3" x14ac:dyDescent="0.2">
      <c r="B128" s="6">
        <v>41948</v>
      </c>
      <c r="C128">
        <v>3.0013609959999998</v>
      </c>
    </row>
    <row r="129" spans="2:3" x14ac:dyDescent="0.2">
      <c r="B129" s="6">
        <v>41947</v>
      </c>
      <c r="C129">
        <v>3.0520108370000001</v>
      </c>
    </row>
    <row r="130" spans="2:3" x14ac:dyDescent="0.2">
      <c r="B130" s="6">
        <v>41946</v>
      </c>
      <c r="C130">
        <v>3.0444494980000001</v>
      </c>
    </row>
    <row r="131" spans="2:3" x14ac:dyDescent="0.2">
      <c r="B131" s="6">
        <v>41943</v>
      </c>
      <c r="C131">
        <v>3.0442418</v>
      </c>
    </row>
    <row r="132" spans="2:3" x14ac:dyDescent="0.2">
      <c r="B132" s="6">
        <v>41942</v>
      </c>
      <c r="C132">
        <v>3.0472779210000001</v>
      </c>
    </row>
    <row r="133" spans="2:3" x14ac:dyDescent="0.2">
      <c r="B133" s="6">
        <v>41941</v>
      </c>
      <c r="C133">
        <v>3.0097405469999998</v>
      </c>
    </row>
    <row r="134" spans="2:3" x14ac:dyDescent="0.2">
      <c r="B134" s="6">
        <v>41940</v>
      </c>
      <c r="C134">
        <v>2.988414197</v>
      </c>
    </row>
    <row r="135" spans="2:3" x14ac:dyDescent="0.2">
      <c r="B135" s="6">
        <v>41939</v>
      </c>
      <c r="C135">
        <v>3.009098539</v>
      </c>
    </row>
    <row r="136" spans="2:3" x14ac:dyDescent="0.2">
      <c r="B136" s="6">
        <v>41936</v>
      </c>
      <c r="C136">
        <v>2.9732615650000001</v>
      </c>
    </row>
    <row r="137" spans="2:3" x14ac:dyDescent="0.2">
      <c r="B137" s="6">
        <v>41935</v>
      </c>
      <c r="C137">
        <v>2.9506305570000002</v>
      </c>
    </row>
    <row r="138" spans="2:3" x14ac:dyDescent="0.2">
      <c r="B138" s="6">
        <v>41934</v>
      </c>
      <c r="C138">
        <v>2.9670641789999999</v>
      </c>
    </row>
    <row r="139" spans="2:3" x14ac:dyDescent="0.2">
      <c r="B139" s="6">
        <v>41933</v>
      </c>
      <c r="C139">
        <v>2.9569729969999998</v>
      </c>
    </row>
    <row r="140" spans="2:3" x14ac:dyDescent="0.2">
      <c r="B140" s="6">
        <v>41932</v>
      </c>
      <c r="C140">
        <v>2.9156084</v>
      </c>
    </row>
    <row r="141" spans="2:3" x14ac:dyDescent="0.2">
      <c r="B141" s="6">
        <v>41929</v>
      </c>
      <c r="C141">
        <v>2.902605962</v>
      </c>
    </row>
    <row r="142" spans="2:3" x14ac:dyDescent="0.2">
      <c r="B142" s="6">
        <v>41928</v>
      </c>
      <c r="C142">
        <v>2.8822827659999999</v>
      </c>
    </row>
    <row r="143" spans="2:3" x14ac:dyDescent="0.2">
      <c r="B143" s="6">
        <v>41927</v>
      </c>
      <c r="C143">
        <v>2.9089681550000002</v>
      </c>
    </row>
    <row r="144" spans="2:3" x14ac:dyDescent="0.2">
      <c r="B144" s="6">
        <v>41926</v>
      </c>
      <c r="C144">
        <v>2.889976967</v>
      </c>
    </row>
    <row r="145" spans="2:3" x14ac:dyDescent="0.2">
      <c r="B145" s="6">
        <v>41922</v>
      </c>
      <c r="C145">
        <v>2.8012763490000001</v>
      </c>
    </row>
    <row r="146" spans="2:3" x14ac:dyDescent="0.2">
      <c r="B146" s="6">
        <v>41921</v>
      </c>
      <c r="C146">
        <v>2.915673526</v>
      </c>
    </row>
    <row r="147" spans="2:3" x14ac:dyDescent="0.2">
      <c r="B147" s="6">
        <v>41920</v>
      </c>
      <c r="C147">
        <v>3.0064713689999998</v>
      </c>
    </row>
    <row r="148" spans="2:3" x14ac:dyDescent="0.2">
      <c r="B148" s="6">
        <v>41919</v>
      </c>
      <c r="C148">
        <v>3.0093512069999999</v>
      </c>
    </row>
    <row r="149" spans="2:3" x14ac:dyDescent="0.2">
      <c r="B149" s="6">
        <v>41918</v>
      </c>
      <c r="C149">
        <v>3.0069568879999999</v>
      </c>
    </row>
    <row r="150" spans="2:3" x14ac:dyDescent="0.2">
      <c r="B150" s="6">
        <v>41915</v>
      </c>
      <c r="C150">
        <v>3.0571656680000001</v>
      </c>
    </row>
    <row r="151" spans="2:3" x14ac:dyDescent="0.2">
      <c r="B151" s="6">
        <v>41914</v>
      </c>
      <c r="C151">
        <v>3.122978196</v>
      </c>
    </row>
    <row r="152" spans="2:3" x14ac:dyDescent="0.2">
      <c r="B152" s="6">
        <v>41913</v>
      </c>
      <c r="C152">
        <v>3.1408024550000002</v>
      </c>
    </row>
    <row r="153" spans="2:3" x14ac:dyDescent="0.2">
      <c r="B153" s="6">
        <v>41912</v>
      </c>
      <c r="C153">
        <v>3.1361016859999999</v>
      </c>
    </row>
    <row r="154" spans="2:3" x14ac:dyDescent="0.2">
      <c r="B154" s="6">
        <v>41911</v>
      </c>
      <c r="C154">
        <v>3.118786702</v>
      </c>
    </row>
    <row r="155" spans="2:3" x14ac:dyDescent="0.2">
      <c r="B155" s="6">
        <v>41908</v>
      </c>
      <c r="C155">
        <v>3.2078957130000001</v>
      </c>
    </row>
    <row r="156" spans="2:3" x14ac:dyDescent="0.2">
      <c r="B156" s="6">
        <v>41907</v>
      </c>
      <c r="C156">
        <v>3.1926835360000001</v>
      </c>
    </row>
    <row r="157" spans="2:3" x14ac:dyDescent="0.2">
      <c r="B157" s="6">
        <v>41906</v>
      </c>
      <c r="C157">
        <v>3.2151684870000001</v>
      </c>
    </row>
    <row r="158" spans="2:3" x14ac:dyDescent="0.2">
      <c r="B158" s="6">
        <v>41905</v>
      </c>
      <c r="C158">
        <v>3.1966747340000001</v>
      </c>
    </row>
    <row r="159" spans="2:3" x14ac:dyDescent="0.2">
      <c r="B159" s="6">
        <v>41904</v>
      </c>
      <c r="C159">
        <v>3.2402038040000001</v>
      </c>
    </row>
    <row r="160" spans="2:3" x14ac:dyDescent="0.2">
      <c r="B160" s="6">
        <v>41901</v>
      </c>
      <c r="C160">
        <v>3.214714844</v>
      </c>
    </row>
    <row r="161" spans="2:3" x14ac:dyDescent="0.2">
      <c r="B161" s="6">
        <v>41900</v>
      </c>
      <c r="C161">
        <v>3.2397623310000001</v>
      </c>
    </row>
    <row r="162" spans="2:3" x14ac:dyDescent="0.2">
      <c r="B162" s="6">
        <v>41899</v>
      </c>
      <c r="C162">
        <v>3.256497913</v>
      </c>
    </row>
    <row r="163" spans="2:3" x14ac:dyDescent="0.2">
      <c r="B163" s="6">
        <v>41898</v>
      </c>
      <c r="C163">
        <v>3.3001731670000001</v>
      </c>
    </row>
    <row r="164" spans="2:3" x14ac:dyDescent="0.2">
      <c r="B164" s="6">
        <v>41897</v>
      </c>
      <c r="C164">
        <v>3.2889456290000001</v>
      </c>
    </row>
    <row r="165" spans="2:3" x14ac:dyDescent="0.2">
      <c r="B165" s="6">
        <v>41894</v>
      </c>
      <c r="C165">
        <v>3.284083023</v>
      </c>
    </row>
    <row r="166" spans="2:3" x14ac:dyDescent="0.2">
      <c r="B166" s="6">
        <v>41893</v>
      </c>
      <c r="C166">
        <v>3.2813411060000002</v>
      </c>
    </row>
    <row r="167" spans="2:3" x14ac:dyDescent="0.2">
      <c r="B167" s="6">
        <v>41892</v>
      </c>
      <c r="C167">
        <v>3.3013053860000001</v>
      </c>
    </row>
    <row r="168" spans="2:3" x14ac:dyDescent="0.2">
      <c r="B168" s="6">
        <v>41891</v>
      </c>
      <c r="C168">
        <v>3.2385398599999999</v>
      </c>
    </row>
    <row r="169" spans="2:3" x14ac:dyDescent="0.2">
      <c r="B169" s="6">
        <v>41890</v>
      </c>
      <c r="C169">
        <v>3.2396650400000002</v>
      </c>
    </row>
    <row r="170" spans="2:3" x14ac:dyDescent="0.2">
      <c r="B170" s="6">
        <v>41887</v>
      </c>
      <c r="C170">
        <v>3.2042635430000002</v>
      </c>
    </row>
    <row r="171" spans="2:3" x14ac:dyDescent="0.2">
      <c r="B171" s="6">
        <v>41886</v>
      </c>
      <c r="C171">
        <v>3.1760802520000002</v>
      </c>
    </row>
    <row r="172" spans="2:3" x14ac:dyDescent="0.2">
      <c r="B172" s="6">
        <v>41885</v>
      </c>
      <c r="C172">
        <v>3.168184938</v>
      </c>
    </row>
    <row r="173" spans="2:3" x14ac:dyDescent="0.2">
      <c r="B173" s="6">
        <v>41884</v>
      </c>
      <c r="C173">
        <v>3.1528316909999998</v>
      </c>
    </row>
    <row r="174" spans="2:3" x14ac:dyDescent="0.2">
      <c r="B174" s="6">
        <v>41880</v>
      </c>
      <c r="C174">
        <v>3.1253552920000001</v>
      </c>
    </row>
    <row r="175" spans="2:3" x14ac:dyDescent="0.2">
      <c r="B175" s="6">
        <v>41879</v>
      </c>
      <c r="C175">
        <v>3.133469292</v>
      </c>
    </row>
    <row r="176" spans="2:3" x14ac:dyDescent="0.2">
      <c r="B176" s="6">
        <v>41878</v>
      </c>
      <c r="C176">
        <v>3.0803371980000001</v>
      </c>
    </row>
    <row r="177" spans="2:3" x14ac:dyDescent="0.2">
      <c r="B177" s="6">
        <v>41877</v>
      </c>
      <c r="C177">
        <v>3.0781225339999998</v>
      </c>
    </row>
    <row r="178" spans="2:3" x14ac:dyDescent="0.2">
      <c r="B178" s="6">
        <v>41876</v>
      </c>
      <c r="C178">
        <v>3.098870228</v>
      </c>
    </row>
    <row r="179" spans="2:3" x14ac:dyDescent="0.2">
      <c r="B179" s="6">
        <v>41873</v>
      </c>
      <c r="C179">
        <v>3.1294369610000001</v>
      </c>
    </row>
    <row r="180" spans="2:3" x14ac:dyDescent="0.2">
      <c r="B180" s="6">
        <v>41872</v>
      </c>
      <c r="C180">
        <v>3.1385592560000002</v>
      </c>
    </row>
    <row r="181" spans="2:3" x14ac:dyDescent="0.2">
      <c r="B181" s="6">
        <v>41871</v>
      </c>
      <c r="C181">
        <v>3.1508216359999999</v>
      </c>
    </row>
    <row r="182" spans="2:3" x14ac:dyDescent="0.2">
      <c r="B182" s="6">
        <v>41870</v>
      </c>
      <c r="C182">
        <v>3.156779577</v>
      </c>
    </row>
    <row r="183" spans="2:3" x14ac:dyDescent="0.2">
      <c r="B183" s="6">
        <v>41869</v>
      </c>
      <c r="C183">
        <v>3.1828839680000001</v>
      </c>
    </row>
    <row r="184" spans="2:3" x14ac:dyDescent="0.2">
      <c r="B184" s="6">
        <v>41866</v>
      </c>
      <c r="C184">
        <v>3.1648384219999999</v>
      </c>
    </row>
    <row r="185" spans="2:3" x14ac:dyDescent="0.2">
      <c r="B185" s="6">
        <v>41865</v>
      </c>
      <c r="C185">
        <v>3.1399786600000001</v>
      </c>
    </row>
    <row r="186" spans="2:3" x14ac:dyDescent="0.2">
      <c r="B186" s="6">
        <v>41864</v>
      </c>
      <c r="C186">
        <v>3.0935764219999999</v>
      </c>
    </row>
    <row r="187" spans="2:3" x14ac:dyDescent="0.2">
      <c r="B187" s="6">
        <v>41863</v>
      </c>
      <c r="C187">
        <v>3.1399551639999999</v>
      </c>
    </row>
    <row r="188" spans="2:3" x14ac:dyDescent="0.2">
      <c r="B188" s="6">
        <v>41862</v>
      </c>
      <c r="C188">
        <v>3.1611594969999999</v>
      </c>
    </row>
    <row r="189" spans="2:3" x14ac:dyDescent="0.2">
      <c r="B189" s="6">
        <v>41859</v>
      </c>
      <c r="C189">
        <v>3.1921232289999999</v>
      </c>
    </row>
    <row r="190" spans="2:3" x14ac:dyDescent="0.2">
      <c r="B190" s="6">
        <v>41858</v>
      </c>
      <c r="C190">
        <v>3.1826449449999998</v>
      </c>
    </row>
    <row r="191" spans="2:3" x14ac:dyDescent="0.2">
      <c r="B191" s="6">
        <v>41857</v>
      </c>
      <c r="C191">
        <v>3.1721768969999999</v>
      </c>
    </row>
    <row r="192" spans="2:3" x14ac:dyDescent="0.2">
      <c r="B192" s="6">
        <v>41856</v>
      </c>
      <c r="C192">
        <v>3.1812952619999999</v>
      </c>
    </row>
    <row r="193" spans="2:3" x14ac:dyDescent="0.2">
      <c r="B193" s="6">
        <v>41855</v>
      </c>
      <c r="C193">
        <v>3.2168042300000002</v>
      </c>
    </row>
    <row r="194" spans="2:3" x14ac:dyDescent="0.2">
      <c r="B194" s="6">
        <v>41852</v>
      </c>
      <c r="C194">
        <v>3.216324288</v>
      </c>
    </row>
    <row r="195" spans="2:3" x14ac:dyDescent="0.2">
      <c r="B195" s="6">
        <v>41851</v>
      </c>
      <c r="C195">
        <v>3.2178217899999999</v>
      </c>
    </row>
    <row r="196" spans="2:3" x14ac:dyDescent="0.2">
      <c r="B196" s="6">
        <v>41850</v>
      </c>
      <c r="C196">
        <v>3.2284236380000002</v>
      </c>
    </row>
    <row r="197" spans="2:3" x14ac:dyDescent="0.2">
      <c r="B197" s="6">
        <v>41849</v>
      </c>
      <c r="C197">
        <v>3.2761065930000002</v>
      </c>
    </row>
    <row r="198" spans="2:3" x14ac:dyDescent="0.2">
      <c r="B198" s="6">
        <v>41848</v>
      </c>
      <c r="C198">
        <v>3.2657922039999998</v>
      </c>
    </row>
    <row r="199" spans="2:3" x14ac:dyDescent="0.2">
      <c r="B199" s="6">
        <v>41845</v>
      </c>
      <c r="C199">
        <v>3.1823757600000002</v>
      </c>
    </row>
    <row r="200" spans="2:3" x14ac:dyDescent="0.2">
      <c r="B200" s="6">
        <v>41844</v>
      </c>
      <c r="C200">
        <v>3.204960201</v>
      </c>
    </row>
    <row r="201" spans="2:3" x14ac:dyDescent="0.2">
      <c r="B201" s="6">
        <v>41843</v>
      </c>
      <c r="C201">
        <v>3.1915306559999999</v>
      </c>
    </row>
    <row r="202" spans="2:3" x14ac:dyDescent="0.2">
      <c r="B202" s="6">
        <v>41842</v>
      </c>
      <c r="C202">
        <v>3.2359256059999999</v>
      </c>
    </row>
    <row r="203" spans="2:3" x14ac:dyDescent="0.2">
      <c r="B203" s="6">
        <v>41841</v>
      </c>
      <c r="C203">
        <v>3.1844316680000002</v>
      </c>
    </row>
    <row r="204" spans="2:3" x14ac:dyDescent="0.2">
      <c r="B204" s="6">
        <v>41838</v>
      </c>
      <c r="C204">
        <v>3.1713427689999998</v>
      </c>
    </row>
    <row r="205" spans="2:3" x14ac:dyDescent="0.2">
      <c r="B205" s="6">
        <v>41837</v>
      </c>
      <c r="C205">
        <v>3.179728705</v>
      </c>
    </row>
    <row r="206" spans="2:3" x14ac:dyDescent="0.2">
      <c r="B206" s="6">
        <v>41836</v>
      </c>
      <c r="C206">
        <v>3.1834552500000002</v>
      </c>
    </row>
    <row r="207" spans="2:3" x14ac:dyDescent="0.2">
      <c r="B207" s="6">
        <v>41835</v>
      </c>
      <c r="C207">
        <v>3.183999016</v>
      </c>
    </row>
    <row r="208" spans="2:3" x14ac:dyDescent="0.2">
      <c r="B208" s="6">
        <v>41834</v>
      </c>
      <c r="C208">
        <v>3.2358797159999999</v>
      </c>
    </row>
    <row r="209" spans="2:3" x14ac:dyDescent="0.2">
      <c r="B209" s="6">
        <v>41831</v>
      </c>
      <c r="C209">
        <v>3.2327612769999998</v>
      </c>
    </row>
    <row r="210" spans="2:3" x14ac:dyDescent="0.2">
      <c r="B210" s="6">
        <v>41830</v>
      </c>
      <c r="C210">
        <v>3.2238128129999999</v>
      </c>
    </row>
    <row r="211" spans="2:3" x14ac:dyDescent="0.2">
      <c r="B211" s="6">
        <v>41829</v>
      </c>
      <c r="C211">
        <v>3.1874045930000001</v>
      </c>
    </row>
    <row r="212" spans="2:3" x14ac:dyDescent="0.2">
      <c r="B212" s="6">
        <v>41828</v>
      </c>
      <c r="C212">
        <v>3.200986447</v>
      </c>
    </row>
    <row r="213" spans="2:3" x14ac:dyDescent="0.2">
      <c r="B213" s="6">
        <v>41827</v>
      </c>
      <c r="C213">
        <v>3.218508457</v>
      </c>
    </row>
    <row r="214" spans="2:3" x14ac:dyDescent="0.2">
      <c r="B214" s="6">
        <v>41823</v>
      </c>
      <c r="C214">
        <v>3.2329417249999999</v>
      </c>
    </row>
    <row r="215" spans="2:3" x14ac:dyDescent="0.2">
      <c r="B215" s="6">
        <v>41822</v>
      </c>
      <c r="C215">
        <v>3.266475926</v>
      </c>
    </row>
    <row r="216" spans="2:3" x14ac:dyDescent="0.2">
      <c r="B216" s="6">
        <v>41821</v>
      </c>
      <c r="C216">
        <v>3.2816971850000001</v>
      </c>
    </row>
    <row r="217" spans="2:3" x14ac:dyDescent="0.2">
      <c r="B217" s="6">
        <v>41820</v>
      </c>
      <c r="C217">
        <v>3.2580485750000001</v>
      </c>
    </row>
    <row r="218" spans="2:3" x14ac:dyDescent="0.2">
      <c r="B218" s="6">
        <v>41817</v>
      </c>
      <c r="C218">
        <v>3.2107808200000001</v>
      </c>
    </row>
    <row r="219" spans="2:3" x14ac:dyDescent="0.2">
      <c r="B219" s="6">
        <v>41816</v>
      </c>
      <c r="C219">
        <v>3.16005862</v>
      </c>
    </row>
    <row r="220" spans="2:3" x14ac:dyDescent="0.2">
      <c r="B220" s="6">
        <v>41815</v>
      </c>
      <c r="C220">
        <v>3.1723768259999998</v>
      </c>
    </row>
    <row r="221" spans="2:3" x14ac:dyDescent="0.2">
      <c r="B221" s="6">
        <v>41814</v>
      </c>
      <c r="C221">
        <v>3.1705026479999998</v>
      </c>
    </row>
    <row r="222" spans="2:3" x14ac:dyDescent="0.2">
      <c r="B222" s="6">
        <v>41813</v>
      </c>
      <c r="C222">
        <v>3.19489738</v>
      </c>
    </row>
    <row r="223" spans="2:3" x14ac:dyDescent="0.2">
      <c r="B223" s="6">
        <v>41810</v>
      </c>
      <c r="C223">
        <v>3.2180523989999998</v>
      </c>
    </row>
    <row r="224" spans="2:3" x14ac:dyDescent="0.2">
      <c r="B224" s="6">
        <v>41809</v>
      </c>
      <c r="C224">
        <v>3.2420059349999999</v>
      </c>
    </row>
    <row r="225" spans="2:3" x14ac:dyDescent="0.2">
      <c r="B225" s="6">
        <v>41808</v>
      </c>
      <c r="C225">
        <v>3.2387092669999999</v>
      </c>
    </row>
    <row r="226" spans="2:3" x14ac:dyDescent="0.2">
      <c r="B226" s="6">
        <v>41807</v>
      </c>
      <c r="C226">
        <v>3.2406996480000001</v>
      </c>
    </row>
    <row r="227" spans="2:3" x14ac:dyDescent="0.2">
      <c r="B227" s="6">
        <v>41806</v>
      </c>
      <c r="C227">
        <v>3.2554507350000002</v>
      </c>
    </row>
    <row r="228" spans="2:3" x14ac:dyDescent="0.2">
      <c r="B228" s="6">
        <v>41803</v>
      </c>
      <c r="C228">
        <v>3.295523701</v>
      </c>
    </row>
    <row r="229" spans="2:3" x14ac:dyDescent="0.2">
      <c r="B229" s="6">
        <v>41802</v>
      </c>
      <c r="C229">
        <v>3.2401980090000002</v>
      </c>
    </row>
    <row r="230" spans="2:3" x14ac:dyDescent="0.2">
      <c r="B230" s="6">
        <v>41801</v>
      </c>
      <c r="C230">
        <v>3.2532056159999998</v>
      </c>
    </row>
    <row r="231" spans="2:3" x14ac:dyDescent="0.2">
      <c r="B231" s="6">
        <v>41800</v>
      </c>
      <c r="C231">
        <v>3.2368252540000002</v>
      </c>
    </row>
    <row r="232" spans="2:3" x14ac:dyDescent="0.2">
      <c r="B232" s="6">
        <v>41799</v>
      </c>
      <c r="C232">
        <v>3.283596792</v>
      </c>
    </row>
    <row r="233" spans="2:3" x14ac:dyDescent="0.2">
      <c r="B233" s="6">
        <v>41796</v>
      </c>
      <c r="C233">
        <v>3.2863723440000001</v>
      </c>
    </row>
    <row r="234" spans="2:3" x14ac:dyDescent="0.2">
      <c r="B234" s="6">
        <v>41795</v>
      </c>
      <c r="C234">
        <v>3.2647835349999998</v>
      </c>
    </row>
    <row r="235" spans="2:3" x14ac:dyDescent="0.2">
      <c r="B235" s="6">
        <v>41794</v>
      </c>
      <c r="C235">
        <v>3.2495337759999998</v>
      </c>
    </row>
    <row r="236" spans="2:3" x14ac:dyDescent="0.2">
      <c r="B236" s="6">
        <v>41793</v>
      </c>
      <c r="C236">
        <v>3.2377628110000001</v>
      </c>
    </row>
    <row r="237" spans="2:3" x14ac:dyDescent="0.2">
      <c r="B237" s="6">
        <v>41792</v>
      </c>
      <c r="C237">
        <v>3.2635254659999999</v>
      </c>
    </row>
    <row r="238" spans="2:3" x14ac:dyDescent="0.2">
      <c r="B238" s="6">
        <v>41789</v>
      </c>
      <c r="C238">
        <v>3.2594551209999998</v>
      </c>
    </row>
    <row r="239" spans="2:3" x14ac:dyDescent="0.2">
      <c r="B239" s="6">
        <v>41788</v>
      </c>
      <c r="C239">
        <v>3.2077358230000002</v>
      </c>
    </row>
    <row r="240" spans="2:3" x14ac:dyDescent="0.2">
      <c r="B240" s="6">
        <v>41787</v>
      </c>
      <c r="C240">
        <v>3.132717049</v>
      </c>
    </row>
    <row r="241" spans="2:3" x14ac:dyDescent="0.2">
      <c r="B241" s="6">
        <v>41786</v>
      </c>
      <c r="C241">
        <v>3.1236000380000002</v>
      </c>
    </row>
    <row r="242" spans="2:3" x14ac:dyDescent="0.2">
      <c r="B242" s="6">
        <v>41782</v>
      </c>
      <c r="C242">
        <v>3.096582454</v>
      </c>
    </row>
    <row r="243" spans="2:3" x14ac:dyDescent="0.2">
      <c r="B243" s="6">
        <v>41781</v>
      </c>
      <c r="C243">
        <v>3.1863361499999998</v>
      </c>
    </row>
    <row r="244" spans="2:3" x14ac:dyDescent="0.2">
      <c r="B244" s="6">
        <v>41780</v>
      </c>
      <c r="C244">
        <v>3.2062850310000002</v>
      </c>
    </row>
    <row r="245" spans="2:3" x14ac:dyDescent="0.2">
      <c r="B245" s="6">
        <v>41779</v>
      </c>
      <c r="C245">
        <v>3.214431211</v>
      </c>
    </row>
    <row r="246" spans="2:3" x14ac:dyDescent="0.2">
      <c r="B246" s="6">
        <v>41778</v>
      </c>
      <c r="C246">
        <v>3.2003729320000001</v>
      </c>
    </row>
    <row r="247" spans="2:3" x14ac:dyDescent="0.2">
      <c r="B247" s="6">
        <v>41775</v>
      </c>
      <c r="C247">
        <v>3.1906249350000002</v>
      </c>
    </row>
    <row r="248" spans="2:3" x14ac:dyDescent="0.2">
      <c r="B248" s="6">
        <v>41774</v>
      </c>
      <c r="C248">
        <v>3.2249711809999999</v>
      </c>
    </row>
    <row r="249" spans="2:3" x14ac:dyDescent="0.2">
      <c r="B249" s="6">
        <v>41773</v>
      </c>
      <c r="C249">
        <v>3.2071722939999998</v>
      </c>
    </row>
    <row r="250" spans="2:3" x14ac:dyDescent="0.2">
      <c r="B250" s="6">
        <v>41772</v>
      </c>
      <c r="C250">
        <v>3.1795097729999999</v>
      </c>
    </row>
    <row r="251" spans="2:3" x14ac:dyDescent="0.2">
      <c r="B251" s="6">
        <v>41771</v>
      </c>
      <c r="C251">
        <v>3.1970892270000002</v>
      </c>
    </row>
    <row r="252" spans="2:3" x14ac:dyDescent="0.2">
      <c r="B252" s="6">
        <v>41768</v>
      </c>
      <c r="C252">
        <v>3.2728026620000001</v>
      </c>
    </row>
    <row r="253" spans="2:3" x14ac:dyDescent="0.2">
      <c r="B253" s="6">
        <v>41767</v>
      </c>
      <c r="C253">
        <v>3.2957313799999999</v>
      </c>
    </row>
    <row r="254" spans="2:3" x14ac:dyDescent="0.2">
      <c r="B254" s="6">
        <v>41766</v>
      </c>
      <c r="C254">
        <v>3.2679344160000001</v>
      </c>
    </row>
    <row r="255" spans="2:3" x14ac:dyDescent="0.2">
      <c r="B255" s="6">
        <v>41765</v>
      </c>
      <c r="C255">
        <v>3.2302009300000001</v>
      </c>
    </row>
    <row r="256" spans="2:3" x14ac:dyDescent="0.2">
      <c r="B256" s="6">
        <v>41764</v>
      </c>
      <c r="C256">
        <v>3.2365593110000002</v>
      </c>
    </row>
    <row r="257" spans="2:3" x14ac:dyDescent="0.2">
      <c r="B257" s="6">
        <v>41761</v>
      </c>
      <c r="C257">
        <v>3.2676928759999999</v>
      </c>
    </row>
    <row r="258" spans="2:3" x14ac:dyDescent="0.2">
      <c r="B258" s="6">
        <v>41760</v>
      </c>
      <c r="C258">
        <v>3.2884994189999999</v>
      </c>
    </row>
    <row r="259" spans="2:3" x14ac:dyDescent="0.2">
      <c r="B259" s="6">
        <v>41759</v>
      </c>
      <c r="C259">
        <v>3.2758212279999999</v>
      </c>
    </row>
    <row r="260" spans="2:3" x14ac:dyDescent="0.2">
      <c r="B260" s="6">
        <v>41758</v>
      </c>
      <c r="C260">
        <v>3.2875255330000002</v>
      </c>
    </row>
    <row r="261" spans="2:3" x14ac:dyDescent="0.2">
      <c r="B261" s="6">
        <v>41757</v>
      </c>
      <c r="C261">
        <v>3.3274269649999999</v>
      </c>
    </row>
    <row r="262" spans="2:3" x14ac:dyDescent="0.2">
      <c r="B262" s="6">
        <v>41754</v>
      </c>
      <c r="C262">
        <v>3.3733743390000002</v>
      </c>
    </row>
    <row r="263" spans="2:3" x14ac:dyDescent="0.2">
      <c r="B263" s="6">
        <v>41753</v>
      </c>
      <c r="C263">
        <v>3.3514611410000001</v>
      </c>
    </row>
    <row r="264" spans="2:3" x14ac:dyDescent="0.2">
      <c r="B264" s="6">
        <v>41752</v>
      </c>
      <c r="C264">
        <v>3.3440723289999998</v>
      </c>
    </row>
    <row r="265" spans="2:3" x14ac:dyDescent="0.2">
      <c r="B265" s="6">
        <v>41751</v>
      </c>
      <c r="C265">
        <v>3.3653149180000002</v>
      </c>
    </row>
    <row r="266" spans="2:3" x14ac:dyDescent="0.2">
      <c r="B266" s="6">
        <v>41750</v>
      </c>
      <c r="C266">
        <v>3.3712594560000002</v>
      </c>
    </row>
    <row r="267" spans="2:3" x14ac:dyDescent="0.2">
      <c r="B267" s="6">
        <v>41746</v>
      </c>
      <c r="C267">
        <v>3.4158115499999999</v>
      </c>
    </row>
    <row r="268" spans="2:3" x14ac:dyDescent="0.2">
      <c r="B268" s="6">
        <v>41745</v>
      </c>
      <c r="C268">
        <v>3.4214944699999998</v>
      </c>
    </row>
    <row r="269" spans="2:3" x14ac:dyDescent="0.2">
      <c r="B269" s="6">
        <v>41744</v>
      </c>
      <c r="C269">
        <v>3.4080209319999999</v>
      </c>
    </row>
    <row r="270" spans="2:3" x14ac:dyDescent="0.2">
      <c r="B270" s="6">
        <v>41743</v>
      </c>
      <c r="C270">
        <v>3.3508010220000002</v>
      </c>
    </row>
    <row r="271" spans="2:3" x14ac:dyDescent="0.2">
      <c r="B271" s="6">
        <v>41740</v>
      </c>
      <c r="C271">
        <v>3.3379312959999998</v>
      </c>
    </row>
    <row r="272" spans="2:3" x14ac:dyDescent="0.2">
      <c r="B272" s="6">
        <v>41739</v>
      </c>
      <c r="C272">
        <v>3.340827242</v>
      </c>
    </row>
    <row r="273" spans="2:3" x14ac:dyDescent="0.2">
      <c r="B273" s="6">
        <v>41738</v>
      </c>
      <c r="C273">
        <v>3.3161727650000001</v>
      </c>
    </row>
    <row r="274" spans="2:3" x14ac:dyDescent="0.2">
      <c r="B274" s="6">
        <v>41737</v>
      </c>
      <c r="C274">
        <v>3.3155243250000002</v>
      </c>
    </row>
    <row r="275" spans="2:3" x14ac:dyDescent="0.2">
      <c r="B275" s="6">
        <v>41736</v>
      </c>
      <c r="C275">
        <v>3.3750941769999998</v>
      </c>
    </row>
    <row r="276" spans="2:3" x14ac:dyDescent="0.2">
      <c r="B276" s="6">
        <v>41733</v>
      </c>
      <c r="C276">
        <v>3.3731827619999999</v>
      </c>
    </row>
    <row r="277" spans="2:3" x14ac:dyDescent="0.2">
      <c r="B277" s="6">
        <v>41732</v>
      </c>
      <c r="C277">
        <v>3.3950962790000001</v>
      </c>
    </row>
    <row r="278" spans="2:3" x14ac:dyDescent="0.2">
      <c r="B278" s="6">
        <v>41731</v>
      </c>
      <c r="C278">
        <v>3.4295560530000002</v>
      </c>
    </row>
    <row r="279" spans="2:3" x14ac:dyDescent="0.2">
      <c r="B279" s="6">
        <v>41730</v>
      </c>
      <c r="C279">
        <v>3.4840318130000001</v>
      </c>
    </row>
    <row r="280" spans="2:3" x14ac:dyDescent="0.2">
      <c r="B280" s="6">
        <v>41729</v>
      </c>
      <c r="C280">
        <v>3.506626942</v>
      </c>
    </row>
    <row r="281" spans="2:3" x14ac:dyDescent="0.2">
      <c r="B281" s="6">
        <v>41726</v>
      </c>
      <c r="C281">
        <v>3.4727016329999998</v>
      </c>
    </row>
    <row r="282" spans="2:3" x14ac:dyDescent="0.2">
      <c r="B282" s="6">
        <v>41725</v>
      </c>
      <c r="C282">
        <v>3.4468593510000001</v>
      </c>
    </row>
    <row r="283" spans="2:3" x14ac:dyDescent="0.2">
      <c r="B283" s="6">
        <v>41724</v>
      </c>
      <c r="C283">
        <v>3.4306094279999999</v>
      </c>
    </row>
    <row r="284" spans="2:3" x14ac:dyDescent="0.2">
      <c r="B284" s="6">
        <v>41723</v>
      </c>
      <c r="C284">
        <v>3.4052671980000002</v>
      </c>
    </row>
    <row r="285" spans="2:3" x14ac:dyDescent="0.2">
      <c r="B285" s="6">
        <v>41722</v>
      </c>
      <c r="C285">
        <v>3.4217405539999999</v>
      </c>
    </row>
    <row r="286" spans="2:3" x14ac:dyDescent="0.2">
      <c r="B286" s="6">
        <v>41719</v>
      </c>
      <c r="C286">
        <v>3.4519694259999998</v>
      </c>
    </row>
    <row r="287" spans="2:3" x14ac:dyDescent="0.2">
      <c r="B287" s="6">
        <v>41718</v>
      </c>
      <c r="C287">
        <v>3.4526675490000001</v>
      </c>
    </row>
    <row r="288" spans="2:3" x14ac:dyDescent="0.2">
      <c r="B288" s="6">
        <v>41717</v>
      </c>
      <c r="C288">
        <v>3.452353622</v>
      </c>
    </row>
    <row r="289" spans="2:3" x14ac:dyDescent="0.2">
      <c r="B289" s="6">
        <v>41716</v>
      </c>
      <c r="C289">
        <v>3.4858096999999999</v>
      </c>
    </row>
    <row r="290" spans="2:3" x14ac:dyDescent="0.2">
      <c r="B290" s="6">
        <v>41715</v>
      </c>
      <c r="C290">
        <v>3.47240963</v>
      </c>
    </row>
    <row r="291" spans="2:3" x14ac:dyDescent="0.2">
      <c r="B291" s="6">
        <v>41712</v>
      </c>
      <c r="C291">
        <v>3.3942283450000001</v>
      </c>
    </row>
    <row r="292" spans="2:3" x14ac:dyDescent="0.2">
      <c r="B292" s="6">
        <v>41711</v>
      </c>
      <c r="C292">
        <v>3.4174617230000002</v>
      </c>
    </row>
    <row r="293" spans="2:3" x14ac:dyDescent="0.2">
      <c r="B293" s="6">
        <v>41710</v>
      </c>
      <c r="C293">
        <v>3.36348753</v>
      </c>
    </row>
    <row r="294" spans="2:3" x14ac:dyDescent="0.2">
      <c r="B294" s="6">
        <v>41709</v>
      </c>
      <c r="C294">
        <v>3.3484387600000001</v>
      </c>
    </row>
    <row r="295" spans="2:3" x14ac:dyDescent="0.2">
      <c r="B295" s="6">
        <v>41708</v>
      </c>
      <c r="C295">
        <v>3.408589337</v>
      </c>
    </row>
    <row r="296" spans="2:3" x14ac:dyDescent="0.2">
      <c r="B296" s="6">
        <v>41705</v>
      </c>
      <c r="C296">
        <v>3.4438493659999998</v>
      </c>
    </row>
    <row r="297" spans="2:3" x14ac:dyDescent="0.2">
      <c r="B297" s="6">
        <v>41704</v>
      </c>
      <c r="C297">
        <v>3.44656714</v>
      </c>
    </row>
    <row r="298" spans="2:3" x14ac:dyDescent="0.2">
      <c r="B298" s="6">
        <v>41703</v>
      </c>
      <c r="C298">
        <v>3.4613667709999998</v>
      </c>
    </row>
    <row r="299" spans="2:3" x14ac:dyDescent="0.2">
      <c r="B299" s="6">
        <v>41702</v>
      </c>
      <c r="C299">
        <v>3.4237035730000001</v>
      </c>
    </row>
    <row r="300" spans="2:3" x14ac:dyDescent="0.2">
      <c r="B300" s="6">
        <v>41701</v>
      </c>
      <c r="C300">
        <v>3.401518512</v>
      </c>
    </row>
    <row r="301" spans="2:3" x14ac:dyDescent="0.2">
      <c r="B301" s="6">
        <v>41698</v>
      </c>
      <c r="C301">
        <v>3.398313259</v>
      </c>
    </row>
    <row r="302" spans="2:3" x14ac:dyDescent="0.2">
      <c r="B302" s="6">
        <v>41697</v>
      </c>
      <c r="C302">
        <v>3.3252988179999998</v>
      </c>
    </row>
    <row r="303" spans="2:3" x14ac:dyDescent="0.2">
      <c r="B303" s="6">
        <v>41696</v>
      </c>
      <c r="C303">
        <v>3.3514861850000002</v>
      </c>
    </row>
    <row r="304" spans="2:3" x14ac:dyDescent="0.2">
      <c r="B304" s="6">
        <v>41695</v>
      </c>
      <c r="C304">
        <v>3.3370205660000001</v>
      </c>
    </row>
    <row r="305" spans="2:3" x14ac:dyDescent="0.2">
      <c r="B305" s="6">
        <v>41694</v>
      </c>
      <c r="C305">
        <v>3.3618556169999998</v>
      </c>
    </row>
    <row r="306" spans="2:3" x14ac:dyDescent="0.2">
      <c r="B306" s="6">
        <v>41691</v>
      </c>
      <c r="C306">
        <v>3.3762483730000001</v>
      </c>
    </row>
    <row r="307" spans="2:3" x14ac:dyDescent="0.2">
      <c r="B307" s="6">
        <v>41690</v>
      </c>
      <c r="C307">
        <v>3.4298763220000001</v>
      </c>
    </row>
    <row r="308" spans="2:3" x14ac:dyDescent="0.2">
      <c r="B308" s="6">
        <v>41689</v>
      </c>
      <c r="C308">
        <v>3.4238152469999998</v>
      </c>
    </row>
    <row r="309" spans="2:3" x14ac:dyDescent="0.2">
      <c r="B309" s="6">
        <v>41688</v>
      </c>
      <c r="C309">
        <v>3.4409874970000001</v>
      </c>
    </row>
    <row r="310" spans="2:3" x14ac:dyDescent="0.2">
      <c r="B310" s="6">
        <v>41684</v>
      </c>
      <c r="C310">
        <v>3.4208462339999999</v>
      </c>
    </row>
    <row r="311" spans="2:3" x14ac:dyDescent="0.2">
      <c r="B311" s="6">
        <v>41683</v>
      </c>
      <c r="C311">
        <v>3.4022510540000002</v>
      </c>
    </row>
    <row r="312" spans="2:3" x14ac:dyDescent="0.2">
      <c r="B312" s="6">
        <v>41682</v>
      </c>
      <c r="C312">
        <v>3.4240468750000002</v>
      </c>
    </row>
    <row r="313" spans="2:3" x14ac:dyDescent="0.2">
      <c r="B313" s="6">
        <v>41681</v>
      </c>
      <c r="C313">
        <v>3.396382059</v>
      </c>
    </row>
    <row r="314" spans="2:3" x14ac:dyDescent="0.2">
      <c r="B314" s="6">
        <v>41680</v>
      </c>
      <c r="C314">
        <v>3.4367814239999999</v>
      </c>
    </row>
    <row r="315" spans="2:3" x14ac:dyDescent="0.2">
      <c r="B315" s="6">
        <v>41677</v>
      </c>
      <c r="C315">
        <v>3.3874003689999999</v>
      </c>
    </row>
    <row r="316" spans="2:3" x14ac:dyDescent="0.2">
      <c r="B316" s="6">
        <v>41676</v>
      </c>
      <c r="C316">
        <v>3.347610543</v>
      </c>
    </row>
    <row r="317" spans="2:3" x14ac:dyDescent="0.2">
      <c r="B317" s="6">
        <v>41675</v>
      </c>
      <c r="C317">
        <v>3.343001702</v>
      </c>
    </row>
    <row r="318" spans="2:3" x14ac:dyDescent="0.2">
      <c r="B318" s="6">
        <v>41674</v>
      </c>
      <c r="C318">
        <v>3.379929647</v>
      </c>
    </row>
    <row r="319" spans="2:3" x14ac:dyDescent="0.2">
      <c r="B319" s="6">
        <v>41673</v>
      </c>
      <c r="C319">
        <v>3.3584090080000002</v>
      </c>
    </row>
    <row r="320" spans="2:3" x14ac:dyDescent="0.2">
      <c r="B320" s="6">
        <v>41670</v>
      </c>
      <c r="C320">
        <v>3.3111616480000001</v>
      </c>
    </row>
    <row r="321" spans="2:3" x14ac:dyDescent="0.2">
      <c r="B321" s="6">
        <v>41669</v>
      </c>
      <c r="C321">
        <v>3.271099204</v>
      </c>
    </row>
    <row r="322" spans="2:3" x14ac:dyDescent="0.2">
      <c r="B322" s="6">
        <v>41668</v>
      </c>
      <c r="C322">
        <v>3.340675257</v>
      </c>
    </row>
    <row r="323" spans="2:3" x14ac:dyDescent="0.2">
      <c r="B323" s="6">
        <v>41667</v>
      </c>
      <c r="C323">
        <v>3.371025087</v>
      </c>
    </row>
    <row r="324" spans="2:3" x14ac:dyDescent="0.2">
      <c r="B324" s="6">
        <v>41666</v>
      </c>
      <c r="C324">
        <v>3.3611475089999998</v>
      </c>
    </row>
    <row r="325" spans="2:3" x14ac:dyDescent="0.2">
      <c r="B325" s="6">
        <v>41663</v>
      </c>
      <c r="C325">
        <v>3.414669913</v>
      </c>
    </row>
    <row r="326" spans="2:3" x14ac:dyDescent="0.2">
      <c r="B326" s="6">
        <v>41662</v>
      </c>
      <c r="C326">
        <v>3.4248929819999998</v>
      </c>
    </row>
    <row r="327" spans="2:3" x14ac:dyDescent="0.2">
      <c r="B327" s="6">
        <v>41661</v>
      </c>
      <c r="C327">
        <v>3.3821795350000001</v>
      </c>
    </row>
    <row r="328" spans="2:3" x14ac:dyDescent="0.2">
      <c r="B328" s="6">
        <v>41660</v>
      </c>
      <c r="C328">
        <v>3.425984878</v>
      </c>
    </row>
    <row r="329" spans="2:3" x14ac:dyDescent="0.2">
      <c r="B329" s="6">
        <v>41656</v>
      </c>
      <c r="C329">
        <v>3.4813003409999999</v>
      </c>
    </row>
    <row r="330" spans="2:3" x14ac:dyDescent="0.2">
      <c r="B330" s="6">
        <v>41655</v>
      </c>
      <c r="C330">
        <v>3.4306167460000001</v>
      </c>
    </row>
    <row r="331" spans="2:3" x14ac:dyDescent="0.2">
      <c r="B331" s="6">
        <v>41654</v>
      </c>
      <c r="C331">
        <v>3.4370844049999998</v>
      </c>
    </row>
    <row r="332" spans="2:3" x14ac:dyDescent="0.2">
      <c r="B332" s="6">
        <v>41653</v>
      </c>
      <c r="C332">
        <v>3.4570560239999999</v>
      </c>
    </row>
    <row r="333" spans="2:3" x14ac:dyDescent="0.2">
      <c r="B333" s="6">
        <v>41652</v>
      </c>
      <c r="C333">
        <v>3.4947799470000001</v>
      </c>
    </row>
    <row r="334" spans="2:3" x14ac:dyDescent="0.2">
      <c r="B334" s="6">
        <v>41649</v>
      </c>
      <c r="C334">
        <v>3.4834111889999999</v>
      </c>
    </row>
    <row r="335" spans="2:3" x14ac:dyDescent="0.2">
      <c r="B335" s="6">
        <v>41648</v>
      </c>
      <c r="C335">
        <v>3.4264575979999998</v>
      </c>
    </row>
    <row r="336" spans="2:3" x14ac:dyDescent="0.2">
      <c r="B336" s="6">
        <v>41647</v>
      </c>
      <c r="C336">
        <v>3.4718387270000002</v>
      </c>
    </row>
    <row r="337" spans="2:3" x14ac:dyDescent="0.2">
      <c r="B337" s="6">
        <v>41646</v>
      </c>
      <c r="C337">
        <v>3.5749416799999998</v>
      </c>
    </row>
    <row r="338" spans="2:3" x14ac:dyDescent="0.2">
      <c r="B338" s="6">
        <v>41645</v>
      </c>
      <c r="C338">
        <v>3.5963712540000001</v>
      </c>
    </row>
    <row r="339" spans="2:3" x14ac:dyDescent="0.2">
      <c r="B339" s="6">
        <v>41642</v>
      </c>
      <c r="C339">
        <v>3.5428500409999999</v>
      </c>
    </row>
    <row r="340" spans="2:3" x14ac:dyDescent="0.2">
      <c r="B340" s="6">
        <v>41641</v>
      </c>
      <c r="C340">
        <v>3.5763485949999998</v>
      </c>
    </row>
    <row r="341" spans="2:3" x14ac:dyDescent="0.2">
      <c r="B341" s="6">
        <v>41639</v>
      </c>
      <c r="C341">
        <v>3.6032550849999998</v>
      </c>
    </row>
    <row r="342" spans="2:3" x14ac:dyDescent="0.2">
      <c r="B342" s="6">
        <v>41638</v>
      </c>
      <c r="C342">
        <v>3.5996964230000001</v>
      </c>
    </row>
    <row r="343" spans="2:3" x14ac:dyDescent="0.2">
      <c r="B343" s="6">
        <v>41635</v>
      </c>
      <c r="C343">
        <v>3.5930254960000001</v>
      </c>
    </row>
    <row r="344" spans="2:3" x14ac:dyDescent="0.2">
      <c r="B344" s="6">
        <v>41634</v>
      </c>
      <c r="C344">
        <v>3.574674339</v>
      </c>
    </row>
    <row r="345" spans="2:3" x14ac:dyDescent="0.2">
      <c r="B345" s="6">
        <v>41632</v>
      </c>
      <c r="C345">
        <v>3.6093804660000002</v>
      </c>
    </row>
    <row r="346" spans="2:3" x14ac:dyDescent="0.2">
      <c r="B346" s="6">
        <v>41631</v>
      </c>
      <c r="C346">
        <v>3.6110841840000001</v>
      </c>
    </row>
    <row r="347" spans="2:3" x14ac:dyDescent="0.2">
      <c r="B347" s="6">
        <v>41628</v>
      </c>
      <c r="C347">
        <v>3.6100621369999999</v>
      </c>
    </row>
    <row r="348" spans="2:3" x14ac:dyDescent="0.2">
      <c r="B348" s="6">
        <v>41627</v>
      </c>
      <c r="C348">
        <v>3.542252049</v>
      </c>
    </row>
    <row r="349" spans="2:3" x14ac:dyDescent="0.2">
      <c r="B349" s="6">
        <v>41626</v>
      </c>
      <c r="C349">
        <v>3.5207189290000001</v>
      </c>
    </row>
    <row r="350" spans="2:3" x14ac:dyDescent="0.2">
      <c r="B350" s="6">
        <v>41625</v>
      </c>
      <c r="C350">
        <v>3.5894558660000002</v>
      </c>
    </row>
    <row r="351" spans="2:3" x14ac:dyDescent="0.2">
      <c r="B351" s="6">
        <v>41624</v>
      </c>
      <c r="C351">
        <v>3.5422755370000001</v>
      </c>
    </row>
    <row r="352" spans="2:3" x14ac:dyDescent="0.2">
      <c r="B352" s="6">
        <v>41621</v>
      </c>
      <c r="C352">
        <v>3.4998898139999999</v>
      </c>
    </row>
    <row r="353" spans="2:3" x14ac:dyDescent="0.2">
      <c r="B353" s="6">
        <v>41620</v>
      </c>
      <c r="C353">
        <v>3.5307245319999998</v>
      </c>
    </row>
    <row r="354" spans="2:3" x14ac:dyDescent="0.2">
      <c r="B354" s="6">
        <v>41619</v>
      </c>
      <c r="C354">
        <v>3.5290996890000002</v>
      </c>
    </row>
    <row r="355" spans="2:3" x14ac:dyDescent="0.2">
      <c r="B355" s="6">
        <v>41618</v>
      </c>
      <c r="C355">
        <v>3.5427546790000002</v>
      </c>
    </row>
    <row r="356" spans="2:3" x14ac:dyDescent="0.2">
      <c r="B356" s="6">
        <v>41617</v>
      </c>
      <c r="C356">
        <v>3.5156873219999998</v>
      </c>
    </row>
    <row r="357" spans="2:3" x14ac:dyDescent="0.2">
      <c r="B357" s="6">
        <v>41614</v>
      </c>
      <c r="C357">
        <v>3.4647632779999999</v>
      </c>
    </row>
    <row r="358" spans="2:3" x14ac:dyDescent="0.2">
      <c r="B358" s="6">
        <v>41613</v>
      </c>
      <c r="C358">
        <v>3.5044888950000002</v>
      </c>
    </row>
    <row r="359" spans="2:3" x14ac:dyDescent="0.2">
      <c r="B359" s="6">
        <v>41612</v>
      </c>
      <c r="C359">
        <v>3.5357721710000001</v>
      </c>
    </row>
    <row r="360" spans="2:3" x14ac:dyDescent="0.2">
      <c r="B360" s="6">
        <v>41611</v>
      </c>
      <c r="C360">
        <v>3.552129361</v>
      </c>
    </row>
    <row r="361" spans="2:3" x14ac:dyDescent="0.2">
      <c r="B361" s="6">
        <v>41610</v>
      </c>
      <c r="C361">
        <v>3.5379611980000001</v>
      </c>
    </row>
    <row r="362" spans="2:3" x14ac:dyDescent="0.2">
      <c r="B362" s="6">
        <v>41607</v>
      </c>
      <c r="C362">
        <v>3.4820134459999998</v>
      </c>
    </row>
    <row r="363" spans="2:3" x14ac:dyDescent="0.2">
      <c r="B363" s="6">
        <v>41605</v>
      </c>
      <c r="C363">
        <v>3.4827849350000002</v>
      </c>
    </row>
    <row r="364" spans="2:3" x14ac:dyDescent="0.2">
      <c r="B364" s="6">
        <v>41604</v>
      </c>
      <c r="C364">
        <v>3.4152065149999999</v>
      </c>
    </row>
    <row r="365" spans="2:3" x14ac:dyDescent="0.2">
      <c r="B365" s="6">
        <v>41603</v>
      </c>
      <c r="C365">
        <v>3.4118650289999999</v>
      </c>
    </row>
    <row r="366" spans="2:3" x14ac:dyDescent="0.2">
      <c r="B366" s="6">
        <v>41600</v>
      </c>
      <c r="C366">
        <v>3.3656755970000001</v>
      </c>
    </row>
    <row r="367" spans="2:3" x14ac:dyDescent="0.2">
      <c r="B367" s="6">
        <v>41599</v>
      </c>
      <c r="C367">
        <v>3.3786024669999999</v>
      </c>
    </row>
    <row r="368" spans="2:3" x14ac:dyDescent="0.2">
      <c r="B368" s="6">
        <v>41598</v>
      </c>
      <c r="C368">
        <v>3.3765717479999999</v>
      </c>
    </row>
    <row r="369" spans="2:3" x14ac:dyDescent="0.2">
      <c r="B369" s="6">
        <v>41597</v>
      </c>
      <c r="C369">
        <v>3.390224157</v>
      </c>
    </row>
    <row r="370" spans="2:3" x14ac:dyDescent="0.2">
      <c r="B370" s="6">
        <v>41596</v>
      </c>
      <c r="C370">
        <v>3.3953888640000001</v>
      </c>
    </row>
    <row r="371" spans="2:3" x14ac:dyDescent="0.2">
      <c r="B371" s="6">
        <v>41593</v>
      </c>
      <c r="C371">
        <v>3.3249162800000001</v>
      </c>
    </row>
    <row r="372" spans="2:3" x14ac:dyDescent="0.2">
      <c r="B372" s="6">
        <v>41592</v>
      </c>
      <c r="C372">
        <v>3.2892170950000001</v>
      </c>
    </row>
    <row r="373" spans="2:3" x14ac:dyDescent="0.2">
      <c r="B373" s="6">
        <v>41591</v>
      </c>
      <c r="C373">
        <v>3.3274975260000001</v>
      </c>
    </row>
    <row r="374" spans="2:3" x14ac:dyDescent="0.2">
      <c r="B374" s="6">
        <v>41590</v>
      </c>
      <c r="C374">
        <v>3.3344023229999999</v>
      </c>
    </row>
    <row r="375" spans="2:3" x14ac:dyDescent="0.2">
      <c r="B375" s="6">
        <v>41586</v>
      </c>
      <c r="C375">
        <v>3.3863287909999999</v>
      </c>
    </row>
    <row r="376" spans="2:3" x14ac:dyDescent="0.2">
      <c r="B376" s="6">
        <v>41585</v>
      </c>
      <c r="C376">
        <v>3.4239423640000002</v>
      </c>
    </row>
    <row r="377" spans="2:3" x14ac:dyDescent="0.2">
      <c r="B377" s="6">
        <v>41584</v>
      </c>
      <c r="C377">
        <v>3.4185329480000002</v>
      </c>
    </row>
    <row r="378" spans="2:3" x14ac:dyDescent="0.2">
      <c r="B378" s="6">
        <v>41583</v>
      </c>
      <c r="C378">
        <v>3.2915305730000002</v>
      </c>
    </row>
    <row r="379" spans="2:3" x14ac:dyDescent="0.2">
      <c r="B379" s="6">
        <v>41582</v>
      </c>
      <c r="C379">
        <v>3.2997347910000001</v>
      </c>
    </row>
    <row r="380" spans="2:3" x14ac:dyDescent="0.2">
      <c r="B380" s="6">
        <v>41579</v>
      </c>
      <c r="C380">
        <v>3.3120088079999999</v>
      </c>
    </row>
    <row r="381" spans="2:3" x14ac:dyDescent="0.2">
      <c r="B381" s="6">
        <v>41578</v>
      </c>
      <c r="C381">
        <v>3.2387584519999999</v>
      </c>
    </row>
    <row r="382" spans="2:3" x14ac:dyDescent="0.2">
      <c r="B382" s="6">
        <v>41577</v>
      </c>
      <c r="C382">
        <v>3.259283092</v>
      </c>
    </row>
    <row r="383" spans="2:3" x14ac:dyDescent="0.2">
      <c r="B383" s="6">
        <v>41576</v>
      </c>
      <c r="C383">
        <v>3.180356588</v>
      </c>
    </row>
    <row r="384" spans="2:3" x14ac:dyDescent="0.2">
      <c r="B384" s="6">
        <v>41575</v>
      </c>
      <c r="C384">
        <v>3.1611386440000002</v>
      </c>
    </row>
    <row r="385" spans="2:3" x14ac:dyDescent="0.2">
      <c r="B385" s="6">
        <v>41572</v>
      </c>
      <c r="C385">
        <v>3.154323744</v>
      </c>
    </row>
    <row r="386" spans="2:3" x14ac:dyDescent="0.2">
      <c r="B386" s="6">
        <v>41571</v>
      </c>
      <c r="C386">
        <v>3.1593236619999998</v>
      </c>
    </row>
    <row r="387" spans="2:3" x14ac:dyDescent="0.2">
      <c r="B387" s="6">
        <v>41570</v>
      </c>
      <c r="C387">
        <v>3.1521212859999999</v>
      </c>
    </row>
    <row r="388" spans="2:3" x14ac:dyDescent="0.2">
      <c r="B388" s="6">
        <v>41569</v>
      </c>
      <c r="C388">
        <v>3.1772287210000001</v>
      </c>
    </row>
    <row r="389" spans="2:3" x14ac:dyDescent="0.2">
      <c r="B389" s="6">
        <v>41568</v>
      </c>
      <c r="C389">
        <v>3.1541714939999999</v>
      </c>
    </row>
    <row r="390" spans="2:3" x14ac:dyDescent="0.2">
      <c r="B390" s="6">
        <v>41565</v>
      </c>
      <c r="C390">
        <v>3.1836596460000002</v>
      </c>
    </row>
    <row r="391" spans="2:3" x14ac:dyDescent="0.2">
      <c r="B391" s="6">
        <v>41564</v>
      </c>
      <c r="C391">
        <v>3.280953351</v>
      </c>
    </row>
    <row r="392" spans="2:3" x14ac:dyDescent="0.2">
      <c r="B392" s="6">
        <v>41563</v>
      </c>
      <c r="C392">
        <v>3.258567572</v>
      </c>
    </row>
    <row r="393" spans="2:3" x14ac:dyDescent="0.2">
      <c r="B393" s="6">
        <v>41562</v>
      </c>
      <c r="C393">
        <v>3.254614911</v>
      </c>
    </row>
    <row r="394" spans="2:3" x14ac:dyDescent="0.2">
      <c r="B394" s="6">
        <v>41558</v>
      </c>
      <c r="C394">
        <v>3.345330363</v>
      </c>
    </row>
    <row r="395" spans="2:3" x14ac:dyDescent="0.2">
      <c r="B395" s="6">
        <v>41557</v>
      </c>
      <c r="C395">
        <v>3.3897329960000002</v>
      </c>
    </row>
    <row r="396" spans="2:3" x14ac:dyDescent="0.2">
      <c r="B396" s="6">
        <v>41556</v>
      </c>
      <c r="C396">
        <v>3.3488826949999999</v>
      </c>
    </row>
    <row r="397" spans="2:3" x14ac:dyDescent="0.2">
      <c r="B397" s="6">
        <v>41555</v>
      </c>
      <c r="C397">
        <v>3.3459270719999998</v>
      </c>
    </row>
    <row r="398" spans="2:3" x14ac:dyDescent="0.2">
      <c r="B398" s="6">
        <v>41554</v>
      </c>
      <c r="C398">
        <v>3.3312145700000002</v>
      </c>
    </row>
    <row r="399" spans="2:3" x14ac:dyDescent="0.2">
      <c r="B399" s="6">
        <v>41551</v>
      </c>
      <c r="C399">
        <v>3.3290054109999998</v>
      </c>
    </row>
    <row r="400" spans="2:3" x14ac:dyDescent="0.2">
      <c r="B400" s="6">
        <v>41550</v>
      </c>
      <c r="C400">
        <v>3.3152163429999999</v>
      </c>
    </row>
    <row r="401" spans="2:3" x14ac:dyDescent="0.2">
      <c r="B401" s="6">
        <v>41549</v>
      </c>
      <c r="C401">
        <v>3.314390462</v>
      </c>
    </row>
    <row r="402" spans="2:3" x14ac:dyDescent="0.2">
      <c r="B402" s="6">
        <v>41548</v>
      </c>
      <c r="C402">
        <v>3.2850779330000002</v>
      </c>
    </row>
    <row r="403" spans="2:3" x14ac:dyDescent="0.2">
      <c r="B403" s="6">
        <v>41547</v>
      </c>
      <c r="C403">
        <v>3.3078730300000001</v>
      </c>
    </row>
    <row r="404" spans="2:3" x14ac:dyDescent="0.2">
      <c r="B404" s="6">
        <v>41544</v>
      </c>
      <c r="C404">
        <v>3.3154421329999999</v>
      </c>
    </row>
    <row r="405" spans="2:3" x14ac:dyDescent="0.2">
      <c r="B405" s="6">
        <v>41543</v>
      </c>
      <c r="C405">
        <v>3.2952489840000001</v>
      </c>
    </row>
    <row r="406" spans="2:3" x14ac:dyDescent="0.2">
      <c r="B406" s="6">
        <v>41542</v>
      </c>
      <c r="C406">
        <v>3.294887122</v>
      </c>
    </row>
    <row r="407" spans="2:3" x14ac:dyDescent="0.2">
      <c r="B407" s="6">
        <v>41541</v>
      </c>
      <c r="C407">
        <v>3.3233487720000001</v>
      </c>
    </row>
    <row r="408" spans="2:3" x14ac:dyDescent="0.2">
      <c r="B408" s="6">
        <v>41540</v>
      </c>
      <c r="C408">
        <v>3.2961562020000001</v>
      </c>
    </row>
    <row r="409" spans="2:3" x14ac:dyDescent="0.2">
      <c r="B409" s="6">
        <v>41537</v>
      </c>
      <c r="C409">
        <v>3.340691954</v>
      </c>
    </row>
    <row r="410" spans="2:3" x14ac:dyDescent="0.2">
      <c r="B410" s="6">
        <v>41536</v>
      </c>
      <c r="C410">
        <v>3.4029034600000001</v>
      </c>
    </row>
    <row r="411" spans="2:3" x14ac:dyDescent="0.2">
      <c r="B411" s="6">
        <v>41535</v>
      </c>
      <c r="C411">
        <v>3.4316077389999999</v>
      </c>
    </row>
    <row r="412" spans="2:3" x14ac:dyDescent="0.2">
      <c r="B412" s="6">
        <v>41534</v>
      </c>
      <c r="C412">
        <v>3.42348147</v>
      </c>
    </row>
    <row r="413" spans="2:3" x14ac:dyDescent="0.2">
      <c r="B413" s="6">
        <v>41533</v>
      </c>
      <c r="C413">
        <v>3.404107518</v>
      </c>
    </row>
    <row r="414" spans="2:3" x14ac:dyDescent="0.2">
      <c r="B414" s="6">
        <v>41530</v>
      </c>
      <c r="C414">
        <v>3.5862960099999999</v>
      </c>
    </row>
    <row r="415" spans="2:3" x14ac:dyDescent="0.2">
      <c r="B415" s="6">
        <v>41529</v>
      </c>
      <c r="C415">
        <v>3.6050291040000002</v>
      </c>
    </row>
    <row r="416" spans="2:3" x14ac:dyDescent="0.2">
      <c r="B416" s="6">
        <v>41528</v>
      </c>
      <c r="C416">
        <v>3.6507335940000001</v>
      </c>
    </row>
    <row r="417" spans="2:3" x14ac:dyDescent="0.2">
      <c r="B417" s="6">
        <v>41527</v>
      </c>
      <c r="C417">
        <v>3.6662950350000001</v>
      </c>
    </row>
    <row r="418" spans="2:3" x14ac:dyDescent="0.2">
      <c r="B418" s="6">
        <v>41526</v>
      </c>
      <c r="C418">
        <v>3.6671792060000001</v>
      </c>
    </row>
    <row r="419" spans="2:3" x14ac:dyDescent="0.2">
      <c r="B419" s="6">
        <v>41523</v>
      </c>
      <c r="C419">
        <v>3.7025570650000001</v>
      </c>
    </row>
    <row r="420" spans="2:3" x14ac:dyDescent="0.2">
      <c r="B420" s="6">
        <v>41522</v>
      </c>
      <c r="C420">
        <v>3.649491732</v>
      </c>
    </row>
    <row r="421" spans="2:3" x14ac:dyDescent="0.2">
      <c r="B421" s="6">
        <v>41521</v>
      </c>
      <c r="C421">
        <v>3.7212376859999998</v>
      </c>
    </row>
    <row r="422" spans="2:3" x14ac:dyDescent="0.2">
      <c r="B422" s="6">
        <v>41520</v>
      </c>
      <c r="C422">
        <v>3.7866951059999998</v>
      </c>
    </row>
    <row r="423" spans="2:3" x14ac:dyDescent="0.2">
      <c r="B423" s="6">
        <v>41516</v>
      </c>
      <c r="C423">
        <v>3.6795741620000002</v>
      </c>
    </row>
    <row r="424" spans="2:3" x14ac:dyDescent="0.2">
      <c r="B424" s="6">
        <v>41515</v>
      </c>
      <c r="C424">
        <v>3.6230343629999999</v>
      </c>
    </row>
    <row r="425" spans="2:3" x14ac:dyDescent="0.2">
      <c r="B425" s="6">
        <v>41514</v>
      </c>
      <c r="C425">
        <v>3.518108287</v>
      </c>
    </row>
    <row r="426" spans="2:3" x14ac:dyDescent="0.2">
      <c r="B426" s="6">
        <v>41513</v>
      </c>
      <c r="C426">
        <v>3.5163998209999998</v>
      </c>
    </row>
    <row r="427" spans="2:3" x14ac:dyDescent="0.2">
      <c r="B427" s="6">
        <v>41512</v>
      </c>
      <c r="C427">
        <v>3.564521563</v>
      </c>
    </row>
    <row r="428" spans="2:3" x14ac:dyDescent="0.2">
      <c r="B428" s="6">
        <v>41509</v>
      </c>
      <c r="C428">
        <v>3.4950120679999999</v>
      </c>
    </row>
    <row r="429" spans="2:3" x14ac:dyDescent="0.2">
      <c r="B429" s="6">
        <v>41508</v>
      </c>
      <c r="C429">
        <v>3.5649427409999999</v>
      </c>
    </row>
    <row r="430" spans="2:3" x14ac:dyDescent="0.2">
      <c r="B430" s="6">
        <v>41507</v>
      </c>
      <c r="C430">
        <v>3.601459175</v>
      </c>
    </row>
    <row r="431" spans="2:3" x14ac:dyDescent="0.2">
      <c r="B431" s="6">
        <v>41506</v>
      </c>
      <c r="C431">
        <v>3.7101937920000001</v>
      </c>
    </row>
    <row r="432" spans="2:3" x14ac:dyDescent="0.2">
      <c r="B432" s="6">
        <v>41505</v>
      </c>
      <c r="C432">
        <v>3.6746442969999999</v>
      </c>
    </row>
    <row r="433" spans="2:3" x14ac:dyDescent="0.2">
      <c r="B433" s="6">
        <v>41502</v>
      </c>
      <c r="C433">
        <v>3.630683034</v>
      </c>
    </row>
    <row r="434" spans="2:3" x14ac:dyDescent="0.2">
      <c r="B434" s="6">
        <v>41501</v>
      </c>
      <c r="C434">
        <v>3.7110478410000001</v>
      </c>
    </row>
    <row r="435" spans="2:3" x14ac:dyDescent="0.2">
      <c r="B435" s="6">
        <v>41500</v>
      </c>
      <c r="C435">
        <v>3.634228528</v>
      </c>
    </row>
    <row r="436" spans="2:3" x14ac:dyDescent="0.2">
      <c r="B436" s="6">
        <v>41499</v>
      </c>
      <c r="C436">
        <v>3.5424603239999999</v>
      </c>
    </row>
    <row r="437" spans="2:3" x14ac:dyDescent="0.2">
      <c r="B437" s="6">
        <v>41498</v>
      </c>
      <c r="C437">
        <v>3.4840884879999998</v>
      </c>
    </row>
    <row r="438" spans="2:3" x14ac:dyDescent="0.2">
      <c r="B438" s="6">
        <v>41495</v>
      </c>
      <c r="C438">
        <v>3.4865976989999998</v>
      </c>
    </row>
    <row r="439" spans="2:3" x14ac:dyDescent="0.2">
      <c r="B439" s="6">
        <v>41494</v>
      </c>
      <c r="C439">
        <v>3.3838838999999998</v>
      </c>
    </row>
    <row r="440" spans="2:3" x14ac:dyDescent="0.2">
      <c r="B440" s="6">
        <v>41493</v>
      </c>
      <c r="C440">
        <v>3.363950913</v>
      </c>
    </row>
    <row r="441" spans="2:3" x14ac:dyDescent="0.2">
      <c r="B441" s="6">
        <v>41492</v>
      </c>
      <c r="C441">
        <v>3.381487903</v>
      </c>
    </row>
    <row r="442" spans="2:3" x14ac:dyDescent="0.2">
      <c r="B442" s="6">
        <v>41491</v>
      </c>
      <c r="C442">
        <v>3.4095293469999999</v>
      </c>
    </row>
    <row r="443" spans="2:3" x14ac:dyDescent="0.2">
      <c r="B443" s="6">
        <v>41488</v>
      </c>
      <c r="C443">
        <v>3.4430869369999999</v>
      </c>
    </row>
    <row r="444" spans="2:3" x14ac:dyDescent="0.2">
      <c r="B444" s="6">
        <v>41487</v>
      </c>
      <c r="C444">
        <v>3.4178117989999999</v>
      </c>
    </row>
    <row r="445" spans="2:3" x14ac:dyDescent="0.2">
      <c r="B445" s="6">
        <v>41486</v>
      </c>
      <c r="C445">
        <v>3.403566251</v>
      </c>
    </row>
    <row r="446" spans="2:3" x14ac:dyDescent="0.2">
      <c r="B446" s="6">
        <v>41485</v>
      </c>
      <c r="C446">
        <v>3.5328707549999998</v>
      </c>
    </row>
    <row r="447" spans="2:3" x14ac:dyDescent="0.2">
      <c r="B447" s="6">
        <v>41484</v>
      </c>
      <c r="C447">
        <v>3.4095392659999999</v>
      </c>
    </row>
    <row r="448" spans="2:3" x14ac:dyDescent="0.2">
      <c r="B448" s="6">
        <v>41481</v>
      </c>
      <c r="C448">
        <v>3.4285967570000002</v>
      </c>
    </row>
    <row r="449" spans="2:3" x14ac:dyDescent="0.2">
      <c r="B449" s="6">
        <v>41480</v>
      </c>
      <c r="C449">
        <v>3.4061464309999998</v>
      </c>
    </row>
    <row r="450" spans="2:3" x14ac:dyDescent="0.2">
      <c r="B450" s="6">
        <v>41479</v>
      </c>
      <c r="C450">
        <v>3.395320608</v>
      </c>
    </row>
    <row r="451" spans="2:3" x14ac:dyDescent="0.2">
      <c r="B451" s="6">
        <v>41478</v>
      </c>
      <c r="C451">
        <v>3.4407863920000001</v>
      </c>
    </row>
    <row r="452" spans="2:3" x14ac:dyDescent="0.2">
      <c r="B452" s="6">
        <v>41477</v>
      </c>
      <c r="C452">
        <v>3.429675595</v>
      </c>
    </row>
    <row r="453" spans="2:3" x14ac:dyDescent="0.2">
      <c r="B453" s="6">
        <v>41474</v>
      </c>
      <c r="C453">
        <v>3.363905054</v>
      </c>
    </row>
    <row r="454" spans="2:3" x14ac:dyDescent="0.2">
      <c r="B454" s="6">
        <v>41473</v>
      </c>
      <c r="C454">
        <v>3.3220828710000001</v>
      </c>
    </row>
    <row r="455" spans="2:3" x14ac:dyDescent="0.2">
      <c r="B455" s="6">
        <v>41472</v>
      </c>
      <c r="C455">
        <v>3.3313912760000002</v>
      </c>
    </row>
    <row r="456" spans="2:3" x14ac:dyDescent="0.2">
      <c r="B456" s="6">
        <v>41471</v>
      </c>
      <c r="C456">
        <v>3.3888475580000001</v>
      </c>
    </row>
    <row r="457" spans="2:3" x14ac:dyDescent="0.2">
      <c r="B457" s="6">
        <v>41470</v>
      </c>
      <c r="C457">
        <v>3.343865836</v>
      </c>
    </row>
    <row r="458" spans="2:3" x14ac:dyDescent="0.2">
      <c r="B458" s="6">
        <v>41467</v>
      </c>
      <c r="C458">
        <v>3.3914708519999999</v>
      </c>
    </row>
    <row r="459" spans="2:3" x14ac:dyDescent="0.2">
      <c r="B459" s="6">
        <v>41466</v>
      </c>
      <c r="C459">
        <v>3.4050328589999999</v>
      </c>
    </row>
    <row r="460" spans="2:3" x14ac:dyDescent="0.2">
      <c r="B460" s="6">
        <v>41465</v>
      </c>
      <c r="C460">
        <v>3.4748173659999999</v>
      </c>
    </row>
    <row r="461" spans="2:3" x14ac:dyDescent="0.2">
      <c r="B461" s="6">
        <v>41464</v>
      </c>
      <c r="C461">
        <v>3.4679725509999999</v>
      </c>
    </row>
    <row r="462" spans="2:3" x14ac:dyDescent="0.2">
      <c r="B462" s="6">
        <v>41463</v>
      </c>
      <c r="C462">
        <v>3.5853720579999999</v>
      </c>
    </row>
    <row r="463" spans="2:3" x14ac:dyDescent="0.2">
      <c r="B463" s="6">
        <v>41460</v>
      </c>
      <c r="C463">
        <v>3.4880159979999998</v>
      </c>
    </row>
    <row r="464" spans="2:3" x14ac:dyDescent="0.2">
      <c r="B464" s="6">
        <v>41458</v>
      </c>
      <c r="C464">
        <v>3.5446391610000001</v>
      </c>
    </row>
    <row r="465" spans="2:3" x14ac:dyDescent="0.2">
      <c r="B465" s="6">
        <v>41457</v>
      </c>
      <c r="C465">
        <v>3.6732513529999999</v>
      </c>
    </row>
    <row r="466" spans="2:3" x14ac:dyDescent="0.2">
      <c r="B466" s="6">
        <v>41456</v>
      </c>
      <c r="C466">
        <v>3.3689245040000002</v>
      </c>
    </row>
    <row r="467" spans="2:3" x14ac:dyDescent="0.2">
      <c r="B467" s="6">
        <v>41453</v>
      </c>
      <c r="C467">
        <v>3.31181825</v>
      </c>
    </row>
    <row r="468" spans="2:3" x14ac:dyDescent="0.2">
      <c r="B468" s="6">
        <v>41452</v>
      </c>
      <c r="C468">
        <v>3.297946177</v>
      </c>
    </row>
    <row r="469" spans="2:3" x14ac:dyDescent="0.2">
      <c r="B469" s="6">
        <v>41451</v>
      </c>
      <c r="C469">
        <v>3.3094496740000001</v>
      </c>
    </row>
    <row r="470" spans="2:3" x14ac:dyDescent="0.2">
      <c r="B470" s="6">
        <v>41450</v>
      </c>
      <c r="C470">
        <v>3.3206581310000001</v>
      </c>
    </row>
    <row r="471" spans="2:3" x14ac:dyDescent="0.2">
      <c r="B471" s="6">
        <v>41449</v>
      </c>
      <c r="C471">
        <v>3.4427483950000002</v>
      </c>
    </row>
    <row r="472" spans="2:3" x14ac:dyDescent="0.2">
      <c r="B472" s="6">
        <v>41446</v>
      </c>
      <c r="C472">
        <v>3.497907359</v>
      </c>
    </row>
    <row r="473" spans="2:3" x14ac:dyDescent="0.2">
      <c r="B473" s="6">
        <v>41445</v>
      </c>
      <c r="C473">
        <v>3.484282125</v>
      </c>
    </row>
    <row r="474" spans="2:3" x14ac:dyDescent="0.2">
      <c r="B474" s="6">
        <v>41444</v>
      </c>
      <c r="C474">
        <v>3.4290560330000002</v>
      </c>
    </row>
    <row r="475" spans="2:3" x14ac:dyDescent="0.2">
      <c r="B475" s="6">
        <v>41443</v>
      </c>
      <c r="C475">
        <v>3.2731873239999998</v>
      </c>
    </row>
    <row r="476" spans="2:3" x14ac:dyDescent="0.2">
      <c r="B476" s="6">
        <v>41442</v>
      </c>
      <c r="C476">
        <v>3.1273804100000002</v>
      </c>
    </row>
    <row r="477" spans="2:3" x14ac:dyDescent="0.2">
      <c r="B477" s="6">
        <v>41439</v>
      </c>
      <c r="C477">
        <v>2.9821306490000001</v>
      </c>
    </row>
    <row r="478" spans="2:3" x14ac:dyDescent="0.2">
      <c r="B478" s="6">
        <v>41438</v>
      </c>
      <c r="C478">
        <v>2.983851831</v>
      </c>
    </row>
    <row r="479" spans="2:3" x14ac:dyDescent="0.2">
      <c r="B479" s="6">
        <v>41437</v>
      </c>
      <c r="C479">
        <v>2.932824074</v>
      </c>
    </row>
    <row r="480" spans="2:3" x14ac:dyDescent="0.2">
      <c r="B480" s="6">
        <v>41436</v>
      </c>
      <c r="C480">
        <v>2.9705177159999998</v>
      </c>
    </row>
    <row r="481" spans="2:3" x14ac:dyDescent="0.2">
      <c r="B481" s="6">
        <v>41435</v>
      </c>
      <c r="C481">
        <v>3.0172986000000002</v>
      </c>
    </row>
    <row r="482" spans="2:3" x14ac:dyDescent="0.2">
      <c r="B482" s="6">
        <v>41432</v>
      </c>
      <c r="C482">
        <v>2.988623794</v>
      </c>
    </row>
    <row r="483" spans="2:3" x14ac:dyDescent="0.2">
      <c r="B483" s="6">
        <v>41431</v>
      </c>
      <c r="C483">
        <v>3.018750329</v>
      </c>
    </row>
    <row r="484" spans="2:3" x14ac:dyDescent="0.2">
      <c r="B484" s="6">
        <v>41430</v>
      </c>
      <c r="C484">
        <v>2.993115999</v>
      </c>
    </row>
    <row r="485" spans="2:3" x14ac:dyDescent="0.2">
      <c r="B485" s="6">
        <v>41429</v>
      </c>
      <c r="C485">
        <v>2.9363931750000001</v>
      </c>
    </row>
    <row r="486" spans="2:3" x14ac:dyDescent="0.2">
      <c r="B486" s="6">
        <v>41428</v>
      </c>
      <c r="C486">
        <v>2.9737219850000001</v>
      </c>
    </row>
    <row r="487" spans="2:3" x14ac:dyDescent="0.2">
      <c r="B487" s="6">
        <v>41425</v>
      </c>
      <c r="C487">
        <v>2.989735767</v>
      </c>
    </row>
    <row r="488" spans="2:3" x14ac:dyDescent="0.2">
      <c r="B488" s="6">
        <v>41424</v>
      </c>
      <c r="C488">
        <v>2.9603245309999999</v>
      </c>
    </row>
    <row r="489" spans="2:3" x14ac:dyDescent="0.2">
      <c r="B489" s="6">
        <v>41423</v>
      </c>
      <c r="C489">
        <v>2.9573134959999998</v>
      </c>
    </row>
    <row r="490" spans="2:3" x14ac:dyDescent="0.2">
      <c r="B490" s="6">
        <v>41422</v>
      </c>
      <c r="C490">
        <v>2.904645441</v>
      </c>
    </row>
    <row r="491" spans="2:3" x14ac:dyDescent="0.2">
      <c r="B491" s="6">
        <v>41418</v>
      </c>
      <c r="C491">
        <v>2.9196928049999999</v>
      </c>
    </row>
    <row r="492" spans="2:3" x14ac:dyDescent="0.2">
      <c r="B492" s="6">
        <v>41417</v>
      </c>
      <c r="C492">
        <v>2.9439593780000002</v>
      </c>
    </row>
    <row r="493" spans="2:3" x14ac:dyDescent="0.2">
      <c r="B493" s="6">
        <v>41416</v>
      </c>
      <c r="C493">
        <v>2.8149731760000001</v>
      </c>
    </row>
    <row r="494" spans="2:3" x14ac:dyDescent="0.2">
      <c r="B494" s="6">
        <v>41415</v>
      </c>
      <c r="C494">
        <v>2.821907446</v>
      </c>
    </row>
    <row r="495" spans="2:3" x14ac:dyDescent="0.2">
      <c r="B495" s="6">
        <v>41414</v>
      </c>
      <c r="C495">
        <v>2.7884399819999999</v>
      </c>
    </row>
    <row r="496" spans="2:3" x14ac:dyDescent="0.2">
      <c r="B496" s="6">
        <v>41411</v>
      </c>
      <c r="C496">
        <v>2.6645260639999999</v>
      </c>
    </row>
    <row r="497" spans="2:3" x14ac:dyDescent="0.2">
      <c r="B497" s="6">
        <v>41410</v>
      </c>
      <c r="C497">
        <v>2.7128835420000001</v>
      </c>
    </row>
    <row r="498" spans="2:3" x14ac:dyDescent="0.2">
      <c r="B498" s="6">
        <v>41409</v>
      </c>
      <c r="C498">
        <v>2.6858134279999999</v>
      </c>
    </row>
    <row r="499" spans="2:3" x14ac:dyDescent="0.2">
      <c r="B499" s="6">
        <v>41408</v>
      </c>
      <c r="C499">
        <v>2.5638774739999999</v>
      </c>
    </row>
    <row r="500" spans="2:3" x14ac:dyDescent="0.2">
      <c r="B500" s="6">
        <v>41407</v>
      </c>
      <c r="C500">
        <v>2.6618664129999998</v>
      </c>
    </row>
    <row r="501" spans="2:3" x14ac:dyDescent="0.2">
      <c r="B501" s="6">
        <v>41404</v>
      </c>
      <c r="C501">
        <v>2.6627244929999998</v>
      </c>
    </row>
    <row r="502" spans="2:3" x14ac:dyDescent="0.2">
      <c r="B502" s="6">
        <v>41403</v>
      </c>
      <c r="C502">
        <v>2.6209995679999998</v>
      </c>
    </row>
    <row r="503" spans="2:3" x14ac:dyDescent="0.2">
      <c r="B503" s="6">
        <v>41402</v>
      </c>
      <c r="C503">
        <v>2.5868571180000002</v>
      </c>
    </row>
    <row r="504" spans="2:3" x14ac:dyDescent="0.2">
      <c r="B504" s="6">
        <v>41401</v>
      </c>
      <c r="C504">
        <v>2.496654903</v>
      </c>
    </row>
    <row r="505" spans="2:3" x14ac:dyDescent="0.2">
      <c r="B505" s="6">
        <v>41400</v>
      </c>
      <c r="C505">
        <v>2.472445344</v>
      </c>
    </row>
    <row r="506" spans="2:3" x14ac:dyDescent="0.2">
      <c r="B506" s="6">
        <v>41397</v>
      </c>
      <c r="C506">
        <v>2.4889429870000002</v>
      </c>
    </row>
    <row r="507" spans="2:3" x14ac:dyDescent="0.2">
      <c r="B507" s="6">
        <v>41396</v>
      </c>
      <c r="C507">
        <v>2.472403173</v>
      </c>
    </row>
    <row r="508" spans="2:3" x14ac:dyDescent="0.2">
      <c r="B508" s="6">
        <v>41395</v>
      </c>
      <c r="C508">
        <v>2.4561501209999999</v>
      </c>
    </row>
    <row r="509" spans="2:3" x14ac:dyDescent="0.2">
      <c r="B509" s="6">
        <v>41394</v>
      </c>
      <c r="C509">
        <v>2.342103679</v>
      </c>
    </row>
    <row r="510" spans="2:3" x14ac:dyDescent="0.2">
      <c r="B510" s="6">
        <v>41393</v>
      </c>
      <c r="C510">
        <v>2.310355967</v>
      </c>
    </row>
    <row r="511" spans="2:3" x14ac:dyDescent="0.2">
      <c r="B511" s="6">
        <v>41390</v>
      </c>
      <c r="C511">
        <v>2.3535373910000001</v>
      </c>
    </row>
    <row r="512" spans="2:3" x14ac:dyDescent="0.2">
      <c r="B512" s="6">
        <v>41389</v>
      </c>
      <c r="C512">
        <v>2.3744792079999999</v>
      </c>
    </row>
    <row r="513" spans="2:3" x14ac:dyDescent="0.2">
      <c r="B513" s="6">
        <v>41388</v>
      </c>
      <c r="C513">
        <v>2.3795080679999998</v>
      </c>
    </row>
    <row r="514" spans="2:3" x14ac:dyDescent="0.2">
      <c r="B514" s="6">
        <v>41387</v>
      </c>
      <c r="C514">
        <v>2.4323453279999998</v>
      </c>
    </row>
    <row r="515" spans="2:3" x14ac:dyDescent="0.2">
      <c r="B515" s="6">
        <v>41386</v>
      </c>
      <c r="C515">
        <v>2.432388365</v>
      </c>
    </row>
    <row r="516" spans="2:3" x14ac:dyDescent="0.2">
      <c r="B516" s="6">
        <v>41383</v>
      </c>
      <c r="C516">
        <v>2.437532343</v>
      </c>
    </row>
    <row r="517" spans="2:3" x14ac:dyDescent="0.2">
      <c r="B517" s="6">
        <v>41382</v>
      </c>
      <c r="C517">
        <v>2.4460987780000001</v>
      </c>
    </row>
    <row r="518" spans="2:3" x14ac:dyDescent="0.2">
      <c r="B518" s="6">
        <v>41381</v>
      </c>
      <c r="C518">
        <v>2.447829263</v>
      </c>
    </row>
    <row r="519" spans="2:3" x14ac:dyDescent="0.2">
      <c r="B519" s="6">
        <v>41380</v>
      </c>
      <c r="C519">
        <v>2.431921102</v>
      </c>
    </row>
    <row r="520" spans="2:3" x14ac:dyDescent="0.2">
      <c r="B520" s="6">
        <v>41379</v>
      </c>
      <c r="C520">
        <v>2.4500518769999999</v>
      </c>
    </row>
    <row r="521" spans="2:3" x14ac:dyDescent="0.2">
      <c r="B521" s="6">
        <v>41376</v>
      </c>
      <c r="C521">
        <v>2.4546502910000001</v>
      </c>
    </row>
    <row r="522" spans="2:3" x14ac:dyDescent="0.2">
      <c r="B522" s="6">
        <v>41375</v>
      </c>
      <c r="C522">
        <v>2.4306597889999999</v>
      </c>
    </row>
    <row r="523" spans="2:3" x14ac:dyDescent="0.2">
      <c r="B523" s="6">
        <v>41374</v>
      </c>
      <c r="C523">
        <v>2.4532379479999999</v>
      </c>
    </row>
    <row r="524" spans="2:3" x14ac:dyDescent="0.2">
      <c r="B524" s="6">
        <v>41373</v>
      </c>
      <c r="C524">
        <v>2.518076062</v>
      </c>
    </row>
    <row r="525" spans="2:3" x14ac:dyDescent="0.2">
      <c r="B525" s="6">
        <v>41372</v>
      </c>
      <c r="C525">
        <v>2.5447918359999999</v>
      </c>
    </row>
    <row r="526" spans="2:3" x14ac:dyDescent="0.2">
      <c r="B526" s="6">
        <v>41369</v>
      </c>
      <c r="C526">
        <v>2.4893778179999999</v>
      </c>
    </row>
    <row r="527" spans="2:3" x14ac:dyDescent="0.2">
      <c r="B527" s="6">
        <v>41368</v>
      </c>
      <c r="C527">
        <v>2.4769497820000002</v>
      </c>
    </row>
    <row r="528" spans="2:3" x14ac:dyDescent="0.2">
      <c r="B528" s="6">
        <v>41367</v>
      </c>
      <c r="C528">
        <v>2.4173832769999999</v>
      </c>
    </row>
    <row r="529" spans="2:3" x14ac:dyDescent="0.2">
      <c r="B529" s="6">
        <v>41366</v>
      </c>
      <c r="C529">
        <v>2.4858731000000001</v>
      </c>
    </row>
    <row r="530" spans="2:3" x14ac:dyDescent="0.2">
      <c r="B530" s="6">
        <v>41365</v>
      </c>
      <c r="C530">
        <v>2.5647186739999999</v>
      </c>
    </row>
    <row r="531" spans="2:3" x14ac:dyDescent="0.2">
      <c r="B531" s="6">
        <v>41361</v>
      </c>
      <c r="C531">
        <v>2.610199122</v>
      </c>
    </row>
    <row r="532" spans="2:3" x14ac:dyDescent="0.2">
      <c r="B532" s="6">
        <v>41360</v>
      </c>
      <c r="C532">
        <v>2.5951295559999998</v>
      </c>
    </row>
    <row r="533" spans="2:3" x14ac:dyDescent="0.2">
      <c r="B533" s="6">
        <v>41359</v>
      </c>
      <c r="C533">
        <v>2.6143335780000001</v>
      </c>
    </row>
    <row r="534" spans="2:3" x14ac:dyDescent="0.2">
      <c r="B534" s="6">
        <v>41358</v>
      </c>
      <c r="C534">
        <v>2.6080685309999998</v>
      </c>
    </row>
    <row r="535" spans="2:3" x14ac:dyDescent="0.2">
      <c r="B535" s="6">
        <v>41355</v>
      </c>
      <c r="C535">
        <v>2.6425583509999999</v>
      </c>
    </row>
    <row r="536" spans="2:3" x14ac:dyDescent="0.2">
      <c r="B536" s="6">
        <v>41354</v>
      </c>
      <c r="C536">
        <v>2.6394759319999999</v>
      </c>
    </row>
    <row r="537" spans="2:3" x14ac:dyDescent="0.2">
      <c r="B537" s="6">
        <v>41353</v>
      </c>
      <c r="C537">
        <v>2.641484459</v>
      </c>
    </row>
    <row r="538" spans="2:3" x14ac:dyDescent="0.2">
      <c r="B538" s="6">
        <v>41352</v>
      </c>
      <c r="C538">
        <v>2.6762749110000001</v>
      </c>
    </row>
    <row r="539" spans="2:3" x14ac:dyDescent="0.2">
      <c r="B539" s="6">
        <v>41351</v>
      </c>
      <c r="C539">
        <v>2.6469827010000002</v>
      </c>
    </row>
    <row r="540" spans="2:3" x14ac:dyDescent="0.2">
      <c r="B540" s="6">
        <v>41348</v>
      </c>
      <c r="C540">
        <v>2.6068633019999998</v>
      </c>
    </row>
    <row r="541" spans="2:3" x14ac:dyDescent="0.2">
      <c r="B541" s="6">
        <v>41347</v>
      </c>
      <c r="C541">
        <v>2.6296268139999999</v>
      </c>
    </row>
    <row r="542" spans="2:3" x14ac:dyDescent="0.2">
      <c r="B542" s="6">
        <v>41346</v>
      </c>
      <c r="C542">
        <v>2.664336327</v>
      </c>
    </row>
    <row r="543" spans="2:3" x14ac:dyDescent="0.2">
      <c r="B543" s="6">
        <v>41345</v>
      </c>
      <c r="C543">
        <v>2.7054585790000001</v>
      </c>
    </row>
    <row r="544" spans="2:3" x14ac:dyDescent="0.2">
      <c r="B544" s="6">
        <v>41344</v>
      </c>
      <c r="C544">
        <v>2.700438675</v>
      </c>
    </row>
    <row r="545" spans="2:3" x14ac:dyDescent="0.2">
      <c r="B545" s="6">
        <v>41341</v>
      </c>
      <c r="C545">
        <v>2.7064552879999999</v>
      </c>
    </row>
    <row r="546" spans="2:3" x14ac:dyDescent="0.2">
      <c r="B546" s="6">
        <v>41340</v>
      </c>
      <c r="C546">
        <v>2.7399845790000001</v>
      </c>
    </row>
    <row r="547" spans="2:3" x14ac:dyDescent="0.2">
      <c r="B547" s="6">
        <v>41339</v>
      </c>
      <c r="C547">
        <v>2.7519155240000002</v>
      </c>
    </row>
    <row r="548" spans="2:3" x14ac:dyDescent="0.2">
      <c r="B548" s="6">
        <v>41338</v>
      </c>
      <c r="C548">
        <v>2.6733074910000001</v>
      </c>
    </row>
    <row r="549" spans="2:3" x14ac:dyDescent="0.2">
      <c r="B549" s="6">
        <v>41337</v>
      </c>
      <c r="C549">
        <v>2.6125524229999999</v>
      </c>
    </row>
    <row r="550" spans="2:3" x14ac:dyDescent="0.2">
      <c r="B550" s="6">
        <v>41334</v>
      </c>
      <c r="C550">
        <v>2.5607564580000002</v>
      </c>
    </row>
    <row r="551" spans="2:3" x14ac:dyDescent="0.2">
      <c r="B551" s="6">
        <v>41333</v>
      </c>
      <c r="C551">
        <v>2.545776005</v>
      </c>
    </row>
    <row r="552" spans="2:3" x14ac:dyDescent="0.2">
      <c r="B552" s="6">
        <v>41332</v>
      </c>
      <c r="C552">
        <v>2.52993004</v>
      </c>
    </row>
    <row r="553" spans="2:3" x14ac:dyDescent="0.2">
      <c r="B553" s="6">
        <v>41331</v>
      </c>
      <c r="C553">
        <v>2.544837432</v>
      </c>
    </row>
    <row r="554" spans="2:3" x14ac:dyDescent="0.2">
      <c r="B554" s="6">
        <v>41330</v>
      </c>
      <c r="C554">
        <v>2.5732198820000001</v>
      </c>
    </row>
    <row r="555" spans="2:3" x14ac:dyDescent="0.2">
      <c r="B555" s="6">
        <v>41327</v>
      </c>
      <c r="C555">
        <v>2.5389569449999998</v>
      </c>
    </row>
    <row r="556" spans="2:3" x14ac:dyDescent="0.2">
      <c r="B556" s="6">
        <v>41326</v>
      </c>
      <c r="C556">
        <v>2.557858843</v>
      </c>
    </row>
    <row r="557" spans="2:3" x14ac:dyDescent="0.2">
      <c r="B557" s="6">
        <v>41325</v>
      </c>
      <c r="C557">
        <v>2.625139903</v>
      </c>
    </row>
    <row r="558" spans="2:3" x14ac:dyDescent="0.2">
      <c r="B558" s="6">
        <v>41324</v>
      </c>
      <c r="C558">
        <v>2.6257405349999998</v>
      </c>
    </row>
    <row r="559" spans="2:3" x14ac:dyDescent="0.2">
      <c r="B559" s="6">
        <v>41320</v>
      </c>
      <c r="C559">
        <v>2.637969499</v>
      </c>
    </row>
    <row r="560" spans="2:3" x14ac:dyDescent="0.2">
      <c r="B560" s="6">
        <v>41319</v>
      </c>
      <c r="C560">
        <v>2.6380211949999999</v>
      </c>
    </row>
    <row r="561" spans="2:3" x14ac:dyDescent="0.2">
      <c r="B561" s="6">
        <v>41318</v>
      </c>
      <c r="C561">
        <v>2.6207856729999999</v>
      </c>
    </row>
    <row r="562" spans="2:3" x14ac:dyDescent="0.2">
      <c r="B562" s="6">
        <v>41317</v>
      </c>
      <c r="C562">
        <v>2.6085491790000002</v>
      </c>
    </row>
    <row r="563" spans="2:3" x14ac:dyDescent="0.2">
      <c r="B563" s="6">
        <v>41316</v>
      </c>
      <c r="C563">
        <v>2.6537197369999999</v>
      </c>
    </row>
    <row r="564" spans="2:3" x14ac:dyDescent="0.2">
      <c r="B564" s="6">
        <v>41313</v>
      </c>
      <c r="C564">
        <v>2.6070118409999998</v>
      </c>
    </row>
    <row r="565" spans="2:3" x14ac:dyDescent="0.2">
      <c r="B565" s="6">
        <v>41312</v>
      </c>
      <c r="C565">
        <v>2.5653084650000002</v>
      </c>
    </row>
    <row r="566" spans="2:3" x14ac:dyDescent="0.2">
      <c r="B566" s="6">
        <v>41311</v>
      </c>
      <c r="C566">
        <v>2.5731755490000001</v>
      </c>
    </row>
    <row r="567" spans="2:3" x14ac:dyDescent="0.2">
      <c r="B567" s="6">
        <v>41310</v>
      </c>
      <c r="C567">
        <v>2.5513624899999998</v>
      </c>
    </row>
    <row r="568" spans="2:3" x14ac:dyDescent="0.2">
      <c r="B568" s="6">
        <v>41309</v>
      </c>
      <c r="C568">
        <v>2.5594320750000001</v>
      </c>
    </row>
    <row r="569" spans="2:3" x14ac:dyDescent="0.2">
      <c r="B569" s="6">
        <v>41306</v>
      </c>
      <c r="C569">
        <v>2.6005196499999998</v>
      </c>
    </row>
    <row r="570" spans="2:3" x14ac:dyDescent="0.2">
      <c r="B570" s="6">
        <v>41305</v>
      </c>
      <c r="C570">
        <v>2.5556270130000001</v>
      </c>
    </row>
    <row r="571" spans="2:3" x14ac:dyDescent="0.2">
      <c r="B571" s="6">
        <v>41304</v>
      </c>
      <c r="C571">
        <v>2.5914055359999999</v>
      </c>
    </row>
    <row r="572" spans="2:3" x14ac:dyDescent="0.2">
      <c r="B572" s="6">
        <v>41303</v>
      </c>
      <c r="C572">
        <v>2.5737675910000002</v>
      </c>
    </row>
    <row r="573" spans="2:3" x14ac:dyDescent="0.2">
      <c r="B573" s="6">
        <v>41302</v>
      </c>
      <c r="C573">
        <v>2.5772925230000001</v>
      </c>
    </row>
    <row r="574" spans="2:3" x14ac:dyDescent="0.2">
      <c r="B574" s="6">
        <v>41299</v>
      </c>
      <c r="C574">
        <v>2.5598092540000001</v>
      </c>
    </row>
    <row r="575" spans="2:3" x14ac:dyDescent="0.2">
      <c r="B575" s="6">
        <v>41298</v>
      </c>
      <c r="C575">
        <v>2.5393282300000002</v>
      </c>
    </row>
    <row r="576" spans="2:3" x14ac:dyDescent="0.2">
      <c r="B576" s="6">
        <v>41297</v>
      </c>
      <c r="C576">
        <v>2.505318495</v>
      </c>
    </row>
    <row r="577" spans="2:3" x14ac:dyDescent="0.2">
      <c r="B577" s="6">
        <v>41296</v>
      </c>
      <c r="C577">
        <v>2.3674188940000001</v>
      </c>
    </row>
    <row r="578" spans="2:3" x14ac:dyDescent="0.2">
      <c r="B578" s="6">
        <v>41292</v>
      </c>
      <c r="C578">
        <v>2.3433125330000002</v>
      </c>
    </row>
    <row r="579" spans="2:3" x14ac:dyDescent="0.2">
      <c r="B579" s="6">
        <v>41291</v>
      </c>
      <c r="C579">
        <v>2.352207742</v>
      </c>
    </row>
    <row r="580" spans="2:3" x14ac:dyDescent="0.2">
      <c r="B580" s="6">
        <v>41290</v>
      </c>
      <c r="C580">
        <v>2.3502791670000001</v>
      </c>
    </row>
    <row r="581" spans="2:3" x14ac:dyDescent="0.2">
      <c r="B581" s="6">
        <v>41289</v>
      </c>
      <c r="C581">
        <v>2.3689111619999998</v>
      </c>
    </row>
    <row r="582" spans="2:3" x14ac:dyDescent="0.2">
      <c r="B582" s="6">
        <v>41288</v>
      </c>
      <c r="C582">
        <v>2.2944098290000001</v>
      </c>
    </row>
    <row r="583" spans="2:3" x14ac:dyDescent="0.2">
      <c r="B583" s="6">
        <v>41285</v>
      </c>
      <c r="C583">
        <v>2.2938425269999998</v>
      </c>
    </row>
    <row r="584" spans="2:3" x14ac:dyDescent="0.2">
      <c r="B584" s="6">
        <v>41284</v>
      </c>
      <c r="C584">
        <v>2.2784009909999998</v>
      </c>
    </row>
    <row r="585" spans="2:3" x14ac:dyDescent="0.2">
      <c r="B585" s="6">
        <v>41283</v>
      </c>
      <c r="C585">
        <v>2.2816853969999999</v>
      </c>
    </row>
    <row r="586" spans="2:3" x14ac:dyDescent="0.2">
      <c r="B586" s="6">
        <v>41282</v>
      </c>
      <c r="C586">
        <v>2.3058062239999999</v>
      </c>
    </row>
    <row r="587" spans="2:3" x14ac:dyDescent="0.2">
      <c r="B587" s="6">
        <v>41281</v>
      </c>
      <c r="C587">
        <v>2.254237738</v>
      </c>
    </row>
    <row r="588" spans="2:3" x14ac:dyDescent="0.2">
      <c r="B588" s="6">
        <v>41278</v>
      </c>
      <c r="C588">
        <v>2.2872202210000001</v>
      </c>
    </row>
    <row r="589" spans="2:3" x14ac:dyDescent="0.2">
      <c r="B589" s="6">
        <v>41277</v>
      </c>
      <c r="C589">
        <v>2.3132421540000001</v>
      </c>
    </row>
    <row r="590" spans="2:3" x14ac:dyDescent="0.2">
      <c r="B590" s="6">
        <v>41276</v>
      </c>
      <c r="C590">
        <v>2.3583903099999999</v>
      </c>
    </row>
    <row r="591" spans="2:3" x14ac:dyDescent="0.2">
      <c r="B591" s="6">
        <v>41274</v>
      </c>
      <c r="C591">
        <v>2.3389352730000001</v>
      </c>
    </row>
    <row r="592" spans="2:3" x14ac:dyDescent="0.2">
      <c r="B592" s="6">
        <v>41271</v>
      </c>
      <c r="C592">
        <v>2.2179772299999998</v>
      </c>
    </row>
    <row r="593" spans="2:3" x14ac:dyDescent="0.2">
      <c r="B593" s="6">
        <v>41270</v>
      </c>
      <c r="C593">
        <v>2.1517307109999999</v>
      </c>
    </row>
    <row r="594" spans="2:3" x14ac:dyDescent="0.2">
      <c r="B594" s="6">
        <v>41269</v>
      </c>
      <c r="C594">
        <v>2.1401763219999999</v>
      </c>
    </row>
    <row r="595" spans="2:3" x14ac:dyDescent="0.2">
      <c r="B595" s="6">
        <v>41267</v>
      </c>
      <c r="C595">
        <v>2.1222776699999999</v>
      </c>
    </row>
    <row r="596" spans="2:3" x14ac:dyDescent="0.2">
      <c r="B596" s="6">
        <v>41264</v>
      </c>
      <c r="C596">
        <v>2.1575085509999998</v>
      </c>
    </row>
    <row r="597" spans="2:3" x14ac:dyDescent="0.2">
      <c r="B597" s="6">
        <v>41263</v>
      </c>
      <c r="C597">
        <v>2.1781660180000002</v>
      </c>
    </row>
    <row r="598" spans="2:3" x14ac:dyDescent="0.2">
      <c r="B598" s="6">
        <v>41262</v>
      </c>
      <c r="C598">
        <v>2.1495740790000002</v>
      </c>
    </row>
    <row r="599" spans="2:3" x14ac:dyDescent="0.2">
      <c r="B599" s="6">
        <v>41261</v>
      </c>
      <c r="C599">
        <v>2.1892792750000001</v>
      </c>
    </row>
    <row r="600" spans="2:3" x14ac:dyDescent="0.2">
      <c r="B600" s="6">
        <v>41260</v>
      </c>
      <c r="C600">
        <v>2.2082579610000002</v>
      </c>
    </row>
    <row r="601" spans="2:3" x14ac:dyDescent="0.2">
      <c r="B601" s="6">
        <v>41257</v>
      </c>
      <c r="C601">
        <v>2.2549632119999998</v>
      </c>
    </row>
    <row r="602" spans="2:3" x14ac:dyDescent="0.2">
      <c r="B602" s="6">
        <v>41256</v>
      </c>
      <c r="C602">
        <v>2.1860869429999998</v>
      </c>
    </row>
    <row r="603" spans="2:3" x14ac:dyDescent="0.2">
      <c r="B603" s="6">
        <v>41255</v>
      </c>
      <c r="C603">
        <v>2.1747058080000001</v>
      </c>
    </row>
    <row r="604" spans="2:3" x14ac:dyDescent="0.2">
      <c r="B604" s="6">
        <v>41254</v>
      </c>
      <c r="C604">
        <v>2.1795432959999999</v>
      </c>
    </row>
    <row r="605" spans="2:3" x14ac:dyDescent="0.2">
      <c r="B605" s="6">
        <v>41253</v>
      </c>
      <c r="C605">
        <v>2.1698452449999999</v>
      </c>
    </row>
    <row r="606" spans="2:3" x14ac:dyDescent="0.2">
      <c r="B606" s="6">
        <v>41250</v>
      </c>
      <c r="C606">
        <v>2.1257047070000001</v>
      </c>
    </row>
    <row r="607" spans="2:3" x14ac:dyDescent="0.2">
      <c r="B607" s="6">
        <v>41249</v>
      </c>
      <c r="C607">
        <v>2.1263199579999998</v>
      </c>
    </row>
    <row r="608" spans="2:3" x14ac:dyDescent="0.2">
      <c r="B608" s="6">
        <v>41248</v>
      </c>
      <c r="C608">
        <v>2.1663327489999999</v>
      </c>
    </row>
    <row r="609" spans="2:3" x14ac:dyDescent="0.2">
      <c r="B609" s="6">
        <v>41247</v>
      </c>
      <c r="C609">
        <v>2.1082736280000001</v>
      </c>
    </row>
    <row r="610" spans="2:3" x14ac:dyDescent="0.2">
      <c r="B610" s="6">
        <v>41246</v>
      </c>
      <c r="C610">
        <v>2.0799414920000001</v>
      </c>
    </row>
    <row r="611" spans="2:3" x14ac:dyDescent="0.2">
      <c r="B611" s="6">
        <v>41243</v>
      </c>
      <c r="C611">
        <v>2.0678302369999999</v>
      </c>
    </row>
    <row r="612" spans="2:3" x14ac:dyDescent="0.2">
      <c r="B612" s="6">
        <v>41242</v>
      </c>
      <c r="C612">
        <v>2.086222571</v>
      </c>
    </row>
    <row r="613" spans="2:3" x14ac:dyDescent="0.2">
      <c r="B613" s="6">
        <v>41241</v>
      </c>
      <c r="C613">
        <v>2.0725335490000001</v>
      </c>
    </row>
    <row r="614" spans="2:3" x14ac:dyDescent="0.2">
      <c r="B614" s="6">
        <v>41240</v>
      </c>
      <c r="C614">
        <v>2.072443861</v>
      </c>
    </row>
    <row r="615" spans="2:3" x14ac:dyDescent="0.2">
      <c r="B615" s="6">
        <v>41239</v>
      </c>
      <c r="C615">
        <v>2.0509742580000001</v>
      </c>
    </row>
    <row r="616" spans="2:3" x14ac:dyDescent="0.2">
      <c r="B616" s="6">
        <v>41236</v>
      </c>
      <c r="C616">
        <v>2.0440489529999999</v>
      </c>
    </row>
    <row r="617" spans="2:3" x14ac:dyDescent="0.2">
      <c r="B617" s="6">
        <v>41234</v>
      </c>
      <c r="C617">
        <v>2.1328988729999998</v>
      </c>
    </row>
    <row r="618" spans="2:3" x14ac:dyDescent="0.2">
      <c r="B618" s="6">
        <v>41233</v>
      </c>
      <c r="C618">
        <v>2.2012643189999999</v>
      </c>
    </row>
    <row r="619" spans="2:3" x14ac:dyDescent="0.2">
      <c r="B619" s="6">
        <v>41232</v>
      </c>
      <c r="C619">
        <v>2.1925425330000001</v>
      </c>
    </row>
    <row r="620" spans="2:3" x14ac:dyDescent="0.2">
      <c r="B620" s="6">
        <v>41229</v>
      </c>
      <c r="C620">
        <v>2.1420411800000001</v>
      </c>
    </row>
    <row r="621" spans="2:3" x14ac:dyDescent="0.2">
      <c r="B621" s="6">
        <v>41228</v>
      </c>
      <c r="C621">
        <v>2.0699676939999998</v>
      </c>
    </row>
    <row r="622" spans="2:3" x14ac:dyDescent="0.2">
      <c r="B622" s="6">
        <v>41227</v>
      </c>
      <c r="C622">
        <v>2.0361071289999999</v>
      </c>
    </row>
    <row r="623" spans="2:3" x14ac:dyDescent="0.2">
      <c r="B623" s="6">
        <v>41226</v>
      </c>
      <c r="C623">
        <v>2.0923386430000002</v>
      </c>
    </row>
    <row r="624" spans="2:3" x14ac:dyDescent="0.2">
      <c r="B624" s="6">
        <v>41222</v>
      </c>
      <c r="C624">
        <v>2.13435408</v>
      </c>
    </row>
    <row r="625" spans="2:3" x14ac:dyDescent="0.2">
      <c r="B625" s="6">
        <v>41221</v>
      </c>
      <c r="C625">
        <v>2.0829778989999999</v>
      </c>
    </row>
    <row r="626" spans="2:3" x14ac:dyDescent="0.2">
      <c r="B626" s="6">
        <v>41220</v>
      </c>
      <c r="C626">
        <v>2.0595956649999998</v>
      </c>
    </row>
    <row r="627" spans="2:3" x14ac:dyDescent="0.2">
      <c r="B627" s="6">
        <v>41219</v>
      </c>
      <c r="C627">
        <v>2.04956432</v>
      </c>
    </row>
    <row r="628" spans="2:3" x14ac:dyDescent="0.2">
      <c r="B628" s="6">
        <v>41218</v>
      </c>
      <c r="C628">
        <v>2.0919724579999999</v>
      </c>
    </row>
    <row r="629" spans="2:3" x14ac:dyDescent="0.2">
      <c r="B629" s="6">
        <v>41215</v>
      </c>
      <c r="C629">
        <v>2.2488911269999998</v>
      </c>
    </row>
    <row r="630" spans="2:3" x14ac:dyDescent="0.2">
      <c r="B630" s="6">
        <v>41214</v>
      </c>
      <c r="C630">
        <v>2.1479421520000002</v>
      </c>
    </row>
    <row r="631" spans="2:3" x14ac:dyDescent="0.2">
      <c r="B631" s="6">
        <v>41213</v>
      </c>
      <c r="C631">
        <v>2.1949310629999998</v>
      </c>
    </row>
    <row r="632" spans="2:3" x14ac:dyDescent="0.2">
      <c r="B632" s="6">
        <v>41211</v>
      </c>
      <c r="C632">
        <v>2.2324289689999999</v>
      </c>
    </row>
    <row r="633" spans="2:3" x14ac:dyDescent="0.2">
      <c r="B633" s="6">
        <v>41208</v>
      </c>
      <c r="C633">
        <v>2.1423497450000002</v>
      </c>
    </row>
    <row r="634" spans="2:3" x14ac:dyDescent="0.2">
      <c r="B634" s="6">
        <v>41207</v>
      </c>
      <c r="C634">
        <v>2.1758632000000002</v>
      </c>
    </row>
    <row r="635" spans="2:3" x14ac:dyDescent="0.2">
      <c r="B635" s="6">
        <v>41206</v>
      </c>
      <c r="C635">
        <v>2.2062412810000001</v>
      </c>
    </row>
    <row r="636" spans="2:3" x14ac:dyDescent="0.2">
      <c r="B636" s="6">
        <v>41205</v>
      </c>
      <c r="C636">
        <v>2.2775343260000001</v>
      </c>
    </row>
    <row r="637" spans="2:3" x14ac:dyDescent="0.2">
      <c r="B637" s="6">
        <v>41204</v>
      </c>
      <c r="C637">
        <v>2.225015129</v>
      </c>
    </row>
    <row r="638" spans="2:3" x14ac:dyDescent="0.2">
      <c r="B638" s="6">
        <v>41201</v>
      </c>
      <c r="C638">
        <v>2.1883122199999998</v>
      </c>
    </row>
    <row r="639" spans="2:3" x14ac:dyDescent="0.2">
      <c r="B639" s="6">
        <v>41200</v>
      </c>
      <c r="C639">
        <v>2.2048003729999999</v>
      </c>
    </row>
    <row r="640" spans="2:3" x14ac:dyDescent="0.2">
      <c r="B640" s="6">
        <v>41199</v>
      </c>
      <c r="C640">
        <v>2.1714906410000001</v>
      </c>
    </row>
    <row r="641" spans="2:3" x14ac:dyDescent="0.2">
      <c r="B641" s="6">
        <v>41198</v>
      </c>
      <c r="C641">
        <v>2.2380406009999998</v>
      </c>
    </row>
    <row r="642" spans="2:3" x14ac:dyDescent="0.2">
      <c r="B642" s="6">
        <v>41197</v>
      </c>
      <c r="C642">
        <v>2.1999397260000002</v>
      </c>
    </row>
    <row r="643" spans="2:3" x14ac:dyDescent="0.2">
      <c r="B643" s="6">
        <v>41194</v>
      </c>
      <c r="C643">
        <v>2.0903131149999998</v>
      </c>
    </row>
    <row r="644" spans="2:3" x14ac:dyDescent="0.2">
      <c r="B644" s="6">
        <v>41193</v>
      </c>
      <c r="C644">
        <v>2.0433983499999999</v>
      </c>
    </row>
    <row r="645" spans="2:3" x14ac:dyDescent="0.2">
      <c r="B645" s="6">
        <v>41192</v>
      </c>
      <c r="C645">
        <v>2.014870578</v>
      </c>
    </row>
    <row r="646" spans="2:3" x14ac:dyDescent="0.2">
      <c r="B646" s="6">
        <v>41191</v>
      </c>
      <c r="C646">
        <v>2.018815064</v>
      </c>
    </row>
    <row r="647" spans="2:3" x14ac:dyDescent="0.2">
      <c r="B647" s="6">
        <v>41187</v>
      </c>
      <c r="C647">
        <v>2.056698403</v>
      </c>
    </row>
    <row r="648" spans="2:3" x14ac:dyDescent="0.2">
      <c r="B648" s="6">
        <v>41186</v>
      </c>
      <c r="C648">
        <v>2.1121992039999999</v>
      </c>
    </row>
    <row r="649" spans="2:3" x14ac:dyDescent="0.2">
      <c r="B649" s="6">
        <v>41185</v>
      </c>
      <c r="C649">
        <v>2.0999165139999998</v>
      </c>
    </row>
    <row r="650" spans="2:3" x14ac:dyDescent="0.2">
      <c r="B650" s="6">
        <v>41184</v>
      </c>
      <c r="C650">
        <v>2.0658821660000002</v>
      </c>
    </row>
    <row r="651" spans="2:3" x14ac:dyDescent="0.2">
      <c r="B651" s="6">
        <v>41183</v>
      </c>
      <c r="C651">
        <v>1.974444624</v>
      </c>
    </row>
    <row r="652" spans="2:3" x14ac:dyDescent="0.2">
      <c r="B652" s="6">
        <v>41180</v>
      </c>
      <c r="C652">
        <v>1.8992686999999999</v>
      </c>
    </row>
    <row r="653" spans="2:3" x14ac:dyDescent="0.2">
      <c r="B653" s="6">
        <v>41179</v>
      </c>
      <c r="C653">
        <v>1.9791061700000001</v>
      </c>
    </row>
    <row r="654" spans="2:3" x14ac:dyDescent="0.2">
      <c r="B654" s="6">
        <v>41178</v>
      </c>
      <c r="C654">
        <v>2.0399140400000002</v>
      </c>
    </row>
    <row r="655" spans="2:3" x14ac:dyDescent="0.2">
      <c r="B655" s="6">
        <v>41177</v>
      </c>
      <c r="C655">
        <v>2.050974933</v>
      </c>
    </row>
    <row r="656" spans="2:3" x14ac:dyDescent="0.2">
      <c r="B656" s="6">
        <v>41176</v>
      </c>
      <c r="C656">
        <v>1.9736635579999999</v>
      </c>
    </row>
    <row r="657" spans="2:3" x14ac:dyDescent="0.2">
      <c r="B657" s="6">
        <v>41173</v>
      </c>
      <c r="C657">
        <v>1.979556232</v>
      </c>
    </row>
    <row r="658" spans="2:3" x14ac:dyDescent="0.2">
      <c r="B658" s="6">
        <v>41172</v>
      </c>
      <c r="C658">
        <v>2.043347077</v>
      </c>
    </row>
    <row r="659" spans="2:3" x14ac:dyDescent="0.2">
      <c r="B659" s="6">
        <v>41171</v>
      </c>
      <c r="C659">
        <v>2.0967004829999998</v>
      </c>
    </row>
    <row r="660" spans="2:3" x14ac:dyDescent="0.2">
      <c r="B660" s="6">
        <v>41170</v>
      </c>
      <c r="C660">
        <v>2.1699341950000002</v>
      </c>
    </row>
    <row r="661" spans="2:3" x14ac:dyDescent="0.2">
      <c r="B661" s="6">
        <v>41169</v>
      </c>
      <c r="C661">
        <v>2.2108565859999998</v>
      </c>
    </row>
    <row r="662" spans="2:3" x14ac:dyDescent="0.2">
      <c r="B662" s="6">
        <v>41166</v>
      </c>
      <c r="C662">
        <v>2.269398619</v>
      </c>
    </row>
    <row r="663" spans="2:3" x14ac:dyDescent="0.2">
      <c r="B663" s="6">
        <v>41165</v>
      </c>
      <c r="C663">
        <v>2.2811650729999999</v>
      </c>
    </row>
    <row r="664" spans="2:3" x14ac:dyDescent="0.2">
      <c r="B664" s="6">
        <v>41164</v>
      </c>
      <c r="C664">
        <v>2.2680491659999999</v>
      </c>
    </row>
    <row r="665" spans="2:3" x14ac:dyDescent="0.2">
      <c r="B665" s="6">
        <v>41163</v>
      </c>
      <c r="C665">
        <v>2.2060134699999998</v>
      </c>
    </row>
    <row r="666" spans="2:3" x14ac:dyDescent="0.2">
      <c r="B666" s="6">
        <v>41162</v>
      </c>
      <c r="C666">
        <v>2.429216625</v>
      </c>
    </row>
    <row r="667" spans="2:3" x14ac:dyDescent="0.2">
      <c r="B667" s="6">
        <v>41159</v>
      </c>
      <c r="C667">
        <v>2.3937114949999998</v>
      </c>
    </row>
    <row r="668" spans="2:3" x14ac:dyDescent="0.2">
      <c r="B668" s="6">
        <v>41158</v>
      </c>
      <c r="C668">
        <v>2.3778465569999998</v>
      </c>
    </row>
    <row r="669" spans="2:3" x14ac:dyDescent="0.2">
      <c r="B669" s="6">
        <v>41157</v>
      </c>
      <c r="C669">
        <v>2.373837188</v>
      </c>
    </row>
    <row r="670" spans="2:3" x14ac:dyDescent="0.2">
      <c r="B670" s="6">
        <v>41156</v>
      </c>
      <c r="C670">
        <v>2.4560721349999999</v>
      </c>
    </row>
    <row r="671" spans="2:3" x14ac:dyDescent="0.2">
      <c r="B671" s="6">
        <v>41152</v>
      </c>
      <c r="C671">
        <v>2.3952760710000001</v>
      </c>
    </row>
    <row r="672" spans="2:3" x14ac:dyDescent="0.2">
      <c r="B672" s="6">
        <v>41151</v>
      </c>
      <c r="C672">
        <v>2.384166934</v>
      </c>
    </row>
    <row r="673" spans="2:3" x14ac:dyDescent="0.2">
      <c r="B673" s="6">
        <v>41150</v>
      </c>
      <c r="C673">
        <v>2.3689486739999999</v>
      </c>
    </row>
    <row r="674" spans="2:3" x14ac:dyDescent="0.2">
      <c r="B674" s="6">
        <v>41149</v>
      </c>
      <c r="C674">
        <v>2.4337082730000001</v>
      </c>
    </row>
    <row r="675" spans="2:3" x14ac:dyDescent="0.2">
      <c r="B675" s="6">
        <v>41148</v>
      </c>
      <c r="C675">
        <v>2.468784045</v>
      </c>
    </row>
    <row r="676" spans="2:3" x14ac:dyDescent="0.2">
      <c r="B676" s="6">
        <v>41145</v>
      </c>
      <c r="C676">
        <v>2.4110384200000001</v>
      </c>
    </row>
    <row r="677" spans="2:3" x14ac:dyDescent="0.2">
      <c r="B677" s="6">
        <v>41144</v>
      </c>
      <c r="C677">
        <v>2.44075263</v>
      </c>
    </row>
    <row r="678" spans="2:3" x14ac:dyDescent="0.2">
      <c r="B678" s="6">
        <v>41143</v>
      </c>
      <c r="C678">
        <v>2.4760934639999999</v>
      </c>
    </row>
    <row r="679" spans="2:3" x14ac:dyDescent="0.2">
      <c r="B679" s="6">
        <v>41142</v>
      </c>
      <c r="C679">
        <v>2.4447051609999999</v>
      </c>
    </row>
    <row r="680" spans="2:3" x14ac:dyDescent="0.2">
      <c r="B680" s="6">
        <v>41141</v>
      </c>
      <c r="C680">
        <v>2.5120707640000002</v>
      </c>
    </row>
    <row r="681" spans="2:3" x14ac:dyDescent="0.2">
      <c r="B681" s="6">
        <v>41138</v>
      </c>
      <c r="C681">
        <v>2.625891416</v>
      </c>
    </row>
    <row r="682" spans="2:3" x14ac:dyDescent="0.2">
      <c r="B682" s="6">
        <v>41137</v>
      </c>
      <c r="C682">
        <v>2.6186769860000001</v>
      </c>
    </row>
    <row r="683" spans="2:3" x14ac:dyDescent="0.2">
      <c r="B683" s="6">
        <v>41136</v>
      </c>
      <c r="C683">
        <v>2.6390371039999998</v>
      </c>
    </row>
    <row r="684" spans="2:3" x14ac:dyDescent="0.2">
      <c r="B684" s="6">
        <v>41135</v>
      </c>
      <c r="C684">
        <v>2.6701943250000002</v>
      </c>
    </row>
    <row r="685" spans="2:3" x14ac:dyDescent="0.2">
      <c r="B685" s="6">
        <v>41134</v>
      </c>
      <c r="C685">
        <v>2.638133566</v>
      </c>
    </row>
    <row r="686" spans="2:3" x14ac:dyDescent="0.2">
      <c r="B686" s="6">
        <v>41131</v>
      </c>
      <c r="C686">
        <v>2.5032104639999999</v>
      </c>
    </row>
    <row r="687" spans="2:3" x14ac:dyDescent="0.2">
      <c r="B687" s="6">
        <v>41130</v>
      </c>
      <c r="C687">
        <v>2.4326197879999998</v>
      </c>
    </row>
    <row r="688" spans="2:3" x14ac:dyDescent="0.2">
      <c r="B688" s="6">
        <v>41129</v>
      </c>
      <c r="C688">
        <v>2.4373468809999999</v>
      </c>
    </row>
    <row r="689" spans="2:3" x14ac:dyDescent="0.2">
      <c r="B689" s="6">
        <v>41128</v>
      </c>
      <c r="C689">
        <v>2.4571707410000001</v>
      </c>
    </row>
    <row r="690" spans="2:3" x14ac:dyDescent="0.2">
      <c r="B690" s="6">
        <v>41127</v>
      </c>
      <c r="C690">
        <v>2.4538777839999999</v>
      </c>
    </row>
    <row r="691" spans="2:3" x14ac:dyDescent="0.2">
      <c r="B691" s="6">
        <v>41124</v>
      </c>
      <c r="C691">
        <v>2.464827981</v>
      </c>
    </row>
    <row r="692" spans="2:3" x14ac:dyDescent="0.2">
      <c r="B692" s="6">
        <v>41123</v>
      </c>
      <c r="C692">
        <v>2.4102554459999999</v>
      </c>
    </row>
    <row r="693" spans="2:3" x14ac:dyDescent="0.2">
      <c r="B693" s="6">
        <v>41122</v>
      </c>
      <c r="C693">
        <v>2.4267540940000001</v>
      </c>
    </row>
    <row r="694" spans="2:3" x14ac:dyDescent="0.2">
      <c r="B694" s="6">
        <v>41121</v>
      </c>
      <c r="C694">
        <v>2.3365718910000002</v>
      </c>
    </row>
    <row r="695" spans="2:3" x14ac:dyDescent="0.2">
      <c r="B695" s="6">
        <v>41120</v>
      </c>
      <c r="C695">
        <v>2.3658814100000001</v>
      </c>
    </row>
    <row r="696" spans="2:3" x14ac:dyDescent="0.2">
      <c r="B696" s="6">
        <v>41117</v>
      </c>
      <c r="C696">
        <v>2.3145960730000001</v>
      </c>
    </row>
    <row r="697" spans="2:3" x14ac:dyDescent="0.2">
      <c r="B697" s="6">
        <v>41116</v>
      </c>
      <c r="C697">
        <v>2.3365107530000002</v>
      </c>
    </row>
    <row r="698" spans="2:3" x14ac:dyDescent="0.2">
      <c r="B698" s="6">
        <v>41115</v>
      </c>
      <c r="C698">
        <v>2.4685368269999999</v>
      </c>
    </row>
    <row r="699" spans="2:3" x14ac:dyDescent="0.2">
      <c r="B699" s="6">
        <v>41114</v>
      </c>
      <c r="C699">
        <v>2.2877898550000002</v>
      </c>
    </row>
    <row r="700" spans="2:3" x14ac:dyDescent="0.2">
      <c r="B700" s="6">
        <v>41113</v>
      </c>
      <c r="C700">
        <v>2.263368024</v>
      </c>
    </row>
    <row r="701" spans="2:3" x14ac:dyDescent="0.2">
      <c r="B701" s="6">
        <v>41110</v>
      </c>
      <c r="C701">
        <v>2.24717799</v>
      </c>
    </row>
    <row r="702" spans="2:3" x14ac:dyDescent="0.2">
      <c r="B702" s="6">
        <v>41109</v>
      </c>
      <c r="C702">
        <v>2.2772318569999999</v>
      </c>
    </row>
    <row r="703" spans="2:3" x14ac:dyDescent="0.2">
      <c r="B703" s="6">
        <v>41108</v>
      </c>
      <c r="C703">
        <v>2.3249603790000002</v>
      </c>
    </row>
    <row r="704" spans="2:3" x14ac:dyDescent="0.2">
      <c r="B704" s="6">
        <v>41107</v>
      </c>
      <c r="C704">
        <v>2.3931217440000001</v>
      </c>
    </row>
    <row r="705" spans="2:3" x14ac:dyDescent="0.2">
      <c r="B705" s="6">
        <v>41106</v>
      </c>
      <c r="C705">
        <v>2.3758504230000002</v>
      </c>
    </row>
    <row r="706" spans="2:3" x14ac:dyDescent="0.2">
      <c r="B706" s="6">
        <v>41103</v>
      </c>
      <c r="C706">
        <v>2.4360959179999999</v>
      </c>
    </row>
    <row r="707" spans="2:3" x14ac:dyDescent="0.2">
      <c r="B707" s="6">
        <v>41102</v>
      </c>
      <c r="C707">
        <v>2.3968423720000001</v>
      </c>
    </row>
    <row r="708" spans="2:3" x14ac:dyDescent="0.2">
      <c r="B708" s="6">
        <v>41101</v>
      </c>
      <c r="C708">
        <v>2.4585025300000001</v>
      </c>
    </row>
    <row r="709" spans="2:3" x14ac:dyDescent="0.2">
      <c r="B709" s="6">
        <v>41100</v>
      </c>
      <c r="C709">
        <v>2.4034266469999999</v>
      </c>
    </row>
    <row r="710" spans="2:3" x14ac:dyDescent="0.2">
      <c r="B710" s="6">
        <v>41099</v>
      </c>
      <c r="C710">
        <v>2.4116172709999999</v>
      </c>
    </row>
    <row r="711" spans="2:3" x14ac:dyDescent="0.2">
      <c r="B711" s="6">
        <v>41096</v>
      </c>
      <c r="C711">
        <v>2.4230298189999999</v>
      </c>
    </row>
    <row r="712" spans="2:3" x14ac:dyDescent="0.2">
      <c r="B712" s="6">
        <v>41095</v>
      </c>
      <c r="C712">
        <v>2.4491972099999999</v>
      </c>
    </row>
    <row r="713" spans="2:3" x14ac:dyDescent="0.2">
      <c r="B713" s="6">
        <v>41093</v>
      </c>
      <c r="C713">
        <v>2.4766480460000002</v>
      </c>
    </row>
    <row r="714" spans="2:3" x14ac:dyDescent="0.2">
      <c r="B714" s="6">
        <v>41092</v>
      </c>
      <c r="C714">
        <v>2.556379513</v>
      </c>
    </row>
    <row r="715" spans="2:3" x14ac:dyDescent="0.2">
      <c r="B715" s="6">
        <v>41089</v>
      </c>
      <c r="C715">
        <v>2.5832822040000001</v>
      </c>
    </row>
    <row r="716" spans="2:3" x14ac:dyDescent="0.2">
      <c r="B716" s="6">
        <v>41088</v>
      </c>
      <c r="C716">
        <v>2.5453184420000001</v>
      </c>
    </row>
    <row r="717" spans="2:3" x14ac:dyDescent="0.2">
      <c r="B717" s="6">
        <v>41087</v>
      </c>
      <c r="C717">
        <v>2.6237188549999999</v>
      </c>
    </row>
    <row r="718" spans="2:3" x14ac:dyDescent="0.2">
      <c r="B718" s="6">
        <v>41086</v>
      </c>
      <c r="C718">
        <v>2.5509636040000001</v>
      </c>
    </row>
    <row r="719" spans="2:3" x14ac:dyDescent="0.2">
      <c r="B719" s="6">
        <v>41085</v>
      </c>
      <c r="C719">
        <v>2.5886723749999998</v>
      </c>
    </row>
    <row r="720" spans="2:3" x14ac:dyDescent="0.2">
      <c r="B720" s="6">
        <v>41082</v>
      </c>
      <c r="C720">
        <v>2.616387215</v>
      </c>
    </row>
    <row r="721" spans="2:3" x14ac:dyDescent="0.2">
      <c r="B721" s="6">
        <v>41081</v>
      </c>
      <c r="C721">
        <v>2.5785006130000001</v>
      </c>
    </row>
    <row r="722" spans="2:3" x14ac:dyDescent="0.2">
      <c r="B722" s="6">
        <v>41080</v>
      </c>
      <c r="C722">
        <v>2.6681925280000001</v>
      </c>
    </row>
    <row r="723" spans="2:3" x14ac:dyDescent="0.2">
      <c r="B723" s="6">
        <v>41079</v>
      </c>
      <c r="C723">
        <v>2.6140453369999999</v>
      </c>
    </row>
    <row r="724" spans="2:3" x14ac:dyDescent="0.2">
      <c r="B724" s="6">
        <v>41078</v>
      </c>
      <c r="C724">
        <v>2.6422120109999998</v>
      </c>
    </row>
    <row r="725" spans="2:3" x14ac:dyDescent="0.2">
      <c r="B725" s="6">
        <v>41075</v>
      </c>
      <c r="C725">
        <v>2.5989008120000001</v>
      </c>
    </row>
    <row r="726" spans="2:3" x14ac:dyDescent="0.2">
      <c r="B726" s="6">
        <v>41074</v>
      </c>
      <c r="C726">
        <v>2.5951502870000001</v>
      </c>
    </row>
    <row r="727" spans="2:3" x14ac:dyDescent="0.2">
      <c r="B727" s="6">
        <v>41073</v>
      </c>
      <c r="C727">
        <v>2.6135481550000002</v>
      </c>
    </row>
    <row r="728" spans="2:3" x14ac:dyDescent="0.2">
      <c r="B728" s="6">
        <v>41072</v>
      </c>
      <c r="C728">
        <v>2.6309387800000001</v>
      </c>
    </row>
    <row r="729" spans="2:3" x14ac:dyDescent="0.2">
      <c r="B729" s="6">
        <v>41071</v>
      </c>
      <c r="C729">
        <v>2.6525646200000002</v>
      </c>
    </row>
    <row r="730" spans="2:3" x14ac:dyDescent="0.2">
      <c r="B730" s="6">
        <v>41068</v>
      </c>
      <c r="C730">
        <v>2.6959588929999998</v>
      </c>
    </row>
    <row r="731" spans="2:3" x14ac:dyDescent="0.2">
      <c r="B731" s="6">
        <v>41067</v>
      </c>
      <c r="C731">
        <v>2.6398968960000002</v>
      </c>
    </row>
    <row r="732" spans="2:3" x14ac:dyDescent="0.2">
      <c r="B732" s="6">
        <v>41066</v>
      </c>
      <c r="C732">
        <v>2.6791053539999998</v>
      </c>
    </row>
    <row r="733" spans="2:3" x14ac:dyDescent="0.2">
      <c r="B733" s="6">
        <v>41065</v>
      </c>
      <c r="C733">
        <v>2.6775785559999998</v>
      </c>
    </row>
    <row r="734" spans="2:3" x14ac:dyDescent="0.2">
      <c r="B734" s="6">
        <v>41064</v>
      </c>
      <c r="C734">
        <v>2.7069899300000002</v>
      </c>
    </row>
    <row r="735" spans="2:3" x14ac:dyDescent="0.2">
      <c r="B735" s="6">
        <v>41061</v>
      </c>
      <c r="C735">
        <v>2.6721590220000002</v>
      </c>
    </row>
    <row r="736" spans="2:3" x14ac:dyDescent="0.2">
      <c r="B736" s="6">
        <v>41060</v>
      </c>
      <c r="C736">
        <v>2.6222560549999998</v>
      </c>
    </row>
    <row r="737" spans="2:3" x14ac:dyDescent="0.2">
      <c r="B737" s="6">
        <v>41059</v>
      </c>
      <c r="C737">
        <v>2.5315862029999998</v>
      </c>
    </row>
    <row r="738" spans="2:3" x14ac:dyDescent="0.2">
      <c r="B738" s="6">
        <v>41058</v>
      </c>
      <c r="C738">
        <v>2.646390529</v>
      </c>
    </row>
    <row r="739" spans="2:3" x14ac:dyDescent="0.2">
      <c r="B739" s="6">
        <v>41054</v>
      </c>
      <c r="C739">
        <v>2.6848642620000001</v>
      </c>
    </row>
    <row r="740" spans="2:3" x14ac:dyDescent="0.2">
      <c r="B740" s="6">
        <v>41053</v>
      </c>
      <c r="C740">
        <v>2.7714878459999999</v>
      </c>
    </row>
    <row r="741" spans="2:3" x14ac:dyDescent="0.2">
      <c r="B741" s="6">
        <v>41052</v>
      </c>
      <c r="C741">
        <v>2.7634534959999999</v>
      </c>
    </row>
    <row r="742" spans="2:3" x14ac:dyDescent="0.2">
      <c r="B742" s="6">
        <v>41051</v>
      </c>
      <c r="C742">
        <v>2.760542187</v>
      </c>
    </row>
    <row r="743" spans="2:3" x14ac:dyDescent="0.2">
      <c r="B743" s="6">
        <v>41050</v>
      </c>
      <c r="C743">
        <v>2.7350812470000001</v>
      </c>
    </row>
    <row r="744" spans="2:3" x14ac:dyDescent="0.2">
      <c r="B744" s="6">
        <v>41047</v>
      </c>
      <c r="C744">
        <v>2.7696935850000002</v>
      </c>
    </row>
    <row r="745" spans="2:3" x14ac:dyDescent="0.2">
      <c r="B745" s="6">
        <v>41046</v>
      </c>
      <c r="C745">
        <v>2.7335701060000002</v>
      </c>
    </row>
    <row r="746" spans="2:3" x14ac:dyDescent="0.2">
      <c r="B746" s="6">
        <v>41045</v>
      </c>
      <c r="C746">
        <v>2.6779720660000002</v>
      </c>
    </row>
    <row r="747" spans="2:3" x14ac:dyDescent="0.2">
      <c r="B747" s="6">
        <v>41044</v>
      </c>
      <c r="C747">
        <v>2.6718406859999999</v>
      </c>
    </row>
    <row r="748" spans="2:3" x14ac:dyDescent="0.2">
      <c r="B748" s="6">
        <v>41043</v>
      </c>
      <c r="C748">
        <v>2.7401286979999999</v>
      </c>
    </row>
    <row r="749" spans="2:3" x14ac:dyDescent="0.2">
      <c r="B749" s="6">
        <v>41040</v>
      </c>
      <c r="C749">
        <v>2.7697091880000002</v>
      </c>
    </row>
    <row r="750" spans="2:3" x14ac:dyDescent="0.2">
      <c r="B750" s="6">
        <v>41039</v>
      </c>
      <c r="C750">
        <v>2.7739749119999999</v>
      </c>
    </row>
    <row r="751" spans="2:3" x14ac:dyDescent="0.2">
      <c r="B751" s="6">
        <v>41038</v>
      </c>
      <c r="C751">
        <v>2.8052772080000001</v>
      </c>
    </row>
    <row r="752" spans="2:3" x14ac:dyDescent="0.2">
      <c r="B752" s="6">
        <v>41037</v>
      </c>
      <c r="C752">
        <v>2.8246078639999999</v>
      </c>
    </row>
    <row r="753" spans="2:3" x14ac:dyDescent="0.2">
      <c r="B753" s="6">
        <v>41036</v>
      </c>
      <c r="C753">
        <v>2.8327642979999998</v>
      </c>
    </row>
    <row r="754" spans="2:3" x14ac:dyDescent="0.2">
      <c r="B754" s="6">
        <v>41033</v>
      </c>
      <c r="C754">
        <v>2.8457023220000002</v>
      </c>
    </row>
    <row r="755" spans="2:3" x14ac:dyDescent="0.2">
      <c r="B755" s="6">
        <v>41032</v>
      </c>
      <c r="C755">
        <v>2.8584736940000002</v>
      </c>
    </row>
    <row r="756" spans="2:3" x14ac:dyDescent="0.2">
      <c r="B756" s="6">
        <v>41031</v>
      </c>
      <c r="C756">
        <v>2.8508681239999998</v>
      </c>
    </row>
    <row r="757" spans="2:3" x14ac:dyDescent="0.2">
      <c r="B757" s="6">
        <v>41030</v>
      </c>
      <c r="C757">
        <v>2.8823346380000001</v>
      </c>
    </row>
    <row r="758" spans="2:3" x14ac:dyDescent="0.2">
      <c r="B758" s="6">
        <v>41029</v>
      </c>
      <c r="C758">
        <v>2.873380955</v>
      </c>
    </row>
    <row r="759" spans="2:3" x14ac:dyDescent="0.2">
      <c r="B759" s="6">
        <v>41026</v>
      </c>
      <c r="C759">
        <v>2.8908484319999999</v>
      </c>
    </row>
    <row r="760" spans="2:3" x14ac:dyDescent="0.2">
      <c r="B760" s="6">
        <v>41025</v>
      </c>
      <c r="C760">
        <v>2.8585941720000001</v>
      </c>
    </row>
    <row r="761" spans="2:3" x14ac:dyDescent="0.2">
      <c r="B761" s="6">
        <v>41024</v>
      </c>
      <c r="C761">
        <v>2.8716721170000001</v>
      </c>
    </row>
    <row r="762" spans="2:3" x14ac:dyDescent="0.2">
      <c r="B762" s="6">
        <v>41023</v>
      </c>
      <c r="C762">
        <v>2.8924009740000001</v>
      </c>
    </row>
    <row r="763" spans="2:3" x14ac:dyDescent="0.2">
      <c r="B763" s="6">
        <v>41022</v>
      </c>
      <c r="C763">
        <v>2.9224114609999998</v>
      </c>
    </row>
    <row r="764" spans="2:3" x14ac:dyDescent="0.2">
      <c r="B764" s="6">
        <v>41019</v>
      </c>
      <c r="C764">
        <v>2.9009701200000002</v>
      </c>
    </row>
    <row r="765" spans="2:3" x14ac:dyDescent="0.2">
      <c r="B765" s="6">
        <v>41018</v>
      </c>
      <c r="C765">
        <v>2.8708141509999998</v>
      </c>
    </row>
    <row r="766" spans="2:3" x14ac:dyDescent="0.2">
      <c r="B766" s="6">
        <v>41017</v>
      </c>
      <c r="C766">
        <v>2.903351362</v>
      </c>
    </row>
    <row r="767" spans="2:3" x14ac:dyDescent="0.2">
      <c r="B767" s="6">
        <v>41016</v>
      </c>
      <c r="C767">
        <v>2.887439026</v>
      </c>
    </row>
    <row r="768" spans="2:3" x14ac:dyDescent="0.2">
      <c r="B768" s="6">
        <v>41015</v>
      </c>
      <c r="C768">
        <v>2.9304565340000002</v>
      </c>
    </row>
    <row r="769" spans="2:3" x14ac:dyDescent="0.2">
      <c r="B769" s="6">
        <v>41012</v>
      </c>
      <c r="C769">
        <v>2.9570995390000001</v>
      </c>
    </row>
    <row r="770" spans="2:3" x14ac:dyDescent="0.2">
      <c r="B770" s="6">
        <v>41011</v>
      </c>
      <c r="C770">
        <v>2.9180832159999999</v>
      </c>
    </row>
    <row r="771" spans="2:3" x14ac:dyDescent="0.2">
      <c r="B771" s="6">
        <v>41010</v>
      </c>
      <c r="C771">
        <v>2.9322657510000001</v>
      </c>
    </row>
    <row r="772" spans="2:3" x14ac:dyDescent="0.2">
      <c r="B772" s="6">
        <v>41009</v>
      </c>
      <c r="C772">
        <v>2.9674500240000001</v>
      </c>
    </row>
    <row r="773" spans="2:3" x14ac:dyDescent="0.2">
      <c r="B773" s="6">
        <v>41008</v>
      </c>
      <c r="C773">
        <v>2.9307831449999999</v>
      </c>
    </row>
    <row r="774" spans="2:3" x14ac:dyDescent="0.2">
      <c r="B774" s="6">
        <v>41005</v>
      </c>
      <c r="C774">
        <v>2.91098524</v>
      </c>
    </row>
    <row r="775" spans="2:3" x14ac:dyDescent="0.2">
      <c r="B775" s="6">
        <v>41004</v>
      </c>
      <c r="C775">
        <v>2.911516115</v>
      </c>
    </row>
    <row r="776" spans="2:3" x14ac:dyDescent="0.2">
      <c r="B776" s="6">
        <v>41003</v>
      </c>
      <c r="C776">
        <v>2.9307220749999998</v>
      </c>
    </row>
    <row r="777" spans="2:3" x14ac:dyDescent="0.2">
      <c r="B777" s="6">
        <v>41002</v>
      </c>
      <c r="C777">
        <v>3.0539631360000001</v>
      </c>
    </row>
    <row r="778" spans="2:3" x14ac:dyDescent="0.2">
      <c r="B778" s="6">
        <v>41001</v>
      </c>
      <c r="C778">
        <v>3.1087985499999999</v>
      </c>
    </row>
    <row r="779" spans="2:3" x14ac:dyDescent="0.2">
      <c r="B779" s="6">
        <v>40998</v>
      </c>
      <c r="C779">
        <v>3.164915846</v>
      </c>
    </row>
    <row r="780" spans="2:3" x14ac:dyDescent="0.2">
      <c r="B780" s="6">
        <v>40997</v>
      </c>
      <c r="C780">
        <v>3.0449639550000001</v>
      </c>
    </row>
    <row r="781" spans="2:3" x14ac:dyDescent="0.2">
      <c r="B781" s="6">
        <v>40996</v>
      </c>
      <c r="C781">
        <v>3.0669215749999998</v>
      </c>
    </row>
    <row r="782" spans="2:3" x14ac:dyDescent="0.2">
      <c r="B782" s="6">
        <v>40995</v>
      </c>
      <c r="C782">
        <v>3.021960365</v>
      </c>
    </row>
    <row r="783" spans="2:3" x14ac:dyDescent="0.2">
      <c r="B783" s="6">
        <v>40994</v>
      </c>
      <c r="C783">
        <v>3.056843888</v>
      </c>
    </row>
    <row r="784" spans="2:3" x14ac:dyDescent="0.2">
      <c r="B784" s="6">
        <v>40991</v>
      </c>
      <c r="C784">
        <v>3.0399029770000001</v>
      </c>
    </row>
    <row r="785" spans="2:3" x14ac:dyDescent="0.2">
      <c r="B785" s="6">
        <v>40990</v>
      </c>
      <c r="C785">
        <v>3.118277231</v>
      </c>
    </row>
    <row r="786" spans="2:3" x14ac:dyDescent="0.2">
      <c r="B786" s="6">
        <v>40989</v>
      </c>
      <c r="C786">
        <v>3.13244919</v>
      </c>
    </row>
    <row r="787" spans="2:3" x14ac:dyDescent="0.2">
      <c r="B787" s="6">
        <v>40988</v>
      </c>
      <c r="C787">
        <v>3.1570833299999999</v>
      </c>
    </row>
    <row r="788" spans="2:3" x14ac:dyDescent="0.2">
      <c r="B788" s="6">
        <v>40987</v>
      </c>
      <c r="C788">
        <v>3.1573196700000001</v>
      </c>
    </row>
    <row r="789" spans="2:3" x14ac:dyDescent="0.2">
      <c r="B789" s="6">
        <v>40984</v>
      </c>
      <c r="C789">
        <v>3.2414402920000001</v>
      </c>
    </row>
    <row r="790" spans="2:3" x14ac:dyDescent="0.2">
      <c r="B790" s="6">
        <v>40983</v>
      </c>
      <c r="C790">
        <v>3.2363757670000002</v>
      </c>
    </row>
    <row r="791" spans="2:3" x14ac:dyDescent="0.2">
      <c r="B791" s="6">
        <v>40982</v>
      </c>
      <c r="C791">
        <v>3.1309519510000001</v>
      </c>
    </row>
    <row r="792" spans="2:3" x14ac:dyDescent="0.2">
      <c r="B792" s="6">
        <v>40981</v>
      </c>
      <c r="C792">
        <v>3.158955856</v>
      </c>
    </row>
    <row r="793" spans="2:3" x14ac:dyDescent="0.2">
      <c r="B793" s="6">
        <v>40980</v>
      </c>
      <c r="C793">
        <v>3.1695853610000002</v>
      </c>
    </row>
    <row r="794" spans="2:3" x14ac:dyDescent="0.2">
      <c r="B794" s="6">
        <v>40977</v>
      </c>
      <c r="C794">
        <v>2.9914012419999998</v>
      </c>
    </row>
    <row r="795" spans="2:3" x14ac:dyDescent="0.2">
      <c r="B795" s="6">
        <v>40976</v>
      </c>
      <c r="C795">
        <v>2.9162427900000001</v>
      </c>
    </row>
    <row r="796" spans="2:3" x14ac:dyDescent="0.2">
      <c r="B796" s="6">
        <v>40975</v>
      </c>
      <c r="C796">
        <v>2.9219507349999998</v>
      </c>
    </row>
    <row r="797" spans="2:3" x14ac:dyDescent="0.2">
      <c r="B797" s="6">
        <v>40974</v>
      </c>
      <c r="C797">
        <v>2.9336402800000001</v>
      </c>
    </row>
    <row r="798" spans="2:3" x14ac:dyDescent="0.2">
      <c r="B798" s="6">
        <v>40973</v>
      </c>
      <c r="C798">
        <v>2.8996218580000002</v>
      </c>
    </row>
    <row r="799" spans="2:3" x14ac:dyDescent="0.2">
      <c r="B799" s="6">
        <v>40970</v>
      </c>
      <c r="C799">
        <v>2.8650613840000001</v>
      </c>
    </row>
    <row r="800" spans="2:3" x14ac:dyDescent="0.2">
      <c r="B800" s="6">
        <v>40969</v>
      </c>
      <c r="C800">
        <v>2.9007707639999998</v>
      </c>
    </row>
    <row r="801" spans="2:3" x14ac:dyDescent="0.2">
      <c r="B801" s="6">
        <v>40968</v>
      </c>
      <c r="C801">
        <v>2.8908030060000001</v>
      </c>
    </row>
    <row r="802" spans="2:3" x14ac:dyDescent="0.2">
      <c r="B802" s="6">
        <v>40967</v>
      </c>
      <c r="C802">
        <v>2.9287236029999999</v>
      </c>
    </row>
    <row r="803" spans="2:3" x14ac:dyDescent="0.2">
      <c r="B803" s="6">
        <v>40966</v>
      </c>
      <c r="C803">
        <v>2.8817315460000001</v>
      </c>
    </row>
    <row r="804" spans="2:3" x14ac:dyDescent="0.2">
      <c r="B804" s="6">
        <v>40963</v>
      </c>
      <c r="C804">
        <v>2.810196168</v>
      </c>
    </row>
    <row r="805" spans="2:3" x14ac:dyDescent="0.2">
      <c r="B805" s="6">
        <v>40962</v>
      </c>
      <c r="C805">
        <v>2.820539052</v>
      </c>
    </row>
    <row r="806" spans="2:3" x14ac:dyDescent="0.2">
      <c r="B806" s="6">
        <v>40961</v>
      </c>
      <c r="C806">
        <v>2.8468470780000001</v>
      </c>
    </row>
    <row r="807" spans="2:3" x14ac:dyDescent="0.2">
      <c r="B807" s="6">
        <v>40960</v>
      </c>
      <c r="C807">
        <v>2.8348328359999999</v>
      </c>
    </row>
    <row r="808" spans="2:3" x14ac:dyDescent="0.2">
      <c r="B808" s="6">
        <v>40956</v>
      </c>
      <c r="C808">
        <v>2.873131393</v>
      </c>
    </row>
    <row r="809" spans="2:3" x14ac:dyDescent="0.2">
      <c r="B809" s="6">
        <v>40955</v>
      </c>
      <c r="C809">
        <v>2.923155999</v>
      </c>
    </row>
    <row r="810" spans="2:3" x14ac:dyDescent="0.2">
      <c r="B810" s="6">
        <v>40954</v>
      </c>
      <c r="C810">
        <v>2.8683607059999998</v>
      </c>
    </row>
    <row r="811" spans="2:3" x14ac:dyDescent="0.2">
      <c r="B811" s="6">
        <v>40953</v>
      </c>
      <c r="C811">
        <v>2.831673061</v>
      </c>
    </row>
    <row r="812" spans="2:3" x14ac:dyDescent="0.2">
      <c r="B812" s="6">
        <v>40952</v>
      </c>
      <c r="C812">
        <v>2.782211872</v>
      </c>
    </row>
    <row r="813" spans="2:3" x14ac:dyDescent="0.2">
      <c r="B813" s="6">
        <v>40949</v>
      </c>
      <c r="C813">
        <v>2.766814637</v>
      </c>
    </row>
    <row r="814" spans="2:3" x14ac:dyDescent="0.2">
      <c r="B814" s="6">
        <v>40948</v>
      </c>
      <c r="C814">
        <v>2.817485472</v>
      </c>
    </row>
    <row r="815" spans="2:3" x14ac:dyDescent="0.2">
      <c r="B815" s="6">
        <v>40947</v>
      </c>
      <c r="C815">
        <v>2.8097489690000002</v>
      </c>
    </row>
    <row r="816" spans="2:3" x14ac:dyDescent="0.2">
      <c r="B816" s="6">
        <v>40946</v>
      </c>
      <c r="C816">
        <v>2.8458544400000001</v>
      </c>
    </row>
    <row r="817" spans="2:3" x14ac:dyDescent="0.2">
      <c r="B817" s="6">
        <v>40945</v>
      </c>
      <c r="C817">
        <v>2.7670306949999999</v>
      </c>
    </row>
    <row r="818" spans="2:3" x14ac:dyDescent="0.2">
      <c r="B818" s="6">
        <v>40942</v>
      </c>
      <c r="C818">
        <v>2.7946021129999998</v>
      </c>
    </row>
    <row r="819" spans="2:3" x14ac:dyDescent="0.2">
      <c r="B819" s="6">
        <v>40941</v>
      </c>
      <c r="C819">
        <v>2.7613284340000002</v>
      </c>
    </row>
    <row r="820" spans="2:3" x14ac:dyDescent="0.2">
      <c r="B820" s="6">
        <v>40940</v>
      </c>
      <c r="C820">
        <v>2.8101423090000002</v>
      </c>
    </row>
    <row r="821" spans="2:3" x14ac:dyDescent="0.2">
      <c r="B821" s="6">
        <v>40939</v>
      </c>
      <c r="C821">
        <v>2.716402515</v>
      </c>
    </row>
    <row r="822" spans="2:3" x14ac:dyDescent="0.2">
      <c r="B822" s="6">
        <v>40938</v>
      </c>
      <c r="C822">
        <v>2.7729430430000002</v>
      </c>
    </row>
    <row r="823" spans="2:3" x14ac:dyDescent="0.2">
      <c r="B823" s="6">
        <v>40935</v>
      </c>
      <c r="C823">
        <v>2.776295271</v>
      </c>
    </row>
    <row r="824" spans="2:3" x14ac:dyDescent="0.2">
      <c r="B824" s="6">
        <v>40934</v>
      </c>
      <c r="C824">
        <v>2.8089477139999999</v>
      </c>
    </row>
    <row r="825" spans="2:3" x14ac:dyDescent="0.2">
      <c r="B825" s="6">
        <v>40933</v>
      </c>
      <c r="C825">
        <v>2.8082441729999998</v>
      </c>
    </row>
    <row r="826" spans="2:3" x14ac:dyDescent="0.2">
      <c r="B826" s="6">
        <v>40932</v>
      </c>
      <c r="C826">
        <v>2.84358384</v>
      </c>
    </row>
    <row r="827" spans="2:3" x14ac:dyDescent="0.2">
      <c r="B827" s="6">
        <v>40931</v>
      </c>
      <c r="C827">
        <v>2.9051562780000002</v>
      </c>
    </row>
    <row r="828" spans="2:3" x14ac:dyDescent="0.2">
      <c r="B828" s="6">
        <v>40928</v>
      </c>
      <c r="C828">
        <v>2.9598808879999998</v>
      </c>
    </row>
    <row r="829" spans="2:3" x14ac:dyDescent="0.2">
      <c r="B829" s="6">
        <v>40927</v>
      </c>
      <c r="C829">
        <v>2.972564142</v>
      </c>
    </row>
    <row r="830" spans="2:3" x14ac:dyDescent="0.2">
      <c r="B830" s="6">
        <v>40926</v>
      </c>
      <c r="C830">
        <v>2.9761108759999999</v>
      </c>
    </row>
    <row r="831" spans="2:3" x14ac:dyDescent="0.2">
      <c r="B831" s="6">
        <v>40925</v>
      </c>
      <c r="C831">
        <v>2.9647668249999999</v>
      </c>
    </row>
    <row r="832" spans="2:3" x14ac:dyDescent="0.2">
      <c r="B832" s="6">
        <v>40921</v>
      </c>
      <c r="C832">
        <v>2.9029521950000001</v>
      </c>
    </row>
    <row r="833" spans="2:3" x14ac:dyDescent="0.2">
      <c r="B833" s="6">
        <v>40920</v>
      </c>
      <c r="C833">
        <v>2.8626414160000002</v>
      </c>
    </row>
    <row r="834" spans="2:3" x14ac:dyDescent="0.2">
      <c r="B834" s="6">
        <v>40919</v>
      </c>
      <c r="C834">
        <v>2.8163054170000001</v>
      </c>
    </row>
    <row r="835" spans="2:3" x14ac:dyDescent="0.2">
      <c r="B835" s="6">
        <v>40918</v>
      </c>
      <c r="C835">
        <v>2.8523399170000001</v>
      </c>
    </row>
    <row r="836" spans="2:3" x14ac:dyDescent="0.2">
      <c r="B836" s="6">
        <v>40917</v>
      </c>
      <c r="C836">
        <v>2.883772021</v>
      </c>
    </row>
    <row r="837" spans="2:3" x14ac:dyDescent="0.2">
      <c r="B837" s="6">
        <v>40914</v>
      </c>
      <c r="C837">
        <v>2.9177878150000001</v>
      </c>
    </row>
    <row r="838" spans="2:3" x14ac:dyDescent="0.2">
      <c r="B838" s="6">
        <v>40913</v>
      </c>
      <c r="C838">
        <v>2.8757178049999998</v>
      </c>
    </row>
    <row r="839" spans="2:3" x14ac:dyDescent="0.2">
      <c r="B839" s="6">
        <v>40912</v>
      </c>
      <c r="C839">
        <v>2.8573772590000002</v>
      </c>
    </row>
    <row r="840" spans="2:3" x14ac:dyDescent="0.2">
      <c r="B840" s="6">
        <v>40911</v>
      </c>
      <c r="C840">
        <v>2.9101103890000002</v>
      </c>
    </row>
    <row r="841" spans="2:3" x14ac:dyDescent="0.2">
      <c r="B841" s="6">
        <v>40907</v>
      </c>
      <c r="C841">
        <v>2.9957030869999999</v>
      </c>
    </row>
    <row r="842" spans="2:3" x14ac:dyDescent="0.2">
      <c r="B842" s="6">
        <v>40906</v>
      </c>
      <c r="C842">
        <v>2.9922052049999999</v>
      </c>
    </row>
    <row r="843" spans="2:3" x14ac:dyDescent="0.2">
      <c r="B843" s="6">
        <v>40905</v>
      </c>
      <c r="C843">
        <v>3.016900857</v>
      </c>
    </row>
    <row r="844" spans="2:3" x14ac:dyDescent="0.2">
      <c r="B844" s="6">
        <v>40904</v>
      </c>
      <c r="C844">
        <v>3.0288835629999999</v>
      </c>
    </row>
    <row r="845" spans="2:3" x14ac:dyDescent="0.2">
      <c r="B845" s="6">
        <v>40900</v>
      </c>
      <c r="C845">
        <v>3.0482411279999999</v>
      </c>
    </row>
    <row r="846" spans="2:3" x14ac:dyDescent="0.2">
      <c r="B846" s="6">
        <v>40899</v>
      </c>
      <c r="C846">
        <v>3.1525411390000002</v>
      </c>
    </row>
    <row r="847" spans="2:3" x14ac:dyDescent="0.2">
      <c r="B847" s="6">
        <v>40898</v>
      </c>
      <c r="C847">
        <v>3.1705040960000002</v>
      </c>
    </row>
    <row r="848" spans="2:3" x14ac:dyDescent="0.2">
      <c r="B848" s="6">
        <v>40897</v>
      </c>
      <c r="C848">
        <v>3.0957276010000001</v>
      </c>
    </row>
    <row r="849" spans="2:3" x14ac:dyDescent="0.2">
      <c r="B849" s="6">
        <v>40896</v>
      </c>
      <c r="C849">
        <v>3.106206603</v>
      </c>
    </row>
    <row r="850" spans="2:3" x14ac:dyDescent="0.2">
      <c r="B850" s="6">
        <v>40893</v>
      </c>
      <c r="C850">
        <v>3.0682671269999999</v>
      </c>
    </row>
    <row r="851" spans="2:3" x14ac:dyDescent="0.2">
      <c r="B851" s="6">
        <v>40892</v>
      </c>
      <c r="C851">
        <v>2.9894475749999998</v>
      </c>
    </row>
    <row r="852" spans="2:3" x14ac:dyDescent="0.2">
      <c r="B852" s="6">
        <v>40891</v>
      </c>
      <c r="C852">
        <v>3.0010367850000002</v>
      </c>
    </row>
    <row r="853" spans="2:3" x14ac:dyDescent="0.2">
      <c r="B853" s="6">
        <v>40890</v>
      </c>
      <c r="C853">
        <v>3.0512455690000002</v>
      </c>
    </row>
    <row r="854" spans="2:3" x14ac:dyDescent="0.2">
      <c r="B854" s="6">
        <v>40889</v>
      </c>
      <c r="C854">
        <v>3.0099010380000002</v>
      </c>
    </row>
    <row r="855" spans="2:3" x14ac:dyDescent="0.2">
      <c r="B855" s="6">
        <v>40886</v>
      </c>
      <c r="C855">
        <v>3.08360097</v>
      </c>
    </row>
    <row r="856" spans="2:3" x14ac:dyDescent="0.2">
      <c r="B856" s="6">
        <v>40885</v>
      </c>
      <c r="C856">
        <v>3.1281859120000002</v>
      </c>
    </row>
    <row r="857" spans="2:3" x14ac:dyDescent="0.2">
      <c r="B857" s="6">
        <v>40884</v>
      </c>
      <c r="C857">
        <v>3.1366850770000001</v>
      </c>
    </row>
    <row r="858" spans="2:3" x14ac:dyDescent="0.2">
      <c r="B858" s="6">
        <v>40883</v>
      </c>
      <c r="C858">
        <v>3.0582086359999998</v>
      </c>
    </row>
    <row r="859" spans="2:3" x14ac:dyDescent="0.2">
      <c r="B859" s="6">
        <v>40882</v>
      </c>
      <c r="C859">
        <v>3.0901166560000002</v>
      </c>
    </row>
    <row r="860" spans="2:3" x14ac:dyDescent="0.2">
      <c r="B860" s="6">
        <v>40879</v>
      </c>
      <c r="C860">
        <v>3.170194838</v>
      </c>
    </row>
    <row r="861" spans="2:3" x14ac:dyDescent="0.2">
      <c r="B861" s="6">
        <v>40878</v>
      </c>
      <c r="C861">
        <v>3.1564944609999999</v>
      </c>
    </row>
    <row r="862" spans="2:3" x14ac:dyDescent="0.2">
      <c r="B862" s="6">
        <v>40877</v>
      </c>
      <c r="C862">
        <v>3.1429302990000001</v>
      </c>
    </row>
    <row r="863" spans="2:3" x14ac:dyDescent="0.2">
      <c r="B863" s="6">
        <v>40876</v>
      </c>
      <c r="C863">
        <v>3.2092148159999998</v>
      </c>
    </row>
    <row r="864" spans="2:3" x14ac:dyDescent="0.2">
      <c r="B864" s="6">
        <v>40875</v>
      </c>
      <c r="C864">
        <v>3.1770193189999998</v>
      </c>
    </row>
    <row r="865" spans="2:3" x14ac:dyDescent="0.2">
      <c r="B865" s="6">
        <v>40872</v>
      </c>
      <c r="C865">
        <v>3.1816053549999999</v>
      </c>
    </row>
    <row r="866" spans="2:3" x14ac:dyDescent="0.2">
      <c r="B866" s="6">
        <v>40870</v>
      </c>
      <c r="C866">
        <v>3.1879027130000002</v>
      </c>
    </row>
    <row r="867" spans="2:3" x14ac:dyDescent="0.2">
      <c r="B867" s="6">
        <v>40869</v>
      </c>
      <c r="C867">
        <v>3.2226255570000002</v>
      </c>
    </row>
    <row r="868" spans="2:3" x14ac:dyDescent="0.2">
      <c r="B868" s="6">
        <v>40868</v>
      </c>
      <c r="C868">
        <v>3.1451663239999998</v>
      </c>
    </row>
    <row r="869" spans="2:3" x14ac:dyDescent="0.2">
      <c r="B869" s="6">
        <v>40865</v>
      </c>
      <c r="C869">
        <v>3.144168037</v>
      </c>
    </row>
    <row r="870" spans="2:3" x14ac:dyDescent="0.2">
      <c r="B870" s="6">
        <v>40864</v>
      </c>
      <c r="C870">
        <v>3.1766805050000002</v>
      </c>
    </row>
    <row r="871" spans="2:3" x14ac:dyDescent="0.2">
      <c r="B871" s="6">
        <v>40863</v>
      </c>
      <c r="C871">
        <v>3.2133365380000001</v>
      </c>
    </row>
    <row r="872" spans="2:3" x14ac:dyDescent="0.2">
      <c r="B872" s="6">
        <v>40862</v>
      </c>
      <c r="C872">
        <v>3.1637028119999999</v>
      </c>
    </row>
    <row r="873" spans="2:3" x14ac:dyDescent="0.2">
      <c r="B873" s="6">
        <v>40861</v>
      </c>
      <c r="C873">
        <v>3.2014386949999998</v>
      </c>
    </row>
    <row r="874" spans="2:3" x14ac:dyDescent="0.2">
      <c r="B874" s="6">
        <v>40857</v>
      </c>
      <c r="C874">
        <v>3.2192384700000001</v>
      </c>
    </row>
    <row r="875" spans="2:3" x14ac:dyDescent="0.2">
      <c r="B875" s="6">
        <v>40856</v>
      </c>
      <c r="C875">
        <v>3.1932759719999999</v>
      </c>
    </row>
    <row r="876" spans="2:3" x14ac:dyDescent="0.2">
      <c r="B876" s="6">
        <v>40855</v>
      </c>
      <c r="C876">
        <v>3.1968294830000001</v>
      </c>
    </row>
    <row r="877" spans="2:3" x14ac:dyDescent="0.2">
      <c r="B877" s="6">
        <v>40854</v>
      </c>
      <c r="C877">
        <v>3.1408308389999999</v>
      </c>
    </row>
    <row r="878" spans="2:3" x14ac:dyDescent="0.2">
      <c r="B878" s="6">
        <v>40851</v>
      </c>
      <c r="C878">
        <v>3.1915310429999999</v>
      </c>
    </row>
    <row r="879" spans="2:3" x14ac:dyDescent="0.2">
      <c r="B879" s="6">
        <v>40850</v>
      </c>
      <c r="C879">
        <v>3.1153555050000001</v>
      </c>
    </row>
    <row r="880" spans="2:3" x14ac:dyDescent="0.2">
      <c r="B880" s="6">
        <v>40849</v>
      </c>
      <c r="C880">
        <v>3.1459189470000002</v>
      </c>
    </row>
    <row r="881" spans="2:3" x14ac:dyDescent="0.2">
      <c r="B881" s="6">
        <v>40848</v>
      </c>
      <c r="C881">
        <v>3.1865900219999999</v>
      </c>
    </row>
    <row r="882" spans="2:3" x14ac:dyDescent="0.2">
      <c r="B882" s="6">
        <v>40847</v>
      </c>
      <c r="C882">
        <v>3.1403563459999999</v>
      </c>
    </row>
    <row r="883" spans="2:3" x14ac:dyDescent="0.2">
      <c r="B883" s="6">
        <v>40844</v>
      </c>
      <c r="C883">
        <v>3.1279977149999998</v>
      </c>
    </row>
    <row r="884" spans="2:3" x14ac:dyDescent="0.2">
      <c r="B884" s="6">
        <v>40843</v>
      </c>
      <c r="C884">
        <v>3.251576998</v>
      </c>
    </row>
    <row r="885" spans="2:3" x14ac:dyDescent="0.2">
      <c r="B885" s="6">
        <v>40842</v>
      </c>
      <c r="C885">
        <v>3.3602109059999998</v>
      </c>
    </row>
    <row r="886" spans="2:3" x14ac:dyDescent="0.2">
      <c r="B886" s="6">
        <v>40841</v>
      </c>
      <c r="C886">
        <v>3.440916262</v>
      </c>
    </row>
    <row r="887" spans="2:3" x14ac:dyDescent="0.2">
      <c r="B887" s="6">
        <v>40840</v>
      </c>
      <c r="C887">
        <v>3.3217981769999998</v>
      </c>
    </row>
    <row r="888" spans="2:3" x14ac:dyDescent="0.2">
      <c r="B888" s="6">
        <v>40837</v>
      </c>
      <c r="C888">
        <v>3.2646650909999999</v>
      </c>
    </row>
    <row r="889" spans="2:3" x14ac:dyDescent="0.2">
      <c r="B889" s="6">
        <v>40836</v>
      </c>
      <c r="C889">
        <v>3.3634960669999998</v>
      </c>
    </row>
    <row r="890" spans="2:3" x14ac:dyDescent="0.2">
      <c r="B890" s="6">
        <v>40835</v>
      </c>
      <c r="C890">
        <v>3.3306571570000001</v>
      </c>
    </row>
    <row r="891" spans="2:3" x14ac:dyDescent="0.2">
      <c r="B891" s="6">
        <v>40834</v>
      </c>
      <c r="C891">
        <v>3.3269877499999998</v>
      </c>
    </row>
    <row r="892" spans="2:3" x14ac:dyDescent="0.2">
      <c r="B892" s="6">
        <v>40833</v>
      </c>
      <c r="C892">
        <v>3.3017117850000002</v>
      </c>
    </row>
    <row r="893" spans="2:3" x14ac:dyDescent="0.2">
      <c r="B893" s="6">
        <v>40830</v>
      </c>
      <c r="C893">
        <v>3.2937414949999999</v>
      </c>
    </row>
    <row r="894" spans="2:3" x14ac:dyDescent="0.2">
      <c r="B894" s="6">
        <v>40829</v>
      </c>
      <c r="C894">
        <v>3.2981436529999999</v>
      </c>
    </row>
    <row r="895" spans="2:3" x14ac:dyDescent="0.2">
      <c r="B895" s="6">
        <v>40828</v>
      </c>
      <c r="C895">
        <v>3.364455441</v>
      </c>
    </row>
    <row r="896" spans="2:3" x14ac:dyDescent="0.2">
      <c r="B896" s="6">
        <v>40827</v>
      </c>
      <c r="C896">
        <v>3.3067216510000002</v>
      </c>
    </row>
    <row r="897" spans="2:3" x14ac:dyDescent="0.2">
      <c r="B897" s="6">
        <v>40823</v>
      </c>
      <c r="C897">
        <v>3.3378096660000001</v>
      </c>
    </row>
    <row r="898" spans="2:3" x14ac:dyDescent="0.2">
      <c r="B898" s="6">
        <v>40822</v>
      </c>
      <c r="C898">
        <v>3.3168034789999998</v>
      </c>
    </row>
    <row r="899" spans="2:3" x14ac:dyDescent="0.2">
      <c r="B899" s="6">
        <v>40821</v>
      </c>
      <c r="C899">
        <v>3.2827632040000001</v>
      </c>
    </row>
    <row r="900" spans="2:3" x14ac:dyDescent="0.2">
      <c r="B900" s="6">
        <v>40820</v>
      </c>
      <c r="C900">
        <v>3.1859593749999999</v>
      </c>
    </row>
    <row r="901" spans="2:3" x14ac:dyDescent="0.2">
      <c r="B901" s="6">
        <v>40819</v>
      </c>
      <c r="C901">
        <v>3.1183780730000001</v>
      </c>
    </row>
    <row r="902" spans="2:3" x14ac:dyDescent="0.2">
      <c r="B902" s="6">
        <v>40816</v>
      </c>
      <c r="C902">
        <v>3.04281559</v>
      </c>
    </row>
    <row r="903" spans="2:3" x14ac:dyDescent="0.2">
      <c r="B903" s="6">
        <v>40815</v>
      </c>
      <c r="C903">
        <v>2.9658180500000002</v>
      </c>
    </row>
    <row r="904" spans="2:3" x14ac:dyDescent="0.2">
      <c r="B904" s="6">
        <v>40814</v>
      </c>
      <c r="C904">
        <v>3.0385261529999998</v>
      </c>
    </row>
    <row r="905" spans="2:3" x14ac:dyDescent="0.2">
      <c r="B905" s="6">
        <v>40813</v>
      </c>
      <c r="C905">
        <v>3.0810284669999999</v>
      </c>
    </row>
    <row r="906" spans="2:3" x14ac:dyDescent="0.2">
      <c r="B906" s="6">
        <v>40812</v>
      </c>
      <c r="C906">
        <v>3.1637333289999998</v>
      </c>
    </row>
    <row r="907" spans="2:3" x14ac:dyDescent="0.2">
      <c r="B907" s="6">
        <v>40809</v>
      </c>
      <c r="C907">
        <v>3.1916257950000002</v>
      </c>
    </row>
    <row r="908" spans="2:3" x14ac:dyDescent="0.2">
      <c r="B908" s="6">
        <v>40808</v>
      </c>
      <c r="C908">
        <v>3.0707186110000002</v>
      </c>
    </row>
    <row r="909" spans="2:3" x14ac:dyDescent="0.2">
      <c r="B909" s="6">
        <v>40807</v>
      </c>
      <c r="C909">
        <v>2.978796107</v>
      </c>
    </row>
    <row r="910" spans="2:3" x14ac:dyDescent="0.2">
      <c r="B910" s="6">
        <v>40806</v>
      </c>
      <c r="C910">
        <v>2.8513672379999999</v>
      </c>
    </row>
    <row r="911" spans="2:3" x14ac:dyDescent="0.2">
      <c r="B911" s="6">
        <v>40805</v>
      </c>
      <c r="C911">
        <v>3.0193449970000001</v>
      </c>
    </row>
    <row r="912" spans="2:3" x14ac:dyDescent="0.2">
      <c r="B912" s="6">
        <v>40802</v>
      </c>
      <c r="C912">
        <v>3.2592625339999999</v>
      </c>
    </row>
    <row r="913" spans="2:3" x14ac:dyDescent="0.2">
      <c r="B913" s="6">
        <v>40801</v>
      </c>
      <c r="C913">
        <v>3.238141197</v>
      </c>
    </row>
    <row r="914" spans="2:3" x14ac:dyDescent="0.2">
      <c r="B914" s="6">
        <v>40800</v>
      </c>
      <c r="C914">
        <v>3.3468903559999998</v>
      </c>
    </row>
    <row r="915" spans="2:3" x14ac:dyDescent="0.2">
      <c r="B915" s="6">
        <v>40799</v>
      </c>
      <c r="C915">
        <v>3.3472561380000001</v>
      </c>
    </row>
    <row r="916" spans="2:3" x14ac:dyDescent="0.2">
      <c r="B916" s="6">
        <v>40798</v>
      </c>
      <c r="C916">
        <v>3.3005008889999998</v>
      </c>
    </row>
    <row r="917" spans="2:3" x14ac:dyDescent="0.2">
      <c r="B917" s="6">
        <v>40795</v>
      </c>
      <c r="C917">
        <v>3.301118309</v>
      </c>
    </row>
    <row r="918" spans="2:3" x14ac:dyDescent="0.2">
      <c r="B918" s="6">
        <v>40794</v>
      </c>
      <c r="C918">
        <v>3.2661047449999998</v>
      </c>
    </row>
    <row r="919" spans="2:3" x14ac:dyDescent="0.2">
      <c r="B919" s="6">
        <v>40793</v>
      </c>
      <c r="C919">
        <v>3.2179153939999998</v>
      </c>
    </row>
    <row r="920" spans="2:3" x14ac:dyDescent="0.2">
      <c r="B920" s="6">
        <v>40792</v>
      </c>
      <c r="C920">
        <v>3.2850540929999998</v>
      </c>
    </row>
    <row r="921" spans="2:3" x14ac:dyDescent="0.2">
      <c r="B921" s="6">
        <v>40788</v>
      </c>
      <c r="C921">
        <v>3.3161398379999998</v>
      </c>
    </row>
    <row r="922" spans="2:3" x14ac:dyDescent="0.2">
      <c r="B922" s="6">
        <v>40787</v>
      </c>
      <c r="C922">
        <v>3.2630175220000002</v>
      </c>
    </row>
    <row r="923" spans="2:3" x14ac:dyDescent="0.2">
      <c r="B923" s="6">
        <v>40786</v>
      </c>
      <c r="C923">
        <v>3.263422721</v>
      </c>
    </row>
    <row r="924" spans="2:3" x14ac:dyDescent="0.2">
      <c r="B924" s="6">
        <v>40785</v>
      </c>
      <c r="C924">
        <v>3.3636197659999998</v>
      </c>
    </row>
    <row r="925" spans="2:3" x14ac:dyDescent="0.2">
      <c r="B925" s="6">
        <v>40784</v>
      </c>
      <c r="C925">
        <v>3.4273948029999999</v>
      </c>
    </row>
    <row r="926" spans="2:3" x14ac:dyDescent="0.2">
      <c r="B926" s="6">
        <v>40781</v>
      </c>
      <c r="C926">
        <v>3.3588973609999999</v>
      </c>
    </row>
    <row r="927" spans="2:3" x14ac:dyDescent="0.2">
      <c r="B927" s="6">
        <v>40780</v>
      </c>
      <c r="C927">
        <v>3.4400742210000002</v>
      </c>
    </row>
    <row r="928" spans="2:3" x14ac:dyDescent="0.2">
      <c r="B928" s="6">
        <v>40779</v>
      </c>
      <c r="C928">
        <v>3.3526932070000002</v>
      </c>
    </row>
    <row r="929" spans="2:3" x14ac:dyDescent="0.2">
      <c r="B929" s="6">
        <v>40778</v>
      </c>
      <c r="C929">
        <v>3.3922014869999999</v>
      </c>
    </row>
    <row r="930" spans="2:3" x14ac:dyDescent="0.2">
      <c r="B930" s="6">
        <v>40777</v>
      </c>
      <c r="C930">
        <v>3.3081684070000001</v>
      </c>
    </row>
    <row r="931" spans="2:3" x14ac:dyDescent="0.2">
      <c r="B931" s="6">
        <v>40774</v>
      </c>
      <c r="C931">
        <v>3.3649434029999998</v>
      </c>
    </row>
    <row r="932" spans="2:3" x14ac:dyDescent="0.2">
      <c r="B932" s="6">
        <v>40773</v>
      </c>
      <c r="C932">
        <v>3.303790529</v>
      </c>
    </row>
    <row r="933" spans="2:3" x14ac:dyDescent="0.2">
      <c r="B933" s="6">
        <v>40772</v>
      </c>
      <c r="C933">
        <v>3.2837852750000001</v>
      </c>
    </row>
    <row r="934" spans="2:3" x14ac:dyDescent="0.2">
      <c r="B934" s="6">
        <v>40771</v>
      </c>
      <c r="C934">
        <v>3.2492398869999999</v>
      </c>
    </row>
    <row r="935" spans="2:3" x14ac:dyDescent="0.2">
      <c r="B935" s="6">
        <v>40770</v>
      </c>
      <c r="C935">
        <v>3.2693273430000001</v>
      </c>
    </row>
    <row r="936" spans="2:3" x14ac:dyDescent="0.2">
      <c r="B936" s="6">
        <v>40767</v>
      </c>
      <c r="C936">
        <v>3.3118241290000001</v>
      </c>
    </row>
    <row r="937" spans="2:3" x14ac:dyDescent="0.2">
      <c r="B937" s="6">
        <v>40766</v>
      </c>
      <c r="C937">
        <v>3.3816169309999999</v>
      </c>
    </row>
    <row r="938" spans="2:3" x14ac:dyDescent="0.2">
      <c r="B938" s="6">
        <v>40765</v>
      </c>
      <c r="C938">
        <v>3.3167051860000001</v>
      </c>
    </row>
    <row r="939" spans="2:3" x14ac:dyDescent="0.2">
      <c r="B939" s="6">
        <v>40764</v>
      </c>
      <c r="C939">
        <v>3.3763418019999998</v>
      </c>
    </row>
    <row r="940" spans="2:3" x14ac:dyDescent="0.2">
      <c r="B940" s="6">
        <v>40763</v>
      </c>
      <c r="C940">
        <v>3.2328090550000002</v>
      </c>
    </row>
    <row r="941" spans="2:3" x14ac:dyDescent="0.2">
      <c r="B941" s="6">
        <v>40760</v>
      </c>
      <c r="C941">
        <v>3.3615209510000001</v>
      </c>
    </row>
    <row r="942" spans="2:3" x14ac:dyDescent="0.2">
      <c r="B942" s="6">
        <v>40759</v>
      </c>
      <c r="C942">
        <v>3.5272994180000001</v>
      </c>
    </row>
    <row r="943" spans="2:3" x14ac:dyDescent="0.2">
      <c r="B943" s="6">
        <v>40758</v>
      </c>
      <c r="C943">
        <v>3.6494432990000001</v>
      </c>
    </row>
    <row r="944" spans="2:3" x14ac:dyDescent="0.2">
      <c r="B944" s="6">
        <v>40757</v>
      </c>
      <c r="C944">
        <v>3.4866024420000001</v>
      </c>
    </row>
    <row r="945" spans="2:3" x14ac:dyDescent="0.2">
      <c r="B945" s="6">
        <v>40756</v>
      </c>
      <c r="C945">
        <v>3.6149890220000001</v>
      </c>
    </row>
    <row r="946" spans="2:3" x14ac:dyDescent="0.2">
      <c r="B946" s="6">
        <v>40753</v>
      </c>
      <c r="C946">
        <v>3.657086976</v>
      </c>
    </row>
    <row r="947" spans="2:3" x14ac:dyDescent="0.2">
      <c r="B947" s="6">
        <v>40752</v>
      </c>
      <c r="C947">
        <v>3.7644681059999998</v>
      </c>
    </row>
    <row r="948" spans="2:3" x14ac:dyDescent="0.2">
      <c r="B948" s="6">
        <v>40751</v>
      </c>
      <c r="C948">
        <v>3.808823866</v>
      </c>
    </row>
    <row r="949" spans="2:3" x14ac:dyDescent="0.2">
      <c r="B949" s="6">
        <v>40750</v>
      </c>
      <c r="C949">
        <v>3.9324314810000001</v>
      </c>
    </row>
    <row r="950" spans="2:3" x14ac:dyDescent="0.2">
      <c r="B950" s="6">
        <v>40749</v>
      </c>
      <c r="C950">
        <v>3.974026254</v>
      </c>
    </row>
    <row r="951" spans="2:3" x14ac:dyDescent="0.2">
      <c r="B951" s="6">
        <v>40746</v>
      </c>
      <c r="C951">
        <v>3.9318005540000001</v>
      </c>
    </row>
    <row r="952" spans="2:3" x14ac:dyDescent="0.2">
      <c r="B952" s="6">
        <v>40745</v>
      </c>
      <c r="C952">
        <v>3.9604705889999998</v>
      </c>
    </row>
    <row r="953" spans="2:3" x14ac:dyDescent="0.2">
      <c r="B953" s="6">
        <v>40744</v>
      </c>
      <c r="C953">
        <v>3.925664899</v>
      </c>
    </row>
    <row r="954" spans="2:3" x14ac:dyDescent="0.2">
      <c r="B954" s="6">
        <v>40743</v>
      </c>
      <c r="C954">
        <v>3.9504320960000001</v>
      </c>
    </row>
    <row r="955" spans="2:3" x14ac:dyDescent="0.2">
      <c r="B955" s="6">
        <v>40742</v>
      </c>
      <c r="C955">
        <v>3.9147234389999999</v>
      </c>
    </row>
    <row r="956" spans="2:3" x14ac:dyDescent="0.2">
      <c r="B956" s="6">
        <v>40739</v>
      </c>
      <c r="C956">
        <v>3.9028989279999999</v>
      </c>
    </row>
    <row r="957" spans="2:3" x14ac:dyDescent="0.2">
      <c r="B957" s="6">
        <v>40738</v>
      </c>
      <c r="C957">
        <v>3.9143080459999999</v>
      </c>
    </row>
    <row r="958" spans="2:3" x14ac:dyDescent="0.2">
      <c r="B958" s="6">
        <v>40737</v>
      </c>
      <c r="C958">
        <v>3.8829277040000001</v>
      </c>
    </row>
    <row r="959" spans="2:3" x14ac:dyDescent="0.2">
      <c r="B959" s="6">
        <v>40736</v>
      </c>
      <c r="C959">
        <v>3.8985405219999998</v>
      </c>
    </row>
    <row r="960" spans="2:3" x14ac:dyDescent="0.2">
      <c r="B960" s="6">
        <v>40735</v>
      </c>
      <c r="C960">
        <v>3.8643242729999998</v>
      </c>
    </row>
    <row r="961" spans="2:3" x14ac:dyDescent="0.2">
      <c r="B961" s="6">
        <v>40732</v>
      </c>
      <c r="C961">
        <v>3.8994081949999999</v>
      </c>
    </row>
    <row r="962" spans="2:3" x14ac:dyDescent="0.2">
      <c r="B962" s="6">
        <v>40731</v>
      </c>
      <c r="C962">
        <v>3.9124758150000001</v>
      </c>
    </row>
    <row r="963" spans="2:3" x14ac:dyDescent="0.2">
      <c r="B963" s="6">
        <v>40730</v>
      </c>
      <c r="C963">
        <v>3.9560446410000001</v>
      </c>
    </row>
    <row r="964" spans="2:3" x14ac:dyDescent="0.2">
      <c r="B964" s="6">
        <v>40729</v>
      </c>
      <c r="C964">
        <v>4.0552994130000002</v>
      </c>
    </row>
    <row r="965" spans="2:3" x14ac:dyDescent="0.2">
      <c r="B965" s="6">
        <v>40725</v>
      </c>
      <c r="C965">
        <v>4.000748465</v>
      </c>
    </row>
    <row r="966" spans="2:3" x14ac:dyDescent="0.2">
      <c r="B966" s="6">
        <v>40724</v>
      </c>
      <c r="C966">
        <v>4.0109296580000002</v>
      </c>
    </row>
    <row r="967" spans="2:3" x14ac:dyDescent="0.2">
      <c r="B967" s="6">
        <v>40723</v>
      </c>
      <c r="C967">
        <v>4.0494899599999998</v>
      </c>
    </row>
    <row r="968" spans="2:3" x14ac:dyDescent="0.2">
      <c r="B968" s="6">
        <v>40722</v>
      </c>
      <c r="C968">
        <v>4.0210177979999999</v>
      </c>
    </row>
    <row r="969" spans="2:3" x14ac:dyDescent="0.2">
      <c r="B969" s="6">
        <v>40721</v>
      </c>
      <c r="C969">
        <v>3.9900665759999998</v>
      </c>
    </row>
    <row r="970" spans="2:3" x14ac:dyDescent="0.2">
      <c r="B970" s="6">
        <v>40718</v>
      </c>
      <c r="C970">
        <v>3.9645862140000001</v>
      </c>
    </row>
    <row r="971" spans="2:3" x14ac:dyDescent="0.2">
      <c r="B971" s="6">
        <v>40717</v>
      </c>
      <c r="C971">
        <v>3.8851464889999998</v>
      </c>
    </row>
    <row r="972" spans="2:3" x14ac:dyDescent="0.2">
      <c r="B972" s="6">
        <v>40716</v>
      </c>
      <c r="C972">
        <v>3.8413126800000001</v>
      </c>
    </row>
    <row r="973" spans="2:3" x14ac:dyDescent="0.2">
      <c r="B973" s="6">
        <v>40715</v>
      </c>
      <c r="C973">
        <v>3.8423332019999998</v>
      </c>
    </row>
    <row r="974" spans="2:3" x14ac:dyDescent="0.2">
      <c r="B974" s="6">
        <v>40714</v>
      </c>
      <c r="C974">
        <v>3.9103100550000001</v>
      </c>
    </row>
    <row r="975" spans="2:3" x14ac:dyDescent="0.2">
      <c r="B975" s="6">
        <v>40711</v>
      </c>
      <c r="C975">
        <v>3.933352803</v>
      </c>
    </row>
    <row r="976" spans="2:3" x14ac:dyDescent="0.2">
      <c r="B976" s="6">
        <v>40710</v>
      </c>
      <c r="C976">
        <v>3.9260526520000001</v>
      </c>
    </row>
    <row r="977" spans="2:3" x14ac:dyDescent="0.2">
      <c r="B977" s="6">
        <v>40709</v>
      </c>
      <c r="C977">
        <v>3.9054668229999998</v>
      </c>
    </row>
    <row r="978" spans="2:3" x14ac:dyDescent="0.2">
      <c r="B978" s="6">
        <v>40708</v>
      </c>
      <c r="C978">
        <v>3.8841647369999999</v>
      </c>
    </row>
    <row r="979" spans="2:3" x14ac:dyDescent="0.2">
      <c r="B979" s="6">
        <v>40707</v>
      </c>
      <c r="C979">
        <v>3.905904246</v>
      </c>
    </row>
    <row r="980" spans="2:3" x14ac:dyDescent="0.2">
      <c r="B980" s="6">
        <v>40704</v>
      </c>
      <c r="C980">
        <v>3.9753443750000002</v>
      </c>
    </row>
    <row r="981" spans="2:3" x14ac:dyDescent="0.2">
      <c r="B981" s="6">
        <v>40703</v>
      </c>
      <c r="C981">
        <v>3.9067873130000002</v>
      </c>
    </row>
    <row r="982" spans="2:3" x14ac:dyDescent="0.2">
      <c r="B982" s="6">
        <v>40702</v>
      </c>
      <c r="C982">
        <v>3.896963172</v>
      </c>
    </row>
    <row r="983" spans="2:3" x14ac:dyDescent="0.2">
      <c r="B983" s="6">
        <v>40701</v>
      </c>
      <c r="C983">
        <v>3.8960475699999999</v>
      </c>
    </row>
    <row r="984" spans="2:3" x14ac:dyDescent="0.2">
      <c r="B984" s="6">
        <v>40700</v>
      </c>
      <c r="C984">
        <v>3.8566823600000002</v>
      </c>
    </row>
    <row r="985" spans="2:3" x14ac:dyDescent="0.2">
      <c r="B985" s="6">
        <v>40697</v>
      </c>
      <c r="C985">
        <v>3.895814444</v>
      </c>
    </row>
    <row r="986" spans="2:3" x14ac:dyDescent="0.2">
      <c r="B986" s="6">
        <v>40696</v>
      </c>
      <c r="C986">
        <v>3.9007146690000001</v>
      </c>
    </row>
    <row r="987" spans="2:3" x14ac:dyDescent="0.2">
      <c r="B987" s="6">
        <v>40695</v>
      </c>
      <c r="C987">
        <v>3.893283582</v>
      </c>
    </row>
    <row r="988" spans="2:3" x14ac:dyDescent="0.2">
      <c r="B988" s="6">
        <v>40694</v>
      </c>
      <c r="C988">
        <v>3.9138663440000001</v>
      </c>
    </row>
    <row r="989" spans="2:3" x14ac:dyDescent="0.2">
      <c r="B989" s="6">
        <v>40690</v>
      </c>
      <c r="C989">
        <v>3.863494244</v>
      </c>
    </row>
    <row r="990" spans="2:3" x14ac:dyDescent="0.2">
      <c r="B990" s="6">
        <v>40689</v>
      </c>
      <c r="C990">
        <v>3.9323542709999999</v>
      </c>
    </row>
    <row r="991" spans="2:3" x14ac:dyDescent="0.2">
      <c r="B991" s="6">
        <v>40688</v>
      </c>
      <c r="C991">
        <v>3.9340132470000002</v>
      </c>
    </row>
    <row r="992" spans="2:3" x14ac:dyDescent="0.2">
      <c r="B992" s="6">
        <v>40687</v>
      </c>
      <c r="C992">
        <v>3.9110937730000002</v>
      </c>
    </row>
    <row r="993" spans="2:3" x14ac:dyDescent="0.2">
      <c r="B993" s="6">
        <v>40686</v>
      </c>
      <c r="C993">
        <v>3.982640242</v>
      </c>
    </row>
    <row r="994" spans="2:3" x14ac:dyDescent="0.2">
      <c r="B994" s="6">
        <v>40683</v>
      </c>
      <c r="C994">
        <v>3.9840068190000002</v>
      </c>
    </row>
    <row r="995" spans="2:3" x14ac:dyDescent="0.2">
      <c r="B995" s="6">
        <v>40682</v>
      </c>
      <c r="C995">
        <v>3.9961535029999999</v>
      </c>
    </row>
    <row r="996" spans="2:3" x14ac:dyDescent="0.2">
      <c r="B996" s="6">
        <v>40681</v>
      </c>
      <c r="C996">
        <v>3.9928413439999999</v>
      </c>
    </row>
    <row r="997" spans="2:3" x14ac:dyDescent="0.2">
      <c r="B997" s="6">
        <v>40680</v>
      </c>
      <c r="C997">
        <v>4.0056577920000001</v>
      </c>
    </row>
    <row r="998" spans="2:3" x14ac:dyDescent="0.2">
      <c r="B998" s="6">
        <v>40679</v>
      </c>
      <c r="C998">
        <v>3.9981747410000001</v>
      </c>
    </row>
    <row r="999" spans="2:3" x14ac:dyDescent="0.2">
      <c r="B999" s="6">
        <v>40676</v>
      </c>
      <c r="C999">
        <v>3.9561973949999998</v>
      </c>
    </row>
    <row r="1000" spans="2:3" x14ac:dyDescent="0.2">
      <c r="B1000" s="6">
        <v>40675</v>
      </c>
      <c r="C1000">
        <v>3.9714462689999999</v>
      </c>
    </row>
    <row r="1001" spans="2:3" x14ac:dyDescent="0.2">
      <c r="B1001" s="6">
        <v>40674</v>
      </c>
      <c r="C1001">
        <v>3.9886222220000001</v>
      </c>
    </row>
    <row r="1002" spans="2:3" x14ac:dyDescent="0.2">
      <c r="B1002" s="6">
        <v>40673</v>
      </c>
      <c r="C1002">
        <v>4.0052084319999999</v>
      </c>
    </row>
    <row r="1003" spans="2:3" x14ac:dyDescent="0.2">
      <c r="B1003" s="6">
        <v>40672</v>
      </c>
      <c r="C1003">
        <v>3.982652517</v>
      </c>
    </row>
    <row r="1004" spans="2:3" x14ac:dyDescent="0.2">
      <c r="B1004" s="6">
        <v>40669</v>
      </c>
      <c r="C1004">
        <v>4.0101740980000002</v>
      </c>
    </row>
    <row r="1005" spans="2:3" x14ac:dyDescent="0.2">
      <c r="B1005" s="6">
        <v>40668</v>
      </c>
      <c r="C1005">
        <v>3.9671840170000001</v>
      </c>
    </row>
    <row r="1006" spans="2:3" x14ac:dyDescent="0.2">
      <c r="B1006" s="6">
        <v>40667</v>
      </c>
      <c r="C1006">
        <v>3.981036923</v>
      </c>
    </row>
    <row r="1007" spans="2:3" x14ac:dyDescent="0.2">
      <c r="B1007" s="6">
        <v>40666</v>
      </c>
      <c r="C1007">
        <v>3.989742685</v>
      </c>
    </row>
    <row r="1008" spans="2:3" x14ac:dyDescent="0.2">
      <c r="B1008" s="6">
        <v>40665</v>
      </c>
      <c r="C1008">
        <v>4.0402883420000002</v>
      </c>
    </row>
    <row r="1009" spans="2:3" x14ac:dyDescent="0.2">
      <c r="B1009" s="6">
        <v>40662</v>
      </c>
      <c r="C1009">
        <v>4.0711736759999999</v>
      </c>
    </row>
    <row r="1010" spans="2:3" x14ac:dyDescent="0.2">
      <c r="B1010" s="6">
        <v>40661</v>
      </c>
      <c r="C1010">
        <v>4.1017392560000001</v>
      </c>
    </row>
    <row r="1011" spans="2:3" x14ac:dyDescent="0.2">
      <c r="B1011" s="6">
        <v>40660</v>
      </c>
      <c r="C1011">
        <v>4.0911415079999998</v>
      </c>
    </row>
    <row r="1012" spans="2:3" x14ac:dyDescent="0.2">
      <c r="B1012" s="6">
        <v>40659</v>
      </c>
      <c r="C1012">
        <v>4.1085299629999996</v>
      </c>
    </row>
    <row r="1013" spans="2:3" x14ac:dyDescent="0.2">
      <c r="B1013" s="6">
        <v>40658</v>
      </c>
      <c r="C1013">
        <v>4.1737753599999996</v>
      </c>
    </row>
    <row r="1014" spans="2:3" x14ac:dyDescent="0.2">
      <c r="B1014" s="6">
        <v>40654</v>
      </c>
      <c r="C1014">
        <v>4.1488060129999997</v>
      </c>
    </row>
    <row r="1015" spans="2:3" x14ac:dyDescent="0.2">
      <c r="B1015" s="6">
        <v>40653</v>
      </c>
      <c r="C1015">
        <v>4.1798117350000004</v>
      </c>
    </row>
    <row r="1016" spans="2:3" x14ac:dyDescent="0.2">
      <c r="B1016" s="6">
        <v>40652</v>
      </c>
      <c r="C1016">
        <v>4.211880195</v>
      </c>
    </row>
    <row r="1017" spans="2:3" x14ac:dyDescent="0.2">
      <c r="B1017" s="6">
        <v>40651</v>
      </c>
      <c r="C1017">
        <v>4.2102300149999996</v>
      </c>
    </row>
    <row r="1018" spans="2:3" x14ac:dyDescent="0.2">
      <c r="B1018" s="6">
        <v>40648</v>
      </c>
      <c r="C1018">
        <v>4.1805597150000002</v>
      </c>
    </row>
    <row r="1019" spans="2:3" x14ac:dyDescent="0.2">
      <c r="B1019" s="6">
        <v>40647</v>
      </c>
      <c r="C1019">
        <v>4.1920950829999999</v>
      </c>
    </row>
    <row r="1020" spans="2:3" x14ac:dyDescent="0.2">
      <c r="B1020" s="6">
        <v>40646</v>
      </c>
      <c r="C1020">
        <v>4.2253488910000003</v>
      </c>
    </row>
    <row r="1021" spans="2:3" x14ac:dyDescent="0.2">
      <c r="B1021" s="6">
        <v>40645</v>
      </c>
      <c r="C1021">
        <v>4.2935055689999997</v>
      </c>
    </row>
    <row r="1022" spans="2:3" x14ac:dyDescent="0.2">
      <c r="B1022" s="6">
        <v>40644</v>
      </c>
      <c r="C1022">
        <v>4.2868662029999998</v>
      </c>
    </row>
    <row r="1023" spans="2:3" x14ac:dyDescent="0.2">
      <c r="B1023" s="6">
        <v>40641</v>
      </c>
      <c r="C1023">
        <v>4.3061162059999996</v>
      </c>
    </row>
    <row r="1024" spans="2:3" x14ac:dyDescent="0.2">
      <c r="B1024" s="6">
        <v>40640</v>
      </c>
      <c r="C1024">
        <v>4.3573317349999998</v>
      </c>
    </row>
    <row r="1025" spans="2:3" x14ac:dyDescent="0.2">
      <c r="B1025" s="6">
        <v>40639</v>
      </c>
      <c r="C1025">
        <v>4.3622076139999999</v>
      </c>
    </row>
    <row r="1026" spans="2:3" x14ac:dyDescent="0.2">
      <c r="B1026" s="6">
        <v>40638</v>
      </c>
      <c r="C1026">
        <v>4.3534210839999998</v>
      </c>
    </row>
    <row r="1027" spans="2:3" x14ac:dyDescent="0.2">
      <c r="B1027" s="6">
        <v>40637</v>
      </c>
      <c r="C1027">
        <v>4.3581821129999998</v>
      </c>
    </row>
    <row r="1028" spans="2:3" x14ac:dyDescent="0.2">
      <c r="B1028" s="6">
        <v>40634</v>
      </c>
      <c r="C1028">
        <v>4.3268293599999996</v>
      </c>
    </row>
    <row r="1029" spans="2:3" x14ac:dyDescent="0.2">
      <c r="B1029" s="6">
        <v>40633</v>
      </c>
      <c r="C1029">
        <v>4.2707131450000002</v>
      </c>
    </row>
    <row r="1030" spans="2:3" x14ac:dyDescent="0.2">
      <c r="B1030" s="6">
        <v>40632</v>
      </c>
      <c r="C1030">
        <v>4.2725182080000002</v>
      </c>
    </row>
    <row r="1031" spans="2:3" x14ac:dyDescent="0.2">
      <c r="B1031" s="6">
        <v>40631</v>
      </c>
      <c r="C1031">
        <v>4.2632122030000001</v>
      </c>
    </row>
    <row r="1032" spans="2:3" x14ac:dyDescent="0.2">
      <c r="B1032" s="6">
        <v>40630</v>
      </c>
      <c r="C1032">
        <v>4.2688328000000002</v>
      </c>
    </row>
    <row r="1033" spans="2:3" x14ac:dyDescent="0.2">
      <c r="B1033" s="6">
        <v>40627</v>
      </c>
      <c r="C1033">
        <v>4.3031579689999999</v>
      </c>
    </row>
    <row r="1034" spans="2:3" x14ac:dyDescent="0.2">
      <c r="B1034" s="6">
        <v>40626</v>
      </c>
      <c r="C1034">
        <v>4.2631006280000001</v>
      </c>
    </row>
    <row r="1035" spans="2:3" x14ac:dyDescent="0.2">
      <c r="B1035" s="6">
        <v>40625</v>
      </c>
      <c r="C1035">
        <v>4.2607943290000003</v>
      </c>
    </row>
    <row r="1036" spans="2:3" x14ac:dyDescent="0.2">
      <c r="B1036" s="6">
        <v>40624</v>
      </c>
      <c r="C1036">
        <v>4.2285399369999999</v>
      </c>
    </row>
    <row r="1037" spans="2:3" x14ac:dyDescent="0.2">
      <c r="B1037" s="6">
        <v>40623</v>
      </c>
      <c r="C1037">
        <v>4.2092705659999998</v>
      </c>
    </row>
    <row r="1038" spans="2:3" x14ac:dyDescent="0.2">
      <c r="B1038" s="6">
        <v>40620</v>
      </c>
      <c r="C1038">
        <v>4.189359863</v>
      </c>
    </row>
    <row r="1039" spans="2:3" x14ac:dyDescent="0.2">
      <c r="B1039" s="6">
        <v>40619</v>
      </c>
      <c r="C1039">
        <v>4.1633848420000001</v>
      </c>
    </row>
    <row r="1040" spans="2:3" x14ac:dyDescent="0.2">
      <c r="B1040" s="6">
        <v>40618</v>
      </c>
      <c r="C1040">
        <v>4.1111783879999999</v>
      </c>
    </row>
    <row r="1041" spans="2:3" x14ac:dyDescent="0.2">
      <c r="B1041" s="6">
        <v>40617</v>
      </c>
      <c r="C1041">
        <v>4.1072423459999996</v>
      </c>
    </row>
    <row r="1042" spans="2:3" x14ac:dyDescent="0.2">
      <c r="B1042" s="6">
        <v>40616</v>
      </c>
      <c r="C1042">
        <v>4.0816167710000002</v>
      </c>
    </row>
    <row r="1043" spans="2:3" x14ac:dyDescent="0.2">
      <c r="B1043" s="6">
        <v>40613</v>
      </c>
      <c r="C1043">
        <v>4.1729690000000002</v>
      </c>
    </row>
    <row r="1044" spans="2:3" x14ac:dyDescent="0.2">
      <c r="B1044" s="6">
        <v>40612</v>
      </c>
      <c r="C1044">
        <v>4.1795306520000004</v>
      </c>
    </row>
    <row r="1045" spans="2:3" x14ac:dyDescent="0.2">
      <c r="B1045" s="6">
        <v>40611</v>
      </c>
      <c r="C1045">
        <v>4.2139949989999996</v>
      </c>
    </row>
    <row r="1046" spans="2:3" x14ac:dyDescent="0.2">
      <c r="B1046" s="6">
        <v>40610</v>
      </c>
      <c r="C1046">
        <v>4.1984052859999998</v>
      </c>
    </row>
    <row r="1047" spans="2:3" x14ac:dyDescent="0.2">
      <c r="B1047" s="6">
        <v>40609</v>
      </c>
      <c r="C1047">
        <v>4.2484409489999999</v>
      </c>
    </row>
    <row r="1048" spans="2:3" x14ac:dyDescent="0.2">
      <c r="B1048" s="6">
        <v>40606</v>
      </c>
      <c r="C1048">
        <v>4.3121099540000003</v>
      </c>
    </row>
    <row r="1049" spans="2:3" x14ac:dyDescent="0.2">
      <c r="B1049" s="6">
        <v>40605</v>
      </c>
      <c r="C1049">
        <v>4.275725166</v>
      </c>
    </row>
    <row r="1050" spans="2:3" x14ac:dyDescent="0.2">
      <c r="B1050" s="6">
        <v>40604</v>
      </c>
      <c r="C1050">
        <v>4.2658188570000002</v>
      </c>
    </row>
    <row r="1051" spans="2:3" x14ac:dyDescent="0.2">
      <c r="B1051" s="6">
        <v>40603</v>
      </c>
      <c r="C1051">
        <v>4.3559011649999997</v>
      </c>
    </row>
    <row r="1052" spans="2:3" x14ac:dyDescent="0.2">
      <c r="B1052" s="6">
        <v>40602</v>
      </c>
      <c r="C1052">
        <v>4.2791501509999996</v>
      </c>
    </row>
    <row r="1053" spans="2:3" x14ac:dyDescent="0.2">
      <c r="B1053" s="6">
        <v>40599</v>
      </c>
      <c r="C1053">
        <v>4.2366916110000004</v>
      </c>
    </row>
    <row r="1054" spans="2:3" x14ac:dyDescent="0.2">
      <c r="B1054" s="6">
        <v>40598</v>
      </c>
      <c r="C1054">
        <v>4.2308322399999998</v>
      </c>
    </row>
    <row r="1055" spans="2:3" x14ac:dyDescent="0.2">
      <c r="B1055" s="6">
        <v>40597</v>
      </c>
      <c r="C1055">
        <v>4.2496689830000003</v>
      </c>
    </row>
    <row r="1056" spans="2:3" x14ac:dyDescent="0.2">
      <c r="B1056" s="6">
        <v>40596</v>
      </c>
      <c r="C1056">
        <v>4.2636232080000003</v>
      </c>
    </row>
    <row r="1057" spans="2:3" x14ac:dyDescent="0.2">
      <c r="B1057" s="6">
        <v>40592</v>
      </c>
      <c r="C1057">
        <v>4.306860307</v>
      </c>
    </row>
    <row r="1058" spans="2:3" x14ac:dyDescent="0.2">
      <c r="B1058" s="6">
        <v>40591</v>
      </c>
      <c r="C1058">
        <v>4.2999787869999997</v>
      </c>
    </row>
    <row r="1059" spans="2:3" x14ac:dyDescent="0.2">
      <c r="B1059" s="6">
        <v>40590</v>
      </c>
      <c r="C1059">
        <v>4.3663894000000001</v>
      </c>
    </row>
    <row r="1060" spans="2:3" x14ac:dyDescent="0.2">
      <c r="B1060" s="6">
        <v>40589</v>
      </c>
      <c r="C1060">
        <v>4.3504406979999999</v>
      </c>
    </row>
    <row r="1061" spans="2:3" x14ac:dyDescent="0.2">
      <c r="B1061" s="6">
        <v>40588</v>
      </c>
      <c r="C1061">
        <v>4.398962043</v>
      </c>
    </row>
    <row r="1062" spans="2:3" x14ac:dyDescent="0.2">
      <c r="B1062" s="6">
        <v>40585</v>
      </c>
      <c r="C1062">
        <v>4.3851093390000004</v>
      </c>
    </row>
    <row r="1063" spans="2:3" x14ac:dyDescent="0.2">
      <c r="B1063" s="6">
        <v>40584</v>
      </c>
      <c r="C1063">
        <v>4.3931467670000002</v>
      </c>
    </row>
    <row r="1064" spans="2:3" x14ac:dyDescent="0.2">
      <c r="B1064" s="6">
        <v>40583</v>
      </c>
      <c r="C1064">
        <v>4.4343090040000002</v>
      </c>
    </row>
    <row r="1065" spans="2:3" x14ac:dyDescent="0.2">
      <c r="B1065" s="6">
        <v>40582</v>
      </c>
      <c r="C1065">
        <v>4.5012486389999999</v>
      </c>
    </row>
    <row r="1066" spans="2:3" x14ac:dyDescent="0.2">
      <c r="B1066" s="6">
        <v>40581</v>
      </c>
      <c r="C1066">
        <v>4.4529420359999996</v>
      </c>
    </row>
    <row r="1067" spans="2:3" x14ac:dyDescent="0.2">
      <c r="B1067" s="6">
        <v>40578</v>
      </c>
      <c r="C1067">
        <v>4.4871263560000001</v>
      </c>
    </row>
    <row r="1068" spans="2:3" x14ac:dyDescent="0.2">
      <c r="B1068" s="6">
        <v>40577</v>
      </c>
      <c r="C1068">
        <v>4.4120235680000004</v>
      </c>
    </row>
    <row r="1069" spans="2:3" x14ac:dyDescent="0.2">
      <c r="B1069" s="6">
        <v>40576</v>
      </c>
      <c r="C1069">
        <v>4.3946942709999997</v>
      </c>
    </row>
    <row r="1070" spans="2:3" x14ac:dyDescent="0.2">
      <c r="B1070" s="6">
        <v>40575</v>
      </c>
      <c r="C1070">
        <v>4.3267547750000004</v>
      </c>
    </row>
    <row r="1071" spans="2:3" x14ac:dyDescent="0.2">
      <c r="B1071" s="6">
        <v>40574</v>
      </c>
      <c r="C1071">
        <v>4.2836977950000001</v>
      </c>
    </row>
    <row r="1072" spans="2:3" x14ac:dyDescent="0.2">
      <c r="B1072" s="6">
        <v>40571</v>
      </c>
      <c r="C1072">
        <v>4.2330193850000004</v>
      </c>
    </row>
    <row r="1073" spans="2:3" x14ac:dyDescent="0.2">
      <c r="B1073" s="6">
        <v>40570</v>
      </c>
      <c r="C1073">
        <v>4.1734715509999996</v>
      </c>
    </row>
    <row r="1074" spans="2:3" x14ac:dyDescent="0.2">
      <c r="B1074" s="6">
        <v>40569</v>
      </c>
      <c r="C1074">
        <v>4.1486356200000003</v>
      </c>
    </row>
    <row r="1075" spans="2:3" x14ac:dyDescent="0.2">
      <c r="B1075" s="6">
        <v>40568</v>
      </c>
      <c r="C1075">
        <v>4.1787721749999998</v>
      </c>
    </row>
    <row r="1076" spans="2:3" x14ac:dyDescent="0.2">
      <c r="B1076" s="6">
        <v>40567</v>
      </c>
      <c r="C1076">
        <v>4.2301753990000002</v>
      </c>
    </row>
    <row r="1077" spans="2:3" x14ac:dyDescent="0.2">
      <c r="B1077" s="6">
        <v>40564</v>
      </c>
      <c r="C1077">
        <v>4.1484976419999997</v>
      </c>
    </row>
    <row r="1078" spans="2:3" x14ac:dyDescent="0.2">
      <c r="B1078" s="6">
        <v>40563</v>
      </c>
      <c r="C1078">
        <v>4.1956447040000002</v>
      </c>
    </row>
    <row r="1079" spans="2:3" x14ac:dyDescent="0.2">
      <c r="B1079" s="6">
        <v>40562</v>
      </c>
      <c r="C1079">
        <v>4.1821146169999999</v>
      </c>
    </row>
    <row r="1080" spans="2:3" x14ac:dyDescent="0.2">
      <c r="B1080" s="6">
        <v>40561</v>
      </c>
      <c r="C1080">
        <v>4.2162328950000001</v>
      </c>
    </row>
    <row r="1081" spans="2:3" x14ac:dyDescent="0.2">
      <c r="B1081" s="6">
        <v>40557</v>
      </c>
      <c r="C1081">
        <v>4.1151242569999997</v>
      </c>
    </row>
    <row r="1082" spans="2:3" x14ac:dyDescent="0.2">
      <c r="B1082" s="6">
        <v>40556</v>
      </c>
      <c r="C1082">
        <v>4.1412372020000001</v>
      </c>
    </row>
    <row r="1083" spans="2:3" x14ac:dyDescent="0.2">
      <c r="B1083" s="6">
        <v>40555</v>
      </c>
      <c r="C1083">
        <v>4.0858523120000001</v>
      </c>
    </row>
    <row r="1084" spans="2:3" x14ac:dyDescent="0.2">
      <c r="B1084" s="6">
        <v>40554</v>
      </c>
      <c r="C1084">
        <v>4.0727672760000004</v>
      </c>
    </row>
    <row r="1085" spans="2:3" x14ac:dyDescent="0.2">
      <c r="B1085" s="6">
        <v>40553</v>
      </c>
      <c r="C1085">
        <v>4.1275516730000001</v>
      </c>
    </row>
    <row r="1086" spans="2:3" x14ac:dyDescent="0.2">
      <c r="B1086" s="6">
        <v>40550</v>
      </c>
      <c r="C1086">
        <v>4.1304635689999998</v>
      </c>
    </row>
    <row r="1087" spans="2:3" x14ac:dyDescent="0.2">
      <c r="B1087" s="6">
        <v>40549</v>
      </c>
      <c r="C1087">
        <v>4.0762960780000004</v>
      </c>
    </row>
    <row r="1088" spans="2:3" x14ac:dyDescent="0.2">
      <c r="B1088" s="6">
        <v>40548</v>
      </c>
      <c r="C1088">
        <v>4.1021104270000004</v>
      </c>
    </row>
    <row r="1089" spans="2:3" x14ac:dyDescent="0.2">
      <c r="B1089" s="6">
        <v>40547</v>
      </c>
      <c r="C1089">
        <v>4.2000787129999999</v>
      </c>
    </row>
    <row r="1090" spans="2:3" x14ac:dyDescent="0.2">
      <c r="B1090" s="6">
        <v>40546</v>
      </c>
      <c r="C1090">
        <v>4.2469378689999999</v>
      </c>
    </row>
    <row r="1091" spans="2:3" x14ac:dyDescent="0.2">
      <c r="B1091" s="6">
        <v>40543</v>
      </c>
      <c r="C1091">
        <v>4.1122999570000003</v>
      </c>
    </row>
    <row r="1092" spans="2:3" x14ac:dyDescent="0.2">
      <c r="B1092" s="6">
        <v>40542</v>
      </c>
      <c r="C1092">
        <v>4.1193669560000004</v>
      </c>
    </row>
    <row r="1093" spans="2:3" x14ac:dyDescent="0.2">
      <c r="B1093" s="6">
        <v>40541</v>
      </c>
      <c r="C1093">
        <v>4.1057743709999999</v>
      </c>
    </row>
    <row r="1094" spans="2:3" x14ac:dyDescent="0.2">
      <c r="B1094" s="6">
        <v>40540</v>
      </c>
      <c r="C1094">
        <v>4.1887844369999998</v>
      </c>
    </row>
    <row r="1095" spans="2:3" x14ac:dyDescent="0.2">
      <c r="B1095" s="6">
        <v>40539</v>
      </c>
      <c r="C1095">
        <v>4.1712027049999998</v>
      </c>
    </row>
    <row r="1096" spans="2:3" x14ac:dyDescent="0.2">
      <c r="B1096" s="6">
        <v>40535</v>
      </c>
      <c r="C1096">
        <v>4.3267789140000001</v>
      </c>
    </row>
    <row r="1097" spans="2:3" x14ac:dyDescent="0.2">
      <c r="B1097" s="6">
        <v>40534</v>
      </c>
      <c r="C1097">
        <v>4.2128404719999999</v>
      </c>
    </row>
    <row r="1098" spans="2:3" x14ac:dyDescent="0.2">
      <c r="B1098" s="6">
        <v>40533</v>
      </c>
      <c r="C1098">
        <v>4.2265070800000002</v>
      </c>
    </row>
    <row r="1099" spans="2:3" x14ac:dyDescent="0.2">
      <c r="B1099" s="6">
        <v>40532</v>
      </c>
      <c r="C1099">
        <v>4.1785023609999996</v>
      </c>
    </row>
    <row r="1100" spans="2:3" x14ac:dyDescent="0.2">
      <c r="B1100" s="6">
        <v>40529</v>
      </c>
      <c r="C1100">
        <v>4.1747769850000003</v>
      </c>
    </row>
    <row r="1101" spans="2:3" x14ac:dyDescent="0.2">
      <c r="B1101" s="6">
        <v>40528</v>
      </c>
      <c r="C1101">
        <v>4.2106190229999996</v>
      </c>
    </row>
    <row r="1102" spans="2:3" x14ac:dyDescent="0.2">
      <c r="B1102" s="6">
        <v>40527</v>
      </c>
      <c r="C1102">
        <v>4.167020172</v>
      </c>
    </row>
    <row r="1103" spans="2:3" x14ac:dyDescent="0.2">
      <c r="B1103" s="6">
        <v>40526</v>
      </c>
      <c r="C1103">
        <v>4.3563887499999998</v>
      </c>
    </row>
    <row r="1104" spans="2:3" x14ac:dyDescent="0.2">
      <c r="B1104" s="6">
        <v>40525</v>
      </c>
      <c r="C1104">
        <v>4.3841234939999998</v>
      </c>
    </row>
    <row r="1105" spans="2:3" x14ac:dyDescent="0.2">
      <c r="B1105" s="6">
        <v>40522</v>
      </c>
      <c r="C1105">
        <v>4.2874791959999996</v>
      </c>
    </row>
    <row r="1106" spans="2:3" x14ac:dyDescent="0.2">
      <c r="B1106" s="6">
        <v>40521</v>
      </c>
      <c r="C1106">
        <v>4.1089742640000004</v>
      </c>
    </row>
    <row r="1107" spans="2:3" x14ac:dyDescent="0.2">
      <c r="B1107" s="6">
        <v>40520</v>
      </c>
      <c r="C1107">
        <v>4.1283648409999998</v>
      </c>
    </row>
    <row r="1108" spans="2:3" x14ac:dyDescent="0.2">
      <c r="B1108" s="6">
        <v>40519</v>
      </c>
      <c r="C1108">
        <v>4.0560725560000002</v>
      </c>
    </row>
    <row r="1109" spans="2:3" x14ac:dyDescent="0.2">
      <c r="B1109" s="6">
        <v>40518</v>
      </c>
      <c r="C1109">
        <v>4.1053911510000001</v>
      </c>
    </row>
    <row r="1110" spans="2:3" x14ac:dyDescent="0.2">
      <c r="B1110" s="6">
        <v>40515</v>
      </c>
      <c r="C1110">
        <v>4.0550663980000001</v>
      </c>
    </row>
    <row r="1111" spans="2:3" x14ac:dyDescent="0.2">
      <c r="B1111" s="6">
        <v>40514</v>
      </c>
      <c r="C1111">
        <v>3.8510282189999998</v>
      </c>
    </row>
    <row r="1112" spans="2:3" x14ac:dyDescent="0.2">
      <c r="B1112" s="6">
        <v>40513</v>
      </c>
      <c r="C1112">
        <v>3.9445680219999999</v>
      </c>
    </row>
    <row r="1113" spans="2:3" x14ac:dyDescent="0.2">
      <c r="B1113" s="6">
        <v>40512</v>
      </c>
      <c r="C1113">
        <v>3.9593986970000001</v>
      </c>
    </row>
    <row r="1114" spans="2:3" x14ac:dyDescent="0.2">
      <c r="B1114" s="6">
        <v>40511</v>
      </c>
      <c r="C1114">
        <v>3.9343682449999999</v>
      </c>
    </row>
    <row r="1115" spans="2:3" x14ac:dyDescent="0.2">
      <c r="B1115" s="6">
        <v>40508</v>
      </c>
      <c r="C1115">
        <v>3.7797245529999999</v>
      </c>
    </row>
    <row r="1116" spans="2:3" x14ac:dyDescent="0.2">
      <c r="B1116" s="6">
        <v>40506</v>
      </c>
      <c r="C1116">
        <v>3.7704506219999998</v>
      </c>
    </row>
    <row r="1117" spans="2:3" x14ac:dyDescent="0.2">
      <c r="B1117" s="6">
        <v>40505</v>
      </c>
      <c r="C1117">
        <v>3.8227318170000002</v>
      </c>
    </row>
    <row r="1118" spans="2:3" x14ac:dyDescent="0.2">
      <c r="B1118" s="6">
        <v>40504</v>
      </c>
      <c r="C1118">
        <v>3.8537113330000001</v>
      </c>
    </row>
    <row r="1119" spans="2:3" x14ac:dyDescent="0.2">
      <c r="B1119" s="6">
        <v>40501</v>
      </c>
      <c r="C1119">
        <v>3.7018504289999998</v>
      </c>
    </row>
    <row r="1120" spans="2:3" x14ac:dyDescent="0.2">
      <c r="B1120" s="6">
        <v>40500</v>
      </c>
      <c r="C1120">
        <v>3.7276148600000001</v>
      </c>
    </row>
    <row r="1121" spans="2:3" x14ac:dyDescent="0.2">
      <c r="B1121" s="6">
        <v>40499</v>
      </c>
      <c r="C1121">
        <v>3.7656964980000001</v>
      </c>
    </row>
    <row r="1122" spans="2:3" x14ac:dyDescent="0.2">
      <c r="B1122" s="6">
        <v>40498</v>
      </c>
      <c r="C1122">
        <v>3.7504056729999999</v>
      </c>
    </row>
    <row r="1123" spans="2:3" x14ac:dyDescent="0.2">
      <c r="B1123" s="6">
        <v>40497</v>
      </c>
      <c r="C1123">
        <v>3.7192905700000001</v>
      </c>
    </row>
    <row r="1124" spans="2:3" x14ac:dyDescent="0.2">
      <c r="B1124" s="6">
        <v>40494</v>
      </c>
      <c r="C1124">
        <v>3.7216750580000002</v>
      </c>
    </row>
    <row r="1125" spans="2:3" x14ac:dyDescent="0.2">
      <c r="B1125" s="6">
        <v>40492</v>
      </c>
      <c r="C1125">
        <v>3.73584242</v>
      </c>
    </row>
    <row r="1126" spans="2:3" x14ac:dyDescent="0.2">
      <c r="B1126" s="6">
        <v>40491</v>
      </c>
      <c r="C1126">
        <v>3.6084692170000001</v>
      </c>
    </row>
    <row r="1127" spans="2:3" x14ac:dyDescent="0.2">
      <c r="B1127" s="6">
        <v>40490</v>
      </c>
      <c r="C1127">
        <v>3.4875216569999998</v>
      </c>
    </row>
    <row r="1128" spans="2:3" x14ac:dyDescent="0.2">
      <c r="B1128" s="6">
        <v>40487</v>
      </c>
      <c r="C1128">
        <v>3.500508382</v>
      </c>
    </row>
    <row r="1129" spans="2:3" x14ac:dyDescent="0.2">
      <c r="B1129" s="6">
        <v>40486</v>
      </c>
      <c r="C1129">
        <v>3.40193251</v>
      </c>
    </row>
    <row r="1130" spans="2:3" x14ac:dyDescent="0.2">
      <c r="B1130" s="6">
        <v>40485</v>
      </c>
      <c r="C1130">
        <v>3.3644785650000002</v>
      </c>
    </row>
    <row r="1131" spans="2:3" x14ac:dyDescent="0.2">
      <c r="B1131" s="6">
        <v>40484</v>
      </c>
      <c r="C1131">
        <v>3.293279933</v>
      </c>
    </row>
    <row r="1132" spans="2:3" x14ac:dyDescent="0.2">
      <c r="B1132" s="6">
        <v>40483</v>
      </c>
      <c r="C1132">
        <v>3.3788755450000001</v>
      </c>
    </row>
    <row r="1133" spans="2:3" x14ac:dyDescent="0.2">
      <c r="B1133" s="6">
        <v>40480</v>
      </c>
      <c r="C1133">
        <v>3.3942292140000001</v>
      </c>
    </row>
    <row r="1134" spans="2:3" x14ac:dyDescent="0.2">
      <c r="B1134" s="6">
        <v>40479</v>
      </c>
      <c r="C1134">
        <v>3.4437756410000002</v>
      </c>
    </row>
    <row r="1135" spans="2:3" x14ac:dyDescent="0.2">
      <c r="B1135" s="6">
        <v>40478</v>
      </c>
      <c r="C1135">
        <v>3.3978435459999998</v>
      </c>
    </row>
    <row r="1136" spans="2:3" x14ac:dyDescent="0.2">
      <c r="B1136" s="6">
        <v>40477</v>
      </c>
      <c r="C1136">
        <v>3.4349602049999999</v>
      </c>
    </row>
    <row r="1137" spans="2:3" x14ac:dyDescent="0.2">
      <c r="B1137" s="6">
        <v>40476</v>
      </c>
      <c r="C1137">
        <v>3.4972821590000001</v>
      </c>
    </row>
    <row r="1138" spans="2:3" x14ac:dyDescent="0.2">
      <c r="B1138" s="6">
        <v>40473</v>
      </c>
      <c r="C1138">
        <v>3.447019455</v>
      </c>
    </row>
    <row r="1139" spans="2:3" x14ac:dyDescent="0.2">
      <c r="B1139" s="6">
        <v>40472</v>
      </c>
      <c r="C1139">
        <v>3.3738531589999998</v>
      </c>
    </row>
    <row r="1140" spans="2:3" x14ac:dyDescent="0.2">
      <c r="B1140" s="6">
        <v>40471</v>
      </c>
      <c r="C1140">
        <v>3.318081244</v>
      </c>
    </row>
    <row r="1141" spans="2:3" x14ac:dyDescent="0.2">
      <c r="B1141" s="6">
        <v>40470</v>
      </c>
      <c r="C1141">
        <v>3.2924323329999998</v>
      </c>
    </row>
    <row r="1142" spans="2:3" x14ac:dyDescent="0.2">
      <c r="B1142" s="6">
        <v>40469</v>
      </c>
      <c r="C1142">
        <v>3.2551499979999998</v>
      </c>
    </row>
    <row r="1143" spans="2:3" x14ac:dyDescent="0.2">
      <c r="B1143" s="6">
        <v>40466</v>
      </c>
      <c r="C1143">
        <v>3.2698607389999998</v>
      </c>
    </row>
    <row r="1144" spans="2:3" x14ac:dyDescent="0.2">
      <c r="B1144" s="6">
        <v>40465</v>
      </c>
      <c r="C1144">
        <v>3.2999393389999998</v>
      </c>
    </row>
    <row r="1145" spans="2:3" x14ac:dyDescent="0.2">
      <c r="B1145" s="6">
        <v>40464</v>
      </c>
      <c r="C1145">
        <v>3.3753713869999999</v>
      </c>
    </row>
    <row r="1146" spans="2:3" x14ac:dyDescent="0.2">
      <c r="B1146" s="6">
        <v>40463</v>
      </c>
      <c r="C1146">
        <v>3.2849236579999999</v>
      </c>
    </row>
    <row r="1147" spans="2:3" x14ac:dyDescent="0.2">
      <c r="B1147" s="6">
        <v>40459</v>
      </c>
      <c r="C1147">
        <v>3.2618668739999999</v>
      </c>
    </row>
    <row r="1148" spans="2:3" x14ac:dyDescent="0.2">
      <c r="B1148" s="6">
        <v>40458</v>
      </c>
      <c r="C1148">
        <v>3.2856849289999999</v>
      </c>
    </row>
    <row r="1149" spans="2:3" x14ac:dyDescent="0.2">
      <c r="B1149" s="6">
        <v>40457</v>
      </c>
      <c r="C1149">
        <v>3.23045976</v>
      </c>
    </row>
    <row r="1150" spans="2:3" x14ac:dyDescent="0.2">
      <c r="B1150" s="6">
        <v>40456</v>
      </c>
      <c r="C1150">
        <v>3.223654126</v>
      </c>
    </row>
    <row r="1151" spans="2:3" x14ac:dyDescent="0.2">
      <c r="B1151" s="6">
        <v>40455</v>
      </c>
      <c r="C1151">
        <v>3.2627915449999998</v>
      </c>
    </row>
    <row r="1152" spans="2:3" x14ac:dyDescent="0.2">
      <c r="B1152" s="6">
        <v>40452</v>
      </c>
      <c r="C1152">
        <v>3.33658834</v>
      </c>
    </row>
    <row r="1153" spans="2:3" x14ac:dyDescent="0.2">
      <c r="B1153" s="6">
        <v>40451</v>
      </c>
      <c r="C1153">
        <v>3.335574942</v>
      </c>
    </row>
    <row r="1154" spans="2:3" x14ac:dyDescent="0.2">
      <c r="B1154" s="6">
        <v>40450</v>
      </c>
      <c r="C1154">
        <v>3.3887067719999999</v>
      </c>
    </row>
    <row r="1155" spans="2:3" x14ac:dyDescent="0.2">
      <c r="B1155" s="6">
        <v>40449</v>
      </c>
      <c r="C1155">
        <v>3.3837525300000002</v>
      </c>
    </row>
    <row r="1156" spans="2:3" x14ac:dyDescent="0.2">
      <c r="B1156" s="6">
        <v>40448</v>
      </c>
      <c r="C1156">
        <v>3.3780590589999999</v>
      </c>
    </row>
    <row r="1157" spans="2:3" x14ac:dyDescent="0.2">
      <c r="B1157" s="6">
        <v>40445</v>
      </c>
      <c r="C1157">
        <v>3.3126574849999999</v>
      </c>
    </row>
    <row r="1158" spans="2:3" x14ac:dyDescent="0.2">
      <c r="B1158" s="6">
        <v>40444</v>
      </c>
      <c r="C1158">
        <v>3.3545487540000001</v>
      </c>
    </row>
    <row r="1159" spans="2:3" x14ac:dyDescent="0.2">
      <c r="B1159" s="6">
        <v>40443</v>
      </c>
      <c r="C1159">
        <v>3.447794494</v>
      </c>
    </row>
    <row r="1160" spans="2:3" x14ac:dyDescent="0.2">
      <c r="B1160" s="6">
        <v>40442</v>
      </c>
      <c r="C1160">
        <v>3.3812572319999998</v>
      </c>
    </row>
    <row r="1161" spans="2:3" x14ac:dyDescent="0.2">
      <c r="B1161" s="6">
        <v>40441</v>
      </c>
      <c r="C1161">
        <v>3.348615412</v>
      </c>
    </row>
    <row r="1162" spans="2:3" x14ac:dyDescent="0.2">
      <c r="B1162" s="6">
        <v>40438</v>
      </c>
      <c r="C1162">
        <v>3.3816928009999998</v>
      </c>
    </row>
    <row r="1163" spans="2:3" x14ac:dyDescent="0.2">
      <c r="B1163" s="6">
        <v>40437</v>
      </c>
      <c r="C1163">
        <v>3.5072902680000002</v>
      </c>
    </row>
    <row r="1164" spans="2:3" x14ac:dyDescent="0.2">
      <c r="B1164" s="6">
        <v>40436</v>
      </c>
      <c r="C1164">
        <v>3.5812170939999999</v>
      </c>
    </row>
    <row r="1165" spans="2:3" x14ac:dyDescent="0.2">
      <c r="B1165" s="6">
        <v>40435</v>
      </c>
      <c r="C1165">
        <v>3.5452565069999999</v>
      </c>
    </row>
    <row r="1166" spans="2:3" x14ac:dyDescent="0.2">
      <c r="B1166" s="6">
        <v>40434</v>
      </c>
      <c r="C1166">
        <v>3.4999897209999999</v>
      </c>
    </row>
    <row r="1167" spans="2:3" x14ac:dyDescent="0.2">
      <c r="B1167" s="6">
        <v>40431</v>
      </c>
      <c r="C1167">
        <v>3.424039761</v>
      </c>
    </row>
    <row r="1168" spans="2:3" x14ac:dyDescent="0.2">
      <c r="B1168" s="6">
        <v>40430</v>
      </c>
      <c r="C1168">
        <v>3.4826570669999999</v>
      </c>
    </row>
    <row r="1169" spans="2:3" x14ac:dyDescent="0.2">
      <c r="B1169" s="6">
        <v>40429</v>
      </c>
      <c r="C1169">
        <v>3.5824167330000001</v>
      </c>
    </row>
    <row r="1170" spans="2:3" x14ac:dyDescent="0.2">
      <c r="B1170" s="6">
        <v>40428</v>
      </c>
      <c r="C1170">
        <v>3.2742341910000001</v>
      </c>
    </row>
    <row r="1171" spans="2:3" x14ac:dyDescent="0.2">
      <c r="B1171" s="6">
        <v>40424</v>
      </c>
      <c r="C1171">
        <v>2.875472239</v>
      </c>
    </row>
    <row r="1172" spans="2:3" x14ac:dyDescent="0.2">
      <c r="B1172" s="6">
        <v>40423</v>
      </c>
      <c r="C1172">
        <v>2.9178438089999998</v>
      </c>
    </row>
    <row r="1173" spans="2:3" x14ac:dyDescent="0.2">
      <c r="B1173" s="6">
        <v>40422</v>
      </c>
      <c r="C1173">
        <v>3.4859467629999998</v>
      </c>
    </row>
    <row r="1174" spans="2:3" x14ac:dyDescent="0.2">
      <c r="B1174" s="6">
        <v>40421</v>
      </c>
      <c r="C1174">
        <v>3.3890510310000002</v>
      </c>
    </row>
    <row r="1175" spans="2:3" x14ac:dyDescent="0.2">
      <c r="B1175" s="6">
        <v>40420</v>
      </c>
      <c r="C1175">
        <v>3.3248137189999998</v>
      </c>
    </row>
    <row r="1176" spans="2:3" x14ac:dyDescent="0.2">
      <c r="B1176" s="6">
        <v>40417</v>
      </c>
      <c r="C1176">
        <v>3.2159138189999998</v>
      </c>
    </row>
    <row r="1177" spans="2:3" x14ac:dyDescent="0.2">
      <c r="B1177" s="6">
        <v>40416</v>
      </c>
      <c r="C1177">
        <v>3.3509813049999999</v>
      </c>
    </row>
    <row r="1178" spans="2:3" x14ac:dyDescent="0.2">
      <c r="B1178" s="6">
        <v>40415</v>
      </c>
      <c r="C1178">
        <v>3.473637606</v>
      </c>
    </row>
    <row r="1179" spans="2:3" x14ac:dyDescent="0.2">
      <c r="B1179" s="6">
        <v>40414</v>
      </c>
      <c r="C1179">
        <v>3.3148411860000002</v>
      </c>
    </row>
    <row r="1180" spans="2:3" x14ac:dyDescent="0.2">
      <c r="B1180" s="6">
        <v>40413</v>
      </c>
      <c r="C1180">
        <v>3.377566796</v>
      </c>
    </row>
    <row r="1181" spans="2:3" x14ac:dyDescent="0.2">
      <c r="B1181" s="6">
        <v>40410</v>
      </c>
      <c r="C1181">
        <v>3.3648256920000001</v>
      </c>
    </row>
    <row r="1182" spans="2:3" x14ac:dyDescent="0.2">
      <c r="B1182" s="6">
        <v>40409</v>
      </c>
      <c r="C1182">
        <v>3.428190066</v>
      </c>
    </row>
    <row r="1183" spans="2:3" x14ac:dyDescent="0.2">
      <c r="B1183" s="6">
        <v>40408</v>
      </c>
      <c r="C1183">
        <v>3.4259342820000001</v>
      </c>
    </row>
    <row r="1184" spans="2:3" x14ac:dyDescent="0.2">
      <c r="B1184" s="6">
        <v>40407</v>
      </c>
      <c r="C1184">
        <v>3.314654064</v>
      </c>
    </row>
    <row r="1185" spans="2:3" x14ac:dyDescent="0.2">
      <c r="B1185" s="6">
        <v>40406</v>
      </c>
      <c r="C1185">
        <v>3.4513058660000002</v>
      </c>
    </row>
    <row r="1186" spans="2:3" x14ac:dyDescent="0.2">
      <c r="B1186" s="6">
        <v>40403</v>
      </c>
      <c r="C1186">
        <v>3.4027398980000001</v>
      </c>
    </row>
    <row r="1187" spans="2:3" x14ac:dyDescent="0.2">
      <c r="B1187" s="6">
        <v>40402</v>
      </c>
      <c r="C1187">
        <v>3.3097577739999999</v>
      </c>
    </row>
    <row r="1188" spans="2:3" x14ac:dyDescent="0.2">
      <c r="B1188" s="6">
        <v>40401</v>
      </c>
      <c r="C1188">
        <v>3.3899712399999999</v>
      </c>
    </row>
    <row r="1189" spans="2:3" x14ac:dyDescent="0.2">
      <c r="B1189" s="6">
        <v>40400</v>
      </c>
      <c r="C1189">
        <v>3.454727401</v>
      </c>
    </row>
    <row r="1190" spans="2:3" x14ac:dyDescent="0.2">
      <c r="B1190" s="6">
        <v>40399</v>
      </c>
      <c r="C1190">
        <v>3.35854987</v>
      </c>
    </row>
    <row r="1191" spans="2:3" x14ac:dyDescent="0.2">
      <c r="B1191" s="6">
        <v>40396</v>
      </c>
      <c r="C1191">
        <v>3.4542970340000001</v>
      </c>
    </row>
    <row r="1192" spans="2:3" x14ac:dyDescent="0.2">
      <c r="B1192" s="6">
        <v>40395</v>
      </c>
      <c r="C1192">
        <v>3.4918044849999998</v>
      </c>
    </row>
    <row r="1193" spans="2:3" x14ac:dyDescent="0.2">
      <c r="B1193" s="6">
        <v>40394</v>
      </c>
      <c r="C1193">
        <v>3.4895808719999999</v>
      </c>
    </row>
    <row r="1194" spans="2:3" x14ac:dyDescent="0.2">
      <c r="B1194" s="6">
        <v>40393</v>
      </c>
      <c r="C1194">
        <v>3.5533724109999998</v>
      </c>
    </row>
    <row r="1195" spans="2:3" x14ac:dyDescent="0.2">
      <c r="B1195" s="6">
        <v>40392</v>
      </c>
      <c r="C1195">
        <v>3.5817037310000002</v>
      </c>
    </row>
    <row r="1196" spans="2:3" x14ac:dyDescent="0.2">
      <c r="B1196" s="6">
        <v>40389</v>
      </c>
      <c r="C1196">
        <v>3.5231448520000002</v>
      </c>
    </row>
    <row r="1197" spans="2:3" x14ac:dyDescent="0.2">
      <c r="B1197" s="6">
        <v>40388</v>
      </c>
      <c r="C1197">
        <v>3.5726968879999998</v>
      </c>
    </row>
    <row r="1198" spans="2:3" x14ac:dyDescent="0.2">
      <c r="B1198" s="6">
        <v>40387</v>
      </c>
      <c r="C1198">
        <v>3.4896878920000001</v>
      </c>
    </row>
    <row r="1199" spans="2:3" x14ac:dyDescent="0.2">
      <c r="B1199" s="6">
        <v>40386</v>
      </c>
      <c r="C1199">
        <v>3.5563108510000001</v>
      </c>
    </row>
    <row r="1200" spans="2:3" x14ac:dyDescent="0.2">
      <c r="B1200" s="6">
        <v>40385</v>
      </c>
      <c r="C1200">
        <v>3.571244579</v>
      </c>
    </row>
    <row r="1201" spans="2:3" x14ac:dyDescent="0.2">
      <c r="B1201" s="6">
        <v>40382</v>
      </c>
      <c r="C1201">
        <v>3.619995866</v>
      </c>
    </row>
    <row r="1202" spans="2:3" x14ac:dyDescent="0.2">
      <c r="B1202" s="6">
        <v>40381</v>
      </c>
      <c r="C1202">
        <v>3.6202969509999998</v>
      </c>
    </row>
    <row r="1203" spans="2:3" x14ac:dyDescent="0.2">
      <c r="B1203" s="6">
        <v>40380</v>
      </c>
      <c r="C1203">
        <v>3.6186192570000002</v>
      </c>
    </row>
    <row r="1204" spans="2:3" x14ac:dyDescent="0.2">
      <c r="B1204" s="6">
        <v>40379</v>
      </c>
      <c r="C1204">
        <v>3.5744549499999998</v>
      </c>
    </row>
    <row r="1205" spans="2:3" x14ac:dyDescent="0.2">
      <c r="B1205" s="6">
        <v>40378</v>
      </c>
      <c r="C1205">
        <v>3.5678680749999998</v>
      </c>
    </row>
    <row r="1206" spans="2:3" x14ac:dyDescent="0.2">
      <c r="B1206" s="6">
        <v>40375</v>
      </c>
      <c r="C1206">
        <v>3.635925039</v>
      </c>
    </row>
    <row r="1207" spans="2:3" x14ac:dyDescent="0.2">
      <c r="B1207" s="6">
        <v>40374</v>
      </c>
      <c r="C1207">
        <v>3.6574122729999998</v>
      </c>
    </row>
    <row r="1208" spans="2:3" x14ac:dyDescent="0.2">
      <c r="B1208" s="6">
        <v>40373</v>
      </c>
      <c r="C1208">
        <v>3.5977339669999999</v>
      </c>
    </row>
    <row r="1209" spans="2:3" x14ac:dyDescent="0.2">
      <c r="B1209" s="6">
        <v>40372</v>
      </c>
      <c r="C1209">
        <v>3.6122546820000001</v>
      </c>
    </row>
    <row r="1210" spans="2:3" x14ac:dyDescent="0.2">
      <c r="B1210" s="6">
        <v>40371</v>
      </c>
      <c r="C1210">
        <v>3.7004314250000001</v>
      </c>
    </row>
    <row r="1211" spans="2:3" x14ac:dyDescent="0.2">
      <c r="B1211" s="6">
        <v>40368</v>
      </c>
      <c r="C1211">
        <v>3.7530610599999998</v>
      </c>
    </row>
    <row r="1212" spans="2:3" x14ac:dyDescent="0.2">
      <c r="B1212" s="6">
        <v>40367</v>
      </c>
      <c r="C1212">
        <v>3.7139520789999998</v>
      </c>
    </row>
    <row r="1213" spans="2:3" x14ac:dyDescent="0.2">
      <c r="B1213" s="6">
        <v>40366</v>
      </c>
      <c r="C1213">
        <v>3.7157547740000001</v>
      </c>
    </row>
    <row r="1214" spans="2:3" x14ac:dyDescent="0.2">
      <c r="B1214" s="6">
        <v>40365</v>
      </c>
      <c r="C1214">
        <v>3.7116847380000002</v>
      </c>
    </row>
    <row r="1215" spans="2:3" x14ac:dyDescent="0.2">
      <c r="B1215" s="6">
        <v>40361</v>
      </c>
      <c r="C1215">
        <v>3.6983718739999998</v>
      </c>
    </row>
    <row r="1216" spans="2:3" x14ac:dyDescent="0.2">
      <c r="B1216" s="6">
        <v>40360</v>
      </c>
      <c r="C1216">
        <v>3.635134909</v>
      </c>
    </row>
    <row r="1217" spans="2:3" x14ac:dyDescent="0.2">
      <c r="B1217" s="6">
        <v>40359</v>
      </c>
      <c r="C1217">
        <v>3.7169645720000002</v>
      </c>
    </row>
    <row r="1218" spans="2:3" x14ac:dyDescent="0.2">
      <c r="B1218" s="6">
        <v>40358</v>
      </c>
      <c r="C1218">
        <v>3.6937861700000001</v>
      </c>
    </row>
    <row r="1219" spans="2:3" x14ac:dyDescent="0.2">
      <c r="B1219" s="6">
        <v>40357</v>
      </c>
      <c r="C1219">
        <v>3.7245864329999998</v>
      </c>
    </row>
    <row r="1220" spans="2:3" x14ac:dyDescent="0.2">
      <c r="B1220" s="6">
        <v>40354</v>
      </c>
      <c r="C1220">
        <v>3.7253294239999999</v>
      </c>
    </row>
    <row r="1221" spans="2:3" x14ac:dyDescent="0.2">
      <c r="B1221" s="6">
        <v>40353</v>
      </c>
      <c r="C1221">
        <v>3.7615715340000002</v>
      </c>
    </row>
    <row r="1222" spans="2:3" x14ac:dyDescent="0.2">
      <c r="B1222" s="6">
        <v>40352</v>
      </c>
      <c r="C1222">
        <v>3.8645789380000002</v>
      </c>
    </row>
    <row r="1223" spans="2:3" x14ac:dyDescent="0.2">
      <c r="B1223" s="6">
        <v>40351</v>
      </c>
      <c r="C1223">
        <v>3.9081396700000002</v>
      </c>
    </row>
    <row r="1224" spans="2:3" x14ac:dyDescent="0.2">
      <c r="B1224" s="6">
        <v>40350</v>
      </c>
      <c r="C1224">
        <v>3.8309205209999999</v>
      </c>
    </row>
    <row r="1225" spans="2:3" x14ac:dyDescent="0.2">
      <c r="B1225" s="6">
        <v>40347</v>
      </c>
      <c r="C1225">
        <v>3.874923436</v>
      </c>
    </row>
    <row r="1226" spans="2:3" x14ac:dyDescent="0.2">
      <c r="B1226" s="6">
        <v>40346</v>
      </c>
      <c r="C1226">
        <v>3.955042637</v>
      </c>
    </row>
    <row r="1227" spans="2:3" x14ac:dyDescent="0.2">
      <c r="B1227" s="6">
        <v>40345</v>
      </c>
      <c r="C1227">
        <v>3.9704372320000001</v>
      </c>
    </row>
    <row r="1228" spans="2:3" x14ac:dyDescent="0.2">
      <c r="B1228" s="6">
        <v>40344</v>
      </c>
      <c r="C1228">
        <v>3.9681915619999999</v>
      </c>
    </row>
    <row r="1229" spans="2:3" x14ac:dyDescent="0.2">
      <c r="B1229" s="6">
        <v>40343</v>
      </c>
      <c r="C1229">
        <v>4.0548762189999996</v>
      </c>
    </row>
    <row r="1230" spans="2:3" x14ac:dyDescent="0.2">
      <c r="B1230" s="6">
        <v>40340</v>
      </c>
      <c r="C1230">
        <v>4.0755435440000003</v>
      </c>
    </row>
    <row r="1231" spans="2:3" x14ac:dyDescent="0.2">
      <c r="B1231" s="6">
        <v>40339</v>
      </c>
      <c r="C1231">
        <v>4.0388489600000002</v>
      </c>
    </row>
    <row r="1232" spans="2:3" x14ac:dyDescent="0.2">
      <c r="B1232" s="6">
        <v>40338</v>
      </c>
      <c r="C1232">
        <v>4.0220452409999998</v>
      </c>
    </row>
    <row r="1233" spans="2:3" x14ac:dyDescent="0.2">
      <c r="B1233" s="6">
        <v>40337</v>
      </c>
      <c r="C1233">
        <v>4.1065329889999997</v>
      </c>
    </row>
    <row r="1234" spans="2:3" x14ac:dyDescent="0.2">
      <c r="B1234" s="6">
        <v>40336</v>
      </c>
      <c r="C1234">
        <v>3.9942499800000002</v>
      </c>
    </row>
    <row r="1235" spans="2:3" x14ac:dyDescent="0.2">
      <c r="B1235" s="6">
        <v>40333</v>
      </c>
      <c r="C1235">
        <v>3.999581879</v>
      </c>
    </row>
    <row r="1236" spans="2:3" x14ac:dyDescent="0.2">
      <c r="B1236" s="6">
        <v>40332</v>
      </c>
      <c r="C1236">
        <v>4.0322223619999997</v>
      </c>
    </row>
    <row r="1237" spans="2:3" x14ac:dyDescent="0.2">
      <c r="B1237" s="6">
        <v>40331</v>
      </c>
      <c r="C1237">
        <v>4.0385004289999999</v>
      </c>
    </row>
    <row r="1238" spans="2:3" x14ac:dyDescent="0.2">
      <c r="B1238" s="6">
        <v>40330</v>
      </c>
      <c r="C1238">
        <v>4.187579607</v>
      </c>
    </row>
    <row r="1239" spans="2:3" x14ac:dyDescent="0.2">
      <c r="B1239" s="6">
        <v>40326</v>
      </c>
      <c r="C1239">
        <v>4.1766757620000003</v>
      </c>
    </row>
    <row r="1240" spans="2:3" x14ac:dyDescent="0.2">
      <c r="B1240" s="6">
        <v>40325</v>
      </c>
      <c r="C1240">
        <v>4.1510729309999999</v>
      </c>
    </row>
    <row r="1241" spans="2:3" x14ac:dyDescent="0.2">
      <c r="B1241" s="6">
        <v>40324</v>
      </c>
      <c r="C1241">
        <v>4.1547377509999999</v>
      </c>
    </row>
    <row r="1242" spans="2:3" x14ac:dyDescent="0.2">
      <c r="B1242" s="6">
        <v>40323</v>
      </c>
      <c r="C1242">
        <v>4.1816156790000001</v>
      </c>
    </row>
    <row r="1243" spans="2:3" x14ac:dyDescent="0.2">
      <c r="B1243" s="6">
        <v>40322</v>
      </c>
      <c r="C1243">
        <v>4.0848766630000002</v>
      </c>
    </row>
    <row r="1244" spans="2:3" x14ac:dyDescent="0.2">
      <c r="B1244" s="6">
        <v>40319</v>
      </c>
      <c r="C1244">
        <v>4.058215015</v>
      </c>
    </row>
    <row r="1245" spans="2:3" x14ac:dyDescent="0.2">
      <c r="B1245" s="6">
        <v>40318</v>
      </c>
      <c r="C1245">
        <v>4.1135457000000004</v>
      </c>
    </row>
    <row r="1246" spans="2:3" x14ac:dyDescent="0.2">
      <c r="B1246" s="6">
        <v>40317</v>
      </c>
      <c r="C1246">
        <v>4.0434395749999998</v>
      </c>
    </row>
    <row r="1247" spans="2:3" x14ac:dyDescent="0.2">
      <c r="B1247" s="6">
        <v>40316</v>
      </c>
      <c r="C1247">
        <v>4.060302171</v>
      </c>
    </row>
    <row r="1248" spans="2:3" x14ac:dyDescent="0.2">
      <c r="B1248" s="6">
        <v>40315</v>
      </c>
      <c r="C1248">
        <v>4.127773994</v>
      </c>
    </row>
    <row r="1249" spans="2:3" x14ac:dyDescent="0.2">
      <c r="B1249" s="6">
        <v>40312</v>
      </c>
      <c r="C1249">
        <v>4.1366014419999999</v>
      </c>
    </row>
    <row r="1250" spans="2:3" x14ac:dyDescent="0.2">
      <c r="B1250" s="6">
        <v>40311</v>
      </c>
      <c r="C1250">
        <v>4.1901624919999998</v>
      </c>
    </row>
    <row r="1251" spans="2:3" x14ac:dyDescent="0.2">
      <c r="B1251" s="6">
        <v>40310</v>
      </c>
      <c r="C1251">
        <v>4.1918495189999998</v>
      </c>
    </row>
    <row r="1252" spans="2:3" x14ac:dyDescent="0.2">
      <c r="B1252" s="6">
        <v>40309</v>
      </c>
      <c r="C1252">
        <v>4.2824920449999997</v>
      </c>
    </row>
    <row r="1253" spans="2:3" x14ac:dyDescent="0.2">
      <c r="B1253" s="6">
        <v>40308</v>
      </c>
      <c r="C1253">
        <v>4.2926723190000002</v>
      </c>
    </row>
    <row r="1254" spans="2:3" x14ac:dyDescent="0.2">
      <c r="B1254" s="6">
        <v>40305</v>
      </c>
      <c r="C1254">
        <v>4.2863821250000003</v>
      </c>
    </row>
    <row r="1255" spans="2:3" x14ac:dyDescent="0.2">
      <c r="B1255" s="6">
        <v>40304</v>
      </c>
      <c r="C1255">
        <v>4.3116514739999996</v>
      </c>
    </row>
    <row r="1256" spans="2:3" x14ac:dyDescent="0.2">
      <c r="B1256" s="6">
        <v>40303</v>
      </c>
      <c r="C1256">
        <v>4.2583811689999997</v>
      </c>
    </row>
    <row r="1257" spans="2:3" x14ac:dyDescent="0.2">
      <c r="B1257" s="6">
        <v>40302</v>
      </c>
      <c r="C1257">
        <v>4.2225645969999999</v>
      </c>
    </row>
    <row r="1258" spans="2:3" x14ac:dyDescent="0.2">
      <c r="B1258" s="6">
        <v>40301</v>
      </c>
      <c r="C1258">
        <v>4.3351595229999997</v>
      </c>
    </row>
    <row r="1259" spans="2:3" x14ac:dyDescent="0.2">
      <c r="B1259" s="6">
        <v>40298</v>
      </c>
      <c r="C1259">
        <v>4.380436467</v>
      </c>
    </row>
    <row r="1260" spans="2:3" x14ac:dyDescent="0.2">
      <c r="B1260" s="6">
        <v>40297</v>
      </c>
      <c r="C1260">
        <v>4.4330227290000002</v>
      </c>
    </row>
    <row r="1261" spans="2:3" x14ac:dyDescent="0.2">
      <c r="B1261" s="6">
        <v>40296</v>
      </c>
      <c r="C1261">
        <v>4.3907036030000004</v>
      </c>
    </row>
    <row r="1262" spans="2:3" x14ac:dyDescent="0.2">
      <c r="B1262" s="6">
        <v>40295</v>
      </c>
      <c r="C1262">
        <v>4.4231720780000003</v>
      </c>
    </row>
    <row r="1263" spans="2:3" x14ac:dyDescent="0.2">
      <c r="B1263" s="6">
        <v>40294</v>
      </c>
      <c r="C1263">
        <v>4.4652868469999998</v>
      </c>
    </row>
    <row r="1264" spans="2:3" x14ac:dyDescent="0.2">
      <c r="B1264" s="6">
        <v>40291</v>
      </c>
      <c r="C1264">
        <v>4.4098221090000003</v>
      </c>
    </row>
    <row r="1265" spans="2:3" x14ac:dyDescent="0.2">
      <c r="B1265" s="6">
        <v>40290</v>
      </c>
      <c r="C1265">
        <v>4.486970737</v>
      </c>
    </row>
    <row r="1266" spans="2:3" x14ac:dyDescent="0.2">
      <c r="B1266" s="6">
        <v>40289</v>
      </c>
      <c r="C1266">
        <v>4.496575633</v>
      </c>
    </row>
    <row r="1267" spans="2:3" x14ac:dyDescent="0.2">
      <c r="B1267" s="6">
        <v>40288</v>
      </c>
      <c r="C1267">
        <v>4.4736805889999998</v>
      </c>
    </row>
    <row r="1268" spans="2:3" x14ac:dyDescent="0.2">
      <c r="B1268" s="6">
        <v>40287</v>
      </c>
      <c r="C1268">
        <v>4.4287040050000002</v>
      </c>
    </row>
    <row r="1269" spans="2:3" x14ac:dyDescent="0.2">
      <c r="B1269" s="6">
        <v>40284</v>
      </c>
      <c r="C1269">
        <v>4.471680847</v>
      </c>
    </row>
    <row r="1270" spans="2:3" x14ac:dyDescent="0.2">
      <c r="B1270" s="6">
        <v>40283</v>
      </c>
      <c r="C1270">
        <v>4.4647730179999998</v>
      </c>
    </row>
    <row r="1271" spans="2:3" x14ac:dyDescent="0.2">
      <c r="B1271" s="6">
        <v>40282</v>
      </c>
      <c r="C1271">
        <v>4.4211523880000003</v>
      </c>
    </row>
    <row r="1272" spans="2:3" x14ac:dyDescent="0.2">
      <c r="B1272" s="6">
        <v>40281</v>
      </c>
      <c r="C1272">
        <v>4.4789537619999997</v>
      </c>
    </row>
    <row r="1273" spans="2:3" x14ac:dyDescent="0.2">
      <c r="B1273" s="6">
        <v>40280</v>
      </c>
      <c r="C1273">
        <v>4.4864108280000004</v>
      </c>
    </row>
    <row r="1274" spans="2:3" x14ac:dyDescent="0.2">
      <c r="B1274" s="6">
        <v>40277</v>
      </c>
      <c r="C1274">
        <v>4.4364873779999998</v>
      </c>
    </row>
    <row r="1275" spans="2:3" x14ac:dyDescent="0.2">
      <c r="B1275" s="6">
        <v>40276</v>
      </c>
      <c r="C1275">
        <v>4.4606771329999999</v>
      </c>
    </row>
    <row r="1276" spans="2:3" x14ac:dyDescent="0.2">
      <c r="B1276" s="6">
        <v>40275</v>
      </c>
      <c r="C1276">
        <v>4.5414983690000001</v>
      </c>
    </row>
    <row r="1277" spans="2:3" x14ac:dyDescent="0.2">
      <c r="B1277" s="6">
        <v>40274</v>
      </c>
      <c r="C1277">
        <v>4.5547050369999997</v>
      </c>
    </row>
    <row r="1278" spans="2:3" x14ac:dyDescent="0.2">
      <c r="B1278" s="6">
        <v>40273</v>
      </c>
      <c r="C1278">
        <v>4.5339139020000001</v>
      </c>
    </row>
    <row r="1279" spans="2:3" x14ac:dyDescent="0.2">
      <c r="B1279" s="6">
        <v>40269</v>
      </c>
      <c r="C1279">
        <v>4.6396609639999999</v>
      </c>
    </row>
    <row r="1280" spans="2:3" x14ac:dyDescent="0.2">
      <c r="B1280" s="6">
        <v>40268</v>
      </c>
      <c r="C1280">
        <v>4.6749268739999996</v>
      </c>
    </row>
    <row r="1281" spans="2:3" x14ac:dyDescent="0.2">
      <c r="B1281" s="6">
        <v>40267</v>
      </c>
      <c r="C1281">
        <v>4.5550104649999996</v>
      </c>
    </row>
    <row r="1282" spans="2:3" x14ac:dyDescent="0.2">
      <c r="B1282" s="6">
        <v>40266</v>
      </c>
      <c r="C1282">
        <v>4.5033140720000002</v>
      </c>
    </row>
    <row r="1283" spans="2:3" x14ac:dyDescent="0.2">
      <c r="B1283" s="6">
        <v>40263</v>
      </c>
      <c r="C1283">
        <v>4.4898920530000002</v>
      </c>
    </row>
    <row r="1284" spans="2:3" x14ac:dyDescent="0.2">
      <c r="B1284" s="6">
        <v>40262</v>
      </c>
      <c r="C1284">
        <v>4.4592769240000001</v>
      </c>
    </row>
    <row r="1285" spans="2:3" x14ac:dyDescent="0.2">
      <c r="B1285" s="6">
        <v>40261</v>
      </c>
      <c r="C1285">
        <v>4.4567860110000002</v>
      </c>
    </row>
    <row r="1286" spans="2:3" x14ac:dyDescent="0.2">
      <c r="B1286" s="6">
        <v>40260</v>
      </c>
      <c r="C1286">
        <v>4.5108071169999997</v>
      </c>
    </row>
    <row r="1287" spans="2:3" x14ac:dyDescent="0.2">
      <c r="B1287" s="6">
        <v>40259</v>
      </c>
      <c r="C1287">
        <v>4.4480693809999998</v>
      </c>
    </row>
    <row r="1288" spans="2:3" x14ac:dyDescent="0.2">
      <c r="B1288" s="6">
        <v>40256</v>
      </c>
      <c r="C1288">
        <v>4.3288813939999997</v>
      </c>
    </row>
    <row r="1289" spans="2:3" x14ac:dyDescent="0.2">
      <c r="B1289" s="6">
        <v>40255</v>
      </c>
      <c r="C1289">
        <v>4.3264666920000003</v>
      </c>
    </row>
    <row r="1290" spans="2:3" x14ac:dyDescent="0.2">
      <c r="B1290" s="6">
        <v>40254</v>
      </c>
      <c r="C1290">
        <v>4.3559191149999998</v>
      </c>
    </row>
    <row r="1291" spans="2:3" x14ac:dyDescent="0.2">
      <c r="B1291" s="6">
        <v>40253</v>
      </c>
      <c r="C1291">
        <v>4.3324190329999999</v>
      </c>
    </row>
    <row r="1292" spans="2:3" x14ac:dyDescent="0.2">
      <c r="B1292" s="6">
        <v>40252</v>
      </c>
      <c r="C1292">
        <v>4.2959930860000002</v>
      </c>
    </row>
    <row r="1293" spans="2:3" x14ac:dyDescent="0.2">
      <c r="B1293" s="6">
        <v>40249</v>
      </c>
      <c r="C1293">
        <v>4.3166556720000004</v>
      </c>
    </row>
    <row r="1294" spans="2:3" x14ac:dyDescent="0.2">
      <c r="B1294" s="6">
        <v>40248</v>
      </c>
      <c r="C1294">
        <v>4.3389433329999996</v>
      </c>
    </row>
    <row r="1295" spans="2:3" x14ac:dyDescent="0.2">
      <c r="B1295" s="6">
        <v>40247</v>
      </c>
      <c r="C1295">
        <v>4.3434277440000004</v>
      </c>
    </row>
    <row r="1296" spans="2:3" x14ac:dyDescent="0.2">
      <c r="B1296" s="6">
        <v>40246</v>
      </c>
      <c r="C1296">
        <v>4.3258467009999997</v>
      </c>
    </row>
    <row r="1297" spans="2:3" x14ac:dyDescent="0.2">
      <c r="B1297" s="6">
        <v>40245</v>
      </c>
      <c r="C1297">
        <v>4.3172642310000002</v>
      </c>
    </row>
    <row r="1298" spans="2:3" x14ac:dyDescent="0.2">
      <c r="B1298" s="6">
        <v>40242</v>
      </c>
      <c r="C1298">
        <v>4.3086396970000003</v>
      </c>
    </row>
    <row r="1299" spans="2:3" x14ac:dyDescent="0.2">
      <c r="B1299" s="6">
        <v>40241</v>
      </c>
      <c r="C1299">
        <v>4.342601599</v>
      </c>
    </row>
    <row r="1300" spans="2:3" x14ac:dyDescent="0.2">
      <c r="B1300" s="6">
        <v>40240</v>
      </c>
      <c r="C1300">
        <v>4.3264407509999998</v>
      </c>
    </row>
    <row r="1301" spans="2:3" x14ac:dyDescent="0.2">
      <c r="B1301" s="6">
        <v>40239</v>
      </c>
      <c r="C1301">
        <v>4.2835440629999999</v>
      </c>
    </row>
    <row r="1302" spans="2:3" x14ac:dyDescent="0.2">
      <c r="B1302" s="6">
        <v>40238</v>
      </c>
      <c r="C1302">
        <v>4.3075702509999996</v>
      </c>
    </row>
    <row r="1303" spans="2:3" x14ac:dyDescent="0.2">
      <c r="B1303" s="6">
        <v>40235</v>
      </c>
      <c r="C1303">
        <v>4.3343658310000004</v>
      </c>
    </row>
    <row r="1304" spans="2:3" x14ac:dyDescent="0.2">
      <c r="B1304" s="6">
        <v>40234</v>
      </c>
      <c r="C1304">
        <v>4.328366817</v>
      </c>
    </row>
    <row r="1305" spans="2:3" x14ac:dyDescent="0.2">
      <c r="B1305" s="6">
        <v>40233</v>
      </c>
      <c r="C1305">
        <v>4.2907489969999997</v>
      </c>
    </row>
    <row r="1306" spans="2:3" x14ac:dyDescent="0.2">
      <c r="B1306" s="6">
        <v>40232</v>
      </c>
      <c r="C1306">
        <v>4.3541837130000003</v>
      </c>
    </row>
    <row r="1307" spans="2:3" x14ac:dyDescent="0.2">
      <c r="B1307" s="6">
        <v>40231</v>
      </c>
      <c r="C1307">
        <v>4.395847914</v>
      </c>
    </row>
    <row r="1308" spans="2:3" x14ac:dyDescent="0.2">
      <c r="B1308" s="6">
        <v>40228</v>
      </c>
      <c r="C1308">
        <v>4.3914373800000002</v>
      </c>
    </row>
    <row r="1309" spans="2:3" x14ac:dyDescent="0.2">
      <c r="B1309" s="6">
        <v>40227</v>
      </c>
      <c r="C1309">
        <v>4.4624514289999997</v>
      </c>
    </row>
    <row r="1310" spans="2:3" x14ac:dyDescent="0.2">
      <c r="B1310" s="6">
        <v>40226</v>
      </c>
      <c r="C1310">
        <v>4.4863054910000004</v>
      </c>
    </row>
    <row r="1311" spans="2:3" x14ac:dyDescent="0.2">
      <c r="B1311" s="6">
        <v>40225</v>
      </c>
      <c r="C1311">
        <v>4.4681580490000004</v>
      </c>
    </row>
    <row r="1312" spans="2:3" x14ac:dyDescent="0.2">
      <c r="B1312" s="6">
        <v>40221</v>
      </c>
      <c r="C1312">
        <v>4.3913966240000004</v>
      </c>
    </row>
    <row r="1313" spans="2:3" x14ac:dyDescent="0.2">
      <c r="B1313" s="6">
        <v>40220</v>
      </c>
      <c r="C1313">
        <v>4.3232740569999999</v>
      </c>
    </row>
    <row r="1314" spans="2:3" x14ac:dyDescent="0.2">
      <c r="B1314" s="6">
        <v>40219</v>
      </c>
      <c r="C1314">
        <v>4.3460644029999997</v>
      </c>
    </row>
    <row r="1315" spans="2:3" x14ac:dyDescent="0.2">
      <c r="B1315" s="6">
        <v>40218</v>
      </c>
      <c r="C1315">
        <v>4.3987903910000004</v>
      </c>
    </row>
    <row r="1316" spans="2:3" x14ac:dyDescent="0.2">
      <c r="B1316" s="6">
        <v>40217</v>
      </c>
      <c r="C1316">
        <v>4.4063561990000002</v>
      </c>
    </row>
    <row r="1317" spans="2:3" x14ac:dyDescent="0.2">
      <c r="B1317" s="6">
        <v>40214</v>
      </c>
      <c r="C1317">
        <v>4.3653171840000002</v>
      </c>
    </row>
    <row r="1318" spans="2:3" x14ac:dyDescent="0.2">
      <c r="B1318" s="6">
        <v>40213</v>
      </c>
      <c r="C1318">
        <v>4.3320366689999998</v>
      </c>
    </row>
    <row r="1319" spans="2:3" x14ac:dyDescent="0.2">
      <c r="B1319" s="6">
        <v>40212</v>
      </c>
      <c r="C1319">
        <v>4.2765994909999998</v>
      </c>
    </row>
    <row r="1320" spans="2:3" x14ac:dyDescent="0.2">
      <c r="B1320" s="6">
        <v>40211</v>
      </c>
      <c r="C1320">
        <v>4.3238522350000004</v>
      </c>
    </row>
    <row r="1321" spans="2:3" x14ac:dyDescent="0.2">
      <c r="B1321" s="6">
        <v>40210</v>
      </c>
      <c r="C1321">
        <v>4.3947791030000003</v>
      </c>
    </row>
    <row r="1322" spans="2:3" x14ac:dyDescent="0.2">
      <c r="B1322" s="6">
        <v>40207</v>
      </c>
      <c r="C1322">
        <v>4.3619253359999997</v>
      </c>
    </row>
    <row r="1323" spans="2:3" x14ac:dyDescent="0.2">
      <c r="B1323" s="6">
        <v>40206</v>
      </c>
      <c r="C1323">
        <v>4.3830379439999998</v>
      </c>
    </row>
    <row r="1324" spans="2:3" x14ac:dyDescent="0.2">
      <c r="B1324" s="6">
        <v>40205</v>
      </c>
      <c r="C1324">
        <v>4.3620296969999997</v>
      </c>
    </row>
    <row r="1325" spans="2:3" x14ac:dyDescent="0.2">
      <c r="B1325" s="6">
        <v>40204</v>
      </c>
      <c r="C1325">
        <v>4.4035449760000001</v>
      </c>
    </row>
    <row r="1326" spans="2:3" x14ac:dyDescent="0.2">
      <c r="B1326" s="6">
        <v>40203</v>
      </c>
      <c r="C1326">
        <v>4.3871320689999997</v>
      </c>
    </row>
    <row r="1327" spans="2:3" x14ac:dyDescent="0.2">
      <c r="B1327" s="6">
        <v>40200</v>
      </c>
      <c r="C1327">
        <v>4.370822457</v>
      </c>
    </row>
    <row r="1328" spans="2:3" x14ac:dyDescent="0.2">
      <c r="B1328" s="6">
        <v>40199</v>
      </c>
      <c r="C1328">
        <v>4.3808133439999999</v>
      </c>
    </row>
    <row r="1329" spans="2:3" x14ac:dyDescent="0.2">
      <c r="B1329" s="6">
        <v>40198</v>
      </c>
      <c r="C1329">
        <v>4.3453136560000001</v>
      </c>
    </row>
    <row r="1330" spans="2:3" x14ac:dyDescent="0.2">
      <c r="B1330" s="6">
        <v>40197</v>
      </c>
      <c r="C1330">
        <v>4.3351721960000003</v>
      </c>
    </row>
    <row r="1331" spans="2:3" x14ac:dyDescent="0.2">
      <c r="B1331" s="6">
        <v>40193</v>
      </c>
      <c r="C1331">
        <v>4.3677855259999996</v>
      </c>
    </row>
    <row r="1332" spans="2:3" x14ac:dyDescent="0.2">
      <c r="B1332" s="6">
        <v>40192</v>
      </c>
      <c r="C1332">
        <v>4.4019710270000001</v>
      </c>
    </row>
    <row r="1333" spans="2:3" x14ac:dyDescent="0.2">
      <c r="B1333" s="6">
        <v>40191</v>
      </c>
      <c r="C1333">
        <v>4.3696707019999996</v>
      </c>
    </row>
    <row r="1334" spans="2:3" x14ac:dyDescent="0.2">
      <c r="B1334" s="6">
        <v>40190</v>
      </c>
      <c r="C1334">
        <v>4.4265935059999997</v>
      </c>
    </row>
    <row r="1335" spans="2:3" x14ac:dyDescent="0.2">
      <c r="B1335" s="6">
        <v>40189</v>
      </c>
      <c r="C1335">
        <v>4.4541497039999998</v>
      </c>
    </row>
    <row r="1336" spans="2:3" x14ac:dyDescent="0.2">
      <c r="B1336" s="6">
        <v>40186</v>
      </c>
      <c r="C1336">
        <v>4.4087647030000001</v>
      </c>
    </row>
    <row r="1337" spans="2:3" x14ac:dyDescent="0.2">
      <c r="B1337" s="6">
        <v>40185</v>
      </c>
      <c r="C1337">
        <v>4.4888752270000003</v>
      </c>
    </row>
    <row r="1338" spans="2:3" x14ac:dyDescent="0.2">
      <c r="B1338" s="6">
        <v>40184</v>
      </c>
      <c r="C1338">
        <v>4.4995349730000003</v>
      </c>
    </row>
    <row r="1339" spans="2:3" x14ac:dyDescent="0.2">
      <c r="B1339" s="6">
        <v>40183</v>
      </c>
      <c r="C1339">
        <v>4.5050354209999997</v>
      </c>
    </row>
    <row r="1340" spans="2:3" x14ac:dyDescent="0.2">
      <c r="B1340" s="6">
        <v>40182</v>
      </c>
      <c r="C1340">
        <v>4.4757415060000003</v>
      </c>
    </row>
    <row r="1341" spans="2:3" x14ac:dyDescent="0.2">
      <c r="B1341" s="6">
        <v>40178</v>
      </c>
      <c r="C1341">
        <v>4.4366588450000002</v>
      </c>
    </row>
    <row r="1342" spans="2:3" x14ac:dyDescent="0.2">
      <c r="B1342" s="6">
        <v>40177</v>
      </c>
      <c r="C1342">
        <v>4.5325306760000004</v>
      </c>
    </row>
    <row r="1343" spans="2:3" x14ac:dyDescent="0.2">
      <c r="B1343" s="6">
        <v>40176</v>
      </c>
      <c r="C1343">
        <v>4.5592481359999999</v>
      </c>
    </row>
    <row r="1344" spans="2:3" x14ac:dyDescent="0.2">
      <c r="B1344" s="6">
        <v>40175</v>
      </c>
      <c r="C1344">
        <v>4.5227658880000003</v>
      </c>
    </row>
    <row r="1345" spans="2:3" x14ac:dyDescent="0.2">
      <c r="B1345" s="6">
        <v>40171</v>
      </c>
      <c r="C1345">
        <v>4.5562322289999999</v>
      </c>
    </row>
    <row r="1346" spans="2:3" x14ac:dyDescent="0.2">
      <c r="B1346" s="6">
        <v>40170</v>
      </c>
      <c r="C1346">
        <v>4.596777576</v>
      </c>
    </row>
    <row r="1347" spans="2:3" x14ac:dyDescent="0.2">
      <c r="B1347" s="6">
        <v>40169</v>
      </c>
      <c r="C1347">
        <v>4.5466749340000003</v>
      </c>
    </row>
    <row r="1348" spans="2:3" x14ac:dyDescent="0.2">
      <c r="B1348" s="6">
        <v>40168</v>
      </c>
      <c r="C1348">
        <v>4.4959394469999996</v>
      </c>
    </row>
    <row r="1349" spans="2:3" x14ac:dyDescent="0.2">
      <c r="B1349" s="6">
        <v>40165</v>
      </c>
      <c r="C1349">
        <v>4.4853991730000002</v>
      </c>
    </row>
    <row r="1350" spans="2:3" x14ac:dyDescent="0.2">
      <c r="B1350" s="6">
        <v>40164</v>
      </c>
      <c r="C1350">
        <v>4.4100417759999999</v>
      </c>
    </row>
    <row r="1351" spans="2:3" x14ac:dyDescent="0.2">
      <c r="B1351" s="6">
        <v>40163</v>
      </c>
      <c r="C1351">
        <v>4.2629090219999997</v>
      </c>
    </row>
    <row r="1352" spans="2:3" x14ac:dyDescent="0.2">
      <c r="B1352" s="6">
        <v>40162</v>
      </c>
      <c r="C1352">
        <v>4.1982238260000004</v>
      </c>
    </row>
    <row r="1353" spans="2:3" x14ac:dyDescent="0.2">
      <c r="B1353" s="6">
        <v>40161</v>
      </c>
      <c r="C1353">
        <v>4.3249234909999998</v>
      </c>
    </row>
    <row r="1354" spans="2:3" x14ac:dyDescent="0.2">
      <c r="B1354" s="6">
        <v>40158</v>
      </c>
      <c r="C1354">
        <v>4.3540719279999998</v>
      </c>
    </row>
    <row r="1355" spans="2:3" x14ac:dyDescent="0.2">
      <c r="B1355" s="6">
        <v>40157</v>
      </c>
      <c r="C1355">
        <v>4.2831681289999999</v>
      </c>
    </row>
    <row r="1356" spans="2:3" x14ac:dyDescent="0.2">
      <c r="B1356" s="6">
        <v>40156</v>
      </c>
      <c r="C1356">
        <v>4.2470922169999996</v>
      </c>
    </row>
    <row r="1357" spans="2:3" x14ac:dyDescent="0.2">
      <c r="B1357" s="6">
        <v>40155</v>
      </c>
      <c r="C1357">
        <v>4.2251526469999998</v>
      </c>
    </row>
    <row r="1358" spans="2:3" x14ac:dyDescent="0.2">
      <c r="B1358" s="6">
        <v>40154</v>
      </c>
      <c r="C1358">
        <v>4.1916747689999996</v>
      </c>
    </row>
    <row r="1359" spans="2:3" x14ac:dyDescent="0.2">
      <c r="B1359" s="6">
        <v>40151</v>
      </c>
      <c r="C1359">
        <v>4.1504263229999996</v>
      </c>
    </row>
    <row r="1360" spans="2:3" x14ac:dyDescent="0.2">
      <c r="B1360" s="6">
        <v>40150</v>
      </c>
      <c r="C1360">
        <v>4.1946030539999999</v>
      </c>
    </row>
    <row r="1361" spans="2:3" x14ac:dyDescent="0.2">
      <c r="B1361" s="6">
        <v>40149</v>
      </c>
      <c r="C1361">
        <v>4.2443083819999998</v>
      </c>
    </row>
    <row r="1362" spans="2:3" x14ac:dyDescent="0.2">
      <c r="B1362" s="6">
        <v>40148</v>
      </c>
      <c r="C1362">
        <v>4.1694309450000002</v>
      </c>
    </row>
    <row r="1363" spans="2:3" x14ac:dyDescent="0.2">
      <c r="B1363" s="6">
        <v>40147</v>
      </c>
      <c r="C1363">
        <v>4.1065098070000001</v>
      </c>
    </row>
    <row r="1364" spans="2:3" x14ac:dyDescent="0.2">
      <c r="B1364" s="6">
        <v>40144</v>
      </c>
      <c r="C1364">
        <v>4.0436498009999999</v>
      </c>
    </row>
    <row r="1365" spans="2:3" x14ac:dyDescent="0.2">
      <c r="B1365" s="6">
        <v>40142</v>
      </c>
      <c r="C1365">
        <v>3.9489986240000001</v>
      </c>
    </row>
    <row r="1366" spans="2:3" x14ac:dyDescent="0.2">
      <c r="B1366" s="6">
        <v>40141</v>
      </c>
      <c r="C1366">
        <v>3.9539461259999999</v>
      </c>
    </row>
    <row r="1367" spans="2:3" x14ac:dyDescent="0.2">
      <c r="B1367" s="6">
        <v>40140</v>
      </c>
      <c r="C1367">
        <v>3.9974521109999999</v>
      </c>
    </row>
    <row r="1368" spans="2:3" x14ac:dyDescent="0.2">
      <c r="B1368" s="6">
        <v>40137</v>
      </c>
      <c r="C1368">
        <v>4.007567635</v>
      </c>
    </row>
    <row r="1369" spans="2:3" x14ac:dyDescent="0.2">
      <c r="B1369" s="6">
        <v>40136</v>
      </c>
      <c r="C1369">
        <v>4.0891366739999997</v>
      </c>
    </row>
    <row r="1370" spans="2:3" x14ac:dyDescent="0.2">
      <c r="B1370" s="6">
        <v>40135</v>
      </c>
      <c r="C1370">
        <v>4.1140697739999998</v>
      </c>
    </row>
    <row r="1371" spans="2:3" x14ac:dyDescent="0.2">
      <c r="B1371" s="6">
        <v>40134</v>
      </c>
      <c r="C1371">
        <v>4.1420321820000003</v>
      </c>
    </row>
    <row r="1372" spans="2:3" x14ac:dyDescent="0.2">
      <c r="B1372" s="6">
        <v>40133</v>
      </c>
      <c r="C1372">
        <v>4.1321940860000002</v>
      </c>
    </row>
    <row r="1373" spans="2:3" x14ac:dyDescent="0.2">
      <c r="B1373" s="6">
        <v>40130</v>
      </c>
      <c r="C1373">
        <v>4.0836397040000003</v>
      </c>
    </row>
    <row r="1374" spans="2:3" x14ac:dyDescent="0.2">
      <c r="B1374" s="6">
        <v>40129</v>
      </c>
      <c r="C1374">
        <v>4.0276416529999999</v>
      </c>
    </row>
    <row r="1375" spans="2:3" x14ac:dyDescent="0.2">
      <c r="B1375" s="6">
        <v>40127</v>
      </c>
      <c r="C1375">
        <v>4.1259829789999998</v>
      </c>
    </row>
    <row r="1376" spans="2:3" x14ac:dyDescent="0.2">
      <c r="B1376" s="6">
        <v>40126</v>
      </c>
      <c r="C1376">
        <v>4.2054852130000002</v>
      </c>
    </row>
    <row r="1377" spans="2:3" x14ac:dyDescent="0.2">
      <c r="B1377" s="6">
        <v>40123</v>
      </c>
      <c r="C1377">
        <v>4.2500557880000001</v>
      </c>
    </row>
    <row r="1378" spans="2:3" x14ac:dyDescent="0.2">
      <c r="B1378" s="6">
        <v>40122</v>
      </c>
      <c r="C1378">
        <v>4.2771826510000004</v>
      </c>
    </row>
    <row r="1379" spans="2:3" x14ac:dyDescent="0.2">
      <c r="B1379" s="6">
        <v>40121</v>
      </c>
      <c r="C1379">
        <v>4.2931767609999998</v>
      </c>
    </row>
    <row r="1380" spans="2:3" x14ac:dyDescent="0.2">
      <c r="B1380" s="6">
        <v>40120</v>
      </c>
      <c r="C1380">
        <v>4.3402733470000001</v>
      </c>
    </row>
    <row r="1381" spans="2:3" x14ac:dyDescent="0.2">
      <c r="B1381" s="6">
        <v>40119</v>
      </c>
      <c r="C1381">
        <v>4.3972220460000004</v>
      </c>
    </row>
    <row r="1382" spans="2:3" x14ac:dyDescent="0.2">
      <c r="B1382" s="6">
        <v>40116</v>
      </c>
      <c r="C1382">
        <v>4.3734081959999997</v>
      </c>
    </row>
    <row r="1383" spans="2:3" x14ac:dyDescent="0.2">
      <c r="B1383" s="6">
        <v>40115</v>
      </c>
      <c r="C1383">
        <v>4.3408438370000004</v>
      </c>
    </row>
    <row r="1384" spans="2:3" x14ac:dyDescent="0.2">
      <c r="B1384" s="6">
        <v>40114</v>
      </c>
      <c r="C1384">
        <v>4.2897391909999998</v>
      </c>
    </row>
    <row r="1385" spans="2:3" x14ac:dyDescent="0.2">
      <c r="B1385" s="6">
        <v>40113</v>
      </c>
      <c r="C1385">
        <v>4.3555541279999996</v>
      </c>
    </row>
    <row r="1386" spans="2:3" x14ac:dyDescent="0.2">
      <c r="B1386" s="6">
        <v>40112</v>
      </c>
      <c r="C1386">
        <v>4.2932098029999999</v>
      </c>
    </row>
    <row r="1387" spans="2:3" x14ac:dyDescent="0.2">
      <c r="B1387" s="6">
        <v>40109</v>
      </c>
      <c r="C1387">
        <v>4.3816960790000001</v>
      </c>
    </row>
    <row r="1388" spans="2:3" x14ac:dyDescent="0.2">
      <c r="B1388" s="6">
        <v>40108</v>
      </c>
      <c r="C1388">
        <v>4.4589642630000004</v>
      </c>
    </row>
    <row r="1389" spans="2:3" x14ac:dyDescent="0.2">
      <c r="B1389" s="6">
        <v>40107</v>
      </c>
      <c r="C1389">
        <v>4.3882623079999998</v>
      </c>
    </row>
    <row r="1390" spans="2:3" x14ac:dyDescent="0.2">
      <c r="B1390" s="6">
        <v>40106</v>
      </c>
      <c r="C1390">
        <v>4.3488818560000002</v>
      </c>
    </row>
    <row r="1391" spans="2:3" x14ac:dyDescent="0.2">
      <c r="B1391" s="6">
        <v>40105</v>
      </c>
      <c r="C1391">
        <v>4.3519072220000004</v>
      </c>
    </row>
    <row r="1392" spans="2:3" x14ac:dyDescent="0.2">
      <c r="B1392" s="6">
        <v>40102</v>
      </c>
      <c r="C1392">
        <v>4.3050974399999999</v>
      </c>
    </row>
    <row r="1393" spans="2:3" x14ac:dyDescent="0.2">
      <c r="B1393" s="6">
        <v>40101</v>
      </c>
      <c r="C1393">
        <v>4.3423147819999999</v>
      </c>
    </row>
    <row r="1394" spans="2:3" x14ac:dyDescent="0.2">
      <c r="B1394" s="6">
        <v>40100</v>
      </c>
      <c r="C1394">
        <v>4.3581461370000003</v>
      </c>
    </row>
    <row r="1395" spans="2:3" x14ac:dyDescent="0.2">
      <c r="B1395" s="6">
        <v>40099</v>
      </c>
      <c r="C1395">
        <v>4.4003888929999997</v>
      </c>
    </row>
    <row r="1396" spans="2:3" x14ac:dyDescent="0.2">
      <c r="B1396" s="6">
        <v>40095</v>
      </c>
      <c r="C1396">
        <v>4.3229656820000004</v>
      </c>
    </row>
    <row r="1397" spans="2:3" x14ac:dyDescent="0.2">
      <c r="B1397" s="6">
        <v>40094</v>
      </c>
      <c r="C1397">
        <v>4.2189338879999996</v>
      </c>
    </row>
    <row r="1398" spans="2:3" x14ac:dyDescent="0.2">
      <c r="B1398" s="6">
        <v>40093</v>
      </c>
      <c r="C1398">
        <v>4.2515713159999997</v>
      </c>
    </row>
    <row r="1399" spans="2:3" x14ac:dyDescent="0.2">
      <c r="B1399" s="6">
        <v>40092</v>
      </c>
      <c r="C1399">
        <v>4.1215548039999996</v>
      </c>
    </row>
    <row r="1400" spans="2:3" x14ac:dyDescent="0.2">
      <c r="B1400" s="6">
        <v>40091</v>
      </c>
      <c r="C1400">
        <v>4.0916476399999997</v>
      </c>
    </row>
    <row r="1401" spans="2:3" x14ac:dyDescent="0.2">
      <c r="B1401" s="6">
        <v>40088</v>
      </c>
      <c r="C1401">
        <v>4.1411248919999997</v>
      </c>
    </row>
    <row r="1402" spans="2:3" x14ac:dyDescent="0.2">
      <c r="B1402" s="6">
        <v>40087</v>
      </c>
      <c r="C1402">
        <v>4.1319658500000003</v>
      </c>
    </row>
    <row r="1403" spans="2:3" x14ac:dyDescent="0.2">
      <c r="B1403" s="6">
        <v>40086</v>
      </c>
      <c r="C1403">
        <v>4.106280377</v>
      </c>
    </row>
    <row r="1404" spans="2:3" x14ac:dyDescent="0.2">
      <c r="B1404" s="6">
        <v>40085</v>
      </c>
      <c r="C1404">
        <v>4.1036651209999997</v>
      </c>
    </row>
    <row r="1405" spans="2:3" x14ac:dyDescent="0.2">
      <c r="B1405" s="6">
        <v>40084</v>
      </c>
      <c r="C1405">
        <v>4.224670615</v>
      </c>
    </row>
    <row r="1406" spans="2:3" x14ac:dyDescent="0.2">
      <c r="B1406" s="6">
        <v>40081</v>
      </c>
      <c r="C1406">
        <v>4.2086190060000002</v>
      </c>
    </row>
    <row r="1407" spans="2:3" x14ac:dyDescent="0.2">
      <c r="B1407" s="6">
        <v>40080</v>
      </c>
      <c r="C1407">
        <v>4.2157690739999998</v>
      </c>
    </row>
    <row r="1408" spans="2:3" x14ac:dyDescent="0.2">
      <c r="B1408" s="6">
        <v>40079</v>
      </c>
      <c r="C1408">
        <v>4.2693829929999998</v>
      </c>
    </row>
    <row r="1409" spans="2:3" x14ac:dyDescent="0.2">
      <c r="B1409" s="6">
        <v>40078</v>
      </c>
      <c r="C1409">
        <v>4.3077555519999997</v>
      </c>
    </row>
    <row r="1410" spans="2:3" x14ac:dyDescent="0.2">
      <c r="B1410" s="6">
        <v>40077</v>
      </c>
      <c r="C1410">
        <v>4.3746957230000003</v>
      </c>
    </row>
    <row r="1411" spans="2:3" x14ac:dyDescent="0.2">
      <c r="B1411" s="6">
        <v>40074</v>
      </c>
      <c r="C1411">
        <v>4.3858952469999997</v>
      </c>
    </row>
    <row r="1412" spans="2:3" x14ac:dyDescent="0.2">
      <c r="B1412" s="6">
        <v>40073</v>
      </c>
      <c r="C1412">
        <v>4.4135306740000004</v>
      </c>
    </row>
    <row r="1413" spans="2:3" x14ac:dyDescent="0.2">
      <c r="B1413" s="6">
        <v>40072</v>
      </c>
      <c r="C1413">
        <v>4.3872450489999997</v>
      </c>
    </row>
    <row r="1414" spans="2:3" x14ac:dyDescent="0.2">
      <c r="B1414" s="6">
        <v>40071</v>
      </c>
      <c r="C1414">
        <v>4.3106149819999997</v>
      </c>
    </row>
    <row r="1415" spans="2:3" x14ac:dyDescent="0.2">
      <c r="B1415" s="6">
        <v>40070</v>
      </c>
      <c r="C1415">
        <v>4.3875037639999999</v>
      </c>
    </row>
    <row r="1416" spans="2:3" x14ac:dyDescent="0.2">
      <c r="B1416" s="6">
        <v>40067</v>
      </c>
      <c r="C1416">
        <v>4.3923528330000003</v>
      </c>
    </row>
    <row r="1417" spans="2:3" x14ac:dyDescent="0.2">
      <c r="B1417" s="6">
        <v>40066</v>
      </c>
      <c r="C1417">
        <v>4.356715576</v>
      </c>
    </row>
    <row r="1418" spans="2:3" x14ac:dyDescent="0.2">
      <c r="B1418" s="6">
        <v>40065</v>
      </c>
      <c r="C1418">
        <v>4.289392973</v>
      </c>
    </row>
    <row r="1419" spans="2:3" x14ac:dyDescent="0.2">
      <c r="B1419" s="6">
        <v>40064</v>
      </c>
      <c r="C1419">
        <v>4.2849705599999997</v>
      </c>
    </row>
    <row r="1420" spans="2:3" x14ac:dyDescent="0.2">
      <c r="B1420" s="6">
        <v>40060</v>
      </c>
      <c r="C1420">
        <v>4.3998633849999997</v>
      </c>
    </row>
    <row r="1421" spans="2:3" x14ac:dyDescent="0.2">
      <c r="B1421" s="6">
        <v>40059</v>
      </c>
      <c r="C1421">
        <v>4.4147056239999998</v>
      </c>
    </row>
    <row r="1422" spans="2:3" x14ac:dyDescent="0.2">
      <c r="B1422" s="6">
        <v>40058</v>
      </c>
      <c r="C1422">
        <v>4.4236895250000003</v>
      </c>
    </row>
    <row r="1423" spans="2:3" x14ac:dyDescent="0.2">
      <c r="B1423" s="6">
        <v>40057</v>
      </c>
      <c r="C1423">
        <v>4.3619708279999996</v>
      </c>
    </row>
    <row r="1424" spans="2:3" x14ac:dyDescent="0.2">
      <c r="B1424" s="6">
        <v>40056</v>
      </c>
      <c r="C1424">
        <v>4.314694201</v>
      </c>
    </row>
    <row r="1425" spans="2:3" x14ac:dyDescent="0.2">
      <c r="B1425" s="6">
        <v>40053</v>
      </c>
      <c r="C1425">
        <v>4.4018032229999999</v>
      </c>
    </row>
    <row r="1426" spans="2:3" x14ac:dyDescent="0.2">
      <c r="B1426" s="6">
        <v>40052</v>
      </c>
      <c r="C1426">
        <v>4.4218428469999997</v>
      </c>
    </row>
    <row r="1427" spans="2:3" x14ac:dyDescent="0.2">
      <c r="B1427" s="6">
        <v>40051</v>
      </c>
      <c r="C1427">
        <v>4.4840186360000001</v>
      </c>
    </row>
    <row r="1428" spans="2:3" x14ac:dyDescent="0.2">
      <c r="B1428" s="6">
        <v>40050</v>
      </c>
      <c r="C1428">
        <v>4.4893181220000002</v>
      </c>
    </row>
    <row r="1429" spans="2:3" x14ac:dyDescent="0.2">
      <c r="B1429" s="6">
        <v>40049</v>
      </c>
      <c r="C1429">
        <v>4.4625044530000002</v>
      </c>
    </row>
    <row r="1430" spans="2:3" x14ac:dyDescent="0.2">
      <c r="B1430" s="6">
        <v>40046</v>
      </c>
      <c r="C1430">
        <v>4.4667812710000003</v>
      </c>
    </row>
    <row r="1431" spans="2:3" x14ac:dyDescent="0.2">
      <c r="B1431" s="6">
        <v>40045</v>
      </c>
      <c r="C1431">
        <v>4.4896940069999998</v>
      </c>
    </row>
    <row r="1432" spans="2:3" x14ac:dyDescent="0.2">
      <c r="B1432" s="6">
        <v>40044</v>
      </c>
      <c r="C1432">
        <v>4.5218268259999999</v>
      </c>
    </row>
    <row r="1433" spans="2:3" x14ac:dyDescent="0.2">
      <c r="B1433" s="6">
        <v>40043</v>
      </c>
      <c r="C1433">
        <v>4.4468130329999997</v>
      </c>
    </row>
    <row r="1434" spans="2:3" x14ac:dyDescent="0.2">
      <c r="B1434" s="6">
        <v>40042</v>
      </c>
      <c r="C1434">
        <v>4.4772482199999999</v>
      </c>
    </row>
    <row r="1435" spans="2:3" x14ac:dyDescent="0.2">
      <c r="B1435" s="6">
        <v>40039</v>
      </c>
      <c r="C1435">
        <v>4.5086621779999998</v>
      </c>
    </row>
    <row r="1436" spans="2:3" x14ac:dyDescent="0.2">
      <c r="B1436" s="6">
        <v>40038</v>
      </c>
      <c r="C1436">
        <v>4.4661577059999997</v>
      </c>
    </row>
    <row r="1437" spans="2:3" x14ac:dyDescent="0.2">
      <c r="B1437" s="6">
        <v>40037</v>
      </c>
      <c r="C1437">
        <v>4.490576806</v>
      </c>
    </row>
    <row r="1438" spans="2:3" x14ac:dyDescent="0.2">
      <c r="B1438" s="6">
        <v>40036</v>
      </c>
      <c r="C1438">
        <v>4.5270636919999996</v>
      </c>
    </row>
    <row r="1439" spans="2:3" x14ac:dyDescent="0.2">
      <c r="B1439" s="6">
        <v>40035</v>
      </c>
      <c r="C1439">
        <v>4.6362809010000001</v>
      </c>
    </row>
    <row r="1440" spans="2:3" x14ac:dyDescent="0.2">
      <c r="B1440" s="6">
        <v>40032</v>
      </c>
      <c r="C1440">
        <v>4.6274021599999999</v>
      </c>
    </row>
    <row r="1441" spans="2:3" x14ac:dyDescent="0.2">
      <c r="B1441" s="6">
        <v>40031</v>
      </c>
      <c r="C1441">
        <v>4.69414204</v>
      </c>
    </row>
    <row r="1442" spans="2:3" x14ac:dyDescent="0.2">
      <c r="B1442" s="6">
        <v>40030</v>
      </c>
      <c r="C1442">
        <v>4.8023291339999998</v>
      </c>
    </row>
    <row r="1443" spans="2:3" x14ac:dyDescent="0.2">
      <c r="B1443" s="6">
        <v>40029</v>
      </c>
      <c r="C1443">
        <v>4.708820469</v>
      </c>
    </row>
    <row r="1444" spans="2:3" x14ac:dyDescent="0.2">
      <c r="B1444" s="6">
        <v>40028</v>
      </c>
      <c r="C1444">
        <v>4.6917043869999997</v>
      </c>
    </row>
    <row r="1445" spans="2:3" x14ac:dyDescent="0.2">
      <c r="B1445" s="6">
        <v>40025</v>
      </c>
      <c r="C1445">
        <v>4.5781811389999998</v>
      </c>
    </row>
    <row r="1446" spans="2:3" x14ac:dyDescent="0.2">
      <c r="B1446" s="6">
        <v>40024</v>
      </c>
      <c r="C1446">
        <v>4.5200238309999996</v>
      </c>
    </row>
    <row r="1447" spans="2:3" x14ac:dyDescent="0.2">
      <c r="B1447" s="6">
        <v>40023</v>
      </c>
      <c r="C1447">
        <v>4.39661802</v>
      </c>
    </row>
    <row r="1448" spans="2:3" x14ac:dyDescent="0.2">
      <c r="B1448" s="6">
        <v>40022</v>
      </c>
      <c r="C1448">
        <v>4.5411144180000003</v>
      </c>
    </row>
    <row r="1449" spans="2:3" x14ac:dyDescent="0.2">
      <c r="B1449" s="6">
        <v>40021</v>
      </c>
      <c r="C1449">
        <v>4.5456448079999996</v>
      </c>
    </row>
    <row r="1450" spans="2:3" x14ac:dyDescent="0.2">
      <c r="B1450" s="6">
        <v>40018</v>
      </c>
      <c r="C1450">
        <v>4.5880604060000003</v>
      </c>
    </row>
    <row r="1451" spans="2:3" x14ac:dyDescent="0.2">
      <c r="B1451" s="6">
        <v>40017</v>
      </c>
      <c r="C1451">
        <v>4.6386392159999996</v>
      </c>
    </row>
    <row r="1452" spans="2:3" x14ac:dyDescent="0.2">
      <c r="B1452" s="6">
        <v>40016</v>
      </c>
      <c r="C1452">
        <v>4.6096118239999999</v>
      </c>
    </row>
    <row r="1453" spans="2:3" x14ac:dyDescent="0.2">
      <c r="B1453" s="6">
        <v>40015</v>
      </c>
      <c r="C1453">
        <v>4.6713719720000002</v>
      </c>
    </row>
    <row r="1454" spans="2:3" x14ac:dyDescent="0.2">
      <c r="B1454" s="6">
        <v>40014</v>
      </c>
      <c r="C1454">
        <v>4.4958474329999998</v>
      </c>
    </row>
    <row r="1455" spans="2:3" x14ac:dyDescent="0.2">
      <c r="B1455" s="6">
        <v>40011</v>
      </c>
      <c r="C1455">
        <v>4.4450564750000003</v>
      </c>
    </row>
    <row r="1456" spans="2:3" x14ac:dyDescent="0.2">
      <c r="B1456" s="6">
        <v>40010</v>
      </c>
      <c r="C1456">
        <v>4.5684126559999996</v>
      </c>
    </row>
    <row r="1457" spans="2:3" x14ac:dyDescent="0.2">
      <c r="B1457" s="6">
        <v>40009</v>
      </c>
      <c r="C1457">
        <v>4.6304839869999999</v>
      </c>
    </row>
    <row r="1458" spans="2:3" x14ac:dyDescent="0.2">
      <c r="B1458" s="6">
        <v>40008</v>
      </c>
      <c r="C1458">
        <v>4.5721462539999997</v>
      </c>
    </row>
    <row r="1459" spans="2:3" x14ac:dyDescent="0.2">
      <c r="B1459" s="6">
        <v>40007</v>
      </c>
      <c r="C1459">
        <v>4.6454097169999997</v>
      </c>
    </row>
    <row r="1460" spans="2:3" x14ac:dyDescent="0.2">
      <c r="B1460" s="6">
        <v>40004</v>
      </c>
      <c r="C1460">
        <v>4.4750737589999998</v>
      </c>
    </row>
    <row r="1461" spans="2:3" x14ac:dyDescent="0.2">
      <c r="B1461" s="6">
        <v>40003</v>
      </c>
      <c r="C1461">
        <v>4.4042626450000002</v>
      </c>
    </row>
    <row r="1462" spans="2:3" x14ac:dyDescent="0.2">
      <c r="B1462" s="6">
        <v>40002</v>
      </c>
      <c r="C1462">
        <v>4.3342654889999999</v>
      </c>
    </row>
    <row r="1463" spans="2:3" x14ac:dyDescent="0.2">
      <c r="B1463" s="6">
        <v>40001</v>
      </c>
      <c r="C1463">
        <v>4.4334603389999998</v>
      </c>
    </row>
    <row r="1464" spans="2:3" x14ac:dyDescent="0.2">
      <c r="B1464" s="6">
        <v>40000</v>
      </c>
      <c r="C1464">
        <v>4.3291738100000003</v>
      </c>
    </row>
    <row r="1465" spans="2:3" x14ac:dyDescent="0.2">
      <c r="B1465" s="6">
        <v>39996</v>
      </c>
      <c r="C1465">
        <v>4.4764947670000002</v>
      </c>
    </row>
    <row r="1466" spans="2:3" x14ac:dyDescent="0.2">
      <c r="B1466" s="6">
        <v>39995</v>
      </c>
      <c r="C1466">
        <v>4.5132098359999997</v>
      </c>
    </row>
    <row r="1467" spans="2:3" x14ac:dyDescent="0.2">
      <c r="B1467" s="6">
        <v>39994</v>
      </c>
      <c r="C1467">
        <v>4.5123835679999997</v>
      </c>
    </row>
    <row r="1468" spans="2:3" x14ac:dyDescent="0.2">
      <c r="B1468" s="6">
        <v>39993</v>
      </c>
      <c r="C1468">
        <v>4.5519930039999998</v>
      </c>
    </row>
    <row r="1469" spans="2:3" x14ac:dyDescent="0.2">
      <c r="B1469" s="6">
        <v>39990</v>
      </c>
      <c r="C1469">
        <v>4.5836926719999997</v>
      </c>
    </row>
    <row r="1470" spans="2:3" x14ac:dyDescent="0.2">
      <c r="B1470" s="6">
        <v>39989</v>
      </c>
      <c r="C1470">
        <v>4.5382302790000004</v>
      </c>
    </row>
    <row r="1471" spans="2:3" x14ac:dyDescent="0.2">
      <c r="B1471" s="6">
        <v>39988</v>
      </c>
      <c r="C1471">
        <v>4.5296267400000003</v>
      </c>
    </row>
    <row r="1472" spans="2:3" x14ac:dyDescent="0.2">
      <c r="B1472" s="6">
        <v>39987</v>
      </c>
      <c r="C1472">
        <v>4.5573550159999998</v>
      </c>
    </row>
    <row r="1473" spans="2:3" x14ac:dyDescent="0.2">
      <c r="B1473" s="6">
        <v>39986</v>
      </c>
      <c r="C1473">
        <v>4.7295240209999996</v>
      </c>
    </row>
    <row r="1474" spans="2:3" x14ac:dyDescent="0.2">
      <c r="B1474" s="6">
        <v>39983</v>
      </c>
      <c r="C1474">
        <v>4.717167012</v>
      </c>
    </row>
    <row r="1475" spans="2:3" x14ac:dyDescent="0.2">
      <c r="B1475" s="6">
        <v>39982</v>
      </c>
      <c r="C1475">
        <v>4.70691843</v>
      </c>
    </row>
    <row r="1476" spans="2:3" x14ac:dyDescent="0.2">
      <c r="B1476" s="6">
        <v>39981</v>
      </c>
      <c r="C1476">
        <v>4.7997659820000003</v>
      </c>
    </row>
    <row r="1477" spans="2:3" x14ac:dyDescent="0.2">
      <c r="B1477" s="6">
        <v>39980</v>
      </c>
      <c r="C1477">
        <v>4.8695263850000003</v>
      </c>
    </row>
    <row r="1478" spans="2:3" x14ac:dyDescent="0.2">
      <c r="B1478" s="6">
        <v>39979</v>
      </c>
      <c r="C1478">
        <v>4.5533712240000002</v>
      </c>
    </row>
    <row r="1479" spans="2:3" x14ac:dyDescent="0.2">
      <c r="B1479" s="6">
        <v>39976</v>
      </c>
      <c r="C1479">
        <v>4.6514330529999999</v>
      </c>
    </row>
    <row r="1480" spans="2:3" x14ac:dyDescent="0.2">
      <c r="B1480" s="6">
        <v>39975</v>
      </c>
      <c r="C1480">
        <v>4.7158540200000001</v>
      </c>
    </row>
    <row r="1481" spans="2:3" x14ac:dyDescent="0.2">
      <c r="B1481" s="6">
        <v>39974</v>
      </c>
      <c r="C1481">
        <v>4.8431358729999996</v>
      </c>
    </row>
    <row r="1482" spans="2:3" x14ac:dyDescent="0.2">
      <c r="B1482" s="6">
        <v>39973</v>
      </c>
      <c r="C1482">
        <v>4.9733954929999999</v>
      </c>
    </row>
    <row r="1483" spans="2:3" x14ac:dyDescent="0.2">
      <c r="B1483" s="6">
        <v>39972</v>
      </c>
      <c r="C1483">
        <v>5.0580311570000003</v>
      </c>
    </row>
    <row r="1484" spans="2:3" x14ac:dyDescent="0.2">
      <c r="B1484" s="6">
        <v>39969</v>
      </c>
      <c r="C1484">
        <v>4.9680896329999999</v>
      </c>
    </row>
    <row r="1485" spans="2:3" x14ac:dyDescent="0.2">
      <c r="B1485" s="6">
        <v>39968</v>
      </c>
      <c r="C1485">
        <v>5.0210252750000004</v>
      </c>
    </row>
    <row r="1486" spans="2:3" x14ac:dyDescent="0.2">
      <c r="B1486" s="6">
        <v>39967</v>
      </c>
      <c r="C1486">
        <v>4.9133558439999998</v>
      </c>
    </row>
    <row r="1487" spans="2:3" x14ac:dyDescent="0.2">
      <c r="B1487" s="6">
        <v>39966</v>
      </c>
      <c r="C1487">
        <v>4.7247724050000004</v>
      </c>
    </row>
    <row r="1488" spans="2:3" x14ac:dyDescent="0.2">
      <c r="B1488" s="6">
        <v>39965</v>
      </c>
      <c r="C1488">
        <v>4.5316630870000001</v>
      </c>
    </row>
    <row r="1489" spans="2:3" x14ac:dyDescent="0.2">
      <c r="B1489" s="6">
        <v>39962</v>
      </c>
      <c r="C1489">
        <v>4.6038312570000004</v>
      </c>
    </row>
    <row r="1490" spans="2:3" x14ac:dyDescent="0.2">
      <c r="B1490" s="6">
        <v>39961</v>
      </c>
      <c r="C1490">
        <v>4.6571853089999999</v>
      </c>
    </row>
    <row r="1491" spans="2:3" x14ac:dyDescent="0.2">
      <c r="B1491" s="6">
        <v>39960</v>
      </c>
      <c r="C1491">
        <v>4.3482980170000003</v>
      </c>
    </row>
    <row r="1492" spans="2:3" x14ac:dyDescent="0.2">
      <c r="B1492" s="6">
        <v>39959</v>
      </c>
      <c r="C1492">
        <v>4.6970142590000004</v>
      </c>
    </row>
    <row r="1493" spans="2:3" x14ac:dyDescent="0.2">
      <c r="B1493" s="6">
        <v>39955</v>
      </c>
      <c r="C1493">
        <v>4.5461261029999998</v>
      </c>
    </row>
    <row r="1494" spans="2:3" x14ac:dyDescent="0.2">
      <c r="B1494" s="6">
        <v>39954</v>
      </c>
      <c r="C1494">
        <v>4.184799291</v>
      </c>
    </row>
    <row r="1495" spans="2:3" x14ac:dyDescent="0.2">
      <c r="B1495" s="6">
        <v>39953</v>
      </c>
      <c r="C1495">
        <v>4.1267911599999998</v>
      </c>
    </row>
    <row r="1496" spans="2:3" x14ac:dyDescent="0.2">
      <c r="B1496" s="6">
        <v>39952</v>
      </c>
      <c r="C1496">
        <v>4.0624954510000002</v>
      </c>
    </row>
    <row r="1497" spans="2:3" x14ac:dyDescent="0.2">
      <c r="B1497" s="6">
        <v>39951</v>
      </c>
      <c r="C1497">
        <v>3.9658918179999998</v>
      </c>
    </row>
    <row r="1498" spans="2:3" x14ac:dyDescent="0.2">
      <c r="B1498" s="6">
        <v>39948</v>
      </c>
      <c r="C1498">
        <v>4.0019424969999999</v>
      </c>
    </row>
    <row r="1499" spans="2:3" x14ac:dyDescent="0.2">
      <c r="B1499" s="6">
        <v>39947</v>
      </c>
      <c r="C1499">
        <v>3.999023405</v>
      </c>
    </row>
    <row r="1500" spans="2:3" x14ac:dyDescent="0.2">
      <c r="B1500" s="6">
        <v>39946</v>
      </c>
      <c r="C1500">
        <v>3.9483608480000001</v>
      </c>
    </row>
    <row r="1501" spans="2:3" x14ac:dyDescent="0.2">
      <c r="B1501" s="6">
        <v>39945</v>
      </c>
      <c r="C1501">
        <v>3.9377092920000001</v>
      </c>
    </row>
    <row r="1502" spans="2:3" x14ac:dyDescent="0.2">
      <c r="B1502" s="6">
        <v>39944</v>
      </c>
      <c r="C1502">
        <v>3.934436169</v>
      </c>
    </row>
    <row r="1503" spans="2:3" x14ac:dyDescent="0.2">
      <c r="B1503" s="6">
        <v>39941</v>
      </c>
      <c r="C1503">
        <v>3.9836601219999999</v>
      </c>
    </row>
    <row r="1504" spans="2:3" x14ac:dyDescent="0.2">
      <c r="B1504" s="6">
        <v>39940</v>
      </c>
      <c r="C1504">
        <v>3.9994906239999999</v>
      </c>
    </row>
    <row r="1505" spans="2:3" x14ac:dyDescent="0.2">
      <c r="B1505" s="6" t="e">
        <v>#VALUE!</v>
      </c>
      <c r="C1505">
        <v>4.1292620800000002</v>
      </c>
    </row>
    <row r="1506" spans="2:3" x14ac:dyDescent="0.2">
      <c r="B1506" s="6" t="e">
        <v>#VALUE!</v>
      </c>
      <c r="C1506">
        <v>4.0854192149999999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D Coupon</vt:lpstr>
      <vt:lpstr>Price</vt:lpstr>
      <vt:lpstr>CurrentCoupon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2015-05-12T13:44:15Z</dcterms:modified>
</cp:coreProperties>
</file>