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Z154" i="1" l="1"/>
  <c r="AY154" i="1"/>
  <c r="AX154" i="1"/>
  <c r="AW154" i="1"/>
  <c r="AV154" i="1"/>
  <c r="AR154" i="1"/>
  <c r="AQ154" i="1"/>
  <c r="AP154" i="1"/>
  <c r="AO154" i="1"/>
  <c r="AN154" i="1"/>
  <c r="AJ154" i="1"/>
  <c r="AI154" i="1"/>
  <c r="BC77" i="1"/>
  <c r="AI77" i="1"/>
  <c r="AE77" i="1"/>
  <c r="Y77" i="1"/>
  <c r="BB154" i="1" s="1"/>
  <c r="X77" i="1"/>
  <c r="BA154" i="1" s="1"/>
  <c r="W77" i="1"/>
  <c r="V77" i="1"/>
  <c r="U77" i="1"/>
  <c r="T77" i="1"/>
  <c r="S77" i="1"/>
  <c r="R77" i="1"/>
  <c r="AU154" i="1" s="1"/>
  <c r="Q77" i="1"/>
  <c r="AT154" i="1" s="1"/>
  <c r="P77" i="1"/>
  <c r="AS154" i="1" s="1"/>
  <c r="O77" i="1"/>
  <c r="N77" i="1"/>
  <c r="M77" i="1"/>
  <c r="L77" i="1"/>
  <c r="K77" i="1"/>
  <c r="J77" i="1"/>
  <c r="AM154" i="1" s="1"/>
  <c r="I77" i="1"/>
  <c r="AL154" i="1" s="1"/>
  <c r="H77" i="1"/>
  <c r="AK154" i="1" s="1"/>
  <c r="G77" i="1"/>
  <c r="BC154" i="1" l="1"/>
  <c r="AZ153" i="1"/>
  <c r="AR153" i="1"/>
  <c r="AJ153" i="1"/>
  <c r="AI153" i="1"/>
  <c r="BC76" i="1"/>
  <c r="AI76" i="1"/>
  <c r="AE76" i="1"/>
  <c r="Y76" i="1"/>
  <c r="BB153" i="1" s="1"/>
  <c r="X76" i="1"/>
  <c r="BA153" i="1" s="1"/>
  <c r="W76" i="1"/>
  <c r="V76" i="1"/>
  <c r="AY153" i="1" s="1"/>
  <c r="U76" i="1"/>
  <c r="AX153" i="1" s="1"/>
  <c r="T76" i="1"/>
  <c r="AW153" i="1" s="1"/>
  <c r="S76" i="1"/>
  <c r="AV153" i="1" s="1"/>
  <c r="R76" i="1"/>
  <c r="AU153" i="1" s="1"/>
  <c r="Q76" i="1"/>
  <c r="AT153" i="1" s="1"/>
  <c r="P76" i="1"/>
  <c r="AS153" i="1" s="1"/>
  <c r="O76" i="1"/>
  <c r="N76" i="1"/>
  <c r="AQ153" i="1" s="1"/>
  <c r="M76" i="1"/>
  <c r="AP153" i="1" s="1"/>
  <c r="L76" i="1"/>
  <c r="AO153" i="1" s="1"/>
  <c r="K76" i="1"/>
  <c r="AN153" i="1" s="1"/>
  <c r="J76" i="1"/>
  <c r="AM153" i="1" s="1"/>
  <c r="I76" i="1"/>
  <c r="AL153" i="1" s="1"/>
  <c r="H76" i="1"/>
  <c r="AK153" i="1" s="1"/>
  <c r="G76" i="1"/>
  <c r="BC153" i="1" l="1"/>
  <c r="AI150" i="1"/>
  <c r="AI151" i="1"/>
  <c r="AI152" i="1"/>
  <c r="BC75" i="1"/>
  <c r="AI75" i="1"/>
  <c r="AE75" i="1"/>
  <c r="Y75" i="1"/>
  <c r="BB152" i="1" s="1"/>
  <c r="X75" i="1"/>
  <c r="BA152" i="1" s="1"/>
  <c r="W75" i="1"/>
  <c r="AZ152" i="1" s="1"/>
  <c r="V75" i="1"/>
  <c r="AY152" i="1" s="1"/>
  <c r="U75" i="1"/>
  <c r="AX152" i="1" s="1"/>
  <c r="T75" i="1"/>
  <c r="AW152" i="1" s="1"/>
  <c r="S75" i="1"/>
  <c r="AV152" i="1" s="1"/>
  <c r="R75" i="1"/>
  <c r="AU152" i="1" s="1"/>
  <c r="Q75" i="1"/>
  <c r="AT152" i="1" s="1"/>
  <c r="P75" i="1"/>
  <c r="AS152" i="1" s="1"/>
  <c r="O75" i="1"/>
  <c r="AR152" i="1" s="1"/>
  <c r="N75" i="1"/>
  <c r="AQ152" i="1" s="1"/>
  <c r="M75" i="1"/>
  <c r="AP152" i="1" s="1"/>
  <c r="L75" i="1"/>
  <c r="AO152" i="1" s="1"/>
  <c r="K75" i="1"/>
  <c r="AN152" i="1" s="1"/>
  <c r="J75" i="1"/>
  <c r="AM152" i="1" s="1"/>
  <c r="I75" i="1"/>
  <c r="AL152" i="1" s="1"/>
  <c r="H75" i="1"/>
  <c r="AK152" i="1" s="1"/>
  <c r="G75" i="1"/>
  <c r="AJ152" i="1" s="1"/>
  <c r="BC74" i="1"/>
  <c r="AI74" i="1"/>
  <c r="AE74" i="1"/>
  <c r="Y74" i="1"/>
  <c r="BB151" i="1" s="1"/>
  <c r="X74" i="1"/>
  <c r="BA151" i="1" s="1"/>
  <c r="W74" i="1"/>
  <c r="AZ151" i="1" s="1"/>
  <c r="V74" i="1"/>
  <c r="AY151" i="1" s="1"/>
  <c r="U74" i="1"/>
  <c r="AX151" i="1" s="1"/>
  <c r="T74" i="1"/>
  <c r="AW151" i="1" s="1"/>
  <c r="S74" i="1"/>
  <c r="AV151" i="1" s="1"/>
  <c r="R74" i="1"/>
  <c r="AU151" i="1" s="1"/>
  <c r="Q74" i="1"/>
  <c r="AT151" i="1" s="1"/>
  <c r="P74" i="1"/>
  <c r="AS151" i="1" s="1"/>
  <c r="O74" i="1"/>
  <c r="AR151" i="1" s="1"/>
  <c r="N74" i="1"/>
  <c r="AQ151" i="1" s="1"/>
  <c r="M74" i="1"/>
  <c r="AP151" i="1" s="1"/>
  <c r="L74" i="1"/>
  <c r="AO151" i="1" s="1"/>
  <c r="K74" i="1"/>
  <c r="AN151" i="1" s="1"/>
  <c r="J74" i="1"/>
  <c r="AM151" i="1" s="1"/>
  <c r="I74" i="1"/>
  <c r="AL151" i="1" s="1"/>
  <c r="H74" i="1"/>
  <c r="AK151" i="1" s="1"/>
  <c r="G74" i="1"/>
  <c r="AJ151" i="1" s="1"/>
  <c r="BC73" i="1"/>
  <c r="AI73" i="1"/>
  <c r="AE73" i="1"/>
  <c r="Y73" i="1"/>
  <c r="BB150" i="1" s="1"/>
  <c r="X73" i="1"/>
  <c r="BA150" i="1" s="1"/>
  <c r="W73" i="1"/>
  <c r="AZ150" i="1" s="1"/>
  <c r="V73" i="1"/>
  <c r="AY150" i="1" s="1"/>
  <c r="U73" i="1"/>
  <c r="AX150" i="1" s="1"/>
  <c r="T73" i="1"/>
  <c r="AW150" i="1" s="1"/>
  <c r="S73" i="1"/>
  <c r="AV150" i="1" s="1"/>
  <c r="R73" i="1"/>
  <c r="AU150" i="1" s="1"/>
  <c r="Q73" i="1"/>
  <c r="AT150" i="1" s="1"/>
  <c r="P73" i="1"/>
  <c r="AS150" i="1" s="1"/>
  <c r="O73" i="1"/>
  <c r="AR150" i="1" s="1"/>
  <c r="N73" i="1"/>
  <c r="AQ150" i="1" s="1"/>
  <c r="M73" i="1"/>
  <c r="AP150" i="1" s="1"/>
  <c r="L73" i="1"/>
  <c r="AO150" i="1" s="1"/>
  <c r="K73" i="1"/>
  <c r="AN150" i="1" s="1"/>
  <c r="J73" i="1"/>
  <c r="AM150" i="1" s="1"/>
  <c r="I73" i="1"/>
  <c r="AL150" i="1" s="1"/>
  <c r="H73" i="1"/>
  <c r="AK150" i="1" s="1"/>
  <c r="G73" i="1"/>
  <c r="AJ150" i="1" s="1"/>
  <c r="AI63" i="1"/>
  <c r="AI64" i="1"/>
  <c r="AI65" i="1"/>
  <c r="AI66" i="1"/>
  <c r="AI67" i="1"/>
  <c r="AI68" i="1"/>
  <c r="AI69" i="1"/>
  <c r="AI70" i="1"/>
  <c r="AI71" i="1"/>
  <c r="AI72" i="1"/>
  <c r="BC151" i="1" l="1"/>
  <c r="BC152" i="1"/>
  <c r="BC150" i="1"/>
  <c r="AI149" i="1"/>
  <c r="BC72" i="1"/>
  <c r="AE72" i="1"/>
  <c r="Y72" i="1"/>
  <c r="BB149" i="1" s="1"/>
  <c r="X72" i="1"/>
  <c r="BA149" i="1" s="1"/>
  <c r="W72" i="1"/>
  <c r="AZ149" i="1" s="1"/>
  <c r="V72" i="1"/>
  <c r="AY149" i="1" s="1"/>
  <c r="U72" i="1"/>
  <c r="AX149" i="1" s="1"/>
  <c r="T72" i="1"/>
  <c r="AW149" i="1" s="1"/>
  <c r="S72" i="1"/>
  <c r="AV149" i="1" s="1"/>
  <c r="R72" i="1"/>
  <c r="AU149" i="1" s="1"/>
  <c r="Q72" i="1"/>
  <c r="AT149" i="1" s="1"/>
  <c r="P72" i="1"/>
  <c r="AS149" i="1" s="1"/>
  <c r="O72" i="1"/>
  <c r="AR149" i="1" s="1"/>
  <c r="N72" i="1"/>
  <c r="AQ149" i="1" s="1"/>
  <c r="M72" i="1"/>
  <c r="AP149" i="1" s="1"/>
  <c r="L72" i="1"/>
  <c r="AO149" i="1" s="1"/>
  <c r="K72" i="1"/>
  <c r="AN149" i="1" s="1"/>
  <c r="J72" i="1"/>
  <c r="AM149" i="1" s="1"/>
  <c r="I72" i="1"/>
  <c r="AL149" i="1" s="1"/>
  <c r="H72" i="1"/>
  <c r="AK149" i="1" s="1"/>
  <c r="G72" i="1"/>
  <c r="AJ149" i="1" s="1"/>
  <c r="BC149" i="1" l="1"/>
  <c r="AI148" i="1" l="1"/>
  <c r="BC71" i="1"/>
  <c r="AE71" i="1"/>
  <c r="Y71" i="1"/>
  <c r="BB148" i="1" s="1"/>
  <c r="X71" i="1"/>
  <c r="BA148" i="1" s="1"/>
  <c r="W71" i="1"/>
  <c r="AZ148" i="1" s="1"/>
  <c r="V71" i="1"/>
  <c r="AY148" i="1" s="1"/>
  <c r="U71" i="1"/>
  <c r="AX148" i="1" s="1"/>
  <c r="T71" i="1"/>
  <c r="AW148" i="1" s="1"/>
  <c r="S71" i="1"/>
  <c r="AV148" i="1" s="1"/>
  <c r="R71" i="1"/>
  <c r="AU148" i="1" s="1"/>
  <c r="Q71" i="1"/>
  <c r="AT148" i="1" s="1"/>
  <c r="P71" i="1"/>
  <c r="AS148" i="1" s="1"/>
  <c r="O71" i="1"/>
  <c r="AR148" i="1" s="1"/>
  <c r="N71" i="1"/>
  <c r="AQ148" i="1" s="1"/>
  <c r="M71" i="1"/>
  <c r="AP148" i="1" s="1"/>
  <c r="L71" i="1"/>
  <c r="AO148" i="1" s="1"/>
  <c r="K71" i="1"/>
  <c r="AN148" i="1" s="1"/>
  <c r="J71" i="1"/>
  <c r="AM148" i="1" s="1"/>
  <c r="I71" i="1"/>
  <c r="AL148" i="1" s="1"/>
  <c r="H71" i="1"/>
  <c r="AK148" i="1" s="1"/>
  <c r="G71" i="1"/>
  <c r="AJ148" i="1" s="1"/>
  <c r="BC148" i="1" l="1"/>
  <c r="AI147" i="1"/>
  <c r="BC70" i="1"/>
  <c r="AE70" i="1"/>
  <c r="Y70" i="1"/>
  <c r="BB147" i="1" s="1"/>
  <c r="X70" i="1"/>
  <c r="BA147" i="1" s="1"/>
  <c r="W70" i="1"/>
  <c r="AZ147" i="1" s="1"/>
  <c r="V70" i="1"/>
  <c r="AY147" i="1" s="1"/>
  <c r="U70" i="1"/>
  <c r="AX147" i="1" s="1"/>
  <c r="T70" i="1"/>
  <c r="AW147" i="1" s="1"/>
  <c r="S70" i="1"/>
  <c r="AV147" i="1" s="1"/>
  <c r="R70" i="1"/>
  <c r="AU147" i="1" s="1"/>
  <c r="Q70" i="1"/>
  <c r="AT147" i="1" s="1"/>
  <c r="P70" i="1"/>
  <c r="AS147" i="1" s="1"/>
  <c r="O70" i="1"/>
  <c r="AR147" i="1" s="1"/>
  <c r="N70" i="1"/>
  <c r="AQ147" i="1" s="1"/>
  <c r="M70" i="1"/>
  <c r="AP147" i="1" s="1"/>
  <c r="L70" i="1"/>
  <c r="AO147" i="1" s="1"/>
  <c r="K70" i="1"/>
  <c r="AN147" i="1" s="1"/>
  <c r="J70" i="1"/>
  <c r="AM147" i="1" s="1"/>
  <c r="I70" i="1"/>
  <c r="AL147" i="1" s="1"/>
  <c r="H70" i="1"/>
  <c r="AK147" i="1" s="1"/>
  <c r="G70" i="1"/>
  <c r="AJ147" i="1" s="1"/>
  <c r="AI146" i="1"/>
  <c r="BC69" i="1"/>
  <c r="AE69" i="1"/>
  <c r="Y69" i="1"/>
  <c r="BB146" i="1" s="1"/>
  <c r="X69" i="1"/>
  <c r="BA146" i="1" s="1"/>
  <c r="W69" i="1"/>
  <c r="AZ146" i="1" s="1"/>
  <c r="V69" i="1"/>
  <c r="AY146" i="1" s="1"/>
  <c r="U69" i="1"/>
  <c r="AX146" i="1" s="1"/>
  <c r="T69" i="1"/>
  <c r="AW146" i="1" s="1"/>
  <c r="S69" i="1"/>
  <c r="AV146" i="1" s="1"/>
  <c r="R69" i="1"/>
  <c r="AU146" i="1" s="1"/>
  <c r="Q69" i="1"/>
  <c r="AT146" i="1" s="1"/>
  <c r="P69" i="1"/>
  <c r="AS146" i="1" s="1"/>
  <c r="O69" i="1"/>
  <c r="AR146" i="1" s="1"/>
  <c r="N69" i="1"/>
  <c r="AQ146" i="1" s="1"/>
  <c r="M69" i="1"/>
  <c r="AP146" i="1" s="1"/>
  <c r="L69" i="1"/>
  <c r="AO146" i="1" s="1"/>
  <c r="K69" i="1"/>
  <c r="AN146" i="1" s="1"/>
  <c r="J69" i="1"/>
  <c r="AM146" i="1" s="1"/>
  <c r="I69" i="1"/>
  <c r="AL146" i="1" s="1"/>
  <c r="H69" i="1"/>
  <c r="AK146" i="1" s="1"/>
  <c r="G69" i="1"/>
  <c r="AJ146" i="1" s="1"/>
  <c r="AI145" i="1"/>
  <c r="BC68" i="1"/>
  <c r="AE68" i="1"/>
  <c r="Y68" i="1"/>
  <c r="BB145" i="1" s="1"/>
  <c r="X68" i="1"/>
  <c r="BA145" i="1" s="1"/>
  <c r="W68" i="1"/>
  <c r="AZ145" i="1" s="1"/>
  <c r="V68" i="1"/>
  <c r="AY145" i="1" s="1"/>
  <c r="U68" i="1"/>
  <c r="AX145" i="1" s="1"/>
  <c r="T68" i="1"/>
  <c r="AW145" i="1" s="1"/>
  <c r="S68" i="1"/>
  <c r="AV145" i="1" s="1"/>
  <c r="R68" i="1"/>
  <c r="AU145" i="1" s="1"/>
  <c r="Q68" i="1"/>
  <c r="AT145" i="1" s="1"/>
  <c r="P68" i="1"/>
  <c r="AS145" i="1" s="1"/>
  <c r="O68" i="1"/>
  <c r="AR145" i="1" s="1"/>
  <c r="N68" i="1"/>
  <c r="AQ145" i="1" s="1"/>
  <c r="M68" i="1"/>
  <c r="AP145" i="1" s="1"/>
  <c r="L68" i="1"/>
  <c r="AO145" i="1" s="1"/>
  <c r="K68" i="1"/>
  <c r="AN145" i="1" s="1"/>
  <c r="J68" i="1"/>
  <c r="AM145" i="1" s="1"/>
  <c r="I68" i="1"/>
  <c r="AL145" i="1" s="1"/>
  <c r="H68" i="1"/>
  <c r="AK145" i="1" s="1"/>
  <c r="G68" i="1"/>
  <c r="AJ145" i="1" s="1"/>
  <c r="AI144" i="1"/>
  <c r="BC67" i="1"/>
  <c r="AE67" i="1"/>
  <c r="Y67" i="1"/>
  <c r="BB144" i="1" s="1"/>
  <c r="X67" i="1"/>
  <c r="BA144" i="1" s="1"/>
  <c r="W67" i="1"/>
  <c r="AZ144" i="1" s="1"/>
  <c r="V67" i="1"/>
  <c r="AY144" i="1" s="1"/>
  <c r="U67" i="1"/>
  <c r="AX144" i="1" s="1"/>
  <c r="T67" i="1"/>
  <c r="AW144" i="1" s="1"/>
  <c r="S67" i="1"/>
  <c r="AV144" i="1" s="1"/>
  <c r="R67" i="1"/>
  <c r="AU144" i="1" s="1"/>
  <c r="Q67" i="1"/>
  <c r="AT144" i="1" s="1"/>
  <c r="P67" i="1"/>
  <c r="AS144" i="1" s="1"/>
  <c r="O67" i="1"/>
  <c r="AR144" i="1" s="1"/>
  <c r="N67" i="1"/>
  <c r="AQ144" i="1" s="1"/>
  <c r="M67" i="1"/>
  <c r="AP144" i="1" s="1"/>
  <c r="L67" i="1"/>
  <c r="AO144" i="1" s="1"/>
  <c r="K67" i="1"/>
  <c r="AN144" i="1" s="1"/>
  <c r="J67" i="1"/>
  <c r="AM144" i="1" s="1"/>
  <c r="I67" i="1"/>
  <c r="AL144" i="1" s="1"/>
  <c r="H67" i="1"/>
  <c r="AK144" i="1" s="1"/>
  <c r="G67" i="1"/>
  <c r="AJ144" i="1" s="1"/>
  <c r="AI143" i="1"/>
  <c r="BC66" i="1"/>
  <c r="AE66" i="1"/>
  <c r="Y66" i="1"/>
  <c r="BB143" i="1" s="1"/>
  <c r="X66" i="1"/>
  <c r="BA143" i="1" s="1"/>
  <c r="W66" i="1"/>
  <c r="AZ143" i="1" s="1"/>
  <c r="V66" i="1"/>
  <c r="AY143" i="1" s="1"/>
  <c r="U66" i="1"/>
  <c r="AX143" i="1" s="1"/>
  <c r="T66" i="1"/>
  <c r="AW143" i="1" s="1"/>
  <c r="S66" i="1"/>
  <c r="AV143" i="1" s="1"/>
  <c r="R66" i="1"/>
  <c r="AU143" i="1" s="1"/>
  <c r="Q66" i="1"/>
  <c r="AT143" i="1" s="1"/>
  <c r="P66" i="1"/>
  <c r="AS143" i="1" s="1"/>
  <c r="O66" i="1"/>
  <c r="AR143" i="1" s="1"/>
  <c r="N66" i="1"/>
  <c r="AQ143" i="1" s="1"/>
  <c r="M66" i="1"/>
  <c r="AP143" i="1" s="1"/>
  <c r="L66" i="1"/>
  <c r="AO143" i="1" s="1"/>
  <c r="K66" i="1"/>
  <c r="AN143" i="1" s="1"/>
  <c r="J66" i="1"/>
  <c r="AM143" i="1" s="1"/>
  <c r="I66" i="1"/>
  <c r="AL143" i="1" s="1"/>
  <c r="H66" i="1"/>
  <c r="AK143" i="1" s="1"/>
  <c r="G66" i="1"/>
  <c r="AJ143" i="1" s="1"/>
  <c r="AI142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BC65" i="1"/>
  <c r="AE65" i="1"/>
  <c r="Y65" i="1"/>
  <c r="BB142" i="1" s="1"/>
  <c r="X65" i="1"/>
  <c r="BA142" i="1" s="1"/>
  <c r="W65" i="1"/>
  <c r="AZ142" i="1" s="1"/>
  <c r="V65" i="1"/>
  <c r="AY142" i="1" s="1"/>
  <c r="U65" i="1"/>
  <c r="AX142" i="1" s="1"/>
  <c r="T65" i="1"/>
  <c r="AW142" i="1" s="1"/>
  <c r="S65" i="1"/>
  <c r="AV142" i="1" s="1"/>
  <c r="R65" i="1"/>
  <c r="AU142" i="1" s="1"/>
  <c r="Q65" i="1"/>
  <c r="AT142" i="1" s="1"/>
  <c r="P65" i="1"/>
  <c r="AS142" i="1" s="1"/>
  <c r="O65" i="1"/>
  <c r="AR142" i="1" s="1"/>
  <c r="N65" i="1"/>
  <c r="AQ142" i="1" s="1"/>
  <c r="M65" i="1"/>
  <c r="AP142" i="1" s="1"/>
  <c r="L65" i="1"/>
  <c r="AO142" i="1" s="1"/>
  <c r="K65" i="1"/>
  <c r="AN142" i="1" s="1"/>
  <c r="J65" i="1"/>
  <c r="AM142" i="1" s="1"/>
  <c r="I65" i="1"/>
  <c r="AL142" i="1" s="1"/>
  <c r="H65" i="1"/>
  <c r="AK142" i="1" s="1"/>
  <c r="G65" i="1"/>
  <c r="AJ142" i="1" s="1"/>
  <c r="AI141" i="1"/>
  <c r="H64" i="1"/>
  <c r="AK141" i="1" s="1"/>
  <c r="I64" i="1"/>
  <c r="AL141" i="1" s="1"/>
  <c r="J64" i="1"/>
  <c r="AM141" i="1" s="1"/>
  <c r="P64" i="1"/>
  <c r="AS141" i="1" s="1"/>
  <c r="Q64" i="1"/>
  <c r="AT141" i="1" s="1"/>
  <c r="R64" i="1"/>
  <c r="AU141" i="1" s="1"/>
  <c r="X64" i="1"/>
  <c r="BA141" i="1" s="1"/>
  <c r="Y64" i="1"/>
  <c r="BB141" i="1" s="1"/>
  <c r="BC64" i="1"/>
  <c r="AE64" i="1"/>
  <c r="W64" i="1"/>
  <c r="AZ141" i="1" s="1"/>
  <c r="V64" i="1"/>
  <c r="AY141" i="1" s="1"/>
  <c r="U64" i="1"/>
  <c r="AX141" i="1" s="1"/>
  <c r="T64" i="1"/>
  <c r="AW141" i="1" s="1"/>
  <c r="S64" i="1"/>
  <c r="AV141" i="1" s="1"/>
  <c r="O64" i="1"/>
  <c r="AR141" i="1" s="1"/>
  <c r="N64" i="1"/>
  <c r="AQ141" i="1" s="1"/>
  <c r="M64" i="1"/>
  <c r="AP141" i="1" s="1"/>
  <c r="L64" i="1"/>
  <c r="AO141" i="1" s="1"/>
  <c r="K64" i="1"/>
  <c r="AN141" i="1" s="1"/>
  <c r="G64" i="1"/>
  <c r="AJ141" i="1" s="1"/>
  <c r="AI140" i="1"/>
  <c r="BC63" i="1"/>
  <c r="G63" i="1"/>
  <c r="AJ140" i="1" s="1"/>
  <c r="H63" i="1"/>
  <c r="AK140" i="1" s="1"/>
  <c r="I63" i="1"/>
  <c r="AL140" i="1" s="1"/>
  <c r="J63" i="1"/>
  <c r="AM140" i="1" s="1"/>
  <c r="K63" i="1"/>
  <c r="AN140" i="1" s="1"/>
  <c r="L63" i="1"/>
  <c r="AO140" i="1" s="1"/>
  <c r="M63" i="1"/>
  <c r="AP140" i="1" s="1"/>
  <c r="N63" i="1"/>
  <c r="AQ140" i="1" s="1"/>
  <c r="O63" i="1"/>
  <c r="AR140" i="1" s="1"/>
  <c r="P63" i="1"/>
  <c r="AS140" i="1" s="1"/>
  <c r="Q63" i="1"/>
  <c r="AT140" i="1" s="1"/>
  <c r="R63" i="1"/>
  <c r="AU140" i="1" s="1"/>
  <c r="S63" i="1"/>
  <c r="AV140" i="1" s="1"/>
  <c r="T63" i="1"/>
  <c r="AW140" i="1" s="1"/>
  <c r="U63" i="1"/>
  <c r="AX140" i="1" s="1"/>
  <c r="V63" i="1"/>
  <c r="AY140" i="1" s="1"/>
  <c r="W63" i="1"/>
  <c r="AZ140" i="1" s="1"/>
  <c r="X63" i="1"/>
  <c r="BA140" i="1" s="1"/>
  <c r="Y63" i="1"/>
  <c r="BB140" i="1" s="1"/>
  <c r="AE63" i="1"/>
  <c r="AI139" i="1"/>
  <c r="BC62" i="1"/>
  <c r="AE62" i="1"/>
  <c r="AF62" i="1" s="1"/>
  <c r="Y62" i="1"/>
  <c r="BB139" i="1" s="1"/>
  <c r="X62" i="1"/>
  <c r="BA139" i="1" s="1"/>
  <c r="W62" i="1"/>
  <c r="AZ139" i="1" s="1"/>
  <c r="V62" i="1"/>
  <c r="AY139" i="1" s="1"/>
  <c r="U62" i="1"/>
  <c r="AX139" i="1" s="1"/>
  <c r="T62" i="1"/>
  <c r="AW139" i="1" s="1"/>
  <c r="S62" i="1"/>
  <c r="AV139" i="1" s="1"/>
  <c r="R62" i="1"/>
  <c r="AU139" i="1" s="1"/>
  <c r="Q62" i="1"/>
  <c r="AT139" i="1" s="1"/>
  <c r="P62" i="1"/>
  <c r="AS139" i="1" s="1"/>
  <c r="O62" i="1"/>
  <c r="AR139" i="1" s="1"/>
  <c r="N62" i="1"/>
  <c r="AQ139" i="1" s="1"/>
  <c r="M62" i="1"/>
  <c r="AP139" i="1" s="1"/>
  <c r="L62" i="1"/>
  <c r="AO139" i="1" s="1"/>
  <c r="K62" i="1"/>
  <c r="AN139" i="1" s="1"/>
  <c r="J62" i="1"/>
  <c r="AM139" i="1" s="1"/>
  <c r="I62" i="1"/>
  <c r="AL139" i="1" s="1"/>
  <c r="H62" i="1"/>
  <c r="AK139" i="1" s="1"/>
  <c r="G62" i="1"/>
  <c r="AJ139" i="1" s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BC61" i="1"/>
  <c r="Y61" i="1"/>
  <c r="BB138" i="1" s="1"/>
  <c r="X61" i="1"/>
  <c r="BA138" i="1" s="1"/>
  <c r="W61" i="1"/>
  <c r="AZ138" i="1" s="1"/>
  <c r="V61" i="1"/>
  <c r="AY138" i="1" s="1"/>
  <c r="U61" i="1"/>
  <c r="AX138" i="1" s="1"/>
  <c r="T61" i="1"/>
  <c r="AW138" i="1" s="1"/>
  <c r="S61" i="1"/>
  <c r="AV138" i="1" s="1"/>
  <c r="R61" i="1"/>
  <c r="AU138" i="1" s="1"/>
  <c r="Q61" i="1"/>
  <c r="AT138" i="1" s="1"/>
  <c r="P61" i="1"/>
  <c r="AS138" i="1" s="1"/>
  <c r="O61" i="1"/>
  <c r="AR138" i="1" s="1"/>
  <c r="N61" i="1"/>
  <c r="AQ138" i="1" s="1"/>
  <c r="M61" i="1"/>
  <c r="AP138" i="1" s="1"/>
  <c r="L61" i="1"/>
  <c r="AO138" i="1" s="1"/>
  <c r="K61" i="1"/>
  <c r="AN138" i="1" s="1"/>
  <c r="J61" i="1"/>
  <c r="AM138" i="1" s="1"/>
  <c r="I61" i="1"/>
  <c r="AL138" i="1" s="1"/>
  <c r="H61" i="1"/>
  <c r="AK138" i="1" s="1"/>
  <c r="G61" i="1"/>
  <c r="AJ138" i="1" s="1"/>
  <c r="BC60" i="1"/>
  <c r="G60" i="1"/>
  <c r="AJ137" i="1" s="1"/>
  <c r="H60" i="1"/>
  <c r="AK137" i="1" s="1"/>
  <c r="I60" i="1"/>
  <c r="AL137" i="1" s="1"/>
  <c r="J60" i="1"/>
  <c r="AM137" i="1" s="1"/>
  <c r="K60" i="1"/>
  <c r="AN137" i="1" s="1"/>
  <c r="L60" i="1"/>
  <c r="AO137" i="1" s="1"/>
  <c r="M60" i="1"/>
  <c r="AP137" i="1" s="1"/>
  <c r="N60" i="1"/>
  <c r="AQ137" i="1" s="1"/>
  <c r="O60" i="1"/>
  <c r="AR137" i="1" s="1"/>
  <c r="P60" i="1"/>
  <c r="AS137" i="1" s="1"/>
  <c r="Q60" i="1"/>
  <c r="AT137" i="1" s="1"/>
  <c r="R60" i="1"/>
  <c r="AU137" i="1" s="1"/>
  <c r="S60" i="1"/>
  <c r="AV137" i="1" s="1"/>
  <c r="T60" i="1"/>
  <c r="AW137" i="1" s="1"/>
  <c r="U60" i="1"/>
  <c r="AX137" i="1" s="1"/>
  <c r="V60" i="1"/>
  <c r="AY137" i="1" s="1"/>
  <c r="W60" i="1"/>
  <c r="AZ137" i="1" s="1"/>
  <c r="X60" i="1"/>
  <c r="BA137" i="1" s="1"/>
  <c r="Y60" i="1"/>
  <c r="BB137" i="1" s="1"/>
  <c r="BC59" i="1"/>
  <c r="G59" i="1"/>
  <c r="AJ136" i="1" s="1"/>
  <c r="H59" i="1"/>
  <c r="AK136" i="1" s="1"/>
  <c r="I59" i="1"/>
  <c r="AL136" i="1" s="1"/>
  <c r="J59" i="1"/>
  <c r="AM136" i="1" s="1"/>
  <c r="K59" i="1"/>
  <c r="AN136" i="1" s="1"/>
  <c r="L59" i="1"/>
  <c r="AO136" i="1" s="1"/>
  <c r="M59" i="1"/>
  <c r="AP136" i="1" s="1"/>
  <c r="N59" i="1"/>
  <c r="AQ136" i="1" s="1"/>
  <c r="O59" i="1"/>
  <c r="AR136" i="1" s="1"/>
  <c r="P59" i="1"/>
  <c r="AS136" i="1" s="1"/>
  <c r="Q59" i="1"/>
  <c r="AT136" i="1" s="1"/>
  <c r="R59" i="1"/>
  <c r="AU136" i="1" s="1"/>
  <c r="S59" i="1"/>
  <c r="AV136" i="1" s="1"/>
  <c r="T59" i="1"/>
  <c r="AW136" i="1" s="1"/>
  <c r="U59" i="1"/>
  <c r="AX136" i="1" s="1"/>
  <c r="V59" i="1"/>
  <c r="AY136" i="1" s="1"/>
  <c r="W59" i="1"/>
  <c r="AZ136" i="1" s="1"/>
  <c r="X59" i="1"/>
  <c r="BA136" i="1" s="1"/>
  <c r="Y59" i="1"/>
  <c r="BB136" i="1" s="1"/>
  <c r="BC58" i="1"/>
  <c r="Y58" i="1"/>
  <c r="BB135" i="1" s="1"/>
  <c r="X58" i="1"/>
  <c r="BA135" i="1" s="1"/>
  <c r="W58" i="1"/>
  <c r="AZ135" i="1" s="1"/>
  <c r="V58" i="1"/>
  <c r="AY135" i="1" s="1"/>
  <c r="U58" i="1"/>
  <c r="AX135" i="1" s="1"/>
  <c r="T58" i="1"/>
  <c r="AW135" i="1" s="1"/>
  <c r="S58" i="1"/>
  <c r="AV135" i="1" s="1"/>
  <c r="R58" i="1"/>
  <c r="AU135" i="1" s="1"/>
  <c r="Q58" i="1"/>
  <c r="AT135" i="1" s="1"/>
  <c r="P58" i="1"/>
  <c r="AS135" i="1" s="1"/>
  <c r="O58" i="1"/>
  <c r="AR135" i="1" s="1"/>
  <c r="N58" i="1"/>
  <c r="AQ135" i="1" s="1"/>
  <c r="M58" i="1"/>
  <c r="AP135" i="1" s="1"/>
  <c r="L58" i="1"/>
  <c r="AO135" i="1" s="1"/>
  <c r="K58" i="1"/>
  <c r="AN135" i="1" s="1"/>
  <c r="J58" i="1"/>
  <c r="AM135" i="1" s="1"/>
  <c r="I58" i="1"/>
  <c r="AL135" i="1" s="1"/>
  <c r="H58" i="1"/>
  <c r="AK135" i="1" s="1"/>
  <c r="G58" i="1"/>
  <c r="AJ135" i="1" s="1"/>
  <c r="G9" i="1"/>
  <c r="AJ86" i="1" s="1"/>
  <c r="H9" i="1"/>
  <c r="AK86" i="1" s="1"/>
  <c r="I9" i="1"/>
  <c r="AL86" i="1" s="1"/>
  <c r="J9" i="1"/>
  <c r="AM86" i="1" s="1"/>
  <c r="K9" i="1"/>
  <c r="AN86" i="1" s="1"/>
  <c r="L9" i="1"/>
  <c r="AO86" i="1" s="1"/>
  <c r="M9" i="1"/>
  <c r="AP86" i="1" s="1"/>
  <c r="N9" i="1"/>
  <c r="AQ86" i="1" s="1"/>
  <c r="O9" i="1"/>
  <c r="AR86" i="1" s="1"/>
  <c r="P9" i="1"/>
  <c r="AS86" i="1" s="1"/>
  <c r="Q9" i="1"/>
  <c r="AT86" i="1" s="1"/>
  <c r="R9" i="1"/>
  <c r="AU86" i="1" s="1"/>
  <c r="S9" i="1"/>
  <c r="AV86" i="1" s="1"/>
  <c r="T9" i="1"/>
  <c r="AW86" i="1" s="1"/>
  <c r="U9" i="1"/>
  <c r="AX86" i="1" s="1"/>
  <c r="V9" i="1"/>
  <c r="AY86" i="1" s="1"/>
  <c r="W9" i="1"/>
  <c r="AZ86" i="1" s="1"/>
  <c r="X9" i="1"/>
  <c r="BA86" i="1" s="1"/>
  <c r="Y9" i="1"/>
  <c r="BB86" i="1" s="1"/>
  <c r="G10" i="1"/>
  <c r="AJ87" i="1" s="1"/>
  <c r="H10" i="1"/>
  <c r="AK87" i="1" s="1"/>
  <c r="I10" i="1"/>
  <c r="AL87" i="1" s="1"/>
  <c r="J10" i="1"/>
  <c r="AM87" i="1" s="1"/>
  <c r="K10" i="1"/>
  <c r="AN87" i="1" s="1"/>
  <c r="L10" i="1"/>
  <c r="AO87" i="1" s="1"/>
  <c r="M10" i="1"/>
  <c r="AP87" i="1" s="1"/>
  <c r="N10" i="1"/>
  <c r="AQ87" i="1" s="1"/>
  <c r="O10" i="1"/>
  <c r="AR87" i="1" s="1"/>
  <c r="P10" i="1"/>
  <c r="AS87" i="1" s="1"/>
  <c r="Q10" i="1"/>
  <c r="AT87" i="1" s="1"/>
  <c r="R10" i="1"/>
  <c r="AU87" i="1" s="1"/>
  <c r="S10" i="1"/>
  <c r="AV87" i="1" s="1"/>
  <c r="T10" i="1"/>
  <c r="AW87" i="1" s="1"/>
  <c r="U10" i="1"/>
  <c r="AX87" i="1" s="1"/>
  <c r="V10" i="1"/>
  <c r="AY87" i="1" s="1"/>
  <c r="W10" i="1"/>
  <c r="AZ87" i="1" s="1"/>
  <c r="X10" i="1"/>
  <c r="BA87" i="1" s="1"/>
  <c r="Y10" i="1"/>
  <c r="BB87" i="1" s="1"/>
  <c r="G11" i="1"/>
  <c r="AJ88" i="1" s="1"/>
  <c r="H11" i="1"/>
  <c r="AK88" i="1" s="1"/>
  <c r="I11" i="1"/>
  <c r="AL88" i="1" s="1"/>
  <c r="J11" i="1"/>
  <c r="AM88" i="1" s="1"/>
  <c r="K11" i="1"/>
  <c r="AN88" i="1" s="1"/>
  <c r="L11" i="1"/>
  <c r="AO88" i="1" s="1"/>
  <c r="M11" i="1"/>
  <c r="AP88" i="1" s="1"/>
  <c r="N11" i="1"/>
  <c r="AQ88" i="1" s="1"/>
  <c r="O11" i="1"/>
  <c r="AR88" i="1" s="1"/>
  <c r="P11" i="1"/>
  <c r="AS88" i="1" s="1"/>
  <c r="Q11" i="1"/>
  <c r="AT88" i="1" s="1"/>
  <c r="R11" i="1"/>
  <c r="AU88" i="1" s="1"/>
  <c r="S11" i="1"/>
  <c r="AV88" i="1" s="1"/>
  <c r="T11" i="1"/>
  <c r="AW88" i="1" s="1"/>
  <c r="U11" i="1"/>
  <c r="AX88" i="1" s="1"/>
  <c r="V11" i="1"/>
  <c r="AY88" i="1" s="1"/>
  <c r="W11" i="1"/>
  <c r="AZ88" i="1" s="1"/>
  <c r="X11" i="1"/>
  <c r="BA88" i="1" s="1"/>
  <c r="Y11" i="1"/>
  <c r="BB88" i="1" s="1"/>
  <c r="G12" i="1"/>
  <c r="AJ89" i="1" s="1"/>
  <c r="H12" i="1"/>
  <c r="AK89" i="1" s="1"/>
  <c r="I12" i="1"/>
  <c r="AL89" i="1" s="1"/>
  <c r="J12" i="1"/>
  <c r="AM89" i="1" s="1"/>
  <c r="K12" i="1"/>
  <c r="AN89" i="1" s="1"/>
  <c r="L12" i="1"/>
  <c r="AO89" i="1" s="1"/>
  <c r="M12" i="1"/>
  <c r="AP89" i="1" s="1"/>
  <c r="N12" i="1"/>
  <c r="AQ89" i="1" s="1"/>
  <c r="O12" i="1"/>
  <c r="AR89" i="1" s="1"/>
  <c r="P12" i="1"/>
  <c r="AS89" i="1" s="1"/>
  <c r="Q12" i="1"/>
  <c r="AT89" i="1" s="1"/>
  <c r="R12" i="1"/>
  <c r="AU89" i="1" s="1"/>
  <c r="S12" i="1"/>
  <c r="AV89" i="1" s="1"/>
  <c r="T12" i="1"/>
  <c r="AW89" i="1" s="1"/>
  <c r="U12" i="1"/>
  <c r="AX89" i="1" s="1"/>
  <c r="V12" i="1"/>
  <c r="AY89" i="1" s="1"/>
  <c r="W12" i="1"/>
  <c r="AZ89" i="1" s="1"/>
  <c r="X12" i="1"/>
  <c r="BA89" i="1" s="1"/>
  <c r="Y12" i="1"/>
  <c r="BB89" i="1" s="1"/>
  <c r="G13" i="1"/>
  <c r="AJ90" i="1" s="1"/>
  <c r="H13" i="1"/>
  <c r="AK90" i="1" s="1"/>
  <c r="I13" i="1"/>
  <c r="AL90" i="1" s="1"/>
  <c r="J13" i="1"/>
  <c r="AM90" i="1" s="1"/>
  <c r="K13" i="1"/>
  <c r="AN90" i="1" s="1"/>
  <c r="L13" i="1"/>
  <c r="AO90" i="1" s="1"/>
  <c r="M13" i="1"/>
  <c r="AP90" i="1" s="1"/>
  <c r="N13" i="1"/>
  <c r="AQ90" i="1" s="1"/>
  <c r="O13" i="1"/>
  <c r="AR90" i="1" s="1"/>
  <c r="P13" i="1"/>
  <c r="AS90" i="1" s="1"/>
  <c r="Q13" i="1"/>
  <c r="AT90" i="1" s="1"/>
  <c r="R13" i="1"/>
  <c r="AU90" i="1" s="1"/>
  <c r="S13" i="1"/>
  <c r="AV90" i="1" s="1"/>
  <c r="T13" i="1"/>
  <c r="AW90" i="1" s="1"/>
  <c r="U13" i="1"/>
  <c r="AX90" i="1" s="1"/>
  <c r="V13" i="1"/>
  <c r="AY90" i="1" s="1"/>
  <c r="W13" i="1"/>
  <c r="AZ90" i="1" s="1"/>
  <c r="X13" i="1"/>
  <c r="BA90" i="1" s="1"/>
  <c r="Y13" i="1"/>
  <c r="BB90" i="1" s="1"/>
  <c r="G14" i="1"/>
  <c r="AJ91" i="1" s="1"/>
  <c r="H14" i="1"/>
  <c r="AK91" i="1" s="1"/>
  <c r="I14" i="1"/>
  <c r="AL91" i="1" s="1"/>
  <c r="J14" i="1"/>
  <c r="AM91" i="1" s="1"/>
  <c r="K14" i="1"/>
  <c r="AN91" i="1" s="1"/>
  <c r="L14" i="1"/>
  <c r="AO91" i="1" s="1"/>
  <c r="M14" i="1"/>
  <c r="AP91" i="1" s="1"/>
  <c r="N14" i="1"/>
  <c r="AQ91" i="1" s="1"/>
  <c r="O14" i="1"/>
  <c r="AR91" i="1" s="1"/>
  <c r="P14" i="1"/>
  <c r="AS91" i="1" s="1"/>
  <c r="Q14" i="1"/>
  <c r="AT91" i="1" s="1"/>
  <c r="R14" i="1"/>
  <c r="AU91" i="1" s="1"/>
  <c r="S14" i="1"/>
  <c r="AV91" i="1" s="1"/>
  <c r="T14" i="1"/>
  <c r="AW91" i="1" s="1"/>
  <c r="U14" i="1"/>
  <c r="AX91" i="1" s="1"/>
  <c r="V14" i="1"/>
  <c r="AY91" i="1" s="1"/>
  <c r="W14" i="1"/>
  <c r="AZ91" i="1" s="1"/>
  <c r="X14" i="1"/>
  <c r="BA91" i="1" s="1"/>
  <c r="Y14" i="1"/>
  <c r="BB91" i="1" s="1"/>
  <c r="G15" i="1"/>
  <c r="AJ92" i="1" s="1"/>
  <c r="H15" i="1"/>
  <c r="AK92" i="1" s="1"/>
  <c r="I15" i="1"/>
  <c r="AL92" i="1" s="1"/>
  <c r="J15" i="1"/>
  <c r="AM92" i="1" s="1"/>
  <c r="K15" i="1"/>
  <c r="AN92" i="1" s="1"/>
  <c r="L15" i="1"/>
  <c r="AO92" i="1" s="1"/>
  <c r="M15" i="1"/>
  <c r="AP92" i="1" s="1"/>
  <c r="N15" i="1"/>
  <c r="AQ92" i="1" s="1"/>
  <c r="O15" i="1"/>
  <c r="AR92" i="1" s="1"/>
  <c r="P15" i="1"/>
  <c r="AS92" i="1" s="1"/>
  <c r="Q15" i="1"/>
  <c r="AT92" i="1" s="1"/>
  <c r="R15" i="1"/>
  <c r="AU92" i="1" s="1"/>
  <c r="S15" i="1"/>
  <c r="AV92" i="1" s="1"/>
  <c r="T15" i="1"/>
  <c r="AW92" i="1" s="1"/>
  <c r="U15" i="1"/>
  <c r="AX92" i="1" s="1"/>
  <c r="V15" i="1"/>
  <c r="AY92" i="1" s="1"/>
  <c r="W15" i="1"/>
  <c r="AZ92" i="1" s="1"/>
  <c r="X15" i="1"/>
  <c r="BA92" i="1" s="1"/>
  <c r="Y15" i="1"/>
  <c r="BB92" i="1" s="1"/>
  <c r="G16" i="1"/>
  <c r="AJ93" i="1" s="1"/>
  <c r="H16" i="1"/>
  <c r="AK93" i="1" s="1"/>
  <c r="I16" i="1"/>
  <c r="AL93" i="1" s="1"/>
  <c r="J16" i="1"/>
  <c r="AM93" i="1" s="1"/>
  <c r="K16" i="1"/>
  <c r="AN93" i="1" s="1"/>
  <c r="L16" i="1"/>
  <c r="AO93" i="1" s="1"/>
  <c r="M16" i="1"/>
  <c r="AP93" i="1" s="1"/>
  <c r="N16" i="1"/>
  <c r="AQ93" i="1" s="1"/>
  <c r="O16" i="1"/>
  <c r="AR93" i="1" s="1"/>
  <c r="P16" i="1"/>
  <c r="AS93" i="1" s="1"/>
  <c r="Q16" i="1"/>
  <c r="AT93" i="1" s="1"/>
  <c r="R16" i="1"/>
  <c r="AU93" i="1" s="1"/>
  <c r="S16" i="1"/>
  <c r="AV93" i="1" s="1"/>
  <c r="T16" i="1"/>
  <c r="AW93" i="1" s="1"/>
  <c r="U16" i="1"/>
  <c r="AX93" i="1" s="1"/>
  <c r="V16" i="1"/>
  <c r="AY93" i="1" s="1"/>
  <c r="W16" i="1"/>
  <c r="AZ93" i="1" s="1"/>
  <c r="X16" i="1"/>
  <c r="BA93" i="1" s="1"/>
  <c r="Y16" i="1"/>
  <c r="BB93" i="1" s="1"/>
  <c r="G17" i="1"/>
  <c r="AJ94" i="1" s="1"/>
  <c r="H17" i="1"/>
  <c r="AK94" i="1" s="1"/>
  <c r="I17" i="1"/>
  <c r="AL94" i="1" s="1"/>
  <c r="J17" i="1"/>
  <c r="AM94" i="1" s="1"/>
  <c r="K17" i="1"/>
  <c r="AN94" i="1" s="1"/>
  <c r="L17" i="1"/>
  <c r="AO94" i="1" s="1"/>
  <c r="M17" i="1"/>
  <c r="AP94" i="1" s="1"/>
  <c r="N17" i="1"/>
  <c r="AQ94" i="1" s="1"/>
  <c r="O17" i="1"/>
  <c r="AR94" i="1" s="1"/>
  <c r="P17" i="1"/>
  <c r="AS94" i="1" s="1"/>
  <c r="Q17" i="1"/>
  <c r="AT94" i="1" s="1"/>
  <c r="R17" i="1"/>
  <c r="AU94" i="1" s="1"/>
  <c r="S17" i="1"/>
  <c r="AV94" i="1" s="1"/>
  <c r="T17" i="1"/>
  <c r="AW94" i="1" s="1"/>
  <c r="U17" i="1"/>
  <c r="AX94" i="1" s="1"/>
  <c r="V17" i="1"/>
  <c r="AY94" i="1" s="1"/>
  <c r="W17" i="1"/>
  <c r="AZ94" i="1" s="1"/>
  <c r="X17" i="1"/>
  <c r="BA94" i="1" s="1"/>
  <c r="Y17" i="1"/>
  <c r="BB94" i="1" s="1"/>
  <c r="G18" i="1"/>
  <c r="AJ95" i="1" s="1"/>
  <c r="H18" i="1"/>
  <c r="AK95" i="1" s="1"/>
  <c r="I18" i="1"/>
  <c r="AL95" i="1" s="1"/>
  <c r="J18" i="1"/>
  <c r="AM95" i="1" s="1"/>
  <c r="K18" i="1"/>
  <c r="AN95" i="1" s="1"/>
  <c r="L18" i="1"/>
  <c r="AO95" i="1" s="1"/>
  <c r="M18" i="1"/>
  <c r="AP95" i="1" s="1"/>
  <c r="N18" i="1"/>
  <c r="AQ95" i="1" s="1"/>
  <c r="O18" i="1"/>
  <c r="AR95" i="1" s="1"/>
  <c r="P18" i="1"/>
  <c r="AS95" i="1" s="1"/>
  <c r="Q18" i="1"/>
  <c r="AT95" i="1" s="1"/>
  <c r="R18" i="1"/>
  <c r="AU95" i="1" s="1"/>
  <c r="S18" i="1"/>
  <c r="AV95" i="1" s="1"/>
  <c r="T18" i="1"/>
  <c r="AW95" i="1" s="1"/>
  <c r="U18" i="1"/>
  <c r="AX95" i="1" s="1"/>
  <c r="V18" i="1"/>
  <c r="AY95" i="1" s="1"/>
  <c r="W18" i="1"/>
  <c r="AZ95" i="1" s="1"/>
  <c r="X18" i="1"/>
  <c r="BA95" i="1" s="1"/>
  <c r="Y18" i="1"/>
  <c r="BB95" i="1" s="1"/>
  <c r="G19" i="1"/>
  <c r="AJ96" i="1" s="1"/>
  <c r="H19" i="1"/>
  <c r="AK96" i="1" s="1"/>
  <c r="I19" i="1"/>
  <c r="AL96" i="1" s="1"/>
  <c r="J19" i="1"/>
  <c r="AM96" i="1" s="1"/>
  <c r="K19" i="1"/>
  <c r="AN96" i="1" s="1"/>
  <c r="L19" i="1"/>
  <c r="AO96" i="1" s="1"/>
  <c r="M19" i="1"/>
  <c r="AP96" i="1" s="1"/>
  <c r="N19" i="1"/>
  <c r="AQ96" i="1" s="1"/>
  <c r="O19" i="1"/>
  <c r="AR96" i="1" s="1"/>
  <c r="P19" i="1"/>
  <c r="AS96" i="1" s="1"/>
  <c r="Q19" i="1"/>
  <c r="AT96" i="1" s="1"/>
  <c r="R19" i="1"/>
  <c r="AU96" i="1" s="1"/>
  <c r="S19" i="1"/>
  <c r="AV96" i="1" s="1"/>
  <c r="T19" i="1"/>
  <c r="AW96" i="1" s="1"/>
  <c r="U19" i="1"/>
  <c r="AX96" i="1" s="1"/>
  <c r="V19" i="1"/>
  <c r="AY96" i="1" s="1"/>
  <c r="W19" i="1"/>
  <c r="AZ96" i="1" s="1"/>
  <c r="X19" i="1"/>
  <c r="BA96" i="1" s="1"/>
  <c r="Y19" i="1"/>
  <c r="BB96" i="1" s="1"/>
  <c r="G20" i="1"/>
  <c r="AJ97" i="1" s="1"/>
  <c r="H20" i="1"/>
  <c r="AK97" i="1" s="1"/>
  <c r="I20" i="1"/>
  <c r="AL97" i="1" s="1"/>
  <c r="J20" i="1"/>
  <c r="AM97" i="1" s="1"/>
  <c r="K20" i="1"/>
  <c r="AN97" i="1" s="1"/>
  <c r="L20" i="1"/>
  <c r="AO97" i="1" s="1"/>
  <c r="M20" i="1"/>
  <c r="AP97" i="1" s="1"/>
  <c r="N20" i="1"/>
  <c r="AQ97" i="1" s="1"/>
  <c r="O20" i="1"/>
  <c r="AR97" i="1" s="1"/>
  <c r="P20" i="1"/>
  <c r="AS97" i="1" s="1"/>
  <c r="Q20" i="1"/>
  <c r="AT97" i="1" s="1"/>
  <c r="R20" i="1"/>
  <c r="AU97" i="1" s="1"/>
  <c r="S20" i="1"/>
  <c r="AV97" i="1" s="1"/>
  <c r="T20" i="1"/>
  <c r="AW97" i="1" s="1"/>
  <c r="U20" i="1"/>
  <c r="AX97" i="1" s="1"/>
  <c r="V20" i="1"/>
  <c r="AY97" i="1" s="1"/>
  <c r="W20" i="1"/>
  <c r="AZ97" i="1" s="1"/>
  <c r="X20" i="1"/>
  <c r="BA97" i="1" s="1"/>
  <c r="Y20" i="1"/>
  <c r="BB97" i="1" s="1"/>
  <c r="G21" i="1"/>
  <c r="AJ98" i="1" s="1"/>
  <c r="H21" i="1"/>
  <c r="AK98" i="1" s="1"/>
  <c r="I21" i="1"/>
  <c r="AL98" i="1" s="1"/>
  <c r="J21" i="1"/>
  <c r="AM98" i="1" s="1"/>
  <c r="K21" i="1"/>
  <c r="AN98" i="1" s="1"/>
  <c r="L21" i="1"/>
  <c r="AO98" i="1" s="1"/>
  <c r="M21" i="1"/>
  <c r="AP98" i="1" s="1"/>
  <c r="N21" i="1"/>
  <c r="AQ98" i="1" s="1"/>
  <c r="O21" i="1"/>
  <c r="AR98" i="1" s="1"/>
  <c r="P21" i="1"/>
  <c r="AS98" i="1" s="1"/>
  <c r="Q21" i="1"/>
  <c r="AT98" i="1" s="1"/>
  <c r="R21" i="1"/>
  <c r="AU98" i="1" s="1"/>
  <c r="S21" i="1"/>
  <c r="AV98" i="1" s="1"/>
  <c r="T21" i="1"/>
  <c r="AW98" i="1" s="1"/>
  <c r="U21" i="1"/>
  <c r="AX98" i="1" s="1"/>
  <c r="V21" i="1"/>
  <c r="AY98" i="1" s="1"/>
  <c r="W21" i="1"/>
  <c r="AZ98" i="1" s="1"/>
  <c r="X21" i="1"/>
  <c r="BA98" i="1" s="1"/>
  <c r="Y21" i="1"/>
  <c r="BB98" i="1" s="1"/>
  <c r="G22" i="1"/>
  <c r="AJ99" i="1" s="1"/>
  <c r="H22" i="1"/>
  <c r="AK99" i="1" s="1"/>
  <c r="I22" i="1"/>
  <c r="AL99" i="1" s="1"/>
  <c r="J22" i="1"/>
  <c r="AM99" i="1" s="1"/>
  <c r="K22" i="1"/>
  <c r="AN99" i="1" s="1"/>
  <c r="L22" i="1"/>
  <c r="AO99" i="1" s="1"/>
  <c r="M22" i="1"/>
  <c r="AP99" i="1" s="1"/>
  <c r="N22" i="1"/>
  <c r="AQ99" i="1" s="1"/>
  <c r="O22" i="1"/>
  <c r="AR99" i="1" s="1"/>
  <c r="P22" i="1"/>
  <c r="AS99" i="1" s="1"/>
  <c r="Q22" i="1"/>
  <c r="AT99" i="1" s="1"/>
  <c r="R22" i="1"/>
  <c r="AU99" i="1" s="1"/>
  <c r="S22" i="1"/>
  <c r="AV99" i="1" s="1"/>
  <c r="T22" i="1"/>
  <c r="AW99" i="1" s="1"/>
  <c r="U22" i="1"/>
  <c r="AX99" i="1" s="1"/>
  <c r="V22" i="1"/>
  <c r="AY99" i="1" s="1"/>
  <c r="W22" i="1"/>
  <c r="AZ99" i="1" s="1"/>
  <c r="X22" i="1"/>
  <c r="BA99" i="1" s="1"/>
  <c r="Y22" i="1"/>
  <c r="BB99" i="1" s="1"/>
  <c r="G23" i="1"/>
  <c r="AJ100" i="1" s="1"/>
  <c r="H23" i="1"/>
  <c r="AK100" i="1" s="1"/>
  <c r="I23" i="1"/>
  <c r="AL100" i="1" s="1"/>
  <c r="J23" i="1"/>
  <c r="AM100" i="1" s="1"/>
  <c r="K23" i="1"/>
  <c r="AN100" i="1" s="1"/>
  <c r="L23" i="1"/>
  <c r="AO100" i="1" s="1"/>
  <c r="M23" i="1"/>
  <c r="AP100" i="1" s="1"/>
  <c r="N23" i="1"/>
  <c r="AQ100" i="1" s="1"/>
  <c r="O23" i="1"/>
  <c r="AR100" i="1" s="1"/>
  <c r="P23" i="1"/>
  <c r="AS100" i="1" s="1"/>
  <c r="Q23" i="1"/>
  <c r="AT100" i="1" s="1"/>
  <c r="R23" i="1"/>
  <c r="AU100" i="1" s="1"/>
  <c r="S23" i="1"/>
  <c r="AV100" i="1" s="1"/>
  <c r="T23" i="1"/>
  <c r="AW100" i="1" s="1"/>
  <c r="U23" i="1"/>
  <c r="AX100" i="1" s="1"/>
  <c r="V23" i="1"/>
  <c r="AY100" i="1" s="1"/>
  <c r="W23" i="1"/>
  <c r="AZ100" i="1" s="1"/>
  <c r="X23" i="1"/>
  <c r="BA100" i="1" s="1"/>
  <c r="Y23" i="1"/>
  <c r="BB100" i="1" s="1"/>
  <c r="G24" i="1"/>
  <c r="AJ101" i="1" s="1"/>
  <c r="H24" i="1"/>
  <c r="AK101" i="1" s="1"/>
  <c r="I24" i="1"/>
  <c r="AL101" i="1" s="1"/>
  <c r="J24" i="1"/>
  <c r="AM101" i="1" s="1"/>
  <c r="K24" i="1"/>
  <c r="AN101" i="1" s="1"/>
  <c r="L24" i="1"/>
  <c r="AO101" i="1" s="1"/>
  <c r="M24" i="1"/>
  <c r="AP101" i="1" s="1"/>
  <c r="N24" i="1"/>
  <c r="AQ101" i="1" s="1"/>
  <c r="O24" i="1"/>
  <c r="AR101" i="1" s="1"/>
  <c r="P24" i="1"/>
  <c r="AS101" i="1" s="1"/>
  <c r="Q24" i="1"/>
  <c r="AT101" i="1" s="1"/>
  <c r="R24" i="1"/>
  <c r="AU101" i="1" s="1"/>
  <c r="S24" i="1"/>
  <c r="AV101" i="1" s="1"/>
  <c r="T24" i="1"/>
  <c r="AW101" i="1" s="1"/>
  <c r="U24" i="1"/>
  <c r="AX101" i="1" s="1"/>
  <c r="V24" i="1"/>
  <c r="AY101" i="1" s="1"/>
  <c r="W24" i="1"/>
  <c r="AZ101" i="1" s="1"/>
  <c r="X24" i="1"/>
  <c r="BA101" i="1" s="1"/>
  <c r="Y24" i="1"/>
  <c r="BB101" i="1" s="1"/>
  <c r="G25" i="1"/>
  <c r="AJ102" i="1" s="1"/>
  <c r="H25" i="1"/>
  <c r="AK102" i="1" s="1"/>
  <c r="I25" i="1"/>
  <c r="AL102" i="1" s="1"/>
  <c r="J25" i="1"/>
  <c r="AM102" i="1" s="1"/>
  <c r="K25" i="1"/>
  <c r="AN102" i="1" s="1"/>
  <c r="L25" i="1"/>
  <c r="AO102" i="1" s="1"/>
  <c r="M25" i="1"/>
  <c r="AP102" i="1" s="1"/>
  <c r="N25" i="1"/>
  <c r="AQ102" i="1" s="1"/>
  <c r="O25" i="1"/>
  <c r="AR102" i="1" s="1"/>
  <c r="P25" i="1"/>
  <c r="AS102" i="1" s="1"/>
  <c r="Q25" i="1"/>
  <c r="AT102" i="1" s="1"/>
  <c r="R25" i="1"/>
  <c r="AU102" i="1" s="1"/>
  <c r="S25" i="1"/>
  <c r="AV102" i="1" s="1"/>
  <c r="T25" i="1"/>
  <c r="AW102" i="1" s="1"/>
  <c r="U25" i="1"/>
  <c r="AX102" i="1" s="1"/>
  <c r="V25" i="1"/>
  <c r="AY102" i="1" s="1"/>
  <c r="W25" i="1"/>
  <c r="AZ102" i="1" s="1"/>
  <c r="X25" i="1"/>
  <c r="BA102" i="1" s="1"/>
  <c r="Y25" i="1"/>
  <c r="BB102" i="1" s="1"/>
  <c r="G26" i="1"/>
  <c r="AJ103" i="1" s="1"/>
  <c r="H26" i="1"/>
  <c r="AK103" i="1" s="1"/>
  <c r="I26" i="1"/>
  <c r="AL103" i="1" s="1"/>
  <c r="J26" i="1"/>
  <c r="AM103" i="1" s="1"/>
  <c r="K26" i="1"/>
  <c r="AN103" i="1" s="1"/>
  <c r="L26" i="1"/>
  <c r="AO103" i="1" s="1"/>
  <c r="M26" i="1"/>
  <c r="AP103" i="1" s="1"/>
  <c r="N26" i="1"/>
  <c r="AQ103" i="1" s="1"/>
  <c r="O26" i="1"/>
  <c r="AR103" i="1" s="1"/>
  <c r="P26" i="1"/>
  <c r="AS103" i="1" s="1"/>
  <c r="Q26" i="1"/>
  <c r="AT103" i="1" s="1"/>
  <c r="R26" i="1"/>
  <c r="AU103" i="1" s="1"/>
  <c r="S26" i="1"/>
  <c r="AV103" i="1" s="1"/>
  <c r="T26" i="1"/>
  <c r="AW103" i="1" s="1"/>
  <c r="U26" i="1"/>
  <c r="AX103" i="1" s="1"/>
  <c r="V26" i="1"/>
  <c r="AY103" i="1" s="1"/>
  <c r="W26" i="1"/>
  <c r="AZ103" i="1" s="1"/>
  <c r="X26" i="1"/>
  <c r="BA103" i="1" s="1"/>
  <c r="Y26" i="1"/>
  <c r="BB103" i="1" s="1"/>
  <c r="G27" i="1"/>
  <c r="AJ104" i="1" s="1"/>
  <c r="H27" i="1"/>
  <c r="AK104" i="1" s="1"/>
  <c r="I27" i="1"/>
  <c r="AL104" i="1" s="1"/>
  <c r="J27" i="1"/>
  <c r="AM104" i="1" s="1"/>
  <c r="K27" i="1"/>
  <c r="AN104" i="1" s="1"/>
  <c r="L27" i="1"/>
  <c r="AO104" i="1" s="1"/>
  <c r="M27" i="1"/>
  <c r="AP104" i="1" s="1"/>
  <c r="N27" i="1"/>
  <c r="AQ104" i="1" s="1"/>
  <c r="O27" i="1"/>
  <c r="AR104" i="1" s="1"/>
  <c r="P27" i="1"/>
  <c r="AS104" i="1" s="1"/>
  <c r="Q27" i="1"/>
  <c r="AT104" i="1" s="1"/>
  <c r="R27" i="1"/>
  <c r="AU104" i="1" s="1"/>
  <c r="S27" i="1"/>
  <c r="AV104" i="1" s="1"/>
  <c r="T27" i="1"/>
  <c r="AW104" i="1" s="1"/>
  <c r="U27" i="1"/>
  <c r="AX104" i="1" s="1"/>
  <c r="V27" i="1"/>
  <c r="AY104" i="1" s="1"/>
  <c r="W27" i="1"/>
  <c r="AZ104" i="1" s="1"/>
  <c r="X27" i="1"/>
  <c r="BA104" i="1" s="1"/>
  <c r="Y27" i="1"/>
  <c r="BB104" i="1" s="1"/>
  <c r="G28" i="1"/>
  <c r="AJ105" i="1" s="1"/>
  <c r="H28" i="1"/>
  <c r="AK105" i="1" s="1"/>
  <c r="I28" i="1"/>
  <c r="AL105" i="1" s="1"/>
  <c r="J28" i="1"/>
  <c r="AM105" i="1" s="1"/>
  <c r="K28" i="1"/>
  <c r="AN105" i="1" s="1"/>
  <c r="L28" i="1"/>
  <c r="AO105" i="1" s="1"/>
  <c r="M28" i="1"/>
  <c r="AP105" i="1" s="1"/>
  <c r="N28" i="1"/>
  <c r="AQ105" i="1" s="1"/>
  <c r="O28" i="1"/>
  <c r="AR105" i="1" s="1"/>
  <c r="P28" i="1"/>
  <c r="AS105" i="1" s="1"/>
  <c r="Q28" i="1"/>
  <c r="AT105" i="1" s="1"/>
  <c r="R28" i="1"/>
  <c r="AU105" i="1" s="1"/>
  <c r="S28" i="1"/>
  <c r="AV105" i="1" s="1"/>
  <c r="T28" i="1"/>
  <c r="AW105" i="1" s="1"/>
  <c r="U28" i="1"/>
  <c r="AX105" i="1" s="1"/>
  <c r="V28" i="1"/>
  <c r="AY105" i="1" s="1"/>
  <c r="W28" i="1"/>
  <c r="AZ105" i="1" s="1"/>
  <c r="X28" i="1"/>
  <c r="BA105" i="1" s="1"/>
  <c r="Y28" i="1"/>
  <c r="BB105" i="1" s="1"/>
  <c r="G29" i="1"/>
  <c r="AJ106" i="1" s="1"/>
  <c r="H29" i="1"/>
  <c r="AK106" i="1" s="1"/>
  <c r="I29" i="1"/>
  <c r="AL106" i="1" s="1"/>
  <c r="J29" i="1"/>
  <c r="AM106" i="1" s="1"/>
  <c r="K29" i="1"/>
  <c r="AN106" i="1" s="1"/>
  <c r="L29" i="1"/>
  <c r="AO106" i="1" s="1"/>
  <c r="M29" i="1"/>
  <c r="AP106" i="1" s="1"/>
  <c r="N29" i="1"/>
  <c r="AQ106" i="1" s="1"/>
  <c r="O29" i="1"/>
  <c r="AR106" i="1" s="1"/>
  <c r="P29" i="1"/>
  <c r="AS106" i="1" s="1"/>
  <c r="Q29" i="1"/>
  <c r="AT106" i="1" s="1"/>
  <c r="R29" i="1"/>
  <c r="AU106" i="1" s="1"/>
  <c r="S29" i="1"/>
  <c r="AV106" i="1" s="1"/>
  <c r="T29" i="1"/>
  <c r="AW106" i="1" s="1"/>
  <c r="U29" i="1"/>
  <c r="AX106" i="1" s="1"/>
  <c r="V29" i="1"/>
  <c r="AY106" i="1" s="1"/>
  <c r="W29" i="1"/>
  <c r="AZ106" i="1" s="1"/>
  <c r="X29" i="1"/>
  <c r="BA106" i="1" s="1"/>
  <c r="Y29" i="1"/>
  <c r="BB106" i="1" s="1"/>
  <c r="G30" i="1"/>
  <c r="AJ107" i="1" s="1"/>
  <c r="H30" i="1"/>
  <c r="AK107" i="1" s="1"/>
  <c r="I30" i="1"/>
  <c r="AL107" i="1" s="1"/>
  <c r="J30" i="1"/>
  <c r="AM107" i="1" s="1"/>
  <c r="K30" i="1"/>
  <c r="AN107" i="1" s="1"/>
  <c r="L30" i="1"/>
  <c r="AO107" i="1" s="1"/>
  <c r="M30" i="1"/>
  <c r="AP107" i="1" s="1"/>
  <c r="N30" i="1"/>
  <c r="AQ107" i="1" s="1"/>
  <c r="O30" i="1"/>
  <c r="AR107" i="1" s="1"/>
  <c r="P30" i="1"/>
  <c r="AS107" i="1" s="1"/>
  <c r="Q30" i="1"/>
  <c r="AT107" i="1" s="1"/>
  <c r="R30" i="1"/>
  <c r="AU107" i="1" s="1"/>
  <c r="S30" i="1"/>
  <c r="AV107" i="1" s="1"/>
  <c r="T30" i="1"/>
  <c r="AW107" i="1" s="1"/>
  <c r="U30" i="1"/>
  <c r="AX107" i="1" s="1"/>
  <c r="V30" i="1"/>
  <c r="AY107" i="1" s="1"/>
  <c r="W30" i="1"/>
  <c r="AZ107" i="1" s="1"/>
  <c r="X30" i="1"/>
  <c r="BA107" i="1" s="1"/>
  <c r="Y30" i="1"/>
  <c r="BB107" i="1" s="1"/>
  <c r="G31" i="1"/>
  <c r="AJ108" i="1" s="1"/>
  <c r="H31" i="1"/>
  <c r="AK108" i="1" s="1"/>
  <c r="I31" i="1"/>
  <c r="AL108" i="1" s="1"/>
  <c r="J31" i="1"/>
  <c r="AM108" i="1" s="1"/>
  <c r="K31" i="1"/>
  <c r="AN108" i="1" s="1"/>
  <c r="L31" i="1"/>
  <c r="AO108" i="1" s="1"/>
  <c r="M31" i="1"/>
  <c r="AP108" i="1" s="1"/>
  <c r="N31" i="1"/>
  <c r="AQ108" i="1" s="1"/>
  <c r="O31" i="1"/>
  <c r="AR108" i="1" s="1"/>
  <c r="P31" i="1"/>
  <c r="AS108" i="1" s="1"/>
  <c r="Q31" i="1"/>
  <c r="AT108" i="1" s="1"/>
  <c r="R31" i="1"/>
  <c r="AU108" i="1" s="1"/>
  <c r="S31" i="1"/>
  <c r="AV108" i="1" s="1"/>
  <c r="T31" i="1"/>
  <c r="AW108" i="1" s="1"/>
  <c r="U31" i="1"/>
  <c r="AX108" i="1" s="1"/>
  <c r="V31" i="1"/>
  <c r="AY108" i="1" s="1"/>
  <c r="W31" i="1"/>
  <c r="AZ108" i="1" s="1"/>
  <c r="X31" i="1"/>
  <c r="BA108" i="1" s="1"/>
  <c r="Y31" i="1"/>
  <c r="BB108" i="1" s="1"/>
  <c r="G32" i="1"/>
  <c r="AJ109" i="1" s="1"/>
  <c r="H32" i="1"/>
  <c r="AK109" i="1" s="1"/>
  <c r="I32" i="1"/>
  <c r="AL109" i="1" s="1"/>
  <c r="J32" i="1"/>
  <c r="AM109" i="1" s="1"/>
  <c r="K32" i="1"/>
  <c r="AN109" i="1" s="1"/>
  <c r="L32" i="1"/>
  <c r="AO109" i="1" s="1"/>
  <c r="M32" i="1"/>
  <c r="AP109" i="1" s="1"/>
  <c r="N32" i="1"/>
  <c r="AQ109" i="1" s="1"/>
  <c r="O32" i="1"/>
  <c r="AR109" i="1" s="1"/>
  <c r="P32" i="1"/>
  <c r="AS109" i="1" s="1"/>
  <c r="Q32" i="1"/>
  <c r="AT109" i="1" s="1"/>
  <c r="R32" i="1"/>
  <c r="AU109" i="1" s="1"/>
  <c r="S32" i="1"/>
  <c r="AV109" i="1" s="1"/>
  <c r="T32" i="1"/>
  <c r="AW109" i="1" s="1"/>
  <c r="U32" i="1"/>
  <c r="AX109" i="1" s="1"/>
  <c r="V32" i="1"/>
  <c r="AY109" i="1" s="1"/>
  <c r="W32" i="1"/>
  <c r="AZ109" i="1" s="1"/>
  <c r="X32" i="1"/>
  <c r="BA109" i="1" s="1"/>
  <c r="Y32" i="1"/>
  <c r="BB109" i="1" s="1"/>
  <c r="G33" i="1"/>
  <c r="AJ110" i="1" s="1"/>
  <c r="H33" i="1"/>
  <c r="AK110" i="1" s="1"/>
  <c r="I33" i="1"/>
  <c r="AL110" i="1" s="1"/>
  <c r="J33" i="1"/>
  <c r="AM110" i="1" s="1"/>
  <c r="K33" i="1"/>
  <c r="AN110" i="1" s="1"/>
  <c r="L33" i="1"/>
  <c r="AO110" i="1" s="1"/>
  <c r="M33" i="1"/>
  <c r="AP110" i="1" s="1"/>
  <c r="N33" i="1"/>
  <c r="AQ110" i="1" s="1"/>
  <c r="O33" i="1"/>
  <c r="AR110" i="1" s="1"/>
  <c r="P33" i="1"/>
  <c r="AS110" i="1" s="1"/>
  <c r="Q33" i="1"/>
  <c r="AT110" i="1" s="1"/>
  <c r="R33" i="1"/>
  <c r="AU110" i="1" s="1"/>
  <c r="S33" i="1"/>
  <c r="AV110" i="1" s="1"/>
  <c r="T33" i="1"/>
  <c r="AW110" i="1" s="1"/>
  <c r="U33" i="1"/>
  <c r="AX110" i="1" s="1"/>
  <c r="V33" i="1"/>
  <c r="AY110" i="1" s="1"/>
  <c r="W33" i="1"/>
  <c r="AZ110" i="1" s="1"/>
  <c r="X33" i="1"/>
  <c r="BA110" i="1" s="1"/>
  <c r="Y33" i="1"/>
  <c r="BB110" i="1" s="1"/>
  <c r="G34" i="1"/>
  <c r="AJ111" i="1" s="1"/>
  <c r="H34" i="1"/>
  <c r="AK111" i="1" s="1"/>
  <c r="I34" i="1"/>
  <c r="AL111" i="1" s="1"/>
  <c r="J34" i="1"/>
  <c r="AM111" i="1" s="1"/>
  <c r="K34" i="1"/>
  <c r="AN111" i="1" s="1"/>
  <c r="L34" i="1"/>
  <c r="AO111" i="1" s="1"/>
  <c r="M34" i="1"/>
  <c r="AP111" i="1" s="1"/>
  <c r="N34" i="1"/>
  <c r="AQ111" i="1" s="1"/>
  <c r="O34" i="1"/>
  <c r="AR111" i="1" s="1"/>
  <c r="P34" i="1"/>
  <c r="AS111" i="1" s="1"/>
  <c r="Q34" i="1"/>
  <c r="AT111" i="1" s="1"/>
  <c r="R34" i="1"/>
  <c r="AU111" i="1" s="1"/>
  <c r="S34" i="1"/>
  <c r="AV111" i="1" s="1"/>
  <c r="T34" i="1"/>
  <c r="AW111" i="1" s="1"/>
  <c r="U34" i="1"/>
  <c r="AX111" i="1" s="1"/>
  <c r="V34" i="1"/>
  <c r="AY111" i="1" s="1"/>
  <c r="W34" i="1"/>
  <c r="AZ111" i="1" s="1"/>
  <c r="X34" i="1"/>
  <c r="BA111" i="1" s="1"/>
  <c r="Y34" i="1"/>
  <c r="BB111" i="1" s="1"/>
  <c r="G35" i="1"/>
  <c r="AJ112" i="1" s="1"/>
  <c r="H35" i="1"/>
  <c r="AK112" i="1" s="1"/>
  <c r="I35" i="1"/>
  <c r="AL112" i="1" s="1"/>
  <c r="J35" i="1"/>
  <c r="AM112" i="1" s="1"/>
  <c r="K35" i="1"/>
  <c r="AN112" i="1" s="1"/>
  <c r="L35" i="1"/>
  <c r="AO112" i="1" s="1"/>
  <c r="M35" i="1"/>
  <c r="AP112" i="1" s="1"/>
  <c r="N35" i="1"/>
  <c r="AQ112" i="1" s="1"/>
  <c r="O35" i="1"/>
  <c r="AR112" i="1" s="1"/>
  <c r="P35" i="1"/>
  <c r="AS112" i="1" s="1"/>
  <c r="Q35" i="1"/>
  <c r="AT112" i="1" s="1"/>
  <c r="R35" i="1"/>
  <c r="AU112" i="1" s="1"/>
  <c r="S35" i="1"/>
  <c r="AV112" i="1" s="1"/>
  <c r="T35" i="1"/>
  <c r="AW112" i="1" s="1"/>
  <c r="U35" i="1"/>
  <c r="AX112" i="1" s="1"/>
  <c r="V35" i="1"/>
  <c r="AY112" i="1" s="1"/>
  <c r="W35" i="1"/>
  <c r="AZ112" i="1" s="1"/>
  <c r="X35" i="1"/>
  <c r="BA112" i="1" s="1"/>
  <c r="Y35" i="1"/>
  <c r="BB112" i="1" s="1"/>
  <c r="G36" i="1"/>
  <c r="AJ113" i="1" s="1"/>
  <c r="H36" i="1"/>
  <c r="AK113" i="1" s="1"/>
  <c r="I36" i="1"/>
  <c r="AL113" i="1" s="1"/>
  <c r="J36" i="1"/>
  <c r="AM113" i="1" s="1"/>
  <c r="K36" i="1"/>
  <c r="AN113" i="1" s="1"/>
  <c r="L36" i="1"/>
  <c r="AO113" i="1" s="1"/>
  <c r="M36" i="1"/>
  <c r="AP113" i="1" s="1"/>
  <c r="N36" i="1"/>
  <c r="AQ113" i="1" s="1"/>
  <c r="O36" i="1"/>
  <c r="AR113" i="1" s="1"/>
  <c r="P36" i="1"/>
  <c r="AS113" i="1" s="1"/>
  <c r="Q36" i="1"/>
  <c r="AT113" i="1" s="1"/>
  <c r="R36" i="1"/>
  <c r="AU113" i="1" s="1"/>
  <c r="S36" i="1"/>
  <c r="AV113" i="1" s="1"/>
  <c r="T36" i="1"/>
  <c r="AW113" i="1" s="1"/>
  <c r="U36" i="1"/>
  <c r="AX113" i="1" s="1"/>
  <c r="V36" i="1"/>
  <c r="AY113" i="1" s="1"/>
  <c r="W36" i="1"/>
  <c r="AZ113" i="1" s="1"/>
  <c r="X36" i="1"/>
  <c r="BA113" i="1" s="1"/>
  <c r="Y36" i="1"/>
  <c r="BB113" i="1" s="1"/>
  <c r="G37" i="1"/>
  <c r="AJ114" i="1" s="1"/>
  <c r="H37" i="1"/>
  <c r="AK114" i="1" s="1"/>
  <c r="I37" i="1"/>
  <c r="AL114" i="1" s="1"/>
  <c r="J37" i="1"/>
  <c r="AM114" i="1" s="1"/>
  <c r="K37" i="1"/>
  <c r="AN114" i="1" s="1"/>
  <c r="L37" i="1"/>
  <c r="AO114" i="1" s="1"/>
  <c r="M37" i="1"/>
  <c r="AP114" i="1" s="1"/>
  <c r="N37" i="1"/>
  <c r="AQ114" i="1" s="1"/>
  <c r="O37" i="1"/>
  <c r="AR114" i="1" s="1"/>
  <c r="P37" i="1"/>
  <c r="AS114" i="1" s="1"/>
  <c r="Q37" i="1"/>
  <c r="AT114" i="1" s="1"/>
  <c r="R37" i="1"/>
  <c r="AU114" i="1" s="1"/>
  <c r="S37" i="1"/>
  <c r="AV114" i="1" s="1"/>
  <c r="T37" i="1"/>
  <c r="AW114" i="1" s="1"/>
  <c r="U37" i="1"/>
  <c r="AX114" i="1" s="1"/>
  <c r="V37" i="1"/>
  <c r="AY114" i="1" s="1"/>
  <c r="W37" i="1"/>
  <c r="AZ114" i="1" s="1"/>
  <c r="X37" i="1"/>
  <c r="BA114" i="1" s="1"/>
  <c r="Y37" i="1"/>
  <c r="BB114" i="1" s="1"/>
  <c r="G38" i="1"/>
  <c r="AJ115" i="1" s="1"/>
  <c r="H38" i="1"/>
  <c r="AK115" i="1" s="1"/>
  <c r="I38" i="1"/>
  <c r="AL115" i="1" s="1"/>
  <c r="J38" i="1"/>
  <c r="AM115" i="1" s="1"/>
  <c r="K38" i="1"/>
  <c r="AN115" i="1" s="1"/>
  <c r="L38" i="1"/>
  <c r="AO115" i="1" s="1"/>
  <c r="M38" i="1"/>
  <c r="AP115" i="1" s="1"/>
  <c r="N38" i="1"/>
  <c r="AQ115" i="1" s="1"/>
  <c r="O38" i="1"/>
  <c r="AR115" i="1" s="1"/>
  <c r="P38" i="1"/>
  <c r="AS115" i="1" s="1"/>
  <c r="Q38" i="1"/>
  <c r="AT115" i="1" s="1"/>
  <c r="R38" i="1"/>
  <c r="AU115" i="1" s="1"/>
  <c r="S38" i="1"/>
  <c r="AV115" i="1" s="1"/>
  <c r="T38" i="1"/>
  <c r="AW115" i="1" s="1"/>
  <c r="U38" i="1"/>
  <c r="AX115" i="1" s="1"/>
  <c r="V38" i="1"/>
  <c r="AY115" i="1" s="1"/>
  <c r="W38" i="1"/>
  <c r="AZ115" i="1" s="1"/>
  <c r="X38" i="1"/>
  <c r="BA115" i="1" s="1"/>
  <c r="Y38" i="1"/>
  <c r="BB115" i="1" s="1"/>
  <c r="G39" i="1"/>
  <c r="AJ116" i="1" s="1"/>
  <c r="H39" i="1"/>
  <c r="AK116" i="1" s="1"/>
  <c r="I39" i="1"/>
  <c r="AL116" i="1" s="1"/>
  <c r="J39" i="1"/>
  <c r="AM116" i="1" s="1"/>
  <c r="K39" i="1"/>
  <c r="AN116" i="1" s="1"/>
  <c r="L39" i="1"/>
  <c r="AO116" i="1" s="1"/>
  <c r="M39" i="1"/>
  <c r="AP116" i="1" s="1"/>
  <c r="N39" i="1"/>
  <c r="AQ116" i="1" s="1"/>
  <c r="O39" i="1"/>
  <c r="AR116" i="1" s="1"/>
  <c r="P39" i="1"/>
  <c r="AS116" i="1" s="1"/>
  <c r="Q39" i="1"/>
  <c r="AT116" i="1" s="1"/>
  <c r="R39" i="1"/>
  <c r="AU116" i="1" s="1"/>
  <c r="S39" i="1"/>
  <c r="AV116" i="1" s="1"/>
  <c r="T39" i="1"/>
  <c r="AW116" i="1" s="1"/>
  <c r="U39" i="1"/>
  <c r="AX116" i="1" s="1"/>
  <c r="V39" i="1"/>
  <c r="AY116" i="1" s="1"/>
  <c r="W39" i="1"/>
  <c r="AZ116" i="1" s="1"/>
  <c r="X39" i="1"/>
  <c r="BA116" i="1" s="1"/>
  <c r="Y39" i="1"/>
  <c r="BB116" i="1" s="1"/>
  <c r="G40" i="1"/>
  <c r="AJ117" i="1" s="1"/>
  <c r="H40" i="1"/>
  <c r="AK117" i="1" s="1"/>
  <c r="I40" i="1"/>
  <c r="AL117" i="1" s="1"/>
  <c r="J40" i="1"/>
  <c r="AM117" i="1" s="1"/>
  <c r="K40" i="1"/>
  <c r="AN117" i="1" s="1"/>
  <c r="L40" i="1"/>
  <c r="AO117" i="1" s="1"/>
  <c r="M40" i="1"/>
  <c r="AP117" i="1" s="1"/>
  <c r="N40" i="1"/>
  <c r="AQ117" i="1" s="1"/>
  <c r="O40" i="1"/>
  <c r="AR117" i="1" s="1"/>
  <c r="P40" i="1"/>
  <c r="AS117" i="1" s="1"/>
  <c r="Q40" i="1"/>
  <c r="AT117" i="1" s="1"/>
  <c r="R40" i="1"/>
  <c r="AU117" i="1" s="1"/>
  <c r="S40" i="1"/>
  <c r="AV117" i="1" s="1"/>
  <c r="T40" i="1"/>
  <c r="AW117" i="1" s="1"/>
  <c r="U40" i="1"/>
  <c r="AX117" i="1" s="1"/>
  <c r="V40" i="1"/>
  <c r="AY117" i="1" s="1"/>
  <c r="W40" i="1"/>
  <c r="AZ117" i="1" s="1"/>
  <c r="X40" i="1"/>
  <c r="BA117" i="1" s="1"/>
  <c r="Y40" i="1"/>
  <c r="BB117" i="1" s="1"/>
  <c r="G41" i="1"/>
  <c r="AJ118" i="1" s="1"/>
  <c r="H41" i="1"/>
  <c r="AK118" i="1" s="1"/>
  <c r="I41" i="1"/>
  <c r="AL118" i="1" s="1"/>
  <c r="J41" i="1"/>
  <c r="AM118" i="1" s="1"/>
  <c r="K41" i="1"/>
  <c r="AN118" i="1" s="1"/>
  <c r="L41" i="1"/>
  <c r="AO118" i="1" s="1"/>
  <c r="M41" i="1"/>
  <c r="AP118" i="1" s="1"/>
  <c r="N41" i="1"/>
  <c r="AQ118" i="1" s="1"/>
  <c r="O41" i="1"/>
  <c r="AR118" i="1" s="1"/>
  <c r="P41" i="1"/>
  <c r="AS118" i="1" s="1"/>
  <c r="Q41" i="1"/>
  <c r="AT118" i="1" s="1"/>
  <c r="R41" i="1"/>
  <c r="AU118" i="1" s="1"/>
  <c r="S41" i="1"/>
  <c r="AV118" i="1" s="1"/>
  <c r="T41" i="1"/>
  <c r="AW118" i="1" s="1"/>
  <c r="U41" i="1"/>
  <c r="AX118" i="1" s="1"/>
  <c r="V41" i="1"/>
  <c r="AY118" i="1" s="1"/>
  <c r="W41" i="1"/>
  <c r="AZ118" i="1" s="1"/>
  <c r="X41" i="1"/>
  <c r="BA118" i="1" s="1"/>
  <c r="Y41" i="1"/>
  <c r="BB118" i="1" s="1"/>
  <c r="G42" i="1"/>
  <c r="AJ119" i="1" s="1"/>
  <c r="H42" i="1"/>
  <c r="AK119" i="1" s="1"/>
  <c r="I42" i="1"/>
  <c r="AL119" i="1" s="1"/>
  <c r="J42" i="1"/>
  <c r="AM119" i="1" s="1"/>
  <c r="K42" i="1"/>
  <c r="AN119" i="1" s="1"/>
  <c r="L42" i="1"/>
  <c r="AO119" i="1" s="1"/>
  <c r="M42" i="1"/>
  <c r="AP119" i="1" s="1"/>
  <c r="N42" i="1"/>
  <c r="AQ119" i="1" s="1"/>
  <c r="O42" i="1"/>
  <c r="AR119" i="1" s="1"/>
  <c r="P42" i="1"/>
  <c r="AS119" i="1" s="1"/>
  <c r="Q42" i="1"/>
  <c r="AT119" i="1" s="1"/>
  <c r="R42" i="1"/>
  <c r="AU119" i="1" s="1"/>
  <c r="S42" i="1"/>
  <c r="AV119" i="1" s="1"/>
  <c r="T42" i="1"/>
  <c r="AW119" i="1" s="1"/>
  <c r="U42" i="1"/>
  <c r="AX119" i="1" s="1"/>
  <c r="V42" i="1"/>
  <c r="AY119" i="1" s="1"/>
  <c r="W42" i="1"/>
  <c r="AZ119" i="1" s="1"/>
  <c r="X42" i="1"/>
  <c r="BA119" i="1" s="1"/>
  <c r="Y42" i="1"/>
  <c r="BB119" i="1" s="1"/>
  <c r="G43" i="1"/>
  <c r="AJ120" i="1" s="1"/>
  <c r="H43" i="1"/>
  <c r="AK120" i="1" s="1"/>
  <c r="I43" i="1"/>
  <c r="AL120" i="1" s="1"/>
  <c r="J43" i="1"/>
  <c r="AM120" i="1" s="1"/>
  <c r="K43" i="1"/>
  <c r="AN120" i="1" s="1"/>
  <c r="L43" i="1"/>
  <c r="AO120" i="1" s="1"/>
  <c r="M43" i="1"/>
  <c r="AP120" i="1" s="1"/>
  <c r="N43" i="1"/>
  <c r="AQ120" i="1" s="1"/>
  <c r="O43" i="1"/>
  <c r="AR120" i="1" s="1"/>
  <c r="P43" i="1"/>
  <c r="AS120" i="1" s="1"/>
  <c r="Q43" i="1"/>
  <c r="AT120" i="1" s="1"/>
  <c r="R43" i="1"/>
  <c r="AU120" i="1" s="1"/>
  <c r="S43" i="1"/>
  <c r="AV120" i="1" s="1"/>
  <c r="T43" i="1"/>
  <c r="AW120" i="1" s="1"/>
  <c r="U43" i="1"/>
  <c r="AX120" i="1" s="1"/>
  <c r="V43" i="1"/>
  <c r="AY120" i="1" s="1"/>
  <c r="W43" i="1"/>
  <c r="AZ120" i="1" s="1"/>
  <c r="X43" i="1"/>
  <c r="BA120" i="1" s="1"/>
  <c r="Y43" i="1"/>
  <c r="BB120" i="1" s="1"/>
  <c r="G44" i="1"/>
  <c r="AJ121" i="1" s="1"/>
  <c r="H44" i="1"/>
  <c r="AK121" i="1" s="1"/>
  <c r="I44" i="1"/>
  <c r="AL121" i="1" s="1"/>
  <c r="J44" i="1"/>
  <c r="AM121" i="1" s="1"/>
  <c r="K44" i="1"/>
  <c r="AN121" i="1" s="1"/>
  <c r="L44" i="1"/>
  <c r="AO121" i="1" s="1"/>
  <c r="M44" i="1"/>
  <c r="AP121" i="1" s="1"/>
  <c r="N44" i="1"/>
  <c r="AQ121" i="1" s="1"/>
  <c r="O44" i="1"/>
  <c r="AR121" i="1" s="1"/>
  <c r="P44" i="1"/>
  <c r="AS121" i="1" s="1"/>
  <c r="Q44" i="1"/>
  <c r="AT121" i="1" s="1"/>
  <c r="R44" i="1"/>
  <c r="AU121" i="1" s="1"/>
  <c r="S44" i="1"/>
  <c r="AV121" i="1" s="1"/>
  <c r="T44" i="1"/>
  <c r="AW121" i="1" s="1"/>
  <c r="U44" i="1"/>
  <c r="AX121" i="1" s="1"/>
  <c r="V44" i="1"/>
  <c r="AY121" i="1" s="1"/>
  <c r="W44" i="1"/>
  <c r="AZ121" i="1" s="1"/>
  <c r="X44" i="1"/>
  <c r="BA121" i="1" s="1"/>
  <c r="Y44" i="1"/>
  <c r="BB121" i="1" s="1"/>
  <c r="G45" i="1"/>
  <c r="AJ122" i="1" s="1"/>
  <c r="H45" i="1"/>
  <c r="AK122" i="1" s="1"/>
  <c r="I45" i="1"/>
  <c r="AL122" i="1" s="1"/>
  <c r="J45" i="1"/>
  <c r="AM122" i="1" s="1"/>
  <c r="K45" i="1"/>
  <c r="AN122" i="1" s="1"/>
  <c r="L45" i="1"/>
  <c r="AO122" i="1" s="1"/>
  <c r="M45" i="1"/>
  <c r="AP122" i="1" s="1"/>
  <c r="N45" i="1"/>
  <c r="AQ122" i="1" s="1"/>
  <c r="O45" i="1"/>
  <c r="AR122" i="1" s="1"/>
  <c r="P45" i="1"/>
  <c r="AS122" i="1" s="1"/>
  <c r="Q45" i="1"/>
  <c r="AT122" i="1" s="1"/>
  <c r="R45" i="1"/>
  <c r="AU122" i="1" s="1"/>
  <c r="S45" i="1"/>
  <c r="AV122" i="1" s="1"/>
  <c r="T45" i="1"/>
  <c r="AW122" i="1" s="1"/>
  <c r="U45" i="1"/>
  <c r="AX122" i="1" s="1"/>
  <c r="V45" i="1"/>
  <c r="AY122" i="1" s="1"/>
  <c r="W45" i="1"/>
  <c r="AZ122" i="1" s="1"/>
  <c r="X45" i="1"/>
  <c r="BA122" i="1" s="1"/>
  <c r="Y45" i="1"/>
  <c r="BB122" i="1" s="1"/>
  <c r="G46" i="1"/>
  <c r="AJ123" i="1" s="1"/>
  <c r="H46" i="1"/>
  <c r="AK123" i="1" s="1"/>
  <c r="I46" i="1"/>
  <c r="AL123" i="1" s="1"/>
  <c r="J46" i="1"/>
  <c r="AM123" i="1" s="1"/>
  <c r="K46" i="1"/>
  <c r="AN123" i="1" s="1"/>
  <c r="L46" i="1"/>
  <c r="AO123" i="1" s="1"/>
  <c r="M46" i="1"/>
  <c r="AP123" i="1" s="1"/>
  <c r="N46" i="1"/>
  <c r="AQ123" i="1" s="1"/>
  <c r="O46" i="1"/>
  <c r="AR123" i="1" s="1"/>
  <c r="P46" i="1"/>
  <c r="AS123" i="1" s="1"/>
  <c r="Q46" i="1"/>
  <c r="AT123" i="1" s="1"/>
  <c r="R46" i="1"/>
  <c r="AU123" i="1" s="1"/>
  <c r="S46" i="1"/>
  <c r="AV123" i="1" s="1"/>
  <c r="T46" i="1"/>
  <c r="AW123" i="1" s="1"/>
  <c r="U46" i="1"/>
  <c r="AX123" i="1" s="1"/>
  <c r="V46" i="1"/>
  <c r="AY123" i="1" s="1"/>
  <c r="W46" i="1"/>
  <c r="AZ123" i="1" s="1"/>
  <c r="X46" i="1"/>
  <c r="BA123" i="1" s="1"/>
  <c r="Y46" i="1"/>
  <c r="BB123" i="1" s="1"/>
  <c r="G47" i="1"/>
  <c r="AJ124" i="1" s="1"/>
  <c r="H47" i="1"/>
  <c r="AK124" i="1" s="1"/>
  <c r="I47" i="1"/>
  <c r="AL124" i="1" s="1"/>
  <c r="J47" i="1"/>
  <c r="AM124" i="1" s="1"/>
  <c r="K47" i="1"/>
  <c r="AN124" i="1" s="1"/>
  <c r="L47" i="1"/>
  <c r="AO124" i="1" s="1"/>
  <c r="M47" i="1"/>
  <c r="AP124" i="1" s="1"/>
  <c r="N47" i="1"/>
  <c r="AQ124" i="1" s="1"/>
  <c r="O47" i="1"/>
  <c r="AR124" i="1" s="1"/>
  <c r="P47" i="1"/>
  <c r="AS124" i="1" s="1"/>
  <c r="Q47" i="1"/>
  <c r="AT124" i="1" s="1"/>
  <c r="R47" i="1"/>
  <c r="AU124" i="1" s="1"/>
  <c r="S47" i="1"/>
  <c r="AV124" i="1" s="1"/>
  <c r="T47" i="1"/>
  <c r="AW124" i="1" s="1"/>
  <c r="U47" i="1"/>
  <c r="AX124" i="1" s="1"/>
  <c r="V47" i="1"/>
  <c r="AY124" i="1" s="1"/>
  <c r="W47" i="1"/>
  <c r="AZ124" i="1" s="1"/>
  <c r="X47" i="1"/>
  <c r="BA124" i="1" s="1"/>
  <c r="Y47" i="1"/>
  <c r="BB124" i="1" s="1"/>
  <c r="G48" i="1"/>
  <c r="AJ125" i="1" s="1"/>
  <c r="H48" i="1"/>
  <c r="AK125" i="1" s="1"/>
  <c r="I48" i="1"/>
  <c r="AL125" i="1" s="1"/>
  <c r="J48" i="1"/>
  <c r="AM125" i="1" s="1"/>
  <c r="K48" i="1"/>
  <c r="AN125" i="1" s="1"/>
  <c r="L48" i="1"/>
  <c r="AO125" i="1" s="1"/>
  <c r="M48" i="1"/>
  <c r="AP125" i="1" s="1"/>
  <c r="N48" i="1"/>
  <c r="AQ125" i="1" s="1"/>
  <c r="O48" i="1"/>
  <c r="AR125" i="1" s="1"/>
  <c r="P48" i="1"/>
  <c r="AS125" i="1" s="1"/>
  <c r="Q48" i="1"/>
  <c r="AT125" i="1" s="1"/>
  <c r="R48" i="1"/>
  <c r="AU125" i="1" s="1"/>
  <c r="S48" i="1"/>
  <c r="AV125" i="1" s="1"/>
  <c r="T48" i="1"/>
  <c r="AW125" i="1" s="1"/>
  <c r="U48" i="1"/>
  <c r="AX125" i="1" s="1"/>
  <c r="V48" i="1"/>
  <c r="AY125" i="1" s="1"/>
  <c r="W48" i="1"/>
  <c r="AZ125" i="1" s="1"/>
  <c r="X48" i="1"/>
  <c r="BA125" i="1" s="1"/>
  <c r="Y48" i="1"/>
  <c r="BB125" i="1" s="1"/>
  <c r="G49" i="1"/>
  <c r="AJ126" i="1" s="1"/>
  <c r="H49" i="1"/>
  <c r="AK126" i="1" s="1"/>
  <c r="I49" i="1"/>
  <c r="AL126" i="1" s="1"/>
  <c r="J49" i="1"/>
  <c r="AM126" i="1" s="1"/>
  <c r="K49" i="1"/>
  <c r="AN126" i="1" s="1"/>
  <c r="L49" i="1"/>
  <c r="AO126" i="1" s="1"/>
  <c r="M49" i="1"/>
  <c r="AP126" i="1" s="1"/>
  <c r="N49" i="1"/>
  <c r="AQ126" i="1" s="1"/>
  <c r="O49" i="1"/>
  <c r="AR126" i="1" s="1"/>
  <c r="P49" i="1"/>
  <c r="AS126" i="1" s="1"/>
  <c r="Q49" i="1"/>
  <c r="AT126" i="1" s="1"/>
  <c r="R49" i="1"/>
  <c r="AU126" i="1" s="1"/>
  <c r="S49" i="1"/>
  <c r="AV126" i="1" s="1"/>
  <c r="T49" i="1"/>
  <c r="AW126" i="1" s="1"/>
  <c r="U49" i="1"/>
  <c r="AX126" i="1" s="1"/>
  <c r="V49" i="1"/>
  <c r="AY126" i="1" s="1"/>
  <c r="W49" i="1"/>
  <c r="AZ126" i="1" s="1"/>
  <c r="X49" i="1"/>
  <c r="BA126" i="1" s="1"/>
  <c r="Y49" i="1"/>
  <c r="BB126" i="1" s="1"/>
  <c r="G50" i="1"/>
  <c r="AJ127" i="1" s="1"/>
  <c r="H50" i="1"/>
  <c r="AK127" i="1" s="1"/>
  <c r="I50" i="1"/>
  <c r="AL127" i="1" s="1"/>
  <c r="J50" i="1"/>
  <c r="AM127" i="1" s="1"/>
  <c r="K50" i="1"/>
  <c r="AN127" i="1" s="1"/>
  <c r="L50" i="1"/>
  <c r="AO127" i="1" s="1"/>
  <c r="M50" i="1"/>
  <c r="AP127" i="1" s="1"/>
  <c r="N50" i="1"/>
  <c r="AQ127" i="1" s="1"/>
  <c r="O50" i="1"/>
  <c r="AR127" i="1" s="1"/>
  <c r="P50" i="1"/>
  <c r="AS127" i="1" s="1"/>
  <c r="Q50" i="1"/>
  <c r="AT127" i="1" s="1"/>
  <c r="R50" i="1"/>
  <c r="AU127" i="1" s="1"/>
  <c r="S50" i="1"/>
  <c r="AV127" i="1" s="1"/>
  <c r="T50" i="1"/>
  <c r="AW127" i="1" s="1"/>
  <c r="U50" i="1"/>
  <c r="AX127" i="1" s="1"/>
  <c r="V50" i="1"/>
  <c r="AY127" i="1" s="1"/>
  <c r="W50" i="1"/>
  <c r="AZ127" i="1" s="1"/>
  <c r="X50" i="1"/>
  <c r="BA127" i="1" s="1"/>
  <c r="Y50" i="1"/>
  <c r="BB127" i="1" s="1"/>
  <c r="G51" i="1"/>
  <c r="AJ128" i="1" s="1"/>
  <c r="H51" i="1"/>
  <c r="AK128" i="1" s="1"/>
  <c r="I51" i="1"/>
  <c r="AL128" i="1" s="1"/>
  <c r="J51" i="1"/>
  <c r="AM128" i="1" s="1"/>
  <c r="K51" i="1"/>
  <c r="AN128" i="1" s="1"/>
  <c r="L51" i="1"/>
  <c r="AO128" i="1" s="1"/>
  <c r="M51" i="1"/>
  <c r="AP128" i="1" s="1"/>
  <c r="N51" i="1"/>
  <c r="AQ128" i="1" s="1"/>
  <c r="O51" i="1"/>
  <c r="AR128" i="1" s="1"/>
  <c r="P51" i="1"/>
  <c r="AS128" i="1" s="1"/>
  <c r="Q51" i="1"/>
  <c r="AT128" i="1" s="1"/>
  <c r="R51" i="1"/>
  <c r="AU128" i="1" s="1"/>
  <c r="S51" i="1"/>
  <c r="AV128" i="1" s="1"/>
  <c r="T51" i="1"/>
  <c r="AW128" i="1" s="1"/>
  <c r="U51" i="1"/>
  <c r="AX128" i="1" s="1"/>
  <c r="V51" i="1"/>
  <c r="AY128" i="1" s="1"/>
  <c r="W51" i="1"/>
  <c r="AZ128" i="1" s="1"/>
  <c r="X51" i="1"/>
  <c r="BA128" i="1" s="1"/>
  <c r="Y51" i="1"/>
  <c r="BB128" i="1" s="1"/>
  <c r="G52" i="1"/>
  <c r="H52" i="1"/>
  <c r="AK129" i="1" s="1"/>
  <c r="I52" i="1"/>
  <c r="AL129" i="1" s="1"/>
  <c r="J52" i="1"/>
  <c r="AM129" i="1" s="1"/>
  <c r="K52" i="1"/>
  <c r="AN129" i="1" s="1"/>
  <c r="L52" i="1"/>
  <c r="AO129" i="1" s="1"/>
  <c r="M52" i="1"/>
  <c r="AP129" i="1" s="1"/>
  <c r="N52" i="1"/>
  <c r="AQ129" i="1" s="1"/>
  <c r="O52" i="1"/>
  <c r="AR129" i="1" s="1"/>
  <c r="P52" i="1"/>
  <c r="AS129" i="1" s="1"/>
  <c r="Q52" i="1"/>
  <c r="AT129" i="1" s="1"/>
  <c r="R52" i="1"/>
  <c r="AU129" i="1" s="1"/>
  <c r="S52" i="1"/>
  <c r="AV129" i="1" s="1"/>
  <c r="T52" i="1"/>
  <c r="AW129" i="1" s="1"/>
  <c r="U52" i="1"/>
  <c r="AX129" i="1" s="1"/>
  <c r="V52" i="1"/>
  <c r="AY129" i="1" s="1"/>
  <c r="W52" i="1"/>
  <c r="AZ129" i="1" s="1"/>
  <c r="X52" i="1"/>
  <c r="BA129" i="1" s="1"/>
  <c r="Y52" i="1"/>
  <c r="BB129" i="1" s="1"/>
  <c r="G53" i="1"/>
  <c r="AJ130" i="1" s="1"/>
  <c r="H53" i="1"/>
  <c r="AK130" i="1" s="1"/>
  <c r="I53" i="1"/>
  <c r="AL130" i="1" s="1"/>
  <c r="J53" i="1"/>
  <c r="AM130" i="1" s="1"/>
  <c r="K53" i="1"/>
  <c r="AN130" i="1" s="1"/>
  <c r="L53" i="1"/>
  <c r="AO130" i="1" s="1"/>
  <c r="M53" i="1"/>
  <c r="AP130" i="1" s="1"/>
  <c r="N53" i="1"/>
  <c r="AQ130" i="1" s="1"/>
  <c r="O53" i="1"/>
  <c r="AR130" i="1" s="1"/>
  <c r="P53" i="1"/>
  <c r="AS130" i="1" s="1"/>
  <c r="Q53" i="1"/>
  <c r="AT130" i="1" s="1"/>
  <c r="R53" i="1"/>
  <c r="AU130" i="1" s="1"/>
  <c r="S53" i="1"/>
  <c r="AV130" i="1" s="1"/>
  <c r="T53" i="1"/>
  <c r="AW130" i="1" s="1"/>
  <c r="U53" i="1"/>
  <c r="AX130" i="1" s="1"/>
  <c r="V53" i="1"/>
  <c r="AY130" i="1" s="1"/>
  <c r="W53" i="1"/>
  <c r="AZ130" i="1" s="1"/>
  <c r="X53" i="1"/>
  <c r="BA130" i="1" s="1"/>
  <c r="Y53" i="1"/>
  <c r="BB130" i="1" s="1"/>
  <c r="G54" i="1"/>
  <c r="AJ131" i="1" s="1"/>
  <c r="H54" i="1"/>
  <c r="AK131" i="1" s="1"/>
  <c r="I54" i="1"/>
  <c r="AL131" i="1" s="1"/>
  <c r="J54" i="1"/>
  <c r="AM131" i="1" s="1"/>
  <c r="K54" i="1"/>
  <c r="AN131" i="1" s="1"/>
  <c r="L54" i="1"/>
  <c r="AO131" i="1" s="1"/>
  <c r="M54" i="1"/>
  <c r="AP131" i="1" s="1"/>
  <c r="N54" i="1"/>
  <c r="AQ131" i="1" s="1"/>
  <c r="O54" i="1"/>
  <c r="AR131" i="1" s="1"/>
  <c r="P54" i="1"/>
  <c r="AS131" i="1" s="1"/>
  <c r="Q54" i="1"/>
  <c r="AT131" i="1" s="1"/>
  <c r="R54" i="1"/>
  <c r="AU131" i="1" s="1"/>
  <c r="S54" i="1"/>
  <c r="AV131" i="1" s="1"/>
  <c r="T54" i="1"/>
  <c r="AW131" i="1" s="1"/>
  <c r="U54" i="1"/>
  <c r="AX131" i="1" s="1"/>
  <c r="V54" i="1"/>
  <c r="AY131" i="1" s="1"/>
  <c r="W54" i="1"/>
  <c r="AZ131" i="1" s="1"/>
  <c r="X54" i="1"/>
  <c r="BA131" i="1" s="1"/>
  <c r="Y54" i="1"/>
  <c r="BB131" i="1" s="1"/>
  <c r="G55" i="1"/>
  <c r="AJ132" i="1" s="1"/>
  <c r="H55" i="1"/>
  <c r="AK132" i="1" s="1"/>
  <c r="I55" i="1"/>
  <c r="AL132" i="1" s="1"/>
  <c r="J55" i="1"/>
  <c r="AM132" i="1" s="1"/>
  <c r="K55" i="1"/>
  <c r="AN132" i="1" s="1"/>
  <c r="L55" i="1"/>
  <c r="AO132" i="1" s="1"/>
  <c r="M55" i="1"/>
  <c r="AP132" i="1" s="1"/>
  <c r="N55" i="1"/>
  <c r="AQ132" i="1" s="1"/>
  <c r="O55" i="1"/>
  <c r="AR132" i="1" s="1"/>
  <c r="P55" i="1"/>
  <c r="AS132" i="1" s="1"/>
  <c r="Q55" i="1"/>
  <c r="AT132" i="1" s="1"/>
  <c r="R55" i="1"/>
  <c r="AU132" i="1" s="1"/>
  <c r="S55" i="1"/>
  <c r="AV132" i="1" s="1"/>
  <c r="T55" i="1"/>
  <c r="AW132" i="1" s="1"/>
  <c r="U55" i="1"/>
  <c r="AX132" i="1" s="1"/>
  <c r="V55" i="1"/>
  <c r="AY132" i="1" s="1"/>
  <c r="W55" i="1"/>
  <c r="AZ132" i="1" s="1"/>
  <c r="X55" i="1"/>
  <c r="BA132" i="1" s="1"/>
  <c r="Y55" i="1"/>
  <c r="BB132" i="1" s="1"/>
  <c r="G56" i="1"/>
  <c r="AJ133" i="1" s="1"/>
  <c r="H56" i="1"/>
  <c r="AK133" i="1" s="1"/>
  <c r="I56" i="1"/>
  <c r="AL133" i="1" s="1"/>
  <c r="J56" i="1"/>
  <c r="AM133" i="1" s="1"/>
  <c r="K56" i="1"/>
  <c r="AN133" i="1" s="1"/>
  <c r="L56" i="1"/>
  <c r="AO133" i="1" s="1"/>
  <c r="M56" i="1"/>
  <c r="AP133" i="1" s="1"/>
  <c r="N56" i="1"/>
  <c r="AQ133" i="1" s="1"/>
  <c r="O56" i="1"/>
  <c r="AR133" i="1" s="1"/>
  <c r="P56" i="1"/>
  <c r="AS133" i="1" s="1"/>
  <c r="Q56" i="1"/>
  <c r="AT133" i="1" s="1"/>
  <c r="R56" i="1"/>
  <c r="AU133" i="1" s="1"/>
  <c r="S56" i="1"/>
  <c r="AV133" i="1" s="1"/>
  <c r="T56" i="1"/>
  <c r="AW133" i="1" s="1"/>
  <c r="U56" i="1"/>
  <c r="AX133" i="1" s="1"/>
  <c r="V56" i="1"/>
  <c r="AY133" i="1" s="1"/>
  <c r="W56" i="1"/>
  <c r="AZ133" i="1" s="1"/>
  <c r="X56" i="1"/>
  <c r="BA133" i="1" s="1"/>
  <c r="Y56" i="1"/>
  <c r="BB133" i="1" s="1"/>
  <c r="G57" i="1"/>
  <c r="AJ134" i="1" s="1"/>
  <c r="H57" i="1"/>
  <c r="AK134" i="1" s="1"/>
  <c r="I57" i="1"/>
  <c r="AL134" i="1" s="1"/>
  <c r="J57" i="1"/>
  <c r="AM134" i="1" s="1"/>
  <c r="K57" i="1"/>
  <c r="AN134" i="1" s="1"/>
  <c r="L57" i="1"/>
  <c r="AO134" i="1" s="1"/>
  <c r="M57" i="1"/>
  <c r="AP134" i="1" s="1"/>
  <c r="N57" i="1"/>
  <c r="AQ134" i="1" s="1"/>
  <c r="O57" i="1"/>
  <c r="AR134" i="1" s="1"/>
  <c r="P57" i="1"/>
  <c r="AS134" i="1" s="1"/>
  <c r="Q57" i="1"/>
  <c r="AT134" i="1" s="1"/>
  <c r="R57" i="1"/>
  <c r="AU134" i="1" s="1"/>
  <c r="S57" i="1"/>
  <c r="AV134" i="1" s="1"/>
  <c r="T57" i="1"/>
  <c r="AW134" i="1" s="1"/>
  <c r="U57" i="1"/>
  <c r="AX134" i="1" s="1"/>
  <c r="V57" i="1"/>
  <c r="AY134" i="1" s="1"/>
  <c r="W57" i="1"/>
  <c r="AZ134" i="1" s="1"/>
  <c r="X57" i="1"/>
  <c r="BA134" i="1" s="1"/>
  <c r="Y57" i="1"/>
  <c r="BB134" i="1" s="1"/>
  <c r="H8" i="1"/>
  <c r="AK85" i="1" s="1"/>
  <c r="I8" i="1"/>
  <c r="AL85" i="1" s="1"/>
  <c r="J8" i="1"/>
  <c r="AM85" i="1" s="1"/>
  <c r="K8" i="1"/>
  <c r="AN85" i="1" s="1"/>
  <c r="L8" i="1"/>
  <c r="AO85" i="1" s="1"/>
  <c r="M8" i="1"/>
  <c r="AP85" i="1" s="1"/>
  <c r="N8" i="1"/>
  <c r="AQ85" i="1" s="1"/>
  <c r="O8" i="1"/>
  <c r="AR85" i="1" s="1"/>
  <c r="P8" i="1"/>
  <c r="AS85" i="1" s="1"/>
  <c r="Q8" i="1"/>
  <c r="AT85" i="1" s="1"/>
  <c r="R8" i="1"/>
  <c r="AU85" i="1" s="1"/>
  <c r="S8" i="1"/>
  <c r="AV85" i="1" s="1"/>
  <c r="T8" i="1"/>
  <c r="AW85" i="1" s="1"/>
  <c r="U8" i="1"/>
  <c r="AX85" i="1" s="1"/>
  <c r="V8" i="1"/>
  <c r="AY85" i="1" s="1"/>
  <c r="W8" i="1"/>
  <c r="AZ85" i="1" s="1"/>
  <c r="X8" i="1"/>
  <c r="BA85" i="1" s="1"/>
  <c r="Y8" i="1"/>
  <c r="BB85" i="1" s="1"/>
  <c r="G8" i="1"/>
  <c r="AJ85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BF9" i="1" l="1"/>
  <c r="AG54" i="1"/>
  <c r="AG57" i="1"/>
  <c r="AG50" i="1"/>
  <c r="BC89" i="1"/>
  <c r="BC101" i="1"/>
  <c r="BC92" i="1"/>
  <c r="BC86" i="1"/>
  <c r="BC113" i="1"/>
  <c r="AG52" i="1"/>
  <c r="BC126" i="1"/>
  <c r="BC102" i="1"/>
  <c r="BC122" i="1"/>
  <c r="BC100" i="1"/>
  <c r="BC91" i="1"/>
  <c r="BC133" i="1"/>
  <c r="BC134" i="1"/>
  <c r="BC115" i="1"/>
  <c r="BC132" i="1"/>
  <c r="BC127" i="1"/>
  <c r="BC120" i="1"/>
  <c r="BC137" i="1"/>
  <c r="AG51" i="1"/>
  <c r="AG56" i="1"/>
  <c r="BC116" i="1"/>
  <c r="BC111" i="1"/>
  <c r="BC138" i="1"/>
  <c r="BC130" i="1"/>
  <c r="BC121" i="1"/>
  <c r="BC117" i="1"/>
  <c r="BC98" i="1"/>
  <c r="BC147" i="1"/>
  <c r="AG45" i="1"/>
  <c r="AJ129" i="1"/>
  <c r="BC129" i="1" s="1"/>
  <c r="BC119" i="1"/>
  <c r="BC106" i="1"/>
  <c r="BC93" i="1"/>
  <c r="BC118" i="1"/>
  <c r="BC128" i="1"/>
  <c r="BC109" i="1"/>
  <c r="BC110" i="1"/>
  <c r="BC105" i="1"/>
  <c r="BC97" i="1"/>
  <c r="BC114" i="1"/>
  <c r="BC131" i="1"/>
  <c r="BC123" i="1"/>
  <c r="BC104" i="1"/>
  <c r="BC85" i="1"/>
  <c r="BC108" i="1"/>
  <c r="BC107" i="1"/>
  <c r="BC94" i="1"/>
  <c r="BC139" i="1"/>
  <c r="AG46" i="1"/>
  <c r="BC145" i="1"/>
  <c r="BC112" i="1"/>
  <c r="BC103" i="1"/>
  <c r="BC90" i="1"/>
  <c r="AG47" i="1"/>
  <c r="AG53" i="1"/>
  <c r="BC125" i="1"/>
  <c r="BC135" i="1"/>
  <c r="BC99" i="1"/>
  <c r="BC95" i="1"/>
  <c r="BC96" i="1"/>
  <c r="AG48" i="1"/>
  <c r="BC88" i="1"/>
  <c r="BC87" i="1"/>
  <c r="AG49" i="1"/>
  <c r="AG44" i="1"/>
  <c r="AG55" i="1"/>
  <c r="BC146" i="1"/>
  <c r="BC124" i="1"/>
  <c r="BC141" i="1"/>
  <c r="BC140" i="1"/>
  <c r="BC144" i="1"/>
  <c r="BC142" i="1"/>
  <c r="BC136" i="1"/>
  <c r="BC143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<sst xmlns="http://schemas.openxmlformats.org/spreadsheetml/2006/main" count="1198" uniqueCount="32">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</sst>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7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19" xfId="0" applyFont="1" applyBorder="1"/>
    <xf numFmtId="2" fontId="0" fillId="0" borderId="20" xfId="0" applyNumberFormat="1" applyFont="1" applyBorder="1"/>
    <xf numFmtId="2" fontId="0" fillId="0" borderId="21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2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6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54"/>
  <sheetViews>
    <sheetView tabSelected="1" topLeftCell="AA100" workbookViewId="0">
      <selection activeCell="BC154" sqref="BC154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2" t="s">
        <v>26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6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47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7.4202542542857151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6.4927224725000006</v>
      </c>
      <c r="Q8" s="35">
        <f>Price!Q8/'Price D Coupon'!Q$5</f>
        <v>5.3317636400000001</v>
      </c>
      <c r="R8" s="35">
        <f>Price!R8/'Price D Coupon'!R$5</f>
        <v>0</v>
      </c>
      <c r="S8" s="35">
        <f>Price!S8/'Price D Coupon'!S$5</f>
        <v>5.7713088644444452</v>
      </c>
      <c r="T8" s="35">
        <f>Price!T8/'Price D Coupon'!T$5</f>
        <v>4.7393454577777776</v>
      </c>
      <c r="U8" s="35">
        <f>Price!U8/'Price D Coupon'!U$5</f>
        <v>5.1941779780000008</v>
      </c>
      <c r="V8" s="35">
        <f>Price!V8/'Price D Coupon'!V$5</f>
        <v>4.2654109120000001</v>
      </c>
      <c r="W8" s="35">
        <f>Price!W8/'Price D Coupon'!W$5</f>
        <v>3.8776462836363637</v>
      </c>
      <c r="X8" s="35">
        <f>Price!X8/'Price D Coupon'!X$5</f>
        <v>3.5545090933333334</v>
      </c>
      <c r="Y8" s="35">
        <f>Price!Y8/'Price D Coupon'!Y$5</f>
        <v>3.2810853169230771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48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7.5793650800000005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6.6319444450000002</v>
      </c>
      <c r="Q9" s="35">
        <f>Price!Q9/'Price D Coupon'!Q$5</f>
        <v>5.3627777774999998</v>
      </c>
      <c r="R9" s="35">
        <f>Price!R9/'Price D Coupon'!R$5</f>
        <v>0</v>
      </c>
      <c r="S9" s="35">
        <f>Price!S9/'Price D Coupon'!S$5</f>
        <v>5.8950617288888889</v>
      </c>
      <c r="T9" s="35">
        <f>Price!T9/'Price D Coupon'!T$5</f>
        <v>4.7669135799999998</v>
      </c>
      <c r="U9" s="35">
        <f>Price!U9/'Price D Coupon'!U$5</f>
        <v>5.3055555559999998</v>
      </c>
      <c r="V9" s="35">
        <f>Price!V9/'Price D Coupon'!V$5</f>
        <v>4.2902222219999997</v>
      </c>
      <c r="W9" s="35">
        <f>Price!W9/'Price D Coupon'!W$5</f>
        <v>3.90020202</v>
      </c>
      <c r="X9" s="35">
        <f>Price!X9/'Price D Coupon'!X$5</f>
        <v>3.575185185</v>
      </c>
      <c r="Y9" s="35">
        <f>Price!Y9/'Price D Coupon'!Y$5</f>
        <v>3.3001709400000001</v>
      </c>
      <c r="Z9" s="38"/>
      <c r="AA9" s="39"/>
      <c r="AB9" s="40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72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48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7.6053968257142861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6.6547222225000002</v>
      </c>
      <c r="Q10" s="35">
        <f>Price!Q10/'Price D Coupon'!Q$5</f>
        <v>5.53201389</v>
      </c>
      <c r="R10" s="35">
        <f>Price!R10/'Price D Coupon'!R$5</f>
        <v>0</v>
      </c>
      <c r="S10" s="35">
        <f>Price!S10/'Price D Coupon'!S$5</f>
        <v>5.9153086422222225</v>
      </c>
      <c r="T10" s="35">
        <f>Price!T10/'Price D Coupon'!T$5</f>
        <v>4.9173456800000004</v>
      </c>
      <c r="U10" s="35">
        <f>Price!U10/'Price D Coupon'!U$5</f>
        <v>5.3237777780000002</v>
      </c>
      <c r="V10" s="35">
        <f>Price!V10/'Price D Coupon'!V$5</f>
        <v>4.4256111120000003</v>
      </c>
      <c r="W10" s="35">
        <f>Price!W10/'Price D Coupon'!W$5</f>
        <v>4.0232828290909088</v>
      </c>
      <c r="X10" s="35">
        <f>Price!X10/'Price D Coupon'!X$5</f>
        <v>3.6880092599999998</v>
      </c>
      <c r="Y10" s="35">
        <f>Price!Y10/'Price D Coupon'!Y$5</f>
        <v>3.40431624</v>
      </c>
      <c r="Z10" s="38"/>
      <c r="AA10" s="39"/>
      <c r="AB10" s="40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48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7.8096825399999998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6.8334722225000002</v>
      </c>
      <c r="Q11" s="35">
        <f>Price!Q11/'Price D Coupon'!Q$5</f>
        <v>5.6150141399999995</v>
      </c>
      <c r="R11" s="35">
        <f>Price!R11/'Price D Coupon'!R$5</f>
        <v>0</v>
      </c>
      <c r="S11" s="35">
        <f>Price!S11/'Price D Coupon'!S$5</f>
        <v>6.0741975311111114</v>
      </c>
      <c r="T11" s="35">
        <f>Price!T11/'Price D Coupon'!T$5</f>
        <v>4.9911236799999994</v>
      </c>
      <c r="U11" s="35">
        <f>Price!U11/'Price D Coupon'!U$5</f>
        <v>5.466777778</v>
      </c>
      <c r="V11" s="35">
        <f>Price!V11/'Price D Coupon'!V$5</f>
        <v>4.4920113119999998</v>
      </c>
      <c r="W11" s="35">
        <f>Price!W11/'Price D Coupon'!W$5</f>
        <v>4.0836466472727269</v>
      </c>
      <c r="X11" s="35">
        <f>Price!X11/'Price D Coupon'!X$5</f>
        <v>3.7433427599999995</v>
      </c>
      <c r="Y11" s="35">
        <f>Price!Y11/'Price D Coupon'!Y$5</f>
        <v>3.4553933169230766</v>
      </c>
      <c r="Z11" s="38"/>
      <c r="AA11" s="39"/>
      <c r="AB11" s="40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48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7.2539682542857147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6.3472222225000001</v>
      </c>
      <c r="Q12" s="35">
        <f>Price!Q12/'Price D Coupon'!Q$5</f>
        <v>5.46076389</v>
      </c>
      <c r="R12" s="35">
        <f>Price!R12/'Price D Coupon'!R$5</f>
        <v>0</v>
      </c>
      <c r="S12" s="35">
        <f>Price!S12/'Price D Coupon'!S$5</f>
        <v>5.6419753088888891</v>
      </c>
      <c r="T12" s="35">
        <f>Price!T12/'Price D Coupon'!T$5</f>
        <v>4.8540123466666669</v>
      </c>
      <c r="U12" s="35">
        <f>Price!U12/'Price D Coupon'!U$5</f>
        <v>5.0777777779999997</v>
      </c>
      <c r="V12" s="35">
        <f>Price!V12/'Price D Coupon'!V$5</f>
        <v>4.368611112</v>
      </c>
      <c r="W12" s="35">
        <f>Price!W12/'Price D Coupon'!W$5</f>
        <v>3.9714646472727271</v>
      </c>
      <c r="X12" s="35">
        <f>Price!X12/'Price D Coupon'!X$5</f>
        <v>3.64050926</v>
      </c>
      <c r="Y12" s="35">
        <f>Price!Y12/'Price D Coupon'!Y$5</f>
        <v>3.3604700861538461</v>
      </c>
      <c r="Z12" s="38"/>
      <c r="AA12" s="39"/>
      <c r="AB12" s="40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48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5.5931111114285716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4.8939722225000004</v>
      </c>
      <c r="Q13" s="35">
        <f>Price!Q13/'Price D Coupon'!Q$5</f>
        <v>4.99201389</v>
      </c>
      <c r="R13" s="35">
        <f>Price!R13/'Price D Coupon'!R$5</f>
        <v>0</v>
      </c>
      <c r="S13" s="35">
        <f>Price!S13/'Price D Coupon'!S$5</f>
        <v>4.3501975311111112</v>
      </c>
      <c r="T13" s="35">
        <f>Price!T13/'Price D Coupon'!T$5</f>
        <v>4.43734568</v>
      </c>
      <c r="U13" s="35">
        <f>Price!U13/'Price D Coupon'!U$5</f>
        <v>3.9151777780000003</v>
      </c>
      <c r="V13" s="35">
        <f>Price!V13/'Price D Coupon'!V$5</f>
        <v>3.993611112</v>
      </c>
      <c r="W13" s="35">
        <f>Price!W13/'Price D Coupon'!W$5</f>
        <v>3.6305555563636362</v>
      </c>
      <c r="X13" s="35">
        <f>Price!X13/'Price D Coupon'!X$5</f>
        <v>3.32800926</v>
      </c>
      <c r="Y13" s="35">
        <f>Price!Y13/'Price D Coupon'!Y$5</f>
        <v>3.0720085476923078</v>
      </c>
      <c r="Z13" s="38"/>
      <c r="AA13" s="39"/>
      <c r="AB13" s="40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48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4.7664764771428576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4.1706669175000002</v>
      </c>
      <c r="Q14" s="35">
        <f>Price!Q14/'Price D Coupon'!Q$5</f>
        <v>4.3602916675000003</v>
      </c>
      <c r="R14" s="35">
        <f>Price!R14/'Price D Coupon'!R$5</f>
        <v>0</v>
      </c>
      <c r="S14" s="35">
        <f>Price!S14/'Price D Coupon'!S$5</f>
        <v>3.7072594822222222</v>
      </c>
      <c r="T14" s="35">
        <f>Price!T14/'Price D Coupon'!T$5</f>
        <v>3.8758148155555556</v>
      </c>
      <c r="U14" s="35">
        <f>Price!U14/'Price D Coupon'!U$5</f>
        <v>3.336533534</v>
      </c>
      <c r="V14" s="35">
        <f>Price!V14/'Price D Coupon'!V$5</f>
        <v>3.4882333340000002</v>
      </c>
      <c r="W14" s="35">
        <f>Price!W14/'Price D Coupon'!W$5</f>
        <v>3.171121212727273</v>
      </c>
      <c r="X14" s="35">
        <f>Price!X14/'Price D Coupon'!X$5</f>
        <v>2.9068611116666667</v>
      </c>
      <c r="Y14" s="35">
        <f>Price!Y14/'Price D Coupon'!Y$5</f>
        <v>2.6832564107692312</v>
      </c>
      <c r="Z14" s="38"/>
      <c r="AA14" s="39"/>
      <c r="AB14" s="40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48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5.5039682542857147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4.8159722225000001</v>
      </c>
      <c r="Q15" s="35">
        <f>Price!Q15/'Price D Coupon'!Q$5</f>
        <v>4.2185138899999997</v>
      </c>
      <c r="R15" s="35">
        <f>Price!R15/'Price D Coupon'!R$5</f>
        <v>0</v>
      </c>
      <c r="S15" s="35">
        <f>Price!S15/'Price D Coupon'!S$5</f>
        <v>4.2808641977777775</v>
      </c>
      <c r="T15" s="35">
        <f>Price!T15/'Price D Coupon'!T$5</f>
        <v>3.749790124444444</v>
      </c>
      <c r="U15" s="35">
        <f>Price!U15/'Price D Coupon'!U$5</f>
        <v>3.8527777780000001</v>
      </c>
      <c r="V15" s="35">
        <f>Price!V15/'Price D Coupon'!V$5</f>
        <v>3.3748111119999997</v>
      </c>
      <c r="W15" s="35">
        <f>Price!W15/'Price D Coupon'!W$5</f>
        <v>3.0680101018181816</v>
      </c>
      <c r="X15" s="35">
        <f>Price!X15/'Price D Coupon'!X$5</f>
        <v>2.8123425933333333</v>
      </c>
      <c r="Y15" s="35">
        <f>Price!Y15/'Price D Coupon'!Y$5</f>
        <v>2.5960085476923074</v>
      </c>
      <c r="Z15" s="38"/>
      <c r="AA15" s="39"/>
      <c r="AB15" s="40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48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5.6913968257142855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4.9799722224999998</v>
      </c>
      <c r="Q16" s="35">
        <f>Price!Q16/'Price D Coupon'!Q$5</f>
        <v>4.4372638899999997</v>
      </c>
      <c r="R16" s="35">
        <f>Price!R16/'Price D Coupon'!R$5</f>
        <v>0</v>
      </c>
      <c r="S16" s="35">
        <f>Price!S16/'Price D Coupon'!S$5</f>
        <v>4.4266419755555555</v>
      </c>
      <c r="T16" s="35">
        <f>Price!T16/'Price D Coupon'!T$5</f>
        <v>3.9442345688888887</v>
      </c>
      <c r="U16" s="35">
        <f>Price!U16/'Price D Coupon'!U$5</f>
        <v>3.9839777779999999</v>
      </c>
      <c r="V16" s="35">
        <f>Price!V16/'Price D Coupon'!V$5</f>
        <v>3.5498111119999995</v>
      </c>
      <c r="W16" s="35">
        <f>Price!W16/'Price D Coupon'!W$5</f>
        <v>3.2271010109090907</v>
      </c>
      <c r="X16" s="35">
        <f>Price!X16/'Price D Coupon'!X$5</f>
        <v>2.9581759266666663</v>
      </c>
      <c r="Y16" s="35">
        <f>Price!Y16/'Price D Coupon'!Y$5</f>
        <v>2.730623932307692</v>
      </c>
      <c r="Z16" s="38"/>
      <c r="AA16" s="39"/>
      <c r="AB16" s="40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48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5.6724761914285722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4.9634166675000007</v>
      </c>
      <c r="Q17" s="35">
        <f>Price!Q17/'Price D Coupon'!Q$5</f>
        <v>4.3407914175000002</v>
      </c>
      <c r="R17" s="35">
        <f>Price!R17/'Price D Coupon'!R$5</f>
        <v>0</v>
      </c>
      <c r="S17" s="35">
        <f>Price!S17/'Price D Coupon'!S$5</f>
        <v>4.4119259266666671</v>
      </c>
      <c r="T17" s="35">
        <f>Price!T17/'Price D Coupon'!T$5</f>
        <v>3.85848126</v>
      </c>
      <c r="U17" s="35">
        <f>Price!U17/'Price D Coupon'!U$5</f>
        <v>3.9707333340000006</v>
      </c>
      <c r="V17" s="35">
        <f>Price!V17/'Price D Coupon'!V$5</f>
        <v>3.4726331340000001</v>
      </c>
      <c r="W17" s="35">
        <f>Price!W17/'Price D Coupon'!W$5</f>
        <v>3.1569392127272731</v>
      </c>
      <c r="X17" s="35">
        <f>Price!X17/'Price D Coupon'!X$5</f>
        <v>2.8938609450000001</v>
      </c>
      <c r="Y17" s="35">
        <f>Price!Y17/'Price D Coupon'!Y$5</f>
        <v>2.6712562569230771</v>
      </c>
      <c r="Z17" s="38"/>
      <c r="AA17" s="39"/>
      <c r="AB17" s="40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48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5.1291111114285712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4.4879722224999998</v>
      </c>
      <c r="Q18" s="35">
        <f>Price!Q18/'Price D Coupon'!Q$5</f>
        <v>4.21076389</v>
      </c>
      <c r="R18" s="35">
        <f>Price!R18/'Price D Coupon'!R$5</f>
        <v>0</v>
      </c>
      <c r="S18" s="35">
        <f>Price!S18/'Price D Coupon'!S$5</f>
        <v>3.9893086422222219</v>
      </c>
      <c r="T18" s="35">
        <f>Price!T18/'Price D Coupon'!T$5</f>
        <v>3.7429012355555553</v>
      </c>
      <c r="U18" s="35">
        <f>Price!U18/'Price D Coupon'!U$5</f>
        <v>3.5903777779999997</v>
      </c>
      <c r="V18" s="35">
        <f>Price!V18/'Price D Coupon'!V$5</f>
        <v>3.368611112</v>
      </c>
      <c r="W18" s="35">
        <f>Price!W18/'Price D Coupon'!W$5</f>
        <v>3.0623737381818184</v>
      </c>
      <c r="X18" s="35">
        <f>Price!X18/'Price D Coupon'!X$5</f>
        <v>2.8071759266666665</v>
      </c>
      <c r="Y18" s="35">
        <f>Price!Y18/'Price D Coupon'!Y$5</f>
        <v>2.591239316923077</v>
      </c>
      <c r="Z18" s="38"/>
      <c r="AA18" s="39"/>
      <c r="AB18" s="40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48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5.6513971114285715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4.9449724724999999</v>
      </c>
      <c r="Q19" s="35">
        <f>Price!Q19/'Price D Coupon'!Q$5</f>
        <v>4.4412641400000004</v>
      </c>
      <c r="R19" s="35">
        <f>Price!R19/'Price D Coupon'!R$5</f>
        <v>0</v>
      </c>
      <c r="S19" s="35">
        <f>Price!S19/'Price D Coupon'!S$5</f>
        <v>4.3955310866666668</v>
      </c>
      <c r="T19" s="35">
        <f>Price!T19/'Price D Coupon'!T$5</f>
        <v>3.9477903466666668</v>
      </c>
      <c r="U19" s="35">
        <f>Price!U19/'Price D Coupon'!U$5</f>
        <v>3.955977978</v>
      </c>
      <c r="V19" s="35">
        <f>Price!V19/'Price D Coupon'!V$5</f>
        <v>3.5530113120000002</v>
      </c>
      <c r="W19" s="35">
        <f>Price!W19/'Price D Coupon'!W$5</f>
        <v>3.2300102836363638</v>
      </c>
      <c r="X19" s="35">
        <f>Price!X19/'Price D Coupon'!X$5</f>
        <v>2.9608427600000002</v>
      </c>
      <c r="Y19" s="35">
        <f>Price!Y19/'Price D Coupon'!Y$5</f>
        <v>2.7330856246153847</v>
      </c>
      <c r="Z19" s="38"/>
      <c r="AA19" s="39"/>
      <c r="AB19" s="40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48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6.1196510799999997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5.1834997500000002</v>
      </c>
      <c r="P20" s="35">
        <f>Price!P20/'Price D Coupon'!P$5</f>
        <v>5.3546946950000001</v>
      </c>
      <c r="Q20" s="35">
        <f>Price!Q20/'Price D Coupon'!Q$5</f>
        <v>4.6450277775000002</v>
      </c>
      <c r="R20" s="35">
        <f>Price!R20/'Price D Coupon'!R$5</f>
        <v>4.6075553333333339</v>
      </c>
      <c r="S20" s="35">
        <f>Price!S20/'Price D Coupon'!S$5</f>
        <v>4.7597286177777782</v>
      </c>
      <c r="T20" s="35">
        <f>Price!T20/'Price D Coupon'!T$5</f>
        <v>4.1289135799999999</v>
      </c>
      <c r="U20" s="35">
        <f>Price!U20/'Price D Coupon'!U$5</f>
        <v>4.2837557559999997</v>
      </c>
      <c r="V20" s="35">
        <f>Price!V20/'Price D Coupon'!V$5</f>
        <v>3.7160222220000003</v>
      </c>
      <c r="W20" s="35">
        <f>Price!W20/'Price D Coupon'!W$5</f>
        <v>3.3782020200000002</v>
      </c>
      <c r="X20" s="35">
        <f>Price!X20/'Price D Coupon'!X$5</f>
        <v>3.0966851850000001</v>
      </c>
      <c r="Y20" s="35">
        <f>Price!Y20/'Price D Coupon'!Y$5</f>
        <v>2.8584786323076923</v>
      </c>
      <c r="Z20" s="38"/>
      <c r="AA20" s="39"/>
      <c r="AB20" s="40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48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5.9191108257142853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4.8483749999999999</v>
      </c>
      <c r="P21" s="35">
        <f>Price!P21/'Price D Coupon'!P$5</f>
        <v>5.1792219724999997</v>
      </c>
      <c r="Q21" s="35">
        <f>Price!Q21/'Price D Coupon'!Q$5</f>
        <v>4.7772641399999998</v>
      </c>
      <c r="R21" s="35">
        <f>Price!R21/'Price D Coupon'!R$5</f>
        <v>4.3096666666666668</v>
      </c>
      <c r="S21" s="35">
        <f>Price!S21/'Price D Coupon'!S$5</f>
        <v>4.6037528644444441</v>
      </c>
      <c r="T21" s="35">
        <f>Price!T21/'Price D Coupon'!T$5</f>
        <v>4.246457013333333</v>
      </c>
      <c r="U21" s="35">
        <f>Price!U21/'Price D Coupon'!U$5</f>
        <v>4.143377578</v>
      </c>
      <c r="V21" s="35">
        <f>Price!V21/'Price D Coupon'!V$5</f>
        <v>3.8218113119999999</v>
      </c>
      <c r="W21" s="35">
        <f>Price!W21/'Price D Coupon'!W$5</f>
        <v>3.4743739199999997</v>
      </c>
      <c r="X21" s="35">
        <f>Price!X21/'Price D Coupon'!X$5</f>
        <v>3.18484276</v>
      </c>
      <c r="Y21" s="35">
        <f>Price!Y21/'Price D Coupon'!Y$5</f>
        <v>2.9398548553846151</v>
      </c>
      <c r="Z21" s="38"/>
      <c r="AA21" s="39"/>
      <c r="AB21" s="40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48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5.3565393971428579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4.3093750000000002</v>
      </c>
      <c r="P22" s="35">
        <f>Price!P22/'Price D Coupon'!P$5</f>
        <v>4.6869719725000003</v>
      </c>
      <c r="Q22" s="35">
        <f>Price!Q22/'Price D Coupon'!Q$5</f>
        <v>4.5780138900000003</v>
      </c>
      <c r="R22" s="35">
        <f>Price!R22/'Price D Coupon'!R$5</f>
        <v>3.8305555555555557</v>
      </c>
      <c r="S22" s="35">
        <f>Price!S22/'Price D Coupon'!S$5</f>
        <v>4.1661973088888891</v>
      </c>
      <c r="T22" s="35">
        <f>Price!T22/'Price D Coupon'!T$5</f>
        <v>4.0693456800000005</v>
      </c>
      <c r="U22" s="35">
        <f>Price!U22/'Price D Coupon'!U$5</f>
        <v>3.7495775780000002</v>
      </c>
      <c r="V22" s="35">
        <f>Price!V22/'Price D Coupon'!V$5</f>
        <v>3.662411112</v>
      </c>
      <c r="W22" s="35">
        <f>Price!W22/'Price D Coupon'!W$5</f>
        <v>3.3294646472727276</v>
      </c>
      <c r="X22" s="35">
        <f>Price!X22/'Price D Coupon'!X$5</f>
        <v>3.0520092600000002</v>
      </c>
      <c r="Y22" s="35">
        <f>Price!Y22/'Price D Coupon'!Y$5</f>
        <v>2.8172393169230769</v>
      </c>
      <c r="Z22" s="38"/>
      <c r="AA22" s="39"/>
      <c r="AB22" s="40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48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5.4410796514285718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4.3319997499999996</v>
      </c>
      <c r="P23" s="35">
        <f>Price!P23/'Price D Coupon'!P$5</f>
        <v>4.7609446950000001</v>
      </c>
      <c r="Q23" s="35">
        <f>Price!Q23/'Price D Coupon'!Q$5</f>
        <v>4.4612775275000001</v>
      </c>
      <c r="R23" s="35">
        <f>Price!R23/'Price D Coupon'!R$5</f>
        <v>3.8506664444444443</v>
      </c>
      <c r="S23" s="35">
        <f>Price!S23/'Price D Coupon'!S$5</f>
        <v>4.2319508399999997</v>
      </c>
      <c r="T23" s="35">
        <f>Price!T23/'Price D Coupon'!T$5</f>
        <v>3.9655800244444444</v>
      </c>
      <c r="U23" s="35">
        <f>Price!U23/'Price D Coupon'!U$5</f>
        <v>3.808755756</v>
      </c>
      <c r="V23" s="35">
        <f>Price!V23/'Price D Coupon'!V$5</f>
        <v>3.569022022</v>
      </c>
      <c r="W23" s="35">
        <f>Price!W23/'Price D Coupon'!W$5</f>
        <v>3.2445654745454546</v>
      </c>
      <c r="X23" s="35">
        <f>Price!X23/'Price D Coupon'!X$5</f>
        <v>2.9741850183333334</v>
      </c>
      <c r="Y23" s="35">
        <f>Price!Y23/'Price D Coupon'!Y$5</f>
        <v>2.7454015553846154</v>
      </c>
      <c r="Z23" s="38"/>
      <c r="AA23" s="39"/>
      <c r="AB23" s="40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48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5.4102542542857153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4.4031250000000002</v>
      </c>
      <c r="P24" s="35">
        <f>Price!P24/'Price D Coupon'!P$5</f>
        <v>4.7339724725000005</v>
      </c>
      <c r="Q24" s="35">
        <f>Price!Q24/'Price D Coupon'!Q$5</f>
        <v>4.5272641399999998</v>
      </c>
      <c r="R24" s="35">
        <f>Price!R24/'Price D Coupon'!R$5</f>
        <v>3.9138888888888892</v>
      </c>
      <c r="S24" s="35">
        <f>Price!S24/'Price D Coupon'!S$5</f>
        <v>4.2079755311111118</v>
      </c>
      <c r="T24" s="35">
        <f>Price!T24/'Price D Coupon'!T$5</f>
        <v>4.0242347911111107</v>
      </c>
      <c r="U24" s="35">
        <f>Price!U24/'Price D Coupon'!U$5</f>
        <v>3.7871779780000003</v>
      </c>
      <c r="V24" s="35">
        <f>Price!V24/'Price D Coupon'!V$5</f>
        <v>3.6218113119999997</v>
      </c>
      <c r="W24" s="35">
        <f>Price!W24/'Price D Coupon'!W$5</f>
        <v>3.292555738181818</v>
      </c>
      <c r="X24" s="35">
        <f>Price!X24/'Price D Coupon'!X$5</f>
        <v>3.018176093333333</v>
      </c>
      <c r="Y24" s="35">
        <f>Price!Y24/'Price D Coupon'!Y$5</f>
        <v>2.7860087015384614</v>
      </c>
      <c r="Z24" s="38"/>
      <c r="AA24" s="39"/>
      <c r="AB24" s="40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48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5.6675873028571422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4.6352502499999995</v>
      </c>
      <c r="P25" s="35">
        <f>Price!P25/'Price D Coupon'!P$5</f>
        <v>4.9591388899999993</v>
      </c>
      <c r="Q25" s="35">
        <f>Price!Q25/'Price D Coupon'!Q$5</f>
        <v>4.5758055549999996</v>
      </c>
      <c r="R25" s="35">
        <f>Price!R25/'Price D Coupon'!R$5</f>
        <v>4.120222444444444</v>
      </c>
      <c r="S25" s="35">
        <f>Price!S25/'Price D Coupon'!S$5</f>
        <v>4.4081234577777773</v>
      </c>
      <c r="T25" s="35">
        <f>Price!T25/'Price D Coupon'!T$5</f>
        <v>4.0673827155555555</v>
      </c>
      <c r="U25" s="35">
        <f>Price!U25/'Price D Coupon'!U$5</f>
        <v>3.9673111119999995</v>
      </c>
      <c r="V25" s="35">
        <f>Price!V25/'Price D Coupon'!V$5</f>
        <v>3.6606444439999999</v>
      </c>
      <c r="W25" s="35">
        <f>Price!W25/'Price D Coupon'!W$5</f>
        <v>3.3278585854545453</v>
      </c>
      <c r="X25" s="35">
        <f>Price!X25/'Price D Coupon'!X$5</f>
        <v>3.0505370366666664</v>
      </c>
      <c r="Y25" s="35">
        <f>Price!Y25/'Price D Coupon'!Y$5</f>
        <v>2.8158803415384615</v>
      </c>
      <c r="Z25" s="38"/>
      <c r="AA25" s="39"/>
      <c r="AB25" s="40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48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5.3922536828571435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4.0046249999999999</v>
      </c>
      <c r="P26" s="35">
        <f>Price!P26/'Price D Coupon'!P$5</f>
        <v>4.7182219725000003</v>
      </c>
      <c r="Q26" s="35">
        <f>Price!Q26/'Price D Coupon'!Q$5</f>
        <v>4.4137638900000002</v>
      </c>
      <c r="R26" s="35">
        <f>Price!R26/'Price D Coupon'!R$5</f>
        <v>3.5596666666666668</v>
      </c>
      <c r="S26" s="35">
        <f>Price!S26/'Price D Coupon'!S$5</f>
        <v>4.1939750866666667</v>
      </c>
      <c r="T26" s="35">
        <f>Price!T26/'Price D Coupon'!T$5</f>
        <v>3.9233456800000002</v>
      </c>
      <c r="U26" s="35">
        <f>Price!U26/'Price D Coupon'!U$5</f>
        <v>3.7745775780000002</v>
      </c>
      <c r="V26" s="35">
        <f>Price!V26/'Price D Coupon'!V$5</f>
        <v>3.5310111120000003</v>
      </c>
      <c r="W26" s="35">
        <f>Price!W26/'Price D Coupon'!W$5</f>
        <v>3.2100101018181819</v>
      </c>
      <c r="X26" s="35">
        <f>Price!X26/'Price D Coupon'!X$5</f>
        <v>2.94250926</v>
      </c>
      <c r="Y26" s="35">
        <f>Price!Y26/'Price D Coupon'!Y$5</f>
        <v>2.7161623938461541</v>
      </c>
      <c r="Z26" s="38"/>
      <c r="AA26" s="39"/>
      <c r="AB26" s="40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48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5.3476822542857141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4.1491247500000004</v>
      </c>
      <c r="P27" s="35">
        <f>Price!P27/'Price D Coupon'!P$5</f>
        <v>4.6792219724999997</v>
      </c>
      <c r="Q27" s="35">
        <f>Price!Q27/'Price D Coupon'!Q$5</f>
        <v>4.4765138899999997</v>
      </c>
      <c r="R27" s="35">
        <f>Price!R27/'Price D Coupon'!R$5</f>
        <v>3.6881108888888892</v>
      </c>
      <c r="S27" s="35">
        <f>Price!S27/'Price D Coupon'!S$5</f>
        <v>4.1593084199999995</v>
      </c>
      <c r="T27" s="35">
        <f>Price!T27/'Price D Coupon'!T$5</f>
        <v>3.9791234577777774</v>
      </c>
      <c r="U27" s="35">
        <f>Price!U27/'Price D Coupon'!U$5</f>
        <v>3.7433775779999996</v>
      </c>
      <c r="V27" s="35">
        <f>Price!V27/'Price D Coupon'!V$5</f>
        <v>3.5812111119999996</v>
      </c>
      <c r="W27" s="35">
        <f>Price!W27/'Price D Coupon'!W$5</f>
        <v>3.2556464654545452</v>
      </c>
      <c r="X27" s="35">
        <f>Price!X27/'Price D Coupon'!X$5</f>
        <v>2.984342593333333</v>
      </c>
      <c r="Y27" s="35">
        <f>Price!Y27/'Price D Coupon'!Y$5</f>
        <v>2.7547777784615382</v>
      </c>
      <c r="Z27" s="38"/>
      <c r="AA27" s="39"/>
      <c r="AB27" s="40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48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4.9850476200000005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3.862625</v>
      </c>
      <c r="P28" s="35">
        <f>Price!P28/'Price D Coupon'!P$5</f>
        <v>4.3619166675000001</v>
      </c>
      <c r="Q28" s="35">
        <f>Price!Q28/'Price D Coupon'!Q$5</f>
        <v>4.2042916674999997</v>
      </c>
      <c r="R28" s="35">
        <f>Price!R28/'Price D Coupon'!R$5</f>
        <v>3.4334444444444445</v>
      </c>
      <c r="S28" s="35">
        <f>Price!S28/'Price D Coupon'!S$5</f>
        <v>3.8772592600000002</v>
      </c>
      <c r="T28" s="35">
        <f>Price!T28/'Price D Coupon'!T$5</f>
        <v>3.7371481488888887</v>
      </c>
      <c r="U28" s="35">
        <f>Price!U28/'Price D Coupon'!U$5</f>
        <v>3.4895333339999999</v>
      </c>
      <c r="V28" s="35">
        <f>Price!V28/'Price D Coupon'!V$5</f>
        <v>3.3634333339999998</v>
      </c>
      <c r="W28" s="35">
        <f>Price!W28/'Price D Coupon'!W$5</f>
        <v>3.0576666672727271</v>
      </c>
      <c r="X28" s="35">
        <f>Price!X28/'Price D Coupon'!X$5</f>
        <v>2.8028611116666666</v>
      </c>
      <c r="Y28" s="35">
        <f>Price!Y28/'Price D Coupon'!Y$5</f>
        <v>2.5872564107692306</v>
      </c>
      <c r="Z28" s="38"/>
      <c r="AA28" s="39"/>
      <c r="AB28" s="40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48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5.0927939371428579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4.0235000000000003</v>
      </c>
      <c r="P29" s="35">
        <f>Price!P29/'Price D Coupon'!P$5</f>
        <v>4.4561946950000006</v>
      </c>
      <c r="Q29" s="35">
        <f>Price!Q29/'Price D Coupon'!Q$5</f>
        <v>4.3325277775000002</v>
      </c>
      <c r="R29" s="35">
        <f>Price!R29/'Price D Coupon'!R$5</f>
        <v>3.5764444444444448</v>
      </c>
      <c r="S29" s="35">
        <f>Price!S29/'Price D Coupon'!S$5</f>
        <v>3.9610619511111116</v>
      </c>
      <c r="T29" s="35">
        <f>Price!T29/'Price D Coupon'!T$5</f>
        <v>3.8511358022222222</v>
      </c>
      <c r="U29" s="35">
        <f>Price!U29/'Price D Coupon'!U$5</f>
        <v>3.5649557560000007</v>
      </c>
      <c r="V29" s="35">
        <f>Price!V29/'Price D Coupon'!V$5</f>
        <v>3.4660222220000003</v>
      </c>
      <c r="W29" s="35">
        <f>Price!W29/'Price D Coupon'!W$5</f>
        <v>3.1509292927272727</v>
      </c>
      <c r="X29" s="35">
        <f>Price!X29/'Price D Coupon'!X$5</f>
        <v>2.8883518516666666</v>
      </c>
      <c r="Y29" s="35">
        <f>Price!Y29/'Price D Coupon'!Y$5</f>
        <v>2.6661709400000002</v>
      </c>
      <c r="Z29" s="38"/>
      <c r="AA29" s="39"/>
      <c r="AB29" s="40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48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5.177967968571429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4.3678747500000004</v>
      </c>
      <c r="P30" s="35">
        <f>Price!P30/'Price D Coupon'!P$5</f>
        <v>4.5307219725000003</v>
      </c>
      <c r="Q30" s="35">
        <f>Price!Q30/'Price D Coupon'!Q$5</f>
        <v>4.1717638900000003</v>
      </c>
      <c r="R30" s="35">
        <f>Price!R30/'Price D Coupon'!R$5</f>
        <v>3.8825553333333338</v>
      </c>
      <c r="S30" s="35">
        <f>Price!S30/'Price D Coupon'!S$5</f>
        <v>4.0273084200000007</v>
      </c>
      <c r="T30" s="35">
        <f>Price!T30/'Price D Coupon'!T$5</f>
        <v>3.7082345688888889</v>
      </c>
      <c r="U30" s="35">
        <f>Price!U30/'Price D Coupon'!U$5</f>
        <v>3.6245775780000002</v>
      </c>
      <c r="V30" s="35">
        <f>Price!V30/'Price D Coupon'!V$5</f>
        <v>3.3374111120000003</v>
      </c>
      <c r="W30" s="35">
        <f>Price!W30/'Price D Coupon'!W$5</f>
        <v>3.0340101018181822</v>
      </c>
      <c r="X30" s="35">
        <f>Price!X30/'Price D Coupon'!X$5</f>
        <v>2.7811759266666667</v>
      </c>
      <c r="Y30" s="35">
        <f>Price!Y30/'Price D Coupon'!Y$5</f>
        <v>2.5672393169230769</v>
      </c>
      <c r="Z30" s="38"/>
      <c r="AA30" s="39"/>
      <c r="AB30" s="40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48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5.1156828257142859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4.3288747499999998</v>
      </c>
      <c r="P31" s="35">
        <f>Price!P31/'Price D Coupon'!P$5</f>
        <v>4.4762224724999999</v>
      </c>
      <c r="Q31" s="35">
        <f>Price!Q31/'Price D Coupon'!Q$5</f>
        <v>4.0817638900000004</v>
      </c>
      <c r="R31" s="35">
        <f>Price!R31/'Price D Coupon'!R$5</f>
        <v>3.8478886666666665</v>
      </c>
      <c r="S31" s="35">
        <f>Price!S31/'Price D Coupon'!S$5</f>
        <v>3.9788644199999998</v>
      </c>
      <c r="T31" s="35">
        <f>Price!T31/'Price D Coupon'!T$5</f>
        <v>3.6282345688888893</v>
      </c>
      <c r="U31" s="35">
        <f>Price!U31/'Price D Coupon'!U$5</f>
        <v>3.580977978</v>
      </c>
      <c r="V31" s="35">
        <f>Price!V31/'Price D Coupon'!V$5</f>
        <v>3.2654111120000002</v>
      </c>
      <c r="W31" s="35">
        <f>Price!W31/'Price D Coupon'!W$5</f>
        <v>2.9685555563636368</v>
      </c>
      <c r="X31" s="35">
        <f>Price!X31/'Price D Coupon'!X$5</f>
        <v>2.7211759266666671</v>
      </c>
      <c r="Y31" s="35">
        <f>Price!Y31/'Price D Coupon'!Y$5</f>
        <v>2.5118547015384616</v>
      </c>
      <c r="Z31" s="38"/>
      <c r="AA31" s="39"/>
      <c r="AB31" s="40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48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6.4209070733333329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5.5036346342857145</v>
      </c>
      <c r="L32" s="35">
        <f>Price!L32/'Price D Coupon'!L$5</f>
        <v>5.2359682542857149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4.4656250000000002</v>
      </c>
      <c r="P32" s="35">
        <f>Price!P32/'Price D Coupon'!P$5</f>
        <v>4.5814722225000004</v>
      </c>
      <c r="Q32" s="35">
        <f>Price!Q32/'Price D Coupon'!Q$5</f>
        <v>4.0192638900000004</v>
      </c>
      <c r="R32" s="35">
        <f>Price!R32/'Price D Coupon'!R$5</f>
        <v>3.9694444444444446</v>
      </c>
      <c r="S32" s="35">
        <f>Price!S32/'Price D Coupon'!S$5</f>
        <v>4.0724197533333335</v>
      </c>
      <c r="T32" s="35">
        <f>Price!T32/'Price D Coupon'!T$5</f>
        <v>3.5726790133333335</v>
      </c>
      <c r="U32" s="35">
        <f>Price!U32/'Price D Coupon'!U$5</f>
        <v>3.6651777780000003</v>
      </c>
      <c r="V32" s="35">
        <f>Price!V32/'Price D Coupon'!V$5</f>
        <v>3.2154111120000004</v>
      </c>
      <c r="W32" s="35">
        <f>Price!W32/'Price D Coupon'!W$5</f>
        <v>2.9231010109090914</v>
      </c>
      <c r="X32" s="35">
        <f>Price!X32/'Price D Coupon'!X$5</f>
        <v>2.6795092600000001</v>
      </c>
      <c r="Y32" s="35">
        <f>Price!Y32/'Price D Coupon'!Y$5</f>
        <v>2.4733931630769233</v>
      </c>
      <c r="Z32" s="38"/>
      <c r="AA32" s="39"/>
      <c r="AB32" s="40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48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5.5979070733333343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4.798206062857143</v>
      </c>
      <c r="L33" s="35">
        <f>Price!L33/'Price D Coupon'!L$5</f>
        <v>4.5576825400000001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3.9108750000000003</v>
      </c>
      <c r="P33" s="35">
        <f>Price!P33/'Price D Coupon'!P$5</f>
        <v>3.9879722225000003</v>
      </c>
      <c r="Q33" s="35">
        <f>Price!Q33/'Price D Coupon'!Q$5</f>
        <v>3.61301389</v>
      </c>
      <c r="R33" s="35">
        <f>Price!R33/'Price D Coupon'!R$5</f>
        <v>3.4763333333333337</v>
      </c>
      <c r="S33" s="35">
        <f>Price!S33/'Price D Coupon'!S$5</f>
        <v>3.5448641977777782</v>
      </c>
      <c r="T33" s="35">
        <f>Price!T33/'Price D Coupon'!T$5</f>
        <v>3.2115679022222223</v>
      </c>
      <c r="U33" s="35">
        <f>Price!U33/'Price D Coupon'!U$5</f>
        <v>3.1903777780000002</v>
      </c>
      <c r="V33" s="35">
        <f>Price!V33/'Price D Coupon'!V$5</f>
        <v>2.8904111119999998</v>
      </c>
      <c r="W33" s="35">
        <f>Price!W33/'Price D Coupon'!W$5</f>
        <v>2.6276464654545455</v>
      </c>
      <c r="X33" s="35">
        <f>Price!X33/'Price D Coupon'!X$5</f>
        <v>2.4086759266666666</v>
      </c>
      <c r="Y33" s="35">
        <f>Price!Y33/'Price D Coupon'!Y$5</f>
        <v>2.2233931630769233</v>
      </c>
      <c r="Z33" s="38"/>
      <c r="AA33" s="39"/>
      <c r="AB33" s="40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48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6.7973888899999997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5.8263333342857138</v>
      </c>
      <c r="L34" s="35">
        <f>Price!L34/'Price D Coupon'!L$5</f>
        <v>4.6190476200000008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4.62412475</v>
      </c>
      <c r="P34" s="35">
        <f>Price!P34/'Price D Coupon'!P$5</f>
        <v>4.0416666675000004</v>
      </c>
      <c r="Q34" s="35">
        <f>Price!Q34/'Price D Coupon'!Q$5</f>
        <v>3.4932916674999999</v>
      </c>
      <c r="R34" s="35">
        <f>Price!R34/'Price D Coupon'!R$5</f>
        <v>4.1103331111111112</v>
      </c>
      <c r="S34" s="35">
        <f>Price!S34/'Price D Coupon'!S$5</f>
        <v>3.5925925933333338</v>
      </c>
      <c r="T34" s="35">
        <f>Price!T34/'Price D Coupon'!T$5</f>
        <v>3.1051481488888886</v>
      </c>
      <c r="U34" s="35">
        <f>Price!U34/'Price D Coupon'!U$5</f>
        <v>3.2333333340000001</v>
      </c>
      <c r="V34" s="35">
        <f>Price!V34/'Price D Coupon'!V$5</f>
        <v>2.7946333339999998</v>
      </c>
      <c r="W34" s="35">
        <f>Price!W34/'Price D Coupon'!W$5</f>
        <v>2.5405757581818182</v>
      </c>
      <c r="X34" s="35">
        <f>Price!X34/'Price D Coupon'!X$5</f>
        <v>2.3288611116666664</v>
      </c>
      <c r="Y34" s="35">
        <f>Price!Y34/'Price D Coupon'!Y$5</f>
        <v>2.149717949230769</v>
      </c>
      <c r="Z34" s="38"/>
      <c r="AA34" s="39"/>
      <c r="AB34" s="40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48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7.0615740733333334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6.0527777771428575</v>
      </c>
      <c r="L35" s="35">
        <f>Price!L35/'Price D Coupon'!L$5</f>
        <v>5.3388256828571432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5.1921249999999999</v>
      </c>
      <c r="P35" s="35">
        <f>Price!P35/'Price D Coupon'!P$5</f>
        <v>4.6714724725000005</v>
      </c>
      <c r="Q35" s="35">
        <f>Price!Q35/'Price D Coupon'!Q$5</f>
        <v>3.7185138900000001</v>
      </c>
      <c r="R35" s="35">
        <f>Price!R35/'Price D Coupon'!R$5</f>
        <v>4.6152222222222221</v>
      </c>
      <c r="S35" s="35">
        <f>Price!S35/'Price D Coupon'!S$5</f>
        <v>4.1524199755555564</v>
      </c>
      <c r="T35" s="35">
        <f>Price!T35/'Price D Coupon'!T$5</f>
        <v>3.3053456800000003</v>
      </c>
      <c r="U35" s="35">
        <f>Price!U35/'Price D Coupon'!U$5</f>
        <v>3.7371779780000005</v>
      </c>
      <c r="V35" s="35">
        <f>Price!V35/'Price D Coupon'!V$5</f>
        <v>2.9748111120000003</v>
      </c>
      <c r="W35" s="35">
        <f>Price!W35/'Price D Coupon'!W$5</f>
        <v>2.7043737381818183</v>
      </c>
      <c r="X35" s="35">
        <f>Price!X35/'Price D Coupon'!X$5</f>
        <v>2.4790092600000002</v>
      </c>
      <c r="Y35" s="35">
        <f>Price!Y35/'Price D Coupon'!Y$5</f>
        <v>2.2883162399999999</v>
      </c>
      <c r="Z35" s="38"/>
      <c r="AA35" s="39"/>
      <c r="AB35" s="40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48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7.5669077400000004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6.4859209199999999</v>
      </c>
      <c r="L36" s="35">
        <f>Price!L36/'Price D Coupon'!L$5</f>
        <v>5.5976822542857141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5.4538747499999998</v>
      </c>
      <c r="P36" s="35">
        <f>Price!P36/'Price D Coupon'!P$5</f>
        <v>4.8979719724999997</v>
      </c>
      <c r="Q36" s="35">
        <f>Price!Q36/'Price D Coupon'!Q$5</f>
        <v>3.9685138900000001</v>
      </c>
      <c r="R36" s="35">
        <f>Price!R36/'Price D Coupon'!R$5</f>
        <v>4.8478886666666661</v>
      </c>
      <c r="S36" s="35">
        <f>Price!S36/'Price D Coupon'!S$5</f>
        <v>4.3537528644444441</v>
      </c>
      <c r="T36" s="35">
        <f>Price!T36/'Price D Coupon'!T$5</f>
        <v>3.5275679022222222</v>
      </c>
      <c r="U36" s="35">
        <f>Price!U36/'Price D Coupon'!U$5</f>
        <v>3.9183775779999999</v>
      </c>
      <c r="V36" s="35">
        <f>Price!V36/'Price D Coupon'!V$5</f>
        <v>3.174811112</v>
      </c>
      <c r="W36" s="35">
        <f>Price!W36/'Price D Coupon'!W$5</f>
        <v>2.8861919199999999</v>
      </c>
      <c r="X36" s="35">
        <f>Price!X36/'Price D Coupon'!X$5</f>
        <v>2.6456759266666667</v>
      </c>
      <c r="Y36" s="35">
        <f>Price!Y36/'Price D Coupon'!Y$5</f>
        <v>2.4421623938461541</v>
      </c>
      <c r="Z36" s="38"/>
      <c r="AA36" s="39"/>
      <c r="AB36" s="40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48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7.6200555566666663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6.5314761914285713</v>
      </c>
      <c r="L37" s="35">
        <f>Price!L37/'Price D Coupon'!L$5</f>
        <v>6.1413330485714281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5.8311250000000001</v>
      </c>
      <c r="P37" s="35">
        <f>Price!P37/'Price D Coupon'!P$5</f>
        <v>5.3736664175</v>
      </c>
      <c r="Q37" s="35">
        <f>Price!Q37/'Price D Coupon'!Q$5</f>
        <v>4.2315419175000004</v>
      </c>
      <c r="R37" s="35">
        <f>Price!R37/'Price D Coupon'!R$5</f>
        <v>5.1832222222222226</v>
      </c>
      <c r="S37" s="35">
        <f>Price!S37/'Price D Coupon'!S$5</f>
        <v>4.7765923711111107</v>
      </c>
      <c r="T37" s="35">
        <f>Price!T37/'Price D Coupon'!T$5</f>
        <v>3.7613705933333339</v>
      </c>
      <c r="U37" s="35">
        <f>Price!U37/'Price D Coupon'!U$5</f>
        <v>4.2989331340000003</v>
      </c>
      <c r="V37" s="35">
        <f>Price!V37/'Price D Coupon'!V$5</f>
        <v>3.3852335340000002</v>
      </c>
      <c r="W37" s="35">
        <f>Price!W37/'Price D Coupon'!W$5</f>
        <v>3.0774850309090911</v>
      </c>
      <c r="X37" s="35">
        <f>Price!X37/'Price D Coupon'!X$5</f>
        <v>2.8210279450000004</v>
      </c>
      <c r="Y37" s="35">
        <f>Price!Y37/'Price D Coupon'!Y$5</f>
        <v>2.6040257953846155</v>
      </c>
      <c r="Z37" s="38"/>
      <c r="AA37" s="39"/>
      <c r="AB37" s="40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48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7.7855744066666679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6.6733494914285725</v>
      </c>
      <c r="L38" s="35">
        <f>Price!L38/'Price D Coupon'!L$5</f>
        <v>6.0039682542857147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5.7781250000000002</v>
      </c>
      <c r="P38" s="35">
        <f>Price!P38/'Price D Coupon'!P$5</f>
        <v>5.2534722225000001</v>
      </c>
      <c r="Q38" s="35">
        <f>Price!Q38/'Price D Coupon'!Q$5</f>
        <v>4.33576389</v>
      </c>
      <c r="R38" s="35">
        <f>Price!R38/'Price D Coupon'!R$5</f>
        <v>5.1361111111111111</v>
      </c>
      <c r="S38" s="35">
        <f>Price!S38/'Price D Coupon'!S$5</f>
        <v>4.6697530866666668</v>
      </c>
      <c r="T38" s="35">
        <f>Price!T38/'Price D Coupon'!T$5</f>
        <v>3.8540123466666665</v>
      </c>
      <c r="U38" s="35">
        <f>Price!U38/'Price D Coupon'!U$5</f>
        <v>4.2027777779999997</v>
      </c>
      <c r="V38" s="35">
        <f>Price!V38/'Price D Coupon'!V$5</f>
        <v>3.4686111120000001</v>
      </c>
      <c r="W38" s="35">
        <f>Price!W38/'Price D Coupon'!W$5</f>
        <v>3.1532828290909092</v>
      </c>
      <c r="X38" s="35">
        <f>Price!X38/'Price D Coupon'!X$5</f>
        <v>2.89050926</v>
      </c>
      <c r="Y38" s="35">
        <f>Price!Y38/'Price D Coupon'!Y$5</f>
        <v>2.6681623938461536</v>
      </c>
      <c r="Z38" s="38"/>
      <c r="AA38" s="39"/>
      <c r="AB38" s="40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48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7.6136574066666673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6.5259920628571431</v>
      </c>
      <c r="L39" s="35">
        <f>Price!L39/'Price D Coupon'!L$5</f>
        <v>5.7941485400000001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5.6804702499999999</v>
      </c>
      <c r="P39" s="35">
        <f>Price!P39/'Price D Coupon'!P$5</f>
        <v>5.0698799724999999</v>
      </c>
      <c r="Q39" s="35">
        <f>Price!Q39/'Price D Coupon'!Q$5</f>
        <v>4.46076389</v>
      </c>
      <c r="R39" s="35">
        <f>Price!R39/'Price D Coupon'!R$5</f>
        <v>5.0493068888888892</v>
      </c>
      <c r="S39" s="35">
        <f>Price!S39/'Price D Coupon'!S$5</f>
        <v>4.5065599755555557</v>
      </c>
      <c r="T39" s="35">
        <f>Price!T39/'Price D Coupon'!T$5</f>
        <v>3.9651234577777776</v>
      </c>
      <c r="U39" s="35">
        <f>Price!U39/'Price D Coupon'!U$5</f>
        <v>4.0559039779999999</v>
      </c>
      <c r="V39" s="35">
        <f>Price!V39/'Price D Coupon'!V$5</f>
        <v>3.5686111120000001</v>
      </c>
      <c r="W39" s="35">
        <f>Price!W39/'Price D Coupon'!W$5</f>
        <v>3.24419192</v>
      </c>
      <c r="X39" s="35">
        <f>Price!X39/'Price D Coupon'!X$5</f>
        <v>2.9738425933333335</v>
      </c>
      <c r="Y39" s="35">
        <f>Price!Y39/'Price D Coupon'!Y$5</f>
        <v>2.7450854707692307</v>
      </c>
      <c r="Z39" s="38"/>
      <c r="AA39" s="39"/>
      <c r="AB39" s="40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48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8.1012751466666675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6.9439501257142862</v>
      </c>
      <c r="L40" s="35">
        <f>Price!L40/'Price D Coupon'!L$5</f>
        <v>6.1731167942857139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6.1679702499999998</v>
      </c>
      <c r="P40" s="35">
        <f>Price!P40/'Price D Coupon'!P$5</f>
        <v>5.401477195</v>
      </c>
      <c r="Q40" s="35">
        <f>Price!Q40/'Price D Coupon'!Q$5</f>
        <v>4.8207480274999996</v>
      </c>
      <c r="R40" s="35">
        <f>Price!R40/'Price D Coupon'!R$5</f>
        <v>5.4826402222222219</v>
      </c>
      <c r="S40" s="35">
        <f>Price!S40/'Price D Coupon'!S$5</f>
        <v>4.8013130622222224</v>
      </c>
      <c r="T40" s="35">
        <f>Price!T40/'Price D Coupon'!T$5</f>
        <v>4.2851093577777775</v>
      </c>
      <c r="U40" s="35">
        <f>Price!U40/'Price D Coupon'!U$5</f>
        <v>4.3211817559999997</v>
      </c>
      <c r="V40" s="35">
        <f>Price!V40/'Price D Coupon'!V$5</f>
        <v>3.8565984219999998</v>
      </c>
      <c r="W40" s="35">
        <f>Price!W40/'Price D Coupon'!W$5</f>
        <v>3.5059985654545454</v>
      </c>
      <c r="X40" s="35">
        <f>Price!X40/'Price D Coupon'!X$5</f>
        <v>3.2138320183333331</v>
      </c>
      <c r="Y40" s="35">
        <f>Price!Y40/'Price D Coupon'!Y$5</f>
        <v>2.9666141707692306</v>
      </c>
      <c r="Z40" s="38"/>
      <c r="AA40" s="39"/>
      <c r="AB40" s="40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48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8.2991918133333336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7.1135929828571429</v>
      </c>
      <c r="L41" s="35">
        <f>Price!L41/'Price D Coupon'!L$5</f>
        <v>6.8516882228571427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6.5742202499999998</v>
      </c>
      <c r="P41" s="35">
        <f>Price!P41/'Price D Coupon'!P$5</f>
        <v>5.995227195</v>
      </c>
      <c r="Q41" s="35">
        <f>Price!Q41/'Price D Coupon'!Q$5</f>
        <v>5.2621527774999999</v>
      </c>
      <c r="R41" s="35">
        <f>Price!R41/'Price D Coupon'!R$5</f>
        <v>5.8437513333333335</v>
      </c>
      <c r="S41" s="35">
        <f>Price!S41/'Price D Coupon'!S$5</f>
        <v>5.3290908400000001</v>
      </c>
      <c r="T41" s="35">
        <f>Price!T41/'Price D Coupon'!T$5</f>
        <v>4.6774691355555555</v>
      </c>
      <c r="U41" s="35">
        <f>Price!U41/'Price D Coupon'!U$5</f>
        <v>4.7961817560000002</v>
      </c>
      <c r="V41" s="35">
        <f>Price!V41/'Price D Coupon'!V$5</f>
        <v>4.2097222219999999</v>
      </c>
      <c r="W41" s="35">
        <f>Price!W41/'Price D Coupon'!W$5</f>
        <v>3.8270202018181818</v>
      </c>
      <c r="X41" s="35">
        <f>Price!X41/'Price D Coupon'!X$5</f>
        <v>3.5081018516666664</v>
      </c>
      <c r="Y41" s="35">
        <f>Price!Y41/'Price D Coupon'!Y$5</f>
        <v>3.2382478630769231</v>
      </c>
      <c r="Z41" s="38"/>
      <c r="AA41" s="39"/>
      <c r="AB41" s="40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48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8.1305555566666659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6.9690476199999996</v>
      </c>
      <c r="L42" s="35">
        <f>Price!L42/'Price D Coupon'!L$5</f>
        <v>6.5208333342857143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6.2335952499999996</v>
      </c>
      <c r="P42" s="35">
        <f>Price!P42/'Price D Coupon'!P$5</f>
        <v>5.7057291675000004</v>
      </c>
      <c r="Q42" s="35">
        <f>Price!Q42/'Price D Coupon'!Q$5</f>
        <v>5.2393244174999998</v>
      </c>
      <c r="R42" s="35">
        <f>Price!R42/'Price D Coupon'!R$5</f>
        <v>5.5409735555555555</v>
      </c>
      <c r="S42" s="35">
        <f>Price!S42/'Price D Coupon'!S$5</f>
        <v>5.0717592600000003</v>
      </c>
      <c r="T42" s="35">
        <f>Price!T42/'Price D Coupon'!T$5</f>
        <v>4.6571772600000001</v>
      </c>
      <c r="U42" s="35">
        <f>Price!U42/'Price D Coupon'!U$5</f>
        <v>4.5645833339999999</v>
      </c>
      <c r="V42" s="35">
        <f>Price!V42/'Price D Coupon'!V$5</f>
        <v>4.1914595339999998</v>
      </c>
      <c r="W42" s="35">
        <f>Price!W42/'Price D Coupon'!W$5</f>
        <v>3.8104177581818179</v>
      </c>
      <c r="X42" s="35">
        <f>Price!X42/'Price D Coupon'!X$5</f>
        <v>3.4928829449999999</v>
      </c>
      <c r="Y42" s="35">
        <f>Price!Y42/'Price D Coupon'!Y$5</f>
        <v>3.2241996415384615</v>
      </c>
      <c r="Z42" s="38"/>
      <c r="AA42" s="39"/>
      <c r="AB42" s="40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48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8.1930555566666659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7.0226190485714284</v>
      </c>
      <c r="L43" s="35">
        <f>Price!L43/'Price D Coupon'!L$5</f>
        <v>6.8645850485714286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6.3117202499999996</v>
      </c>
      <c r="P43" s="35">
        <f>Price!P43/'Price D Coupon'!P$5</f>
        <v>6.0065119175000001</v>
      </c>
      <c r="Q43" s="35">
        <f>Price!Q43/'Price D Coupon'!Q$5</f>
        <v>5.4385416675</v>
      </c>
      <c r="R43" s="35">
        <f>Price!R43/'Price D Coupon'!R$5</f>
        <v>5.6104179999999992</v>
      </c>
      <c r="S43" s="35">
        <f>Price!S43/'Price D Coupon'!S$5</f>
        <v>5.3391217044444446</v>
      </c>
      <c r="T43" s="35">
        <f>Price!T43/'Price D Coupon'!T$5</f>
        <v>4.8342592599999996</v>
      </c>
      <c r="U43" s="35">
        <f>Price!U43/'Price D Coupon'!U$5</f>
        <v>4.8052095340000003</v>
      </c>
      <c r="V43" s="35">
        <f>Price!V43/'Price D Coupon'!V$5</f>
        <v>4.3508333339999998</v>
      </c>
      <c r="W43" s="35">
        <f>Price!W43/'Price D Coupon'!W$5</f>
        <v>3.9553030309090911</v>
      </c>
      <c r="X43" s="35">
        <f>Price!X43/'Price D Coupon'!X$5</f>
        <v>3.6256944450000002</v>
      </c>
      <c r="Y43" s="35">
        <f>Price!Y43/'Price D Coupon'!Y$5</f>
        <v>3.3467948723076923</v>
      </c>
      <c r="Z43" s="38"/>
      <c r="AA43" s="39"/>
      <c r="AB43" s="40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48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8.8464140366666673</v>
      </c>
      <c r="H44" s="35">
        <f>Price!H44/'Price D Coupon'!H$5</f>
        <v>8.2751177400000007</v>
      </c>
      <c r="I44" s="35">
        <f>Price!I44/'Price D Coupon'!I$5</f>
        <v>0</v>
      </c>
      <c r="J44" s="35">
        <f>Price!J44/'Price D Coupon'!J$5</f>
        <v>7.5826406028571425</v>
      </c>
      <c r="K44" s="35">
        <f>Price!K44/'Price D Coupon'!K$5</f>
        <v>7.0929580628571429</v>
      </c>
      <c r="L44" s="35">
        <f>Price!L44/'Price D Coupon'!L$5</f>
        <v>7.1021825400000003</v>
      </c>
      <c r="M44" s="35">
        <f>Price!M44/'Price D Coupon'!M$5</f>
        <v>0</v>
      </c>
      <c r="N44" s="35">
        <f>Price!N44/'Price D Coupon'!N$5</f>
        <v>6.6348105275</v>
      </c>
      <c r="O44" s="35">
        <f>Price!O44/'Price D Coupon'!O$5</f>
        <v>6.4617202499999999</v>
      </c>
      <c r="P44" s="35">
        <f>Price!P44/'Price D Coupon'!P$5</f>
        <v>6.2144097225000001</v>
      </c>
      <c r="Q44" s="35">
        <f>Price!Q44/'Price D Coupon'!Q$5</f>
        <v>5.4490466399999997</v>
      </c>
      <c r="R44" s="35">
        <f>Price!R44/'Price D Coupon'!R$5</f>
        <v>5.743751333333333</v>
      </c>
      <c r="S44" s="35">
        <f>Price!S44/'Price D Coupon'!S$5</f>
        <v>5.5239197533333337</v>
      </c>
      <c r="T44" s="35">
        <f>Price!T44/'Price D Coupon'!T$5</f>
        <v>4.8435970133333335</v>
      </c>
      <c r="U44" s="35">
        <f>Price!U44/'Price D Coupon'!U$5</f>
        <v>4.9715277780000005</v>
      </c>
      <c r="V44" s="35">
        <f>Price!V44/'Price D Coupon'!V$5</f>
        <v>4.3592373119999994</v>
      </c>
      <c r="W44" s="35">
        <f>Price!W44/'Price D Coupon'!W$5</f>
        <v>3.9629430109090906</v>
      </c>
      <c r="X44" s="35">
        <f>Price!X44/'Price D Coupon'!X$5</f>
        <v>3.6326977599999997</v>
      </c>
      <c r="Y44" s="35">
        <f>Price!Y44/'Price D Coupon'!Y$5</f>
        <v>3.3532594707692307</v>
      </c>
      <c r="Z44" s="38"/>
      <c r="AA44" s="39"/>
      <c r="AB44" s="40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8.3358358523556504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48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8.5859973699999994</v>
      </c>
      <c r="H45" s="35">
        <f>Price!H45/'Price D Coupon'!H$5</f>
        <v>8.1761574066666665</v>
      </c>
      <c r="I45" s="35">
        <f>Price!I45/'Price D Coupon'!I$5</f>
        <v>0</v>
      </c>
      <c r="J45" s="35">
        <f>Price!J45/'Price D Coupon'!J$5</f>
        <v>7.3594263171428569</v>
      </c>
      <c r="K45" s="35">
        <f>Price!K45/'Price D Coupon'!K$5</f>
        <v>7.0081349200000007</v>
      </c>
      <c r="L45" s="35">
        <f>Price!L45/'Price D Coupon'!L$5</f>
        <v>6.959325397142857</v>
      </c>
      <c r="M45" s="35">
        <f>Price!M45/'Price D Coupon'!M$5</f>
        <v>0</v>
      </c>
      <c r="N45" s="35">
        <f>Price!N45/'Price D Coupon'!N$5</f>
        <v>6.4394980275</v>
      </c>
      <c r="O45" s="35">
        <f>Price!O45/'Price D Coupon'!O$5</f>
        <v>6.3171875000000002</v>
      </c>
      <c r="P45" s="35">
        <f>Price!P45/'Price D Coupon'!P$5</f>
        <v>6.0894097225000001</v>
      </c>
      <c r="Q45" s="35">
        <f>Price!Q45/'Price D Coupon'!Q$5</f>
        <v>5.52326389</v>
      </c>
      <c r="R45" s="35">
        <f>Price!R45/'Price D Coupon'!R$5</f>
        <v>5.615277777777778</v>
      </c>
      <c r="S45" s="35">
        <f>Price!S45/'Price D Coupon'!S$5</f>
        <v>5.4128086422222221</v>
      </c>
      <c r="T45" s="35">
        <f>Price!T45/'Price D Coupon'!T$5</f>
        <v>4.9095679022222223</v>
      </c>
      <c r="U45" s="35">
        <f>Price!U45/'Price D Coupon'!U$5</f>
        <v>4.8715277779999999</v>
      </c>
      <c r="V45" s="35">
        <f>Price!V45/'Price D Coupon'!V$5</f>
        <v>4.4186111119999998</v>
      </c>
      <c r="W45" s="35">
        <f>Price!W45/'Price D Coupon'!W$5</f>
        <v>4.0169191927272729</v>
      </c>
      <c r="X45" s="35">
        <f>Price!X45/'Price D Coupon'!X$5</f>
        <v>3.6821759266666665</v>
      </c>
      <c r="Y45" s="35">
        <f>Price!Y45/'Price D Coupon'!Y$5</f>
        <v>3.3989316246153845</v>
      </c>
      <c r="Z45" s="38"/>
      <c r="AA45" s="39"/>
      <c r="AB45" s="40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8.3176120593233893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48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8.1574074066666658</v>
      </c>
      <c r="H46" s="35">
        <f>Price!H46/'Price D Coupon'!H$5</f>
        <v>7.9814814800000002</v>
      </c>
      <c r="I46" s="35">
        <f>Price!I46/'Price D Coupon'!I$5</f>
        <v>0</v>
      </c>
      <c r="J46" s="35">
        <f>Price!J46/'Price D Coupon'!J$5</f>
        <v>6.9920634914285715</v>
      </c>
      <c r="K46" s="35">
        <f>Price!K46/'Price D Coupon'!K$5</f>
        <v>6.8412698400000007</v>
      </c>
      <c r="L46" s="35">
        <f>Price!L46/'Price D Coupon'!L$5</f>
        <v>6.494545365714286</v>
      </c>
      <c r="M46" s="35">
        <f>Price!M46/'Price D Coupon'!M$5</f>
        <v>0</v>
      </c>
      <c r="N46" s="35">
        <f>Price!N46/'Price D Coupon'!N$5</f>
        <v>6.1180555549999998</v>
      </c>
      <c r="O46" s="35">
        <f>Price!O46/'Price D Coupon'!O$5</f>
        <v>6.0078125</v>
      </c>
      <c r="P46" s="35">
        <f>Price!P46/'Price D Coupon'!P$5</f>
        <v>5.682727195</v>
      </c>
      <c r="Q46" s="35">
        <f>Price!Q46/'Price D Coupon'!Q$5</f>
        <v>5.5277777774999999</v>
      </c>
      <c r="R46" s="35">
        <f>Price!R46/'Price D Coupon'!R$5</f>
        <v>5.3402777777777777</v>
      </c>
      <c r="S46" s="35">
        <f>Price!S46/'Price D Coupon'!S$5</f>
        <v>5.0513130622222224</v>
      </c>
      <c r="T46" s="35">
        <f>Price!T46/'Price D Coupon'!T$5</f>
        <v>4.9135802466666663</v>
      </c>
      <c r="U46" s="35">
        <f>Price!U46/'Price D Coupon'!U$5</f>
        <v>4.5461817560000002</v>
      </c>
      <c r="V46" s="35">
        <f>Price!V46/'Price D Coupon'!V$5</f>
        <v>4.4222222220000003</v>
      </c>
      <c r="W46" s="35">
        <f>Price!W46/'Price D Coupon'!W$5</f>
        <v>4.0202020200000002</v>
      </c>
      <c r="X46" s="35">
        <f>Price!X46/'Price D Coupon'!X$5</f>
        <v>3.6851851849999999</v>
      </c>
      <c r="Y46" s="35">
        <f>Price!Y46/'Price D Coupon'!Y$5</f>
        <v>3.4017094015384615</v>
      </c>
      <c r="Z46" s="38"/>
      <c r="AA46" s="39"/>
      <c r="AB46" s="40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8.1107106669054883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48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8.424537036666667</v>
      </c>
      <c r="H47" s="35">
        <f>Price!H47/'Price D Coupon'!H$5</f>
        <v>8.0928240733333343</v>
      </c>
      <c r="I47" s="35">
        <f>Price!I47/'Price D Coupon'!I$5</f>
        <v>0</v>
      </c>
      <c r="J47" s="35">
        <f>Price!J47/'Price D Coupon'!J$5</f>
        <v>7.2210317457142859</v>
      </c>
      <c r="K47" s="35">
        <f>Price!K47/'Price D Coupon'!K$5</f>
        <v>6.9367063485714286</v>
      </c>
      <c r="L47" s="35">
        <f>Price!L47/'Price D Coupon'!L$5</f>
        <v>6.9459342542857145</v>
      </c>
      <c r="M47" s="35">
        <f>Price!M47/'Price D Coupon'!M$5</f>
        <v>0</v>
      </c>
      <c r="N47" s="35">
        <f>Price!N47/'Price D Coupon'!N$5</f>
        <v>6.3184027775000002</v>
      </c>
      <c r="O47" s="35">
        <f>Price!O47/'Price D Coupon'!O$5</f>
        <v>6.2742202499999999</v>
      </c>
      <c r="P47" s="35">
        <f>Price!P47/'Price D Coupon'!P$5</f>
        <v>6.0776924724999999</v>
      </c>
      <c r="Q47" s="35">
        <f>Price!Q47/'Price D Coupon'!Q$5</f>
        <v>5.66388889</v>
      </c>
      <c r="R47" s="35">
        <f>Price!R47/'Price D Coupon'!R$5</f>
        <v>5.5770846666666669</v>
      </c>
      <c r="S47" s="35">
        <f>Price!S47/'Price D Coupon'!S$5</f>
        <v>5.4023933088888887</v>
      </c>
      <c r="T47" s="35">
        <f>Price!T47/'Price D Coupon'!T$5</f>
        <v>5.0345679022222223</v>
      </c>
      <c r="U47" s="35">
        <f>Price!U47/'Price D Coupon'!U$5</f>
        <v>4.8621539780000003</v>
      </c>
      <c r="V47" s="35">
        <f>Price!V47/'Price D Coupon'!V$5</f>
        <v>4.5311111119999996</v>
      </c>
      <c r="W47" s="35">
        <f>Price!W47/'Price D Coupon'!W$5</f>
        <v>4.1191919199999996</v>
      </c>
      <c r="X47" s="35">
        <f>Price!X47/'Price D Coupon'!X$5</f>
        <v>3.7759259266666665</v>
      </c>
      <c r="Y47" s="35">
        <f>Price!Y47/'Price D Coupon'!Y$5</f>
        <v>3.4854700861538461</v>
      </c>
      <c r="Z47" s="38"/>
      <c r="AA47" s="39"/>
      <c r="AB47" s="40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8.3183499985487028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48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8.4401640366666673</v>
      </c>
      <c r="H48" s="35">
        <f>Price!H48/'Price D Coupon'!H$5</f>
        <v>8.0667844066666667</v>
      </c>
      <c r="I48" s="35">
        <f>Price!I48/'Price D Coupon'!I$5</f>
        <v>0</v>
      </c>
      <c r="J48" s="35">
        <f>Price!J48/'Price D Coupon'!J$5</f>
        <v>7.2344263171428569</v>
      </c>
      <c r="K48" s="35">
        <f>Price!K48/'Price D Coupon'!K$5</f>
        <v>6.9143866342857141</v>
      </c>
      <c r="L48" s="35">
        <f>Price!L48/'Price D Coupon'!L$5</f>
        <v>7.1691485400000001</v>
      </c>
      <c r="M48" s="35">
        <f>Price!M48/'Price D Coupon'!M$5</f>
        <v>0</v>
      </c>
      <c r="N48" s="35">
        <f>Price!N48/'Price D Coupon'!N$5</f>
        <v>6.3301230275</v>
      </c>
      <c r="O48" s="35">
        <f>Price!O48/'Price D Coupon'!O$5</f>
        <v>6.3640625000000002</v>
      </c>
      <c r="P48" s="35">
        <f>Price!P48/'Price D Coupon'!P$5</f>
        <v>6.2730049724999999</v>
      </c>
      <c r="Q48" s="35">
        <f>Price!Q48/'Price D Coupon'!Q$5</f>
        <v>5.8865466399999997</v>
      </c>
      <c r="R48" s="35">
        <f>Price!R48/'Price D Coupon'!R$5</f>
        <v>5.656944444444445</v>
      </c>
      <c r="S48" s="35">
        <f>Price!S48/'Price D Coupon'!S$5</f>
        <v>5.5760044200000003</v>
      </c>
      <c r="T48" s="35">
        <f>Price!T48/'Price D Coupon'!T$5</f>
        <v>5.2324859022222219</v>
      </c>
      <c r="U48" s="35">
        <f>Price!U48/'Price D Coupon'!U$5</f>
        <v>5.0184039780000003</v>
      </c>
      <c r="V48" s="35">
        <f>Price!V48/'Price D Coupon'!V$5</f>
        <v>4.709237312</v>
      </c>
      <c r="W48" s="35">
        <f>Price!W48/'Price D Coupon'!W$5</f>
        <v>4.281124829090909</v>
      </c>
      <c r="X48" s="35">
        <f>Price!X48/'Price D Coupon'!X$5</f>
        <v>3.9243644266666666</v>
      </c>
      <c r="Y48" s="35">
        <f>Price!Y48/'Price D Coupon'!Y$5</f>
        <v>3.6224902399999999</v>
      </c>
      <c r="Z48" s="38"/>
      <c r="AA48" s="39"/>
      <c r="AB48" s="40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8.2339788815858288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48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7.8032407399999997</v>
      </c>
      <c r="H49" s="35">
        <f>Price!H49/'Price D Coupon'!H$5</f>
        <v>7.7366918133333336</v>
      </c>
      <c r="I49" s="35">
        <f>Price!I49/'Price D Coupon'!I$5</f>
        <v>0</v>
      </c>
      <c r="J49" s="35">
        <f>Price!J49/'Price D Coupon'!J$5</f>
        <v>6.6884920628571427</v>
      </c>
      <c r="K49" s="35">
        <f>Price!K49/'Price D Coupon'!K$5</f>
        <v>6.6314501257142862</v>
      </c>
      <c r="L49" s="35">
        <f>Price!L49/'Price D Coupon'!L$5</f>
        <v>6.7222222228571429</v>
      </c>
      <c r="M49" s="35">
        <f>Price!M49/'Price D Coupon'!M$5</f>
        <v>0</v>
      </c>
      <c r="N49" s="35">
        <f>Price!N49/'Price D Coupon'!N$5</f>
        <v>5.8524305549999998</v>
      </c>
      <c r="O49" s="35">
        <f>Price!O49/'Price D Coupon'!O$5</f>
        <v>5.953125</v>
      </c>
      <c r="P49" s="35">
        <f>Price!P49/'Price D Coupon'!P$5</f>
        <v>5.8819444450000002</v>
      </c>
      <c r="Q49" s="35">
        <f>Price!Q49/'Price D Coupon'!Q$5</f>
        <v>5.8285605274999996</v>
      </c>
      <c r="R49" s="35">
        <f>Price!R49/'Price D Coupon'!R$5</f>
        <v>5.291666666666667</v>
      </c>
      <c r="S49" s="35">
        <f>Price!S49/'Price D Coupon'!S$5</f>
        <v>5.2283950622222228</v>
      </c>
      <c r="T49" s="35">
        <f>Price!T49/'Price D Coupon'!T$5</f>
        <v>5.1809426911111105</v>
      </c>
      <c r="U49" s="35">
        <f>Price!U49/'Price D Coupon'!U$5</f>
        <v>4.7055555560000002</v>
      </c>
      <c r="V49" s="35">
        <f>Price!V49/'Price D Coupon'!V$5</f>
        <v>4.6628484219999997</v>
      </c>
      <c r="W49" s="35">
        <f>Price!W49/'Price D Coupon'!W$5</f>
        <v>4.2389531109090903</v>
      </c>
      <c r="X49" s="35">
        <f>Price!X49/'Price D Coupon'!X$5</f>
        <v>3.8857070183333331</v>
      </c>
      <c r="Y49" s="35">
        <f>Price!Y49/'Price D Coupon'!Y$5</f>
        <v>3.5868064784615381</v>
      </c>
      <c r="Z49" s="38"/>
      <c r="AA49" s="39"/>
      <c r="AB49" s="40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7.7925480314404005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48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8.2266203700000009</v>
      </c>
      <c r="H50" s="35">
        <f>Price!H50/'Price D Coupon'!H$5</f>
        <v>7.9834510733333337</v>
      </c>
      <c r="I50" s="35">
        <f>Price!I50/'Price D Coupon'!I$5</f>
        <v>0</v>
      </c>
      <c r="J50" s="35">
        <f>Price!J50/'Price D Coupon'!J$5</f>
        <v>7.0513888885714291</v>
      </c>
      <c r="K50" s="35">
        <f>Price!K50/'Price D Coupon'!K$5</f>
        <v>6.8429580628571429</v>
      </c>
      <c r="L50" s="35">
        <f>Price!L50/'Price D Coupon'!L$5</f>
        <v>7.2450396828571426</v>
      </c>
      <c r="M50" s="35">
        <f>Price!M50/'Price D Coupon'!M$5</f>
        <v>0</v>
      </c>
      <c r="N50" s="35">
        <f>Price!N50/'Price D Coupon'!N$5</f>
        <v>6.1699652775000002</v>
      </c>
      <c r="O50" s="35">
        <f>Price!O50/'Price D Coupon'!O$5</f>
        <v>6.3640625000000002</v>
      </c>
      <c r="P50" s="35">
        <f>Price!P50/'Price D Coupon'!P$5</f>
        <v>6.3394097225000001</v>
      </c>
      <c r="Q50" s="35">
        <f>Price!Q50/'Price D Coupon'!Q$5</f>
        <v>6.01545139</v>
      </c>
      <c r="R50" s="35">
        <f>Price!R50/'Price D Coupon'!R$5</f>
        <v>5.656944444444445</v>
      </c>
      <c r="S50" s="35">
        <f>Price!S50/'Price D Coupon'!S$5</f>
        <v>5.6350308644444445</v>
      </c>
      <c r="T50" s="35">
        <f>Price!T50/'Price D Coupon'!T$5</f>
        <v>5.3470679022222223</v>
      </c>
      <c r="U50" s="35">
        <f>Price!U50/'Price D Coupon'!U$5</f>
        <v>5.0715277780000001</v>
      </c>
      <c r="V50" s="35">
        <f>Price!V50/'Price D Coupon'!V$5</f>
        <v>4.8123611119999996</v>
      </c>
      <c r="W50" s="35">
        <f>Price!W50/'Price D Coupon'!W$5</f>
        <v>4.3748737381818179</v>
      </c>
      <c r="X50" s="35">
        <f>Price!X50/'Price D Coupon'!X$5</f>
        <v>4.0103009266666669</v>
      </c>
      <c r="Y50" s="35">
        <f>Price!Y50/'Price D Coupon'!Y$5</f>
        <v>3.7018162399999999</v>
      </c>
      <c r="Z50" s="38"/>
      <c r="AA50" s="39"/>
      <c r="AB50" s="40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8.1255126616198705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48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7.6402777766666672</v>
      </c>
      <c r="H51" s="35">
        <f>Price!H51/'Price D Coupon'!H$5</f>
        <v>7.7086825566666661</v>
      </c>
      <c r="I51" s="35">
        <f>Price!I51/'Price D Coupon'!I$5</f>
        <v>0</v>
      </c>
      <c r="J51" s="35">
        <f>Price!J51/'Price D Coupon'!J$5</f>
        <v>6.5488095228571428</v>
      </c>
      <c r="K51" s="35">
        <f>Price!K51/'Price D Coupon'!K$5</f>
        <v>6.6074421914285706</v>
      </c>
      <c r="L51" s="35">
        <f>Price!L51/'Price D Coupon'!L$5</f>
        <v>6.7306564771428574</v>
      </c>
      <c r="M51" s="35">
        <f>Price!M51/'Price D Coupon'!M$5</f>
        <v>0</v>
      </c>
      <c r="N51" s="35">
        <f>Price!N51/'Price D Coupon'!N$5</f>
        <v>5.7302083325000002</v>
      </c>
      <c r="O51" s="35">
        <f>Price!O51/'Price D Coupon'!O$5</f>
        <v>6.0226577499999996</v>
      </c>
      <c r="P51" s="35">
        <f>Price!P51/'Price D Coupon'!P$5</f>
        <v>5.8893244175000001</v>
      </c>
      <c r="Q51" s="35">
        <f>Price!Q51/'Price D Coupon'!Q$5</f>
        <v>5.8565119174999998</v>
      </c>
      <c r="R51" s="35">
        <f>Price!R51/'Price D Coupon'!R$5</f>
        <v>5.3534735555555555</v>
      </c>
      <c r="S51" s="35">
        <f>Price!S51/'Price D Coupon'!S$5</f>
        <v>5.2349550377777776</v>
      </c>
      <c r="T51" s="35">
        <f>Price!T51/'Price D Coupon'!T$5</f>
        <v>5.2057883711111108</v>
      </c>
      <c r="U51" s="35">
        <f>Price!U51/'Price D Coupon'!U$5</f>
        <v>4.7114595340000003</v>
      </c>
      <c r="V51" s="35">
        <f>Price!V51/'Price D Coupon'!V$5</f>
        <v>4.6852095340000002</v>
      </c>
      <c r="W51" s="35">
        <f>Price!W51/'Price D Coupon'!W$5</f>
        <v>4.2592813945454546</v>
      </c>
      <c r="X51" s="35">
        <f>Price!X51/'Price D Coupon'!X$5</f>
        <v>3.9043412783333333</v>
      </c>
      <c r="Y51" s="35">
        <f>Price!Y51/'Price D Coupon'!Y$5</f>
        <v>3.6040073338461536</v>
      </c>
      <c r="Z51" s="38"/>
      <c r="AA51" s="39"/>
      <c r="AB51" s="40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7.6416103766768808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48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7.2162037033333339</v>
      </c>
      <c r="H52" s="35">
        <f>Price!H52/'Price D Coupon'!H$5</f>
        <v>7.4574074066666673</v>
      </c>
      <c r="I52" s="35">
        <f>Price!I52/'Price D Coupon'!I$5</f>
        <v>0</v>
      </c>
      <c r="J52" s="35">
        <f>Price!J52/'Price D Coupon'!J$5</f>
        <v>6.1853174600000003</v>
      </c>
      <c r="K52" s="35">
        <f>Price!K52/'Price D Coupon'!K$5</f>
        <v>6.3920634914285719</v>
      </c>
      <c r="L52" s="35">
        <f>Price!L52/'Price D Coupon'!L$5</f>
        <v>6.4995056828571425</v>
      </c>
      <c r="M52" s="35">
        <f>Price!M52/'Price D Coupon'!M$5</f>
        <v>0</v>
      </c>
      <c r="N52" s="35">
        <f>Price!N52/'Price D Coupon'!N$5</f>
        <v>5.4121527775000002</v>
      </c>
      <c r="O52" s="35">
        <f>Price!O52/'Price D Coupon'!O$5</f>
        <v>5.7742202499999999</v>
      </c>
      <c r="P52" s="35">
        <f>Price!P52/'Price D Coupon'!P$5</f>
        <v>5.6870674724999999</v>
      </c>
      <c r="Q52" s="35">
        <f>Price!Q52/'Price D Coupon'!Q$5</f>
        <v>5.7849841399999997</v>
      </c>
      <c r="R52" s="35">
        <f>Price!R52/'Price D Coupon'!R$5</f>
        <v>5.1326402222222223</v>
      </c>
      <c r="S52" s="35">
        <f>Price!S52/'Price D Coupon'!S$5</f>
        <v>5.0551710866666664</v>
      </c>
      <c r="T52" s="35">
        <f>Price!T52/'Price D Coupon'!T$5</f>
        <v>5.1422081244444442</v>
      </c>
      <c r="U52" s="35">
        <f>Price!U52/'Price D Coupon'!U$5</f>
        <v>4.5496539780000003</v>
      </c>
      <c r="V52" s="35">
        <f>Price!V52/'Price D Coupon'!V$5</f>
        <v>4.6279873120000001</v>
      </c>
      <c r="W52" s="35">
        <f>Price!W52/'Price D Coupon'!W$5</f>
        <v>4.2072611927272723</v>
      </c>
      <c r="X52" s="35">
        <f>Price!X52/'Price D Coupon'!X$5</f>
        <v>3.8566560933333331</v>
      </c>
      <c r="Y52" s="35">
        <f>Price!Y52/'Price D Coupon'!Y$5</f>
        <v>3.5599902399999999</v>
      </c>
      <c r="Z52" s="38"/>
      <c r="AA52" s="39"/>
      <c r="AB52" s="40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7.2162037033333339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48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6.7563677399999991</v>
      </c>
      <c r="H53" s="35">
        <f>Price!H53/'Price D Coupon'!H$5</f>
        <v>7.3408584800000005</v>
      </c>
      <c r="I53" s="35">
        <f>Price!I53/'Price D Coupon'!I$5</f>
        <v>0</v>
      </c>
      <c r="J53" s="35">
        <f>Price!J53/'Price D Coupon'!J$5</f>
        <v>5.7911723485714282</v>
      </c>
      <c r="K53" s="35">
        <f>Price!K53/'Price D Coupon'!K$5</f>
        <v>6.2921644114285717</v>
      </c>
      <c r="L53" s="35">
        <f>Price!L53/'Price D Coupon'!L$5</f>
        <v>6.4409739371428572</v>
      </c>
      <c r="M53" s="35">
        <f>Price!M53/'Price D Coupon'!M$5</f>
        <v>0</v>
      </c>
      <c r="N53" s="35">
        <f>Price!N53/'Price D Coupon'!N$5</f>
        <v>5.0672758049999995</v>
      </c>
      <c r="O53" s="35">
        <f>Price!O53/'Price D Coupon'!O$5</f>
        <v>5.6992202499999998</v>
      </c>
      <c r="P53" s="35">
        <f>Price!P53/'Price D Coupon'!P$5</f>
        <v>5.635852195</v>
      </c>
      <c r="Q53" s="35">
        <f>Price!Q53/'Price D Coupon'!Q$5</f>
        <v>5.7855902774999999</v>
      </c>
      <c r="R53" s="35">
        <f>Price!R53/'Price D Coupon'!R$5</f>
        <v>5.065973555555555</v>
      </c>
      <c r="S53" s="35">
        <f>Price!S53/'Price D Coupon'!S$5</f>
        <v>5.0096463955555555</v>
      </c>
      <c r="T53" s="35">
        <f>Price!T53/'Price D Coupon'!T$5</f>
        <v>5.1427469133333332</v>
      </c>
      <c r="U53" s="35">
        <f>Price!U53/'Price D Coupon'!U$5</f>
        <v>4.5086817559999997</v>
      </c>
      <c r="V53" s="35">
        <f>Price!V53/'Price D Coupon'!V$5</f>
        <v>4.6284722220000001</v>
      </c>
      <c r="W53" s="35">
        <f>Price!W53/'Price D Coupon'!W$5</f>
        <v>4.2077020200000002</v>
      </c>
      <c r="X53" s="35">
        <f>Price!X53/'Price D Coupon'!X$5</f>
        <v>3.8570601849999999</v>
      </c>
      <c r="Y53" s="35">
        <f>Price!Y53/'Price D Coupon'!Y$5</f>
        <v>3.5603632476923077</v>
      </c>
      <c r="Z53" s="38"/>
      <c r="AA53" s="39"/>
      <c r="AB53" s="40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6.7563677399999991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48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5.0584507400000005</v>
      </c>
      <c r="H54" s="35">
        <f>Price!H54/'Price D Coupon'!H$5</f>
        <v>5.9189814800000002</v>
      </c>
      <c r="I54" s="35">
        <f>Price!I54/'Price D Coupon'!I$5</f>
        <v>0</v>
      </c>
      <c r="J54" s="35">
        <f>Price!J54/'Price D Coupon'!J$5</f>
        <v>4.3358149199999998</v>
      </c>
      <c r="K54" s="35">
        <f>Price!K54/'Price D Coupon'!K$5</f>
        <v>5.0734126971428575</v>
      </c>
      <c r="L54" s="35">
        <f>Price!L54/'Price D Coupon'!L$5</f>
        <v>5.3740079371428573</v>
      </c>
      <c r="M54" s="35">
        <f>Price!M54/'Price D Coupon'!M$5</f>
        <v>0</v>
      </c>
      <c r="N54" s="35">
        <f>Price!N54/'Price D Coupon'!N$5</f>
        <v>3.7938380550000002</v>
      </c>
      <c r="O54" s="35">
        <f>Price!O54/'Price D Coupon'!O$5</f>
        <v>4.6445327499999998</v>
      </c>
      <c r="P54" s="35">
        <f>Price!P54/'Price D Coupon'!P$5</f>
        <v>4.7022569450000002</v>
      </c>
      <c r="Q54" s="35">
        <f>Price!Q54/'Price D Coupon'!Q$5</f>
        <v>5.6215277774999999</v>
      </c>
      <c r="R54" s="35">
        <f>Price!R54/'Price D Coupon'!R$5</f>
        <v>4.128473555555555</v>
      </c>
      <c r="S54" s="35">
        <f>Price!S54/'Price D Coupon'!S$5</f>
        <v>4.1797839511111112</v>
      </c>
      <c r="T54" s="35">
        <f>Price!T54/'Price D Coupon'!T$5</f>
        <v>4.9969135800000002</v>
      </c>
      <c r="U54" s="35">
        <f>Price!U54/'Price D Coupon'!U$5</f>
        <v>3.7618055560000001</v>
      </c>
      <c r="V54" s="35">
        <f>Price!V54/'Price D Coupon'!V$5</f>
        <v>4.4972222219999995</v>
      </c>
      <c r="W54" s="35">
        <f>Price!W54/'Price D Coupon'!W$5</f>
        <v>4.0883838381818185</v>
      </c>
      <c r="X54" s="35">
        <f>Price!X54/'Price D Coupon'!X$5</f>
        <v>3.7476851849999999</v>
      </c>
      <c r="Y54" s="35">
        <f>Price!Y54/'Price D Coupon'!Y$5</f>
        <v>3.459401709230769</v>
      </c>
      <c r="Z54" s="38"/>
      <c r="AA54" s="39"/>
      <c r="AB54" s="40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5.0584507400000005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48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6.214701073333333</v>
      </c>
      <c r="H55" s="35">
        <f>Price!H55/'Price D Coupon'!H$5</f>
        <v>6.8043981466666672</v>
      </c>
      <c r="I55" s="35">
        <f>Price!I55/'Price D Coupon'!I$5</f>
        <v>0</v>
      </c>
      <c r="J55" s="35">
        <f>Price!J55/'Price D Coupon'!J$5</f>
        <v>5.3268866342857137</v>
      </c>
      <c r="K55" s="35">
        <f>Price!K55/'Price D Coupon'!K$5</f>
        <v>5.8323412685714286</v>
      </c>
      <c r="L55" s="35">
        <f>Price!L55/'Price D Coupon'!L$5</f>
        <v>6.1999025085714283</v>
      </c>
      <c r="M55" s="35">
        <f>Price!M55/'Price D Coupon'!M$5</f>
        <v>0</v>
      </c>
      <c r="N55" s="35">
        <f>Price!N55/'Price D Coupon'!N$5</f>
        <v>4.6610258049999995</v>
      </c>
      <c r="O55" s="35">
        <f>Price!O55/'Price D Coupon'!O$5</f>
        <v>5.390625</v>
      </c>
      <c r="P55" s="35">
        <f>Price!P55/'Price D Coupon'!P$5</f>
        <v>5.424914695</v>
      </c>
      <c r="Q55" s="35">
        <f>Price!Q55/'Price D Coupon'!Q$5</f>
        <v>6.1644980274999996</v>
      </c>
      <c r="R55" s="35">
        <f>Price!R55/'Price D Coupon'!R$5</f>
        <v>4.791666666666667</v>
      </c>
      <c r="S55" s="35">
        <f>Price!S55/'Price D Coupon'!S$5</f>
        <v>4.8221463955555555</v>
      </c>
      <c r="T55" s="35">
        <f>Price!T55/'Price D Coupon'!T$5</f>
        <v>5.4795538022222221</v>
      </c>
      <c r="U55" s="35">
        <f>Price!U55/'Price D Coupon'!U$5</f>
        <v>4.3399317560000004</v>
      </c>
      <c r="V55" s="35">
        <f>Price!V55/'Price D Coupon'!V$5</f>
        <v>4.9315984219999995</v>
      </c>
      <c r="W55" s="35">
        <f>Price!W55/'Price D Coupon'!W$5</f>
        <v>4.4832712927272729</v>
      </c>
      <c r="X55" s="35">
        <f>Price!X55/'Price D Coupon'!X$5</f>
        <v>4.1096653516666661</v>
      </c>
      <c r="Y55" s="35">
        <f>Price!Y55/'Price D Coupon'!Y$5</f>
        <v>3.7935372476923073</v>
      </c>
      <c r="Z55" s="38"/>
      <c r="AA55" s="39"/>
      <c r="AB55" s="40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6.214701073333333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48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5.9401640366666664</v>
      </c>
      <c r="H56" s="35">
        <f>Price!H56/'Price D Coupon'!H$5</f>
        <v>6.6240740733333334</v>
      </c>
      <c r="I56" s="35">
        <f>Price!I56/'Price D Coupon'!I$5</f>
        <v>5.1228174600000003</v>
      </c>
      <c r="J56" s="35">
        <f>Price!J56/'Price D Coupon'!J$5</f>
        <v>5.0915691742857145</v>
      </c>
      <c r="K56" s="35">
        <f>Price!K56/'Price D Coupon'!K$5</f>
        <v>5.6777777771428575</v>
      </c>
      <c r="L56" s="35">
        <f>Price!L56/'Price D Coupon'!L$5</f>
        <v>6.0620056828571425</v>
      </c>
      <c r="M56" s="35">
        <f>Price!M56/'Price D Coupon'!M$5</f>
        <v>4.4824652775000002</v>
      </c>
      <c r="N56" s="35">
        <f>Price!N56/'Price D Coupon'!N$5</f>
        <v>4.4551230275</v>
      </c>
      <c r="O56" s="35">
        <f>Price!O56/'Price D Coupon'!O$5</f>
        <v>5.2820327499999999</v>
      </c>
      <c r="P56" s="35">
        <f>Price!P56/'Price D Coupon'!P$5</f>
        <v>5.3042549724999999</v>
      </c>
      <c r="Q56" s="35">
        <f>Price!Q56/'Price D Coupon'!Q$5</f>
        <v>6.47638889</v>
      </c>
      <c r="R56" s="35">
        <f>Price!R56/'Price D Coupon'!R$5</f>
        <v>4.6951402222222223</v>
      </c>
      <c r="S56" s="35">
        <f>Price!S56/'Price D Coupon'!S$5</f>
        <v>4.7148933088888887</v>
      </c>
      <c r="T56" s="35">
        <f>Price!T56/'Price D Coupon'!T$5</f>
        <v>5.7567901244444446</v>
      </c>
      <c r="U56" s="35">
        <f>Price!U56/'Price D Coupon'!U$5</f>
        <v>4.2434039779999999</v>
      </c>
      <c r="V56" s="35">
        <f>Price!V56/'Price D Coupon'!V$5</f>
        <v>5.181111112</v>
      </c>
      <c r="W56" s="35">
        <f>Price!W56/'Price D Coupon'!W$5</f>
        <v>4.7101010109090913</v>
      </c>
      <c r="X56" s="35">
        <f>Price!X56/'Price D Coupon'!X$5</f>
        <v>4.317592593333333</v>
      </c>
      <c r="Y56" s="35">
        <f>Price!Y56/'Price D Coupon'!Y$5</f>
        <v>3.9854700861538461</v>
      </c>
      <c r="Z56" s="38"/>
      <c r="AA56" s="39"/>
      <c r="AB56" s="40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5.9401640366666664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48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6.393287036666667</v>
      </c>
      <c r="H57" s="35">
        <f>Price!H57/'Price D Coupon'!H$5</f>
        <v>6.9938677399999998</v>
      </c>
      <c r="I57" s="35">
        <f>Price!I57/'Price D Coupon'!I$5</f>
        <v>5.555854888571429</v>
      </c>
      <c r="J57" s="35">
        <f>Price!J57/'Price D Coupon'!J$5</f>
        <v>5.479960317142857</v>
      </c>
      <c r="K57" s="35">
        <f>Price!K57/'Price D Coupon'!K$5</f>
        <v>5.9947437771428573</v>
      </c>
      <c r="L57" s="35">
        <f>Price!L57/'Price D Coupon'!L$5</f>
        <v>6.3521825400000003</v>
      </c>
      <c r="M57" s="35">
        <f>Price!M57/'Price D Coupon'!M$5</f>
        <v>4.8613730275</v>
      </c>
      <c r="N57" s="35">
        <f>Price!N57/'Price D Coupon'!N$5</f>
        <v>4.7949652775000002</v>
      </c>
      <c r="O57" s="35">
        <f>Price!O57/'Price D Coupon'!O$5</f>
        <v>5.5281250000000002</v>
      </c>
      <c r="P57" s="35">
        <f>Price!P57/'Price D Coupon'!P$5</f>
        <v>5.5581597225000001</v>
      </c>
      <c r="Q57" s="35">
        <f>Price!Q57/'Price D Coupon'!Q$5</f>
        <v>6.6912341399999997</v>
      </c>
      <c r="R57" s="35">
        <f>Price!R57/'Price D Coupon'!R$5</f>
        <v>4.9138888888888888</v>
      </c>
      <c r="S57" s="35">
        <f>Price!S57/'Price D Coupon'!S$5</f>
        <v>4.9405864199999998</v>
      </c>
      <c r="T57" s="35">
        <f>Price!T57/'Price D Coupon'!T$5</f>
        <v>5.9477636799999996</v>
      </c>
      <c r="U57" s="35">
        <f>Price!U57/'Price D Coupon'!U$5</f>
        <v>4.4465277780000001</v>
      </c>
      <c r="V57" s="35">
        <f>Price!V57/'Price D Coupon'!V$5</f>
        <v>5.3529873119999998</v>
      </c>
      <c r="W57" s="35">
        <f>Price!W57/'Price D Coupon'!W$5</f>
        <v>4.8663521018181815</v>
      </c>
      <c r="X57" s="35">
        <f>Price!X57/'Price D Coupon'!X$5</f>
        <v>4.4608227600000001</v>
      </c>
      <c r="Y57" s="35">
        <f>Price!Y57/'Price D Coupon'!Y$5</f>
        <v>4.1176825476923078</v>
      </c>
      <c r="Z57" s="43"/>
      <c r="AA57" s="44"/>
      <c r="AB57" s="45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6.393287036666667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48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6.674537036666667</v>
      </c>
      <c r="H58" s="35">
        <f>Price!H58/'Price D Coupon'!H$5</f>
        <v>7.0303240733333334</v>
      </c>
      <c r="I58" s="35">
        <f>Price!I58/'Price D Coupon'!I$5</f>
        <v>5.8638888885714291</v>
      </c>
      <c r="J58" s="35">
        <f>Price!J58/'Price D Coupon'!J$5</f>
        <v>5.7210317457142859</v>
      </c>
      <c r="K58" s="35">
        <f>Price!K58/'Price D Coupon'!K$5</f>
        <v>6.0259920628571431</v>
      </c>
      <c r="L58" s="35">
        <f>Price!L58/'Price D Coupon'!L$5</f>
        <v>6.4325396828571426</v>
      </c>
      <c r="M58" s="35">
        <f>Price!M58/'Price D Coupon'!M$5</f>
        <v>5.1309027775000002</v>
      </c>
      <c r="N58" s="35">
        <f>Price!N58/'Price D Coupon'!N$5</f>
        <v>5.0059027775000002</v>
      </c>
      <c r="O58" s="35">
        <f>Price!O58/'Price D Coupon'!O$5</f>
        <v>5.5789077499999999</v>
      </c>
      <c r="P58" s="35">
        <f>Price!P58/'Price D Coupon'!P$5</f>
        <v>5.6284722225000001</v>
      </c>
      <c r="Q58" s="35">
        <f>Price!Q58/'Price D Coupon'!Q$5</f>
        <v>6.59357639</v>
      </c>
      <c r="R58" s="35">
        <f>Price!R58/'Price D Coupon'!R$5</f>
        <v>4.9590291111111107</v>
      </c>
      <c r="S58" s="35">
        <f>Price!S58/'Price D Coupon'!S$5</f>
        <v>5.0030864199999998</v>
      </c>
      <c r="T58" s="35">
        <f>Price!T58/'Price D Coupon'!T$5</f>
        <v>5.8609567911111107</v>
      </c>
      <c r="U58" s="35">
        <f>Price!U58/'Price D Coupon'!U$5</f>
        <v>4.5027777780000005</v>
      </c>
      <c r="V58" s="35">
        <f>Price!V58/'Price D Coupon'!V$5</f>
        <v>5.274861112</v>
      </c>
      <c r="W58" s="35">
        <f>Price!W58/'Price D Coupon'!W$5</f>
        <v>4.7953282836363638</v>
      </c>
      <c r="X58" s="35">
        <f>Price!X58/'Price D Coupon'!X$5</f>
        <v>4.395717593333333</v>
      </c>
      <c r="Y58" s="35">
        <f>Price!Y58/'Price D Coupon'!Y$5</f>
        <v>4.0575854707692312</v>
      </c>
      <c r="Z58" s="43"/>
      <c r="AA58" s="44"/>
      <c r="AB58" s="45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48">
        <f t="shared" si="2"/>
        <v>1</v>
      </c>
    </row>
    <row r="59" spans="6:58" x14ac:dyDescent="0.2">
      <c r="F59" s="4">
        <v>42185</v>
      </c>
      <c r="G59" s="35">
        <f>Price!G59/'Price D Coupon'!G$5</f>
        <v>7.7005807033333333</v>
      </c>
      <c r="H59" s="35">
        <f>Price!H59/'Price D Coupon'!H$5</f>
        <v>7.5980344066666667</v>
      </c>
      <c r="I59" s="35">
        <f>Price!I59/'Price D Coupon'!I$5</f>
        <v>6.7165691742857145</v>
      </c>
      <c r="J59" s="35">
        <f>Price!J59/'Price D Coupon'!J$5</f>
        <v>6.6004977457142857</v>
      </c>
      <c r="K59" s="35">
        <f>Price!K59/'Price D Coupon'!K$5</f>
        <v>6.5126009199999997</v>
      </c>
      <c r="L59" s="35">
        <f>Price!L59/'Price D Coupon'!L$5</f>
        <v>6.8923628257142857</v>
      </c>
      <c r="M59" s="35">
        <f>Price!M59/'Price D Coupon'!M$5</f>
        <v>5.8769980275</v>
      </c>
      <c r="N59" s="35">
        <f>Price!N59/'Price D Coupon'!N$5</f>
        <v>5.7754355275</v>
      </c>
      <c r="O59" s="35">
        <f>Price!O59/'Price D Coupon'!O$5</f>
        <v>6.0281250000000002</v>
      </c>
      <c r="P59" s="35">
        <f>Price!P59/'Price D Coupon'!P$5</f>
        <v>6.0308174724999999</v>
      </c>
      <c r="Q59" s="35">
        <f>Price!Q59/'Price D Coupon'!Q$5</f>
        <v>6.80451389</v>
      </c>
      <c r="R59" s="35">
        <f>Price!R59/'Price D Coupon'!R$5</f>
        <v>5.3583333333333334</v>
      </c>
      <c r="S59" s="35">
        <f>Price!S59/'Price D Coupon'!S$5</f>
        <v>5.3607266422222217</v>
      </c>
      <c r="T59" s="35">
        <f>Price!T59/'Price D Coupon'!T$5</f>
        <v>6.0484567911111107</v>
      </c>
      <c r="U59" s="35">
        <f>Price!U59/'Price D Coupon'!U$5</f>
        <v>4.8246539779999997</v>
      </c>
      <c r="V59" s="35">
        <f>Price!V59/'Price D Coupon'!V$5</f>
        <v>5.4436111120000001</v>
      </c>
      <c r="W59" s="35">
        <f>Price!W59/'Price D Coupon'!W$5</f>
        <v>4.9487373745454546</v>
      </c>
      <c r="X59" s="35">
        <f>Price!X59/'Price D Coupon'!X$5</f>
        <v>4.536342593333333</v>
      </c>
      <c r="Y59" s="35">
        <f>Price!Y59/'Price D Coupon'!Y$5</f>
        <v>4.1873931630769228</v>
      </c>
      <c r="Z59" s="43"/>
      <c r="AA59" s="44"/>
      <c r="AB59" s="45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48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7.2913214433333335</v>
      </c>
      <c r="H60" s="35">
        <f>Price!H60/'Price D Coupon'!H$5</f>
        <v>7.3076388899999998</v>
      </c>
      <c r="I60" s="35">
        <f>Price!I60/'Price D Coupon'!I$5</f>
        <v>6.3345238085714284</v>
      </c>
      <c r="J60" s="35">
        <f>Price!J60/'Price D Coupon'!J$5</f>
        <v>6.2497040942857138</v>
      </c>
      <c r="K60" s="35">
        <f>Price!K60/'Price D Coupon'!K$5</f>
        <v>6.2636904771428572</v>
      </c>
      <c r="L60" s="35">
        <f>Price!L60/'Price D Coupon'!L$5</f>
        <v>6.6726190485714287</v>
      </c>
      <c r="M60" s="35">
        <f>Price!M60/'Price D Coupon'!M$5</f>
        <v>5.5427083325000002</v>
      </c>
      <c r="N60" s="35">
        <f>Price!N60/'Price D Coupon'!N$5</f>
        <v>5.4684910824999999</v>
      </c>
      <c r="O60" s="35">
        <f>Price!O60/'Price D Coupon'!O$5</f>
        <v>5.8312499999999998</v>
      </c>
      <c r="P60" s="35">
        <f>Price!P60/'Price D Coupon'!P$5</f>
        <v>5.8385416675000004</v>
      </c>
      <c r="Q60" s="35">
        <f>Price!Q60/'Price D Coupon'!Q$5</f>
        <v>6.7783869174999998</v>
      </c>
      <c r="R60" s="35">
        <f>Price!R60/'Price D Coupon'!R$5</f>
        <v>5.1833333333333336</v>
      </c>
      <c r="S60" s="35">
        <f>Price!S60/'Price D Coupon'!S$5</f>
        <v>5.1898148155555557</v>
      </c>
      <c r="T60" s="35">
        <f>Price!T60/'Price D Coupon'!T$5</f>
        <v>6.0252328155555555</v>
      </c>
      <c r="U60" s="35">
        <f>Price!U60/'Price D Coupon'!U$5</f>
        <v>4.6708333340000001</v>
      </c>
      <c r="V60" s="35">
        <f>Price!V60/'Price D Coupon'!V$5</f>
        <v>5.422709534</v>
      </c>
      <c r="W60" s="35">
        <f>Price!W60/'Price D Coupon'!W$5</f>
        <v>4.9297359399999996</v>
      </c>
      <c r="X60" s="35">
        <f>Price!X60/'Price D Coupon'!X$5</f>
        <v>4.5189246116666668</v>
      </c>
      <c r="Y60" s="35">
        <f>Price!Y60/'Price D Coupon'!Y$5</f>
        <v>4.1713150261538461</v>
      </c>
      <c r="Z60" s="43"/>
      <c r="AA60" s="44"/>
      <c r="AB60" s="45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48">
        <f t="shared" si="2"/>
        <v>1</v>
      </c>
    </row>
    <row r="61" spans="6:58" x14ac:dyDescent="0.2">
      <c r="F61" s="32">
        <v>42247</v>
      </c>
      <c r="G61" s="35">
        <f>Price!G61/'Price D Coupon'!G$5</f>
        <v>7.2109973700000003</v>
      </c>
      <c r="H61" s="35">
        <f>Price!H61/'Price D Coupon'!H$5</f>
        <v>7.2803240733333334</v>
      </c>
      <c r="I61" s="35">
        <f>Price!I61/'Price D Coupon'!I$5</f>
        <v>6.3103174600000003</v>
      </c>
      <c r="J61" s="35">
        <f>Price!J61/'Price D Coupon'!J$5</f>
        <v>6.180854888571429</v>
      </c>
      <c r="K61" s="35">
        <f>Price!K61/'Price D Coupon'!K$5</f>
        <v>6.2402777771428575</v>
      </c>
      <c r="L61" s="35">
        <f>Price!L61/'Price D Coupon'!L$5</f>
        <v>6.6914682542857147</v>
      </c>
      <c r="M61" s="35">
        <f>Price!M61/'Price D Coupon'!M$5</f>
        <v>5.5215277775000002</v>
      </c>
      <c r="N61" s="35">
        <f>Price!N61/'Price D Coupon'!N$5</f>
        <v>5.4082480275</v>
      </c>
      <c r="O61" s="35">
        <f>Price!O61/'Price D Coupon'!O$5</f>
        <v>5.8484375000000002</v>
      </c>
      <c r="P61" s="35">
        <f>Price!P61/'Price D Coupon'!P$5</f>
        <v>5.8550347225000001</v>
      </c>
      <c r="Q61" s="35">
        <f>Price!Q61/'Price D Coupon'!Q$5</f>
        <v>6.7615466399999997</v>
      </c>
      <c r="R61" s="35">
        <f>Price!R61/'Price D Coupon'!R$5</f>
        <v>5.1986111111111111</v>
      </c>
      <c r="S61" s="35">
        <f>Price!S61/'Price D Coupon'!S$5</f>
        <v>5.2044753088888891</v>
      </c>
      <c r="T61" s="35">
        <f>Price!T61/'Price D Coupon'!T$5</f>
        <v>6.0102636799999996</v>
      </c>
      <c r="U61" s="35">
        <f>Price!U61/'Price D Coupon'!U$5</f>
        <v>4.6840277779999999</v>
      </c>
      <c r="V61" s="35">
        <f>Price!V61/'Price D Coupon'!V$5</f>
        <v>5.4092373120000001</v>
      </c>
      <c r="W61" s="35">
        <f>Price!W61/'Price D Coupon'!W$5</f>
        <v>4.9174884654545457</v>
      </c>
      <c r="X61" s="35">
        <f>Price!X61/'Price D Coupon'!X$5</f>
        <v>4.5076977600000001</v>
      </c>
      <c r="Y61" s="35">
        <f>Price!Y61/'Price D Coupon'!Y$5</f>
        <v>4.1609517784615386</v>
      </c>
      <c r="Z61" s="43"/>
      <c r="AA61" s="44"/>
      <c r="AB61" s="45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48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6.8568307033333333</v>
      </c>
      <c r="H62" s="35">
        <f>Price!H62/'Price D Coupon'!H$5</f>
        <v>7.0199074066666673</v>
      </c>
      <c r="I62" s="35">
        <f>Price!I62/'Price D Coupon'!I$5</f>
        <v>5.9844263171428569</v>
      </c>
      <c r="J62" s="35">
        <f>Price!J62/'Price D Coupon'!J$5</f>
        <v>5.8772834600000001</v>
      </c>
      <c r="K62" s="35">
        <f>Price!K62/'Price D Coupon'!K$5</f>
        <v>6.0170634914285719</v>
      </c>
      <c r="L62" s="35">
        <f>Price!L62/'Price D Coupon'!L$5</f>
        <v>6.3164682542857147</v>
      </c>
      <c r="M62" s="35">
        <f>Price!M62/'Price D Coupon'!M$5</f>
        <v>5.2363730275</v>
      </c>
      <c r="N62" s="35">
        <f>Price!N62/'Price D Coupon'!N$5</f>
        <v>5.1426230275</v>
      </c>
      <c r="O62" s="35">
        <f>Price!O62/'Price D Coupon'!O$5</f>
        <v>5.5671875000000002</v>
      </c>
      <c r="P62" s="35">
        <f>Price!P62/'Price D Coupon'!P$5</f>
        <v>5.5269097225000001</v>
      </c>
      <c r="Q62" s="35">
        <f>Price!Q62/'Price D Coupon'!Q$5</f>
        <v>6.5740466399999997</v>
      </c>
      <c r="R62" s="35">
        <f>Price!R62/'Price D Coupon'!R$5</f>
        <v>4.9486111111111111</v>
      </c>
      <c r="S62" s="35">
        <f>Price!S62/'Price D Coupon'!S$5</f>
        <v>4.9128086422222221</v>
      </c>
      <c r="T62" s="35">
        <f>Price!T62/'Price D Coupon'!T$5</f>
        <v>5.8435970133333335</v>
      </c>
      <c r="U62" s="35">
        <f>Price!U62/'Price D Coupon'!U$5</f>
        <v>4.4215277779999997</v>
      </c>
      <c r="V62" s="35">
        <f>Price!V62/'Price D Coupon'!V$5</f>
        <v>5.2592373119999998</v>
      </c>
      <c r="W62" s="35">
        <f>Price!W62/'Price D Coupon'!W$5</f>
        <v>4.781124829090909</v>
      </c>
      <c r="X62" s="35">
        <f>Price!X62/'Price D Coupon'!X$5</f>
        <v>4.3826977600000001</v>
      </c>
      <c r="Y62" s="35">
        <f>Price!Y62/'Price D Coupon'!Y$5</f>
        <v>4.0455671630769228</v>
      </c>
      <c r="Z62" s="43"/>
      <c r="AA62" s="44"/>
      <c r="AB62" s="45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48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6.860534406666666</v>
      </c>
      <c r="H63" s="35">
        <f>Price!H63/'Price D Coupon'!H$5</f>
        <v>7.0179418133333336</v>
      </c>
      <c r="I63" s="35">
        <f>Price!I63/'Price D Coupon'!I$5</f>
        <v>5.9742063485714283</v>
      </c>
      <c r="J63" s="35">
        <f>Price!J63/'Price D Coupon'!J$5</f>
        <v>5.8804580628571426</v>
      </c>
      <c r="K63" s="35">
        <f>Price!K63/'Price D Coupon'!K$5</f>
        <v>6.0153786971428573</v>
      </c>
      <c r="L63" s="35">
        <f>Price!L63/'Price D Coupon'!L$5</f>
        <v>6.3249025085714283</v>
      </c>
      <c r="M63" s="35">
        <f>Price!M63/'Price D Coupon'!M$5</f>
        <v>5.2274305549999998</v>
      </c>
      <c r="N63" s="35">
        <f>Price!N63/'Price D Coupon'!N$5</f>
        <v>5.1454008049999995</v>
      </c>
      <c r="O63" s="35">
        <f>Price!O63/'Price D Coupon'!O$5</f>
        <v>5.5742202499999998</v>
      </c>
      <c r="P63" s="35">
        <f>Price!P63/'Price D Coupon'!P$5</f>
        <v>5.534289695</v>
      </c>
      <c r="Q63" s="35">
        <f>Price!Q63/'Price D Coupon'!Q$5</f>
        <v>6.6527777774999999</v>
      </c>
      <c r="R63" s="35">
        <f>Price!R63/'Price D Coupon'!R$5</f>
        <v>4.9548624444444442</v>
      </c>
      <c r="S63" s="35">
        <f>Price!S63/'Price D Coupon'!S$5</f>
        <v>4.9193686177777778</v>
      </c>
      <c r="T63" s="35">
        <f>Price!T63/'Price D Coupon'!T$5</f>
        <v>5.9135802466666663</v>
      </c>
      <c r="U63" s="35">
        <f>Price!U63/'Price D Coupon'!U$5</f>
        <v>4.4274317559999998</v>
      </c>
      <c r="V63" s="35">
        <f>Price!V63/'Price D Coupon'!V$5</f>
        <v>5.3222222219999997</v>
      </c>
      <c r="W63" s="35">
        <f>Price!W63/'Price D Coupon'!W$5</f>
        <v>4.8383838381818185</v>
      </c>
      <c r="X63" s="35">
        <f>Price!X63/'Price D Coupon'!X$5</f>
        <v>4.4351851849999999</v>
      </c>
      <c r="Y63" s="35">
        <f>Price!Y63/'Price D Coupon'!Y$5</f>
        <v>4.094017093846154</v>
      </c>
      <c r="Z63" s="43"/>
      <c r="AA63" s="44"/>
      <c r="AB63" s="45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48">
        <v>0.12976280537943766</v>
      </c>
      <c r="AK63" s="48">
        <v>0.11786500448490561</v>
      </c>
      <c r="AL63" s="48">
        <v>6.5868953400053915E-2</v>
      </c>
      <c r="AM63" s="48">
        <v>8.6467604157867639E-2</v>
      </c>
      <c r="AN63" s="48">
        <v>0.13940283420452973</v>
      </c>
      <c r="AO63" s="48">
        <v>9.2574447007325051E-3</v>
      </c>
      <c r="AP63" s="48">
        <v>0.10436447850937196</v>
      </c>
      <c r="AQ63" s="48">
        <v>7.2162830137845108E-2</v>
      </c>
      <c r="AR63" s="48">
        <v>3.5025928852884629E-2</v>
      </c>
      <c r="AS63" s="48">
        <v>3.9928897269815369E-2</v>
      </c>
      <c r="AT63" s="48">
        <v>2.6964805411048471E-2</v>
      </c>
      <c r="AU63" s="48">
        <v>3.6002209764703842E-2</v>
      </c>
      <c r="AV63" s="48">
        <v>3.3433780710737451E-2</v>
      </c>
      <c r="AW63" s="48">
        <v>5.2489573270049154E-2</v>
      </c>
      <c r="AX63" s="48">
        <v>1.7738764753999839E-2</v>
      </c>
      <c r="AY63" s="48">
        <v>1.472951524237672E-2</v>
      </c>
      <c r="AZ63" s="48">
        <v>7.2623839509322443E-3</v>
      </c>
      <c r="BA63" s="48">
        <v>4.2107499460495058E-3</v>
      </c>
      <c r="BB63" s="48">
        <v>7.0614358526587253E-3</v>
      </c>
      <c r="BC63" s="48">
        <f t="shared" si="7"/>
        <v>1</v>
      </c>
    </row>
    <row r="64" spans="6:58" x14ac:dyDescent="0.2">
      <c r="F64" s="32">
        <v>42338</v>
      </c>
      <c r="G64" s="35">
        <f>Price!G64/'Price D Coupon'!G$5</f>
        <v>7.1484973700000003</v>
      </c>
      <c r="H64" s="35">
        <f>Price!H64/'Price D Coupon'!H$5</f>
        <v>7.2490740733333334</v>
      </c>
      <c r="I64" s="35">
        <f>Price!I64/'Price D Coupon'!I$5</f>
        <v>6.229960317142857</v>
      </c>
      <c r="J64" s="35">
        <f>Price!J64/'Price D Coupon'!J$5</f>
        <v>6.1272834600000001</v>
      </c>
      <c r="K64" s="35">
        <f>Price!K64/'Price D Coupon'!K$5</f>
        <v>6.2134920628571431</v>
      </c>
      <c r="L64" s="35">
        <f>Price!L64/'Price D Coupon'!L$5</f>
        <v>6.5128968257142859</v>
      </c>
      <c r="M64" s="35">
        <f>Price!M64/'Price D Coupon'!M$5</f>
        <v>5.4512152775000002</v>
      </c>
      <c r="N64" s="35">
        <f>Price!N64/'Price D Coupon'!N$5</f>
        <v>5.3613730275</v>
      </c>
      <c r="O64" s="35">
        <f>Price!O64/'Price D Coupon'!O$5</f>
        <v>5.7468750000000002</v>
      </c>
      <c r="P64" s="35">
        <f>Price!P64/'Price D Coupon'!P$5</f>
        <v>5.6987847225000001</v>
      </c>
      <c r="Q64" s="35">
        <f>Price!Q64/'Price D Coupon'!Q$5</f>
        <v>6.7146716399999997</v>
      </c>
      <c r="R64" s="35">
        <f>Price!R64/'Price D Coupon'!R$5</f>
        <v>5.1083333333333334</v>
      </c>
      <c r="S64" s="35">
        <f>Price!S64/'Price D Coupon'!S$5</f>
        <v>5.0655864199999998</v>
      </c>
      <c r="T64" s="35">
        <f>Price!T64/'Price D Coupon'!T$5</f>
        <v>5.9685970133333335</v>
      </c>
      <c r="U64" s="35">
        <f>Price!U64/'Price D Coupon'!U$5</f>
        <v>4.5590277779999999</v>
      </c>
      <c r="V64" s="35">
        <f>Price!V64/'Price D Coupon'!V$5</f>
        <v>5.3717373119999996</v>
      </c>
      <c r="W64" s="35">
        <f>Price!W64/'Price D Coupon'!W$5</f>
        <v>4.8833975563636365</v>
      </c>
      <c r="X64" s="35">
        <f>Price!X64/'Price D Coupon'!X$5</f>
        <v>4.4764477600000001</v>
      </c>
      <c r="Y64" s="35">
        <f>Price!Y64/'Price D Coupon'!Y$5</f>
        <v>4.1321056246153844</v>
      </c>
      <c r="Z64" s="43"/>
      <c r="AA64" s="44"/>
      <c r="AB64" s="45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48">
        <v>0.13</v>
      </c>
      <c r="AK64" s="48">
        <v>0.12</v>
      </c>
      <c r="AL64" s="48">
        <v>7.0000000000000007E-2</v>
      </c>
      <c r="AM64" s="48">
        <v>0.09</v>
      </c>
      <c r="AN64" s="48">
        <v>0.14000000000000001</v>
      </c>
      <c r="AO64" s="48">
        <v>0.01</v>
      </c>
      <c r="AP64" s="48">
        <v>0.1</v>
      </c>
      <c r="AQ64" s="48">
        <v>7.0000000000000007E-2</v>
      </c>
      <c r="AR64" s="48">
        <v>0.03</v>
      </c>
      <c r="AS64" s="48">
        <v>0.04</v>
      </c>
      <c r="AT64" s="48">
        <v>0.03</v>
      </c>
      <c r="AU64" s="48">
        <v>0.04</v>
      </c>
      <c r="AV64" s="48">
        <v>0.03</v>
      </c>
      <c r="AW64" s="48">
        <v>0.05</v>
      </c>
      <c r="AX64" s="48">
        <v>0.02</v>
      </c>
      <c r="AY64" s="48">
        <v>0.01</v>
      </c>
      <c r="AZ64" s="48">
        <v>0.01</v>
      </c>
      <c r="BA64" s="48">
        <v>4.2107499460495058E-3</v>
      </c>
      <c r="BB64" s="48">
        <v>0.01</v>
      </c>
      <c r="BC64" s="48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7.2637751466666662</v>
      </c>
      <c r="H65" s="35">
        <f>Price!H65/'Price D Coupon'!H$5</f>
        <v>7.3473399633333329</v>
      </c>
      <c r="I65" s="35">
        <f>Price!I65/'Price D Coupon'!I$5</f>
        <v>6.3243072685714283</v>
      </c>
      <c r="J65" s="35">
        <f>Price!J65/'Price D Coupon'!J$5</f>
        <v>6.2260929828571419</v>
      </c>
      <c r="K65" s="35">
        <f>Price!K65/'Price D Coupon'!K$5</f>
        <v>6.2977199685714282</v>
      </c>
      <c r="L65" s="35">
        <f>Price!L65/'Price D Coupon'!L$5</f>
        <v>6.6319444457142849</v>
      </c>
      <c r="M65" s="35">
        <f>Price!M65/'Price D Coupon'!M$5</f>
        <v>5.5337688599999995</v>
      </c>
      <c r="N65" s="35">
        <f>Price!N65/'Price D Coupon'!N$5</f>
        <v>5.4478313599999995</v>
      </c>
      <c r="O65" s="35">
        <f>Price!O65/'Price D Coupon'!O$5</f>
        <v>5.8304702499999994</v>
      </c>
      <c r="P65" s="35">
        <f>Price!P65/'Price D Coupon'!P$5</f>
        <v>5.8029513899999996</v>
      </c>
      <c r="Q65" s="35">
        <f>Price!Q65/'Price D Coupon'!Q$5</f>
        <v>6.7789930549999999</v>
      </c>
      <c r="R65" s="35">
        <f>Price!R65/'Price D Coupon'!R$5</f>
        <v>5.1826402222222221</v>
      </c>
      <c r="S65" s="35">
        <f>Price!S65/'Price D Coupon'!S$5</f>
        <v>5.1581790133333332</v>
      </c>
      <c r="T65" s="35">
        <f>Price!T65/'Price D Coupon'!T$5</f>
        <v>6.0257716044444445</v>
      </c>
      <c r="U65" s="35">
        <f>Price!U65/'Price D Coupon'!U$5</f>
        <v>4.6423611119999997</v>
      </c>
      <c r="V65" s="35">
        <f>Price!V65/'Price D Coupon'!V$5</f>
        <v>5.4231944439999999</v>
      </c>
      <c r="W65" s="35">
        <f>Price!W65/'Price D Coupon'!W$5</f>
        <v>4.9301767672727275</v>
      </c>
      <c r="X65" s="35">
        <f>Price!X65/'Price D Coupon'!X$5</f>
        <v>4.5193287033333336</v>
      </c>
      <c r="Y65" s="35">
        <f>Price!Y65/'Price D Coupon'!Y$5</f>
        <v>4.1716880338461539</v>
      </c>
      <c r="Z65" s="43"/>
      <c r="AA65" s="44"/>
      <c r="AB65" s="45"/>
      <c r="AC65" s="31">
        <v>25.0802656836842</v>
      </c>
      <c r="AE65" s="32">
        <f t="shared" ref="AE65" si="9">F65</f>
        <v>42369</v>
      </c>
      <c r="AF65" s="33"/>
      <c r="AI65" s="4">
        <f t="shared" si="1"/>
        <v>42369</v>
      </c>
      <c r="AJ65" s="48">
        <v>0.13</v>
      </c>
      <c r="AK65" s="48">
        <v>0.12</v>
      </c>
      <c r="AL65" s="48">
        <v>7.0000000000000007E-2</v>
      </c>
      <c r="AM65" s="48">
        <v>0.09</v>
      </c>
      <c r="AN65" s="48">
        <v>0.14000000000000001</v>
      </c>
      <c r="AO65" s="48">
        <v>0.01</v>
      </c>
      <c r="AP65" s="48">
        <v>0.1</v>
      </c>
      <c r="AQ65" s="48">
        <v>7.0000000000000007E-2</v>
      </c>
      <c r="AR65" s="48">
        <v>0.03</v>
      </c>
      <c r="AS65" s="48">
        <v>0.04</v>
      </c>
      <c r="AT65" s="48">
        <v>0.03</v>
      </c>
      <c r="AU65" s="48">
        <v>0.04</v>
      </c>
      <c r="AV65" s="48">
        <v>0.03</v>
      </c>
      <c r="AW65" s="48">
        <v>0.05</v>
      </c>
      <c r="AX65" s="48">
        <v>0.02</v>
      </c>
      <c r="AY65" s="48">
        <v>0.01</v>
      </c>
      <c r="AZ65" s="48">
        <v>0.01</v>
      </c>
      <c r="BA65" s="48">
        <v>4.2107499460495058E-3</v>
      </c>
      <c r="BB65" s="48">
        <v>0.01</v>
      </c>
      <c r="BC65" s="48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6.32037037</v>
      </c>
      <c r="H66" s="35">
        <f>Price!H66/'Price D Coupon'!H$5</f>
        <v>6.6449074066666673</v>
      </c>
      <c r="I66" s="35">
        <f>Price!I66/'Price D Coupon'!I$5</f>
        <v>5.4531746028571435</v>
      </c>
      <c r="J66" s="35">
        <f>Price!J66/'Price D Coupon'!J$5</f>
        <v>5.417460317142857</v>
      </c>
      <c r="K66" s="35">
        <f>Price!K66/'Price D Coupon'!K$5</f>
        <v>5.6956349200000007</v>
      </c>
      <c r="L66" s="35">
        <f>Price!L66/'Price D Coupon'!L$5</f>
        <v>6.0664682542857147</v>
      </c>
      <c r="M66" s="35">
        <f>Price!M66/'Price D Coupon'!M$5</f>
        <v>4.7715277775000002</v>
      </c>
      <c r="N66" s="35">
        <f>Price!N66/'Price D Coupon'!N$5</f>
        <v>4.7402777775000002</v>
      </c>
      <c r="O66" s="35">
        <f>Price!O66/'Price D Coupon'!O$5</f>
        <v>5.2742202499999999</v>
      </c>
      <c r="P66" s="35">
        <f>Price!P66/'Price D Coupon'!P$5</f>
        <v>5.3081597225000001</v>
      </c>
      <c r="Q66" s="35">
        <f>Price!Q66/'Price D Coupon'!Q$5</f>
        <v>6.61701389</v>
      </c>
      <c r="R66" s="35">
        <f>Price!R66/'Price D Coupon'!R$5</f>
        <v>4.6881957777777776</v>
      </c>
      <c r="S66" s="35">
        <f>Price!S66/'Price D Coupon'!S$5</f>
        <v>4.7183641977777775</v>
      </c>
      <c r="T66" s="35">
        <f>Price!T66/'Price D Coupon'!T$5</f>
        <v>5.8817901244444446</v>
      </c>
      <c r="U66" s="35">
        <f>Price!U66/'Price D Coupon'!U$5</f>
        <v>4.2465277779999999</v>
      </c>
      <c r="V66" s="35">
        <f>Price!V66/'Price D Coupon'!V$5</f>
        <v>5.2936111119999998</v>
      </c>
      <c r="W66" s="35">
        <f>Price!W66/'Price D Coupon'!W$5</f>
        <v>4.8123737381818179</v>
      </c>
      <c r="X66" s="35">
        <f>Price!X66/'Price D Coupon'!X$5</f>
        <v>4.411342593333333</v>
      </c>
      <c r="Y66" s="35">
        <f>Price!Y66/'Price D Coupon'!Y$5</f>
        <v>4.0720085476923078</v>
      </c>
      <c r="Z66" s="43"/>
      <c r="AA66" s="44"/>
      <c r="AB66" s="45"/>
      <c r="AC66" s="31">
        <v>25.0802656836842</v>
      </c>
      <c r="AE66" s="32">
        <f t="shared" ref="AE66" si="10">F66</f>
        <v>42398</v>
      </c>
      <c r="AF66" s="33"/>
      <c r="AI66" s="4">
        <f t="shared" si="1"/>
        <v>42398</v>
      </c>
      <c r="AJ66" s="48">
        <v>0.13</v>
      </c>
      <c r="AK66" s="48">
        <v>0.12</v>
      </c>
      <c r="AL66" s="48">
        <v>7.0000000000000007E-2</v>
      </c>
      <c r="AM66" s="48">
        <v>0.09</v>
      </c>
      <c r="AN66" s="48">
        <v>0.14000000000000001</v>
      </c>
      <c r="AO66" s="48">
        <v>0.01</v>
      </c>
      <c r="AP66" s="48">
        <v>0.1</v>
      </c>
      <c r="AQ66" s="48">
        <v>7.0000000000000007E-2</v>
      </c>
      <c r="AR66" s="48">
        <v>0.03</v>
      </c>
      <c r="AS66" s="48">
        <v>0.04</v>
      </c>
      <c r="AT66" s="48">
        <v>0.03</v>
      </c>
      <c r="AU66" s="48">
        <v>0.04</v>
      </c>
      <c r="AV66" s="48">
        <v>0.03</v>
      </c>
      <c r="AW66" s="48">
        <v>0.05</v>
      </c>
      <c r="AX66" s="48">
        <v>0.02</v>
      </c>
      <c r="AY66" s="48">
        <v>0.01</v>
      </c>
      <c r="AZ66" s="48">
        <v>0.01</v>
      </c>
      <c r="BA66" s="48">
        <v>4.2107499460495058E-3</v>
      </c>
      <c r="BB66" s="48">
        <v>0.01</v>
      </c>
      <c r="BC66" s="48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5.8776640366666664</v>
      </c>
      <c r="H67" s="35">
        <f>Price!H67/'Price D Coupon'!H$5</f>
        <v>6.2594907400000004</v>
      </c>
      <c r="I67" s="35">
        <f>Price!I67/'Price D Coupon'!I$5</f>
        <v>5.055854888571429</v>
      </c>
      <c r="J67" s="35">
        <f>Price!J67/'Price D Coupon'!J$5</f>
        <v>5.0379977457142857</v>
      </c>
      <c r="K67" s="35">
        <f>Price!K67/'Price D Coupon'!K$5</f>
        <v>5.3652777771428575</v>
      </c>
      <c r="L67" s="35">
        <f>Price!L67/'Price D Coupon'!L$5</f>
        <v>5.8745056828571425</v>
      </c>
      <c r="M67" s="35">
        <f>Price!M67/'Price D Coupon'!M$5</f>
        <v>4.4238730275</v>
      </c>
      <c r="N67" s="35">
        <f>Price!N67/'Price D Coupon'!N$5</f>
        <v>4.4082480275</v>
      </c>
      <c r="O67" s="35">
        <f>Price!O67/'Price D Coupon'!O$5</f>
        <v>5.0515625000000002</v>
      </c>
      <c r="P67" s="35">
        <f>Price!P67/'Price D Coupon'!P$5</f>
        <v>5.1401924724999999</v>
      </c>
      <c r="Q67" s="35">
        <f>Price!Q67/'Price D Coupon'!Q$5</f>
        <v>6.67951389</v>
      </c>
      <c r="R67" s="35">
        <f>Price!R67/'Price D Coupon'!R$5</f>
        <v>4.490277777777778</v>
      </c>
      <c r="S67" s="35">
        <f>Price!S67/'Price D Coupon'!S$5</f>
        <v>4.5690599755555557</v>
      </c>
      <c r="T67" s="35">
        <f>Price!T67/'Price D Coupon'!T$5</f>
        <v>5.93734568</v>
      </c>
      <c r="U67" s="35">
        <f>Price!U67/'Price D Coupon'!U$5</f>
        <v>4.1121539780000003</v>
      </c>
      <c r="V67" s="35">
        <f>Price!V67/'Price D Coupon'!V$5</f>
        <v>5.3436111119999996</v>
      </c>
      <c r="W67" s="35">
        <f>Price!W67/'Price D Coupon'!W$5</f>
        <v>4.8578282836363638</v>
      </c>
      <c r="X67" s="35">
        <f>Price!X67/'Price D Coupon'!X$5</f>
        <v>4.45300926</v>
      </c>
      <c r="Y67" s="35">
        <f>Price!Y67/'Price D Coupon'!Y$5</f>
        <v>4.1104700861538461</v>
      </c>
      <c r="Z67" s="43"/>
      <c r="AA67" s="44"/>
      <c r="AB67" s="45"/>
      <c r="AC67" s="31">
        <v>25.0802656836842</v>
      </c>
      <c r="AE67" s="32">
        <f t="shared" ref="AE67" si="11">F67</f>
        <v>42429</v>
      </c>
      <c r="AF67" s="33"/>
      <c r="AI67" s="4">
        <f t="shared" si="1"/>
        <v>42429</v>
      </c>
      <c r="AJ67" s="48">
        <v>0.13</v>
      </c>
      <c r="AK67" s="48">
        <v>0.12</v>
      </c>
      <c r="AL67" s="48">
        <v>7.0000000000000007E-2</v>
      </c>
      <c r="AM67" s="48">
        <v>0.09</v>
      </c>
      <c r="AN67" s="48">
        <v>0.14000000000000001</v>
      </c>
      <c r="AO67" s="48">
        <v>0.01</v>
      </c>
      <c r="AP67" s="48">
        <v>0.1</v>
      </c>
      <c r="AQ67" s="48">
        <v>7.0000000000000007E-2</v>
      </c>
      <c r="AR67" s="48">
        <v>0.03</v>
      </c>
      <c r="AS67" s="48">
        <v>0.04</v>
      </c>
      <c r="AT67" s="48">
        <v>0.03</v>
      </c>
      <c r="AU67" s="48">
        <v>0.04</v>
      </c>
      <c r="AV67" s="48">
        <v>0.03</v>
      </c>
      <c r="AW67" s="48">
        <v>0.05</v>
      </c>
      <c r="AX67" s="48">
        <v>0.02</v>
      </c>
      <c r="AY67" s="48">
        <v>0.01</v>
      </c>
      <c r="AZ67" s="48">
        <v>0.01</v>
      </c>
      <c r="BA67" s="48">
        <v>4.2107499460495058E-3</v>
      </c>
      <c r="BB67" s="48">
        <v>0.01</v>
      </c>
      <c r="BC67" s="48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6.0026640366666664</v>
      </c>
      <c r="H68" s="35">
        <f>Price!H68/'Price D Coupon'!H$5</f>
        <v>6.3324074066666673</v>
      </c>
      <c r="I68" s="35">
        <f>Price!I68/'Price D Coupon'!I$5</f>
        <v>5.1317460314285714</v>
      </c>
      <c r="J68" s="35">
        <f>Price!J68/'Price D Coupon'!J$5</f>
        <v>5.1451406028571425</v>
      </c>
      <c r="K68" s="35">
        <f>Price!K68/'Price D Coupon'!K$5</f>
        <v>5.4277777771428575</v>
      </c>
      <c r="L68" s="35">
        <f>Price!L68/'Price D Coupon'!L$5</f>
        <v>5.8789682542857147</v>
      </c>
      <c r="M68" s="35">
        <f>Price!M68/'Price D Coupon'!M$5</f>
        <v>4.4902777775000002</v>
      </c>
      <c r="N68" s="35">
        <f>Price!N68/'Price D Coupon'!N$5</f>
        <v>4.5019980275</v>
      </c>
      <c r="O68" s="35">
        <f>Price!O68/'Price D Coupon'!O$5</f>
        <v>5.1179702499999999</v>
      </c>
      <c r="P68" s="35">
        <f>Price!P68/'Price D Coupon'!P$5</f>
        <v>5.1440972225000001</v>
      </c>
      <c r="Q68" s="35">
        <f>Price!Q68/'Price D Coupon'!Q$5</f>
        <v>6.8162341399999997</v>
      </c>
      <c r="R68" s="35">
        <f>Price!R68/'Price D Coupon'!R$5</f>
        <v>4.5493068888888892</v>
      </c>
      <c r="S68" s="35">
        <f>Price!S68/'Price D Coupon'!S$5</f>
        <v>4.5725308644444445</v>
      </c>
      <c r="T68" s="35">
        <f>Price!T68/'Price D Coupon'!T$5</f>
        <v>6.0588747911111112</v>
      </c>
      <c r="U68" s="35">
        <f>Price!U68/'Price D Coupon'!U$5</f>
        <v>4.1152777780000003</v>
      </c>
      <c r="V68" s="35">
        <f>Price!V68/'Price D Coupon'!V$5</f>
        <v>5.4529873119999994</v>
      </c>
      <c r="W68" s="35">
        <f>Price!W68/'Price D Coupon'!W$5</f>
        <v>4.9572611927272723</v>
      </c>
      <c r="X68" s="35">
        <f>Price!X68/'Price D Coupon'!X$5</f>
        <v>4.5441560933333331</v>
      </c>
      <c r="Y68" s="35">
        <f>Price!Y68/'Price D Coupon'!Y$5</f>
        <v>4.1946056246153844</v>
      </c>
      <c r="Z68" s="43"/>
      <c r="AA68" s="44"/>
      <c r="AB68" s="45"/>
      <c r="AC68" s="31">
        <v>25.0802656836842</v>
      </c>
      <c r="AE68" s="32">
        <f t="shared" ref="AE68" si="12">F68</f>
        <v>42460</v>
      </c>
      <c r="AF68" s="33"/>
      <c r="AI68" s="4">
        <f t="shared" si="1"/>
        <v>42460</v>
      </c>
      <c r="AJ68" s="48">
        <v>0.13</v>
      </c>
      <c r="AK68" s="48">
        <v>0.12</v>
      </c>
      <c r="AL68" s="48">
        <v>7.0000000000000007E-2</v>
      </c>
      <c r="AM68" s="48">
        <v>0.09</v>
      </c>
      <c r="AN68" s="48">
        <v>0.14000000000000001</v>
      </c>
      <c r="AO68" s="48">
        <v>0.01</v>
      </c>
      <c r="AP68" s="48">
        <v>0.1</v>
      </c>
      <c r="AQ68" s="48">
        <v>7.0000000000000007E-2</v>
      </c>
      <c r="AR68" s="48">
        <v>0.03</v>
      </c>
      <c r="AS68" s="48">
        <v>0.04</v>
      </c>
      <c r="AT68" s="48">
        <v>0.03</v>
      </c>
      <c r="AU68" s="48">
        <v>0.04</v>
      </c>
      <c r="AV68" s="48">
        <v>0.03</v>
      </c>
      <c r="AW68" s="48">
        <v>0.05</v>
      </c>
      <c r="AX68" s="48">
        <v>0.02</v>
      </c>
      <c r="AY68" s="48">
        <v>0.01</v>
      </c>
      <c r="AZ68" s="48">
        <v>0.01</v>
      </c>
      <c r="BA68" s="48">
        <v>4.2107499460495058E-3</v>
      </c>
      <c r="BB68" s="48">
        <v>0.01</v>
      </c>
      <c r="BC68" s="48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6.0949074066666666</v>
      </c>
      <c r="H69" s="35">
        <f>Price!H69/'Price D Coupon'!H$5</f>
        <v>6.3460648133333342</v>
      </c>
      <c r="I69" s="35">
        <f>Price!I69/'Price D Coupon'!I$5</f>
        <v>5.1884920628571427</v>
      </c>
      <c r="J69" s="35">
        <f>Price!J69/'Price D Coupon'!J$5</f>
        <v>5.2242063485714283</v>
      </c>
      <c r="K69" s="35">
        <f>Price!K69/'Price D Coupon'!K$5</f>
        <v>5.4394841257142863</v>
      </c>
      <c r="L69" s="35">
        <f>Price!L69/'Price D Coupon'!L$5</f>
        <v>5.8918650800000005</v>
      </c>
      <c r="M69" s="35">
        <f>Price!M69/'Price D Coupon'!M$5</f>
        <v>4.5399305549999998</v>
      </c>
      <c r="N69" s="35">
        <f>Price!N69/'Price D Coupon'!N$5</f>
        <v>4.5711805549999998</v>
      </c>
      <c r="O69" s="35">
        <f>Price!O69/'Price D Coupon'!O$5</f>
        <v>5.1875</v>
      </c>
      <c r="P69" s="35">
        <f>Price!P69/'Price D Coupon'!P$5</f>
        <v>5.1553819450000002</v>
      </c>
      <c r="Q69" s="35">
        <f>Price!Q69/'Price D Coupon'!Q$5</f>
        <v>6.9535605274999996</v>
      </c>
      <c r="R69" s="35">
        <f>Price!R69/'Price D Coupon'!R$5</f>
        <v>4.6111111111111107</v>
      </c>
      <c r="S69" s="35">
        <f>Price!S69/'Price D Coupon'!S$5</f>
        <v>4.5825617288888889</v>
      </c>
      <c r="T69" s="35">
        <f>Price!T69/'Price D Coupon'!T$5</f>
        <v>6.1809426911111105</v>
      </c>
      <c r="U69" s="35">
        <f>Price!U69/'Price D Coupon'!U$5</f>
        <v>4.1243055560000004</v>
      </c>
      <c r="V69" s="35">
        <f>Price!V69/'Price D Coupon'!V$5</f>
        <v>5.5628484220000001</v>
      </c>
      <c r="W69" s="35">
        <f>Price!W69/'Price D Coupon'!W$5</f>
        <v>5.0571349290909087</v>
      </c>
      <c r="X69" s="35">
        <f>Price!X69/'Price D Coupon'!X$5</f>
        <v>4.6357070183333331</v>
      </c>
      <c r="Y69" s="35">
        <f>Price!Y69/'Price D Coupon'!Y$5</f>
        <v>4.2791141707692306</v>
      </c>
      <c r="Z69" s="43"/>
      <c r="AA69" s="44"/>
      <c r="AB69" s="45"/>
      <c r="AC69" s="31">
        <v>25.0802656836842</v>
      </c>
      <c r="AE69" s="32">
        <f t="shared" ref="AE69" si="14">F69</f>
        <v>42489</v>
      </c>
      <c r="AF69" s="33"/>
      <c r="AI69" s="4">
        <f t="shared" si="1"/>
        <v>42489</v>
      </c>
      <c r="AJ69" s="48">
        <v>0.13</v>
      </c>
      <c r="AK69" s="48">
        <v>0.12</v>
      </c>
      <c r="AL69" s="48">
        <v>7.0000000000000007E-2</v>
      </c>
      <c r="AM69" s="48">
        <v>0.09</v>
      </c>
      <c r="AN69" s="48">
        <v>0.14000000000000001</v>
      </c>
      <c r="AO69" s="48">
        <v>0.01</v>
      </c>
      <c r="AP69" s="48">
        <v>0.1</v>
      </c>
      <c r="AQ69" s="48">
        <v>7.0000000000000007E-2</v>
      </c>
      <c r="AR69" s="48">
        <v>0.03</v>
      </c>
      <c r="AS69" s="48">
        <v>0.04</v>
      </c>
      <c r="AT69" s="48">
        <v>0.03</v>
      </c>
      <c r="AU69" s="48">
        <v>0.04</v>
      </c>
      <c r="AV69" s="48">
        <v>0.03</v>
      </c>
      <c r="AW69" s="48">
        <v>0.05</v>
      </c>
      <c r="AX69" s="48">
        <v>0.02</v>
      </c>
      <c r="AY69" s="48">
        <v>0.01</v>
      </c>
      <c r="AZ69" s="48">
        <v>0.01</v>
      </c>
      <c r="BA69" s="48">
        <v>4.2107499460495058E-3</v>
      </c>
      <c r="BB69" s="48">
        <v>0.01</v>
      </c>
      <c r="BC69" s="48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6.1797473700000003</v>
      </c>
      <c r="H70" s="35">
        <f>Price!H70/'Price D Coupon'!H$5</f>
        <v>6.3636574066666673</v>
      </c>
      <c r="I70" s="35">
        <f>Price!I70/'Price D Coupon'!I$5</f>
        <v>5.243354888571429</v>
      </c>
      <c r="J70" s="35">
        <f>Price!J70/'Price D Coupon'!J$5</f>
        <v>5.2969263171428569</v>
      </c>
      <c r="K70" s="35">
        <f>Price!K70/'Price D Coupon'!K$5</f>
        <v>5.4545634914285719</v>
      </c>
      <c r="L70" s="35">
        <f>Price!L70/'Price D Coupon'!L$5</f>
        <v>5.9370056828571425</v>
      </c>
      <c r="M70" s="35">
        <f>Price!M70/'Price D Coupon'!M$5</f>
        <v>4.5879355275</v>
      </c>
      <c r="N70" s="35">
        <f>Price!N70/'Price D Coupon'!N$5</f>
        <v>4.6348105275</v>
      </c>
      <c r="O70" s="35">
        <f>Price!O70/'Price D Coupon'!O$5</f>
        <v>5.2273452499999999</v>
      </c>
      <c r="P70" s="35">
        <f>Price!P70/'Price D Coupon'!P$5</f>
        <v>5.1948799724999999</v>
      </c>
      <c r="Q70" s="35">
        <f>Price!Q70/'Price D Coupon'!Q$5</f>
        <v>7.07795139</v>
      </c>
      <c r="R70" s="35">
        <f>Price!R70/'Price D Coupon'!R$5</f>
        <v>4.6465291111111107</v>
      </c>
      <c r="S70" s="35">
        <f>Price!S70/'Price D Coupon'!S$5</f>
        <v>4.6176710866666664</v>
      </c>
      <c r="T70" s="35">
        <f>Price!T70/'Price D Coupon'!T$5</f>
        <v>6.2915123466666669</v>
      </c>
      <c r="U70" s="35">
        <f>Price!U70/'Price D Coupon'!U$5</f>
        <v>4.1559039779999996</v>
      </c>
      <c r="V70" s="35">
        <f>Price!V70/'Price D Coupon'!V$5</f>
        <v>5.6623611120000001</v>
      </c>
      <c r="W70" s="35">
        <f>Price!W70/'Price D Coupon'!W$5</f>
        <v>5.1476010109090913</v>
      </c>
      <c r="X70" s="35">
        <f>Price!X70/'Price D Coupon'!X$5</f>
        <v>4.71863426</v>
      </c>
      <c r="Y70" s="35">
        <f>Price!Y70/'Price D Coupon'!Y$5</f>
        <v>4.3556623938461536</v>
      </c>
      <c r="Z70" s="43"/>
      <c r="AA70" s="44"/>
      <c r="AB70" s="45"/>
      <c r="AC70" s="31">
        <v>25.0802656836842</v>
      </c>
      <c r="AE70" s="32">
        <f t="shared" ref="AE70" si="16">F70</f>
        <v>42521</v>
      </c>
      <c r="AF70" s="33"/>
      <c r="AI70" s="4">
        <f t="shared" si="1"/>
        <v>42521</v>
      </c>
      <c r="AJ70" s="48">
        <v>0.13</v>
      </c>
      <c r="AK70" s="48">
        <v>0.12</v>
      </c>
      <c r="AL70" s="48">
        <v>7.0000000000000007E-2</v>
      </c>
      <c r="AM70" s="48">
        <v>0.09</v>
      </c>
      <c r="AN70" s="48">
        <v>0.14000000000000001</v>
      </c>
      <c r="AO70" s="48">
        <v>0.01</v>
      </c>
      <c r="AP70" s="48">
        <v>0.1</v>
      </c>
      <c r="AQ70" s="48">
        <v>7.0000000000000007E-2</v>
      </c>
      <c r="AR70" s="48">
        <v>0.03</v>
      </c>
      <c r="AS70" s="48">
        <v>0.04</v>
      </c>
      <c r="AT70" s="48">
        <v>0.03</v>
      </c>
      <c r="AU70" s="48">
        <v>0.04</v>
      </c>
      <c r="AV70" s="48">
        <v>0.03</v>
      </c>
      <c r="AW70" s="48">
        <v>0.05</v>
      </c>
      <c r="AX70" s="48">
        <v>0.02</v>
      </c>
      <c r="AY70" s="48">
        <v>0.01</v>
      </c>
      <c r="AZ70" s="48">
        <v>0.01</v>
      </c>
      <c r="BA70" s="48">
        <v>4.2107499460495058E-3</v>
      </c>
      <c r="BB70" s="48">
        <v>0.01</v>
      </c>
      <c r="BC70" s="48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5.455787036666667</v>
      </c>
      <c r="H71" s="35">
        <f>Price!H71/'Price D Coupon'!H$5</f>
        <v>5.6344907400000004</v>
      </c>
      <c r="I71" s="35">
        <f>Price!I71/'Price D Coupon'!I$5</f>
        <v>4.5737117457142853</v>
      </c>
      <c r="J71" s="35">
        <f>Price!J71/'Price D Coupon'!J$5</f>
        <v>4.6763888885714291</v>
      </c>
      <c r="K71" s="35">
        <f>Price!K71/'Price D Coupon'!K$5</f>
        <v>4.8295634914285719</v>
      </c>
      <c r="L71" s="35">
        <f>Price!L71/'Price D Coupon'!L$5</f>
        <v>5.4503968257142859</v>
      </c>
      <c r="M71" s="35">
        <f>Price!M71/'Price D Coupon'!M$5</f>
        <v>4.0019977774999997</v>
      </c>
      <c r="N71" s="35">
        <f>Price!N71/'Price D Coupon'!N$5</f>
        <v>4.0918402775000002</v>
      </c>
      <c r="O71" s="35">
        <f>Price!O71/'Price D Coupon'!O$5</f>
        <v>4.7273452499999999</v>
      </c>
      <c r="P71" s="35">
        <f>Price!P71/'Price D Coupon'!P$5</f>
        <v>4.7690972225000001</v>
      </c>
      <c r="Q71" s="35">
        <f>Price!Q71/'Price D Coupon'!Q$5</f>
        <v>6.97638889</v>
      </c>
      <c r="R71" s="35">
        <f>Price!R71/'Price D Coupon'!R$5</f>
        <v>4.2020846666666669</v>
      </c>
      <c r="S71" s="35">
        <f>Price!S71/'Price D Coupon'!S$5</f>
        <v>4.2391975311111114</v>
      </c>
      <c r="T71" s="35">
        <f>Price!T71/'Price D Coupon'!T$5</f>
        <v>6.2012345688888892</v>
      </c>
      <c r="U71" s="35">
        <f>Price!U71/'Price D Coupon'!U$5</f>
        <v>3.815277778</v>
      </c>
      <c r="V71" s="35">
        <f>Price!V71/'Price D Coupon'!V$5</f>
        <v>5.5811111120000003</v>
      </c>
      <c r="W71" s="35">
        <f>Price!W71/'Price D Coupon'!W$5</f>
        <v>5.0737373745454546</v>
      </c>
      <c r="X71" s="35">
        <f>Price!X71/'Price D Coupon'!X$5</f>
        <v>4.6509259266666669</v>
      </c>
      <c r="Y71" s="35">
        <f>Price!Y71/'Price D Coupon'!Y$5</f>
        <v>4.2931623938461536</v>
      </c>
      <c r="Z71" s="43"/>
      <c r="AA71" s="44"/>
      <c r="AB71" s="45"/>
      <c r="AC71" s="31">
        <v>25.0802656836842</v>
      </c>
      <c r="AE71" s="32">
        <f t="shared" ref="AE71" si="18">F71</f>
        <v>42551</v>
      </c>
      <c r="AF71" s="33"/>
      <c r="AI71" s="4">
        <f t="shared" si="1"/>
        <v>42551</v>
      </c>
      <c r="AJ71" s="48">
        <v>0.13</v>
      </c>
      <c r="AK71" s="48">
        <v>0.12</v>
      </c>
      <c r="AL71" s="48">
        <v>7.0000000000000007E-2</v>
      </c>
      <c r="AM71" s="48">
        <v>0.09</v>
      </c>
      <c r="AN71" s="48">
        <v>0.14000000000000001</v>
      </c>
      <c r="AO71" s="48">
        <v>0.01</v>
      </c>
      <c r="AP71" s="48">
        <v>0.1</v>
      </c>
      <c r="AQ71" s="48">
        <v>7.0000000000000007E-2</v>
      </c>
      <c r="AR71" s="48">
        <v>0.03</v>
      </c>
      <c r="AS71" s="48">
        <v>0.04</v>
      </c>
      <c r="AT71" s="48">
        <v>0.03</v>
      </c>
      <c r="AU71" s="48">
        <v>0.04</v>
      </c>
      <c r="AV71" s="48">
        <v>0.03</v>
      </c>
      <c r="AW71" s="48">
        <v>0.05</v>
      </c>
      <c r="AX71" s="48">
        <v>0.02</v>
      </c>
      <c r="AY71" s="48">
        <v>0.01</v>
      </c>
      <c r="AZ71" s="48">
        <v>0.01</v>
      </c>
      <c r="BA71" s="48">
        <v>4.2107499460495058E-3</v>
      </c>
      <c r="BB71" s="48">
        <v>0.01</v>
      </c>
      <c r="BC71" s="48">
        <f t="shared" ref="BC71" si="19">SUM(AJ71:BB71)</f>
        <v>1.0042107499460498</v>
      </c>
    </row>
    <row r="72" spans="6:55" x14ac:dyDescent="0.2">
      <c r="F72" s="32">
        <v>42580</v>
      </c>
      <c r="G72" s="35">
        <f>Price!G72/'Price D Coupon'!G$5</f>
        <v>5.2787037033333331</v>
      </c>
      <c r="H72" s="35">
        <f>Price!H72/'Price D Coupon'!H$5</f>
        <v>5.3740740733333334</v>
      </c>
      <c r="I72" s="35">
        <f>Price!I72/'Price D Coupon'!I$5</f>
        <v>4.3996031742857138</v>
      </c>
      <c r="J72" s="35">
        <f>Price!J72/'Price D Coupon'!J$5</f>
        <v>4.5246031742857138</v>
      </c>
      <c r="K72" s="35">
        <f>Price!K72/'Price D Coupon'!K$5</f>
        <v>4.6063492057142863</v>
      </c>
      <c r="L72" s="35">
        <f>Price!L72/'Price D Coupon'!L$5</f>
        <v>5.3566485400000001</v>
      </c>
      <c r="M72" s="35">
        <f>Price!M72/'Price D Coupon'!M$5</f>
        <v>3.8496527774999998</v>
      </c>
      <c r="N72" s="35">
        <f>Price!N72/'Price D Coupon'!N$5</f>
        <v>3.9590277774999998</v>
      </c>
      <c r="O72" s="35">
        <f>Price!O72/'Price D Coupon'!O$5</f>
        <v>4.6023452499999999</v>
      </c>
      <c r="P72" s="35">
        <f>Price!P72/'Price D Coupon'!P$5</f>
        <v>4.6870674724999999</v>
      </c>
      <c r="Q72" s="35">
        <f>Price!Q72/'Price D Coupon'!Q$5</f>
        <v>7.03888889</v>
      </c>
      <c r="R72" s="35">
        <f>Price!R72/'Price D Coupon'!R$5</f>
        <v>4.0909735555555553</v>
      </c>
      <c r="S72" s="35">
        <f>Price!S72/'Price D Coupon'!S$5</f>
        <v>4.166282197777778</v>
      </c>
      <c r="T72" s="35">
        <f>Price!T72/'Price D Coupon'!T$5</f>
        <v>6.2567901244444446</v>
      </c>
      <c r="U72" s="35">
        <f>Price!U72/'Price D Coupon'!U$5</f>
        <v>3.749653978</v>
      </c>
      <c r="V72" s="35">
        <f>Price!V72/'Price D Coupon'!V$5</f>
        <v>5.6311111120000001</v>
      </c>
      <c r="W72" s="35">
        <f>Price!W72/'Price D Coupon'!W$5</f>
        <v>5.1191919199999996</v>
      </c>
      <c r="X72" s="35">
        <f>Price!X72/'Price D Coupon'!X$5</f>
        <v>4.692592593333333</v>
      </c>
      <c r="Y72" s="35">
        <f>Price!Y72/'Price D Coupon'!Y$5</f>
        <v>4.3316239323076919</v>
      </c>
      <c r="Z72" s="43"/>
      <c r="AA72" s="44"/>
      <c r="AB72" s="45"/>
      <c r="AC72" s="31">
        <v>25.0802656836842</v>
      </c>
      <c r="AE72" s="32">
        <f t="shared" ref="AE72" si="20">F72</f>
        <v>42580</v>
      </c>
      <c r="AF72" s="33"/>
      <c r="AI72" s="4">
        <f t="shared" si="1"/>
        <v>42580</v>
      </c>
      <c r="AJ72" s="48">
        <v>0.13</v>
      </c>
      <c r="AK72" s="48">
        <v>0.12</v>
      </c>
      <c r="AL72" s="48">
        <v>7.0000000000000007E-2</v>
      </c>
      <c r="AM72" s="48">
        <v>0.09</v>
      </c>
      <c r="AN72" s="48">
        <v>0.14000000000000001</v>
      </c>
      <c r="AO72" s="48">
        <v>0.01</v>
      </c>
      <c r="AP72" s="48">
        <v>0.1</v>
      </c>
      <c r="AQ72" s="48">
        <v>7.0000000000000007E-2</v>
      </c>
      <c r="AR72" s="48">
        <v>0.03</v>
      </c>
      <c r="AS72" s="48">
        <v>0.04</v>
      </c>
      <c r="AT72" s="48">
        <v>0.03</v>
      </c>
      <c r="AU72" s="48">
        <v>0.04</v>
      </c>
      <c r="AV72" s="48">
        <v>0.03</v>
      </c>
      <c r="AW72" s="48">
        <v>0.05</v>
      </c>
      <c r="AX72" s="48">
        <v>0.02</v>
      </c>
      <c r="AY72" s="48">
        <v>0.01</v>
      </c>
      <c r="AZ72" s="48">
        <v>0.01</v>
      </c>
      <c r="BA72" s="48">
        <v>4.2107499460495058E-3</v>
      </c>
      <c r="BB72" s="48">
        <v>0.01</v>
      </c>
      <c r="BC72" s="48">
        <f t="shared" ref="BC72" si="21">SUM(AJ72:BB72)</f>
        <v>1.0042107499460498</v>
      </c>
    </row>
    <row r="73" spans="6:55" x14ac:dyDescent="0.2">
      <c r="F73" s="32">
        <v>42613</v>
      </c>
      <c r="G73" s="35">
        <f>Price!G73/'Price D Coupon'!G$5</f>
        <v>5.4974537033333339</v>
      </c>
      <c r="H73" s="35">
        <f>Price!H73/'Price D Coupon'!H$5</f>
        <v>5.5667844066666667</v>
      </c>
      <c r="I73" s="35">
        <f>Price!I73/'Price D Coupon'!I$5</f>
        <v>4.5960317457142859</v>
      </c>
      <c r="J73" s="35">
        <f>Price!J73/'Price D Coupon'!J$5</f>
        <v>4.7121031742857147</v>
      </c>
      <c r="K73" s="35">
        <f>Price!K73/'Price D Coupon'!K$5</f>
        <v>4.7715294914285717</v>
      </c>
      <c r="L73" s="35">
        <f>Price!L73/'Price D Coupon'!L$5</f>
        <v>5.5084342542857145</v>
      </c>
      <c r="M73" s="35">
        <f>Price!M73/'Price D Coupon'!M$5</f>
        <v>4.0215277775000002</v>
      </c>
      <c r="N73" s="35">
        <f>Price!N73/'Price D Coupon'!N$5</f>
        <v>4.1230902775000002</v>
      </c>
      <c r="O73" s="35">
        <f>Price!O73/'Price D Coupon'!O$5</f>
        <v>4.7312500000000002</v>
      </c>
      <c r="P73" s="35">
        <f>Price!P73/'Price D Coupon'!P$5</f>
        <v>4.8198799724999999</v>
      </c>
      <c r="Q73" s="35">
        <f>Price!Q73/'Price D Coupon'!Q$5</f>
        <v>7.20295139</v>
      </c>
      <c r="R73" s="35">
        <f>Price!R73/'Price D Coupon'!R$5</f>
        <v>4.2055555555555557</v>
      </c>
      <c r="S73" s="35">
        <f>Price!S73/'Price D Coupon'!S$5</f>
        <v>4.2843377533333333</v>
      </c>
      <c r="T73" s="35">
        <f>Price!T73/'Price D Coupon'!T$5</f>
        <v>6.4026234577777776</v>
      </c>
      <c r="U73" s="35">
        <f>Price!U73/'Price D Coupon'!U$5</f>
        <v>3.8559039779999997</v>
      </c>
      <c r="V73" s="35">
        <f>Price!V73/'Price D Coupon'!V$5</f>
        <v>5.7623611119999998</v>
      </c>
      <c r="W73" s="35">
        <f>Price!W73/'Price D Coupon'!W$5</f>
        <v>5.2385101018181821</v>
      </c>
      <c r="X73" s="35">
        <f>Price!X73/'Price D Coupon'!X$5</f>
        <v>4.801967593333333</v>
      </c>
      <c r="Y73" s="35">
        <f>Price!Y73/'Price D Coupon'!Y$5</f>
        <v>4.4325854707692312</v>
      </c>
      <c r="Z73" s="43"/>
      <c r="AA73" s="44"/>
      <c r="AB73" s="45"/>
      <c r="AC73" s="31">
        <v>25.0802656836842</v>
      </c>
      <c r="AE73" s="32">
        <f t="shared" ref="AE73" si="22">F73</f>
        <v>42613</v>
      </c>
      <c r="AF73" s="33"/>
      <c r="AI73" s="4">
        <f t="shared" ref="AI73" si="23">F73</f>
        <v>42613</v>
      </c>
      <c r="AJ73" s="48">
        <v>0.13</v>
      </c>
      <c r="AK73" s="48">
        <v>0.12</v>
      </c>
      <c r="AL73" s="48">
        <v>7.0000000000000007E-2</v>
      </c>
      <c r="AM73" s="48">
        <v>0.09</v>
      </c>
      <c r="AN73" s="48">
        <v>0.14000000000000001</v>
      </c>
      <c r="AO73" s="48">
        <v>0.01</v>
      </c>
      <c r="AP73" s="48">
        <v>0.1</v>
      </c>
      <c r="AQ73" s="48">
        <v>7.0000000000000007E-2</v>
      </c>
      <c r="AR73" s="48">
        <v>0.03</v>
      </c>
      <c r="AS73" s="48">
        <v>0.04</v>
      </c>
      <c r="AT73" s="48">
        <v>0.03</v>
      </c>
      <c r="AU73" s="48">
        <v>0.04</v>
      </c>
      <c r="AV73" s="48">
        <v>0.03</v>
      </c>
      <c r="AW73" s="48">
        <v>0.05</v>
      </c>
      <c r="AX73" s="48">
        <v>0.02</v>
      </c>
      <c r="AY73" s="48">
        <v>0.01</v>
      </c>
      <c r="AZ73" s="48">
        <v>0.01</v>
      </c>
      <c r="BA73" s="48">
        <v>4.2107499460495058E-3</v>
      </c>
      <c r="BB73" s="48">
        <v>0.01</v>
      </c>
      <c r="BC73" s="48">
        <f t="shared" ref="BC73" si="24">SUM(AJ73:BB73)</f>
        <v>1.0042107499460498</v>
      </c>
    </row>
    <row r="74" spans="6:55" x14ac:dyDescent="0.2">
      <c r="F74" s="32">
        <v>42643</v>
      </c>
      <c r="G74" s="35">
        <f>Price!G74/'Price D Coupon'!G$5</f>
        <v>5.4996547766666666</v>
      </c>
      <c r="H74" s="35">
        <f>Price!H74/'Price D Coupon'!H$5</f>
        <v>5.5576388899999998</v>
      </c>
      <c r="I74" s="35">
        <f>Price!I74/'Price D Coupon'!I$5</f>
        <v>4.5934523800000004</v>
      </c>
      <c r="J74" s="35">
        <f>Price!J74/'Price D Coupon'!J$5</f>
        <v>4.7139898085714282</v>
      </c>
      <c r="K74" s="35">
        <f>Price!K74/'Price D Coupon'!K$5</f>
        <v>4.7636904771428572</v>
      </c>
      <c r="L74" s="35">
        <f>Price!L74/'Price D Coupon'!L$5</f>
        <v>5.5074421914285718</v>
      </c>
      <c r="M74" s="35">
        <f>Price!M74/'Price D Coupon'!M$5</f>
        <v>4.0192708325000002</v>
      </c>
      <c r="N74" s="35">
        <f>Price!N74/'Price D Coupon'!N$5</f>
        <v>4.1247410824999999</v>
      </c>
      <c r="O74" s="35">
        <f>Price!O74/'Price D Coupon'!O$5</f>
        <v>4.7453124999999998</v>
      </c>
      <c r="P74" s="35">
        <f>Price!P74/'Price D Coupon'!P$5</f>
        <v>4.8190119175000001</v>
      </c>
      <c r="Q74" s="35">
        <f>Price!Q74/'Price D Coupon'!Q$5</f>
        <v>7.2588541675</v>
      </c>
      <c r="R74" s="35">
        <f>Price!R74/'Price D Coupon'!R$5</f>
        <v>4.218055555555555</v>
      </c>
      <c r="S74" s="35">
        <f>Price!S74/'Price D Coupon'!S$5</f>
        <v>4.2835661488888892</v>
      </c>
      <c r="T74" s="35">
        <f>Price!T74/'Price D Coupon'!T$5</f>
        <v>6.4523148155555559</v>
      </c>
      <c r="U74" s="35">
        <f>Price!U74/'Price D Coupon'!U$5</f>
        <v>3.8552095340000001</v>
      </c>
      <c r="V74" s="35">
        <f>Price!V74/'Price D Coupon'!V$5</f>
        <v>5.8070833339999997</v>
      </c>
      <c r="W74" s="35">
        <f>Price!W74/'Price D Coupon'!W$5</f>
        <v>5.2791666672727269</v>
      </c>
      <c r="X74" s="35">
        <f>Price!X74/'Price D Coupon'!X$5</f>
        <v>4.8392361116666667</v>
      </c>
      <c r="Y74" s="35">
        <f>Price!Y74/'Price D Coupon'!Y$5</f>
        <v>4.4669871800000003</v>
      </c>
      <c r="Z74" s="43"/>
      <c r="AA74" s="44"/>
      <c r="AB74" s="45"/>
      <c r="AC74" s="31">
        <v>25.0802656836842</v>
      </c>
      <c r="AE74" s="32">
        <f t="shared" ref="AE74" si="25">F74</f>
        <v>42643</v>
      </c>
      <c r="AF74" s="33"/>
      <c r="AI74" s="4">
        <f t="shared" ref="AI74" si="26">F74</f>
        <v>42643</v>
      </c>
      <c r="AJ74" s="48">
        <v>0.13</v>
      </c>
      <c r="AK74" s="48">
        <v>0.12</v>
      </c>
      <c r="AL74" s="48">
        <v>7.0000000000000007E-2</v>
      </c>
      <c r="AM74" s="48">
        <v>0.09</v>
      </c>
      <c r="AN74" s="48">
        <v>0.14000000000000001</v>
      </c>
      <c r="AO74" s="48">
        <v>0.01</v>
      </c>
      <c r="AP74" s="48">
        <v>0.1</v>
      </c>
      <c r="AQ74" s="48">
        <v>7.0000000000000007E-2</v>
      </c>
      <c r="AR74" s="48">
        <v>0.03</v>
      </c>
      <c r="AS74" s="48">
        <v>0.04</v>
      </c>
      <c r="AT74" s="48">
        <v>0.03</v>
      </c>
      <c r="AU74" s="48">
        <v>0.04</v>
      </c>
      <c r="AV74" s="48">
        <v>0.03</v>
      </c>
      <c r="AW74" s="48">
        <v>0.05</v>
      </c>
      <c r="AX74" s="48">
        <v>0.02</v>
      </c>
      <c r="AY74" s="48">
        <v>0.01</v>
      </c>
      <c r="AZ74" s="48">
        <v>0.01</v>
      </c>
      <c r="BA74" s="48">
        <v>4.2107499460495058E-3</v>
      </c>
      <c r="BB74" s="48">
        <v>0.01</v>
      </c>
      <c r="BC74" s="48">
        <f t="shared" ref="BC74" si="27">SUM(AJ74:BB74)</f>
        <v>1.0042107499460498</v>
      </c>
    </row>
    <row r="75" spans="6:55" x14ac:dyDescent="0.2">
      <c r="F75" s="32">
        <v>42674</v>
      </c>
      <c r="G75" s="35">
        <f>Price!G75/'Price D Coupon'!G$5</f>
        <v>6.0755807033333333</v>
      </c>
      <c r="H75" s="35">
        <f>Price!H75/'Price D Coupon'!H$5</f>
        <v>6.0876177399999998</v>
      </c>
      <c r="I75" s="35">
        <f>Price!I75/'Price D Coupon'!I$5</f>
        <v>5.1272834600000001</v>
      </c>
      <c r="J75" s="35">
        <f>Price!J75/'Price D Coupon'!J$5</f>
        <v>5.2076406028571425</v>
      </c>
      <c r="K75" s="35">
        <f>Price!K75/'Price D Coupon'!K$5</f>
        <v>5.2179580628571429</v>
      </c>
      <c r="L75" s="35">
        <f>Price!L75/'Price D Coupon'!L$5</f>
        <v>5.8432539685714291</v>
      </c>
      <c r="M75" s="35">
        <f>Price!M75/'Price D Coupon'!M$5</f>
        <v>4.4863730275</v>
      </c>
      <c r="N75" s="35">
        <f>Price!N75/'Price D Coupon'!N$5</f>
        <v>4.5566855275</v>
      </c>
      <c r="O75" s="35">
        <f>Price!O75/'Price D Coupon'!O$5</f>
        <v>5.1218750000000002</v>
      </c>
      <c r="P75" s="35">
        <f>Price!P75/'Price D Coupon'!P$5</f>
        <v>5.1128472225000001</v>
      </c>
      <c r="Q75" s="35">
        <f>Price!Q75/'Price D Coupon'!Q$5</f>
        <v>6.88263889</v>
      </c>
      <c r="R75" s="35">
        <f>Price!R75/'Price D Coupon'!R$5</f>
        <v>4.552777777777778</v>
      </c>
      <c r="S75" s="35">
        <f>Price!S75/'Price D Coupon'!S$5</f>
        <v>4.5447530866666668</v>
      </c>
      <c r="T75" s="35">
        <f>Price!T75/'Price D Coupon'!T$5</f>
        <v>6.1179012355555553</v>
      </c>
      <c r="U75" s="35">
        <f>Price!U75/'Price D Coupon'!U$5</f>
        <v>4.0902777779999999</v>
      </c>
      <c r="V75" s="35">
        <f>Price!V75/'Price D Coupon'!V$5</f>
        <v>5.5061111120000001</v>
      </c>
      <c r="W75" s="35">
        <f>Price!W75/'Price D Coupon'!W$5</f>
        <v>5.0055555563636362</v>
      </c>
      <c r="X75" s="35">
        <f>Price!X75/'Price D Coupon'!X$5</f>
        <v>4.5884259266666669</v>
      </c>
      <c r="Y75" s="35">
        <f>Price!Y75/'Price D Coupon'!Y$5</f>
        <v>4.2354700861538461</v>
      </c>
      <c r="Z75" s="43"/>
      <c r="AA75" s="44"/>
      <c r="AB75" s="45"/>
      <c r="AC75" s="31">
        <v>25.0802656836842</v>
      </c>
      <c r="AE75" s="32">
        <f t="shared" ref="AE75" si="28">F75</f>
        <v>42674</v>
      </c>
      <c r="AF75" s="33"/>
      <c r="AI75" s="4">
        <f t="shared" ref="AI75" si="29">F75</f>
        <v>42674</v>
      </c>
      <c r="AJ75" s="48">
        <v>0.13875987266885062</v>
      </c>
      <c r="AK75" s="48">
        <v>0.12558073890446755</v>
      </c>
      <c r="AL75" s="48">
        <v>6.4620678056812458E-2</v>
      </c>
      <c r="AM75" s="48">
        <v>8.8774803560239424E-2</v>
      </c>
      <c r="AN75" s="48">
        <v>0.14332150662667059</v>
      </c>
      <c r="AO75" s="48">
        <v>9.3048629916555464E-3</v>
      </c>
      <c r="AP75" s="48">
        <v>9.9388937017029333E-2</v>
      </c>
      <c r="AQ75" s="48">
        <v>6.8683966752561457E-2</v>
      </c>
      <c r="AR75" s="48">
        <v>3.4375788553637793E-2</v>
      </c>
      <c r="AS75" s="48">
        <v>3.9023904369197927E-2</v>
      </c>
      <c r="AT75" s="48">
        <v>2.558279824942606E-2</v>
      </c>
      <c r="AU75" s="48">
        <v>3.4855717377599682E-2</v>
      </c>
      <c r="AV75" s="48">
        <v>3.1745640828926378E-2</v>
      </c>
      <c r="AW75" s="48">
        <v>4.8661991611173495E-2</v>
      </c>
      <c r="AX75" s="48">
        <v>1.6624251970216372E-2</v>
      </c>
      <c r="AY75" s="48">
        <v>1.3742033117967439E-2</v>
      </c>
      <c r="AZ75" s="48">
        <v>6.5793117574697241E-3</v>
      </c>
      <c r="BA75" s="48">
        <v>3.8272938576886847E-3</v>
      </c>
      <c r="BB75" s="48">
        <v>6.5459017284092702E-3</v>
      </c>
      <c r="BC75" s="48">
        <f t="shared" ref="BC75" si="30">SUM(AJ75:BB75)</f>
        <v>0.99999999999999978</v>
      </c>
    </row>
    <row r="76" spans="6:55" x14ac:dyDescent="0.2">
      <c r="F76" s="32">
        <v>42704</v>
      </c>
      <c r="G76" s="35">
        <f>Price!G76/'Price D Coupon'!G$5</f>
        <v>7.299537036666667</v>
      </c>
      <c r="H76" s="35">
        <f>Price!H76/'Price D Coupon'!H$5</f>
        <v>7.1188677399999998</v>
      </c>
      <c r="I76" s="35">
        <f>Price!I76/'Price D Coupon'!I$5</f>
        <v>6.2835317457142859</v>
      </c>
      <c r="J76" s="35">
        <f>Price!J76/'Price D Coupon'!J$5</f>
        <v>6.2567460314285714</v>
      </c>
      <c r="K76" s="35">
        <f>Price!K76/'Price D Coupon'!K$5</f>
        <v>6.1018866342857141</v>
      </c>
      <c r="L76" s="35">
        <f>Price!L76/'Price D Coupon'!L$5</f>
        <v>6.5887913971428569</v>
      </c>
      <c r="M76" s="35">
        <f>Price!M76/'Price D Coupon'!M$5</f>
        <v>5.4980902775000002</v>
      </c>
      <c r="N76" s="35">
        <f>Price!N76/'Price D Coupon'!N$5</f>
        <v>5.4746527775000002</v>
      </c>
      <c r="O76" s="35">
        <f>Price!O76/'Price D Coupon'!O$5</f>
        <v>5.8875000000000002</v>
      </c>
      <c r="P76" s="35">
        <f>Price!P76/'Price D Coupon'!P$5</f>
        <v>5.7651924724999999</v>
      </c>
      <c r="Q76" s="35">
        <f>Price!Q76/'Price D Coupon'!Q$5</f>
        <v>6.8162341399999997</v>
      </c>
      <c r="R76" s="35">
        <f>Price!R76/'Price D Coupon'!R$5</f>
        <v>5.2333333333333334</v>
      </c>
      <c r="S76" s="35">
        <f>Price!S76/'Price D Coupon'!S$5</f>
        <v>5.124615531111111</v>
      </c>
      <c r="T76" s="35">
        <f>Price!T76/'Price D Coupon'!T$5</f>
        <v>6.0588747911111112</v>
      </c>
      <c r="U76" s="35">
        <f>Price!U76/'Price D Coupon'!U$5</f>
        <v>4.6121539780000003</v>
      </c>
      <c r="V76" s="35">
        <f>Price!V76/'Price D Coupon'!V$5</f>
        <v>5.4529873119999994</v>
      </c>
      <c r="W76" s="35">
        <f>Price!W76/'Price D Coupon'!W$5</f>
        <v>4.9572611927272723</v>
      </c>
      <c r="X76" s="35">
        <f>Price!X76/'Price D Coupon'!X$5</f>
        <v>4.5441560933333331</v>
      </c>
      <c r="Y76" s="35">
        <f>Price!Y76/'Price D Coupon'!Y$5</f>
        <v>4.1946056246153844</v>
      </c>
      <c r="Z76" s="43"/>
      <c r="AA76" s="44"/>
      <c r="AB76" s="45"/>
      <c r="AC76" s="31">
        <v>25.0802656836842</v>
      </c>
      <c r="AE76" s="32">
        <f t="shared" ref="AE76" si="31">F76</f>
        <v>42704</v>
      </c>
      <c r="AF76" s="33"/>
      <c r="AI76" s="4">
        <f t="shared" ref="AI76" si="32">F76</f>
        <v>42704</v>
      </c>
      <c r="AJ76" s="48">
        <v>0.13875987266885062</v>
      </c>
      <c r="AK76" s="48">
        <v>0.12558073890446755</v>
      </c>
      <c r="AL76" s="48">
        <v>6.4620678056812458E-2</v>
      </c>
      <c r="AM76" s="48">
        <v>8.8774803560239424E-2</v>
      </c>
      <c r="AN76" s="48">
        <v>0.14332150662667059</v>
      </c>
      <c r="AO76" s="48">
        <v>9.3048629916555464E-3</v>
      </c>
      <c r="AP76" s="48">
        <v>9.9388937017029333E-2</v>
      </c>
      <c r="AQ76" s="48">
        <v>6.8683966752561457E-2</v>
      </c>
      <c r="AR76" s="48">
        <v>3.4375788553637793E-2</v>
      </c>
      <c r="AS76" s="48">
        <v>3.9023904369197927E-2</v>
      </c>
      <c r="AT76" s="48">
        <v>2.558279824942606E-2</v>
      </c>
      <c r="AU76" s="48">
        <v>3.4855717377599682E-2</v>
      </c>
      <c r="AV76" s="48">
        <v>3.1745640828926378E-2</v>
      </c>
      <c r="AW76" s="48">
        <v>4.8661991611173495E-2</v>
      </c>
      <c r="AX76" s="48">
        <v>1.6624251970216372E-2</v>
      </c>
      <c r="AY76" s="48">
        <v>1.3742033117967439E-2</v>
      </c>
      <c r="AZ76" s="48">
        <v>6.5793117574697241E-3</v>
      </c>
      <c r="BA76" s="48">
        <v>3.8272938576886847E-3</v>
      </c>
      <c r="BB76" s="48">
        <v>6.5459017284092702E-3</v>
      </c>
      <c r="BC76" s="48">
        <f t="shared" ref="BC76" si="33">SUM(AJ76:BB76)</f>
        <v>0.99999999999999978</v>
      </c>
    </row>
    <row r="77" spans="6:55" x14ac:dyDescent="0.2">
      <c r="F77" s="32">
        <v>42734</v>
      </c>
      <c r="G77" s="35">
        <f>Price!G77/'Price D Coupon'!G$5</f>
        <v>6.6833333333333336</v>
      </c>
      <c r="H77" s="35">
        <f>Price!H77/'Price D Coupon'!H$5</f>
        <v>6.5843769999999999</v>
      </c>
      <c r="I77" s="35">
        <f>Price!I77/'Price D Coupon'!I$5</f>
        <v>6.0449421914285706</v>
      </c>
      <c r="J77" s="35">
        <f>Price!J77/'Price D Coupon'!J$5</f>
        <v>6.2726190485714284</v>
      </c>
      <c r="K77" s="35">
        <f>Price!K77/'Price D Coupon'!K$5</f>
        <v>6.2636904771428572</v>
      </c>
      <c r="L77" s="35">
        <f>Price!L77/'Price D Coupon'!L$5</f>
        <v>5.7011904771428572</v>
      </c>
      <c r="M77" s="35">
        <f>Price!M77/'Price D Coupon'!M$5</f>
        <v>5.6911458325000002</v>
      </c>
      <c r="N77" s="35">
        <f>Price!N77/'Price D Coupon'!N$5</f>
        <v>5.4885416674999998</v>
      </c>
      <c r="O77" s="35">
        <f>Price!O77/'Price D Coupon'!O$5</f>
        <v>5.8434910824999999</v>
      </c>
      <c r="P77" s="35">
        <f>Price!P77/'Price D Coupon'!P$5</f>
        <v>5.7575535824999999</v>
      </c>
      <c r="Q77" s="35">
        <f>Price!Q77/'Price D Coupon'!Q$5</f>
        <v>5.2614583325000002</v>
      </c>
      <c r="R77" s="35">
        <f>Price!R77/'Price D Coupon'!R$5</f>
        <v>5.3638888888888889</v>
      </c>
      <c r="S77" s="35">
        <f>Price!S77/'Price D Coupon'!S$5</f>
        <v>5.0756957777777778</v>
      </c>
      <c r="T77" s="35">
        <f>Price!T77/'Price D Coupon'!T$5</f>
        <v>4.9645846666666662</v>
      </c>
      <c r="U77" s="35">
        <f>Price!U77/'Price D Coupon'!U$5</f>
        <v>4.7083333340000006</v>
      </c>
      <c r="V77" s="35">
        <f>Price!V77/'Price D Coupon'!V$5</f>
        <v>4.5177095339999997</v>
      </c>
      <c r="W77" s="35">
        <f>Price!W77/'Price D Coupon'!W$5</f>
        <v>4.2543571509090903</v>
      </c>
      <c r="X77" s="35">
        <f>Price!X77/'Price D Coupon'!X$5</f>
        <v>4.2197916666666666</v>
      </c>
      <c r="Y77" s="35">
        <f>Price!Y77/'Price D Coupon'!Y$5</f>
        <v>4.1448717953846153</v>
      </c>
      <c r="Z77" s="43"/>
      <c r="AA77" s="44"/>
      <c r="AB77" s="45"/>
      <c r="AC77" s="31">
        <v>25.0802656836842</v>
      </c>
      <c r="AE77" s="32">
        <f t="shared" ref="AE77" si="34">F77</f>
        <v>42734</v>
      </c>
      <c r="AF77" s="33"/>
      <c r="AI77" s="4">
        <f t="shared" ref="AI77" si="35">F77</f>
        <v>42734</v>
      </c>
      <c r="AJ77" s="48">
        <v>0.13875987266885062</v>
      </c>
      <c r="AK77" s="48">
        <v>0.12558073890446755</v>
      </c>
      <c r="AL77" s="48">
        <v>6.4620678056812458E-2</v>
      </c>
      <c r="AM77" s="48">
        <v>8.8774803560239424E-2</v>
      </c>
      <c r="AN77" s="48">
        <v>0.14332150662667059</v>
      </c>
      <c r="AO77" s="48">
        <v>9.3048629916555464E-3</v>
      </c>
      <c r="AP77" s="48">
        <v>9.9388937017029333E-2</v>
      </c>
      <c r="AQ77" s="48">
        <v>6.8683966752561457E-2</v>
      </c>
      <c r="AR77" s="48">
        <v>3.4375788553637793E-2</v>
      </c>
      <c r="AS77" s="48">
        <v>3.9023904369197927E-2</v>
      </c>
      <c r="AT77" s="48">
        <v>2.558279824942606E-2</v>
      </c>
      <c r="AU77" s="48">
        <v>3.4855717377599682E-2</v>
      </c>
      <c r="AV77" s="48">
        <v>3.1745640828926378E-2</v>
      </c>
      <c r="AW77" s="48">
        <v>4.8661991611173495E-2</v>
      </c>
      <c r="AX77" s="48">
        <v>1.6624251970216372E-2</v>
      </c>
      <c r="AY77" s="48">
        <v>1.3742033117967439E-2</v>
      </c>
      <c r="AZ77" s="48">
        <v>6.5793117574697241E-3</v>
      </c>
      <c r="BA77" s="48">
        <v>3.8272938576886847E-3</v>
      </c>
      <c r="BB77" s="48">
        <v>6.5459017284092702E-3</v>
      </c>
      <c r="BC77" s="48">
        <f t="shared" ref="BC77" si="36">SUM(AJ77:BB77)</f>
        <v>0.99999999999999978</v>
      </c>
    </row>
    <row r="78" spans="6:55" x14ac:dyDescent="0.2">
      <c r="F78" s="32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39"/>
      <c r="AB78" s="39"/>
      <c r="AC78" s="50"/>
      <c r="AE78" s="32"/>
      <c r="AF78" s="33"/>
      <c r="AI78" s="32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</row>
    <row r="79" spans="6:55" x14ac:dyDescent="0.2">
      <c r="F79" s="32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39"/>
      <c r="AB79" s="39"/>
      <c r="AC79" s="50"/>
      <c r="AE79" s="32"/>
      <c r="AF79" s="33"/>
      <c r="AI79" s="32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</row>
    <row r="80" spans="6:55" x14ac:dyDescent="0.2">
      <c r="F80" s="32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39"/>
      <c r="AB80" s="39"/>
      <c r="AC80" s="50"/>
      <c r="AE80" s="32"/>
      <c r="AF80" s="33"/>
      <c r="AI80" s="32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</row>
    <row r="81" spans="6:55" x14ac:dyDescent="0.2">
      <c r="F81" s="32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39"/>
      <c r="AB81" s="39"/>
      <c r="AC81" s="50"/>
      <c r="AF81" s="33"/>
    </row>
    <row r="83" spans="6:55" ht="15" x14ac:dyDescent="0.25">
      <c r="AI83" s="27" t="s">
        <v>30</v>
      </c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46"/>
    </row>
    <row r="84" spans="6:55" ht="39" x14ac:dyDescent="0.25">
      <c r="AI84" s="13" t="s">
        <v>0</v>
      </c>
      <c r="AJ84" s="13" t="s">
        <v>1</v>
      </c>
      <c r="AK84" s="14" t="s">
        <v>4</v>
      </c>
      <c r="AL84" s="14" t="s">
        <v>28</v>
      </c>
      <c r="AM84" s="14" t="s">
        <v>2</v>
      </c>
      <c r="AN84" s="14" t="s">
        <v>5</v>
      </c>
      <c r="AO84" s="14" t="s">
        <v>8</v>
      </c>
      <c r="AP84" s="14" t="s">
        <v>29</v>
      </c>
      <c r="AQ84" s="14" t="s">
        <v>3</v>
      </c>
      <c r="AR84" s="14" t="s">
        <v>6</v>
      </c>
      <c r="AS84" s="14" t="s">
        <v>9</v>
      </c>
      <c r="AT84" s="14" t="s">
        <v>12</v>
      </c>
      <c r="AU84" s="14" t="s">
        <v>7</v>
      </c>
      <c r="AV84" s="14" t="s">
        <v>10</v>
      </c>
      <c r="AW84" s="14" t="s">
        <v>13</v>
      </c>
      <c r="AX84" s="14" t="s">
        <v>11</v>
      </c>
      <c r="AY84" s="14" t="s">
        <v>14</v>
      </c>
      <c r="AZ84" s="14" t="s">
        <v>15</v>
      </c>
      <c r="BA84" s="13" t="s">
        <v>16</v>
      </c>
      <c r="BB84" s="14" t="s">
        <v>17</v>
      </c>
      <c r="BC84" s="47" t="s">
        <v>24</v>
      </c>
    </row>
    <row r="85" spans="6:55" x14ac:dyDescent="0.2">
      <c r="AI85" s="4">
        <f>F8</f>
        <v>40633</v>
      </c>
      <c r="AJ85" s="24">
        <f t="shared" ref="AJ85:AJ116" si="37">G8*AJ8</f>
        <v>0</v>
      </c>
      <c r="AK85" s="24">
        <f t="shared" ref="AK85:AK116" si="38">H8*AK8</f>
        <v>0</v>
      </c>
      <c r="AL85" s="24">
        <f t="shared" ref="AL85:AL116" si="39">I8*AL8</f>
        <v>0</v>
      </c>
      <c r="AM85" s="24">
        <f t="shared" ref="AM85:AM116" si="40">J8*AM8</f>
        <v>0</v>
      </c>
      <c r="AN85" s="24">
        <f t="shared" ref="AN85:AN116" si="41">K8*AN8</f>
        <v>0</v>
      </c>
      <c r="AO85" s="24">
        <f t="shared" ref="AO85:AO116" si="42">L8*AO8</f>
        <v>0.20336178473351055</v>
      </c>
      <c r="AP85" s="24">
        <f t="shared" ref="AP85:AP116" si="43">M8*AP8</f>
        <v>0</v>
      </c>
      <c r="AQ85" s="24">
        <f t="shared" ref="AQ85:AQ116" si="44">N8*AQ8</f>
        <v>0</v>
      </c>
      <c r="AR85" s="24">
        <f t="shared" ref="AR85:AR116" si="45">O8*AR8</f>
        <v>0</v>
      </c>
      <c r="AS85" s="24">
        <f t="shared" ref="AS85:AS116" si="46">P8*AS8</f>
        <v>0.9120099103526722</v>
      </c>
      <c r="AT85" s="24">
        <f t="shared" ref="AT85:AT116" si="47">Q8*AT8</f>
        <v>0.69037936736030425</v>
      </c>
      <c r="AU85" s="24">
        <f t="shared" ref="AU85:AU116" si="48">R8*AU8</f>
        <v>0</v>
      </c>
      <c r="AV85" s="24">
        <f t="shared" ref="AV85:AV116" si="49">S8*AV8</f>
        <v>0.74883882591660011</v>
      </c>
      <c r="AW85" s="24">
        <f t="shared" ref="AW85:AW116" si="50">T8*AW8</f>
        <v>1.3663187048691365</v>
      </c>
      <c r="AX85" s="24">
        <f t="shared" ref="AX85:AX116" si="51">U8*AX8</f>
        <v>0.32706757431121647</v>
      </c>
      <c r="AY85" s="24">
        <f t="shared" ref="AY85:AY116" si="52">V8*AY8</f>
        <v>0.28327205143459805</v>
      </c>
      <c r="AZ85" s="24">
        <f t="shared" ref="AZ85:AZ116" si="53">W8*AZ8</f>
        <v>0.27251904754449069</v>
      </c>
      <c r="BA85" s="24">
        <f t="shared" ref="BA85:BA116" si="54">X8*BA8</f>
        <v>0.13057984143624204</v>
      </c>
      <c r="BB85" s="24">
        <f t="shared" ref="BB85:BB116" si="55">Y8*BB8</f>
        <v>0.15815760300404103</v>
      </c>
      <c r="BC85" s="49">
        <f>SUM(AJ85:BB85)</f>
        <v>5.0925047109628121</v>
      </c>
    </row>
    <row r="86" spans="6:55" x14ac:dyDescent="0.2">
      <c r="AI86" s="4">
        <f>F9</f>
        <v>40662</v>
      </c>
      <c r="AJ86" s="24">
        <f t="shared" si="37"/>
        <v>0</v>
      </c>
      <c r="AK86" s="24">
        <f t="shared" si="38"/>
        <v>0</v>
      </c>
      <c r="AL86" s="24">
        <f t="shared" si="39"/>
        <v>0</v>
      </c>
      <c r="AM86" s="24">
        <f t="shared" si="40"/>
        <v>0</v>
      </c>
      <c r="AN86" s="24">
        <f t="shared" si="41"/>
        <v>0</v>
      </c>
      <c r="AO86" s="24">
        <f t="shared" si="42"/>
        <v>0.20916359743980095</v>
      </c>
      <c r="AP86" s="24">
        <f t="shared" si="43"/>
        <v>0</v>
      </c>
      <c r="AQ86" s="24">
        <f t="shared" si="44"/>
        <v>0</v>
      </c>
      <c r="AR86" s="24">
        <f t="shared" si="45"/>
        <v>0</v>
      </c>
      <c r="AS86" s="24">
        <f t="shared" si="46"/>
        <v>0.93755541373024687</v>
      </c>
      <c r="AT86" s="24">
        <f t="shared" si="47"/>
        <v>0.69704347313532156</v>
      </c>
      <c r="AU86" s="24">
        <f t="shared" si="48"/>
        <v>0</v>
      </c>
      <c r="AV86" s="24">
        <f t="shared" si="49"/>
        <v>0.76830549545675597</v>
      </c>
      <c r="AW86" s="24">
        <f t="shared" si="50"/>
        <v>1.3758279286941848</v>
      </c>
      <c r="AX86" s="24">
        <f t="shared" si="51"/>
        <v>0.33478405057425553</v>
      </c>
      <c r="AY86" s="24">
        <f t="shared" si="52"/>
        <v>0.28433021215806475</v>
      </c>
      <c r="AZ86" s="24">
        <f t="shared" si="53"/>
        <v>0.26939852340147247</v>
      </c>
      <c r="BA86" s="24">
        <f t="shared" si="54"/>
        <v>0.1289774029206153</v>
      </c>
      <c r="BB86" s="24">
        <f t="shared" si="55"/>
        <v>0.15702832838189112</v>
      </c>
      <c r="BC86" s="49">
        <f t="shared" ref="BC86:BC134" si="56">SUM(AJ86:BB86)</f>
        <v>5.1624144258926092</v>
      </c>
    </row>
    <row r="87" spans="6:55" x14ac:dyDescent="0.2">
      <c r="AI87" s="4">
        <f>F10</f>
        <v>40694</v>
      </c>
      <c r="AJ87" s="24">
        <f t="shared" si="37"/>
        <v>0</v>
      </c>
      <c r="AK87" s="24">
        <f t="shared" si="38"/>
        <v>0</v>
      </c>
      <c r="AL87" s="24">
        <f t="shared" si="39"/>
        <v>0</v>
      </c>
      <c r="AM87" s="24">
        <f t="shared" si="40"/>
        <v>0</v>
      </c>
      <c r="AN87" s="24">
        <f t="shared" si="41"/>
        <v>0</v>
      </c>
      <c r="AO87" s="24">
        <f t="shared" si="42"/>
        <v>0.21122206391278159</v>
      </c>
      <c r="AP87" s="24">
        <f t="shared" si="43"/>
        <v>0</v>
      </c>
      <c r="AQ87" s="24">
        <f t="shared" si="44"/>
        <v>0</v>
      </c>
      <c r="AR87" s="24">
        <f t="shared" si="45"/>
        <v>0</v>
      </c>
      <c r="AS87" s="24">
        <f t="shared" si="46"/>
        <v>0.9464929813104398</v>
      </c>
      <c r="AT87" s="24">
        <f t="shared" si="47"/>
        <v>0.72159111906687223</v>
      </c>
      <c r="AU87" s="24">
        <f t="shared" si="48"/>
        <v>0</v>
      </c>
      <c r="AV87" s="24">
        <f t="shared" si="49"/>
        <v>0.77426768593529949</v>
      </c>
      <c r="AW87" s="24">
        <f t="shared" si="50"/>
        <v>1.4214723499433168</v>
      </c>
      <c r="AX87" s="24">
        <f t="shared" si="51"/>
        <v>0.33685514710436765</v>
      </c>
      <c r="AY87" s="24">
        <f t="shared" si="52"/>
        <v>0.29300570422626115</v>
      </c>
      <c r="AZ87" s="24">
        <f t="shared" si="53"/>
        <v>0.27342747322711353</v>
      </c>
      <c r="BA87" s="24">
        <f t="shared" si="54"/>
        <v>0.13057546059606714</v>
      </c>
      <c r="BB87" s="24">
        <f t="shared" si="55"/>
        <v>0.1591412916805017</v>
      </c>
      <c r="BC87" s="49">
        <f t="shared" si="56"/>
        <v>5.2680512770030212</v>
      </c>
    </row>
    <row r="88" spans="6:55" x14ac:dyDescent="0.2">
      <c r="AI88" s="4">
        <f>F11</f>
        <v>40724</v>
      </c>
      <c r="AJ88" s="24">
        <f t="shared" si="37"/>
        <v>0</v>
      </c>
      <c r="AK88" s="24">
        <f t="shared" si="38"/>
        <v>0</v>
      </c>
      <c r="AL88" s="24">
        <f t="shared" si="39"/>
        <v>0</v>
      </c>
      <c r="AM88" s="24">
        <f t="shared" si="40"/>
        <v>0</v>
      </c>
      <c r="AN88" s="24">
        <f t="shared" si="41"/>
        <v>0</v>
      </c>
      <c r="AO88" s="24">
        <f t="shared" si="42"/>
        <v>0.21809711474286245</v>
      </c>
      <c r="AP88" s="24">
        <f t="shared" si="43"/>
        <v>0</v>
      </c>
      <c r="AQ88" s="24">
        <f t="shared" si="44"/>
        <v>0</v>
      </c>
      <c r="AR88" s="24">
        <f t="shared" si="45"/>
        <v>0</v>
      </c>
      <c r="AS88" s="24">
        <f t="shared" si="46"/>
        <v>0.97686121986660479</v>
      </c>
      <c r="AT88" s="24">
        <f t="shared" si="47"/>
        <v>0.73446993502506974</v>
      </c>
      <c r="AU88" s="24">
        <f t="shared" si="48"/>
        <v>0</v>
      </c>
      <c r="AV88" s="24">
        <f t="shared" si="49"/>
        <v>0.79801942908083301</v>
      </c>
      <c r="AW88" s="24">
        <f t="shared" si="50"/>
        <v>1.4451735827767496</v>
      </c>
      <c r="AX88" s="24">
        <f t="shared" si="51"/>
        <v>0.3466658316214361</v>
      </c>
      <c r="AY88" s="24">
        <f t="shared" si="52"/>
        <v>0.2972235417066178</v>
      </c>
      <c r="AZ88" s="24">
        <f t="shared" si="53"/>
        <v>0.27350472624330918</v>
      </c>
      <c r="BA88" s="24">
        <f t="shared" si="54"/>
        <v>0.13014415692157119</v>
      </c>
      <c r="BB88" s="24">
        <f t="shared" si="55"/>
        <v>0.15917741534936228</v>
      </c>
      <c r="BC88" s="49">
        <f t="shared" si="56"/>
        <v>5.3793369533344171</v>
      </c>
    </row>
    <row r="89" spans="6:55" x14ac:dyDescent="0.2">
      <c r="AI89" s="4">
        <f>F12</f>
        <v>40753</v>
      </c>
      <c r="AJ89" s="24">
        <f t="shared" si="37"/>
        <v>0</v>
      </c>
      <c r="AK89" s="24">
        <f t="shared" si="38"/>
        <v>0</v>
      </c>
      <c r="AL89" s="24">
        <f t="shared" si="39"/>
        <v>0</v>
      </c>
      <c r="AM89" s="24">
        <f t="shared" si="40"/>
        <v>0</v>
      </c>
      <c r="AN89" s="24">
        <f t="shared" si="41"/>
        <v>0</v>
      </c>
      <c r="AO89" s="24">
        <f t="shared" si="42"/>
        <v>0.20366206236606013</v>
      </c>
      <c r="AP89" s="24">
        <f t="shared" si="43"/>
        <v>0</v>
      </c>
      <c r="AQ89" s="24">
        <f t="shared" si="44"/>
        <v>0</v>
      </c>
      <c r="AR89" s="24">
        <f t="shared" si="45"/>
        <v>0</v>
      </c>
      <c r="AS89" s="24">
        <f t="shared" si="46"/>
        <v>0.91182316347162928</v>
      </c>
      <c r="AT89" s="24">
        <f t="shared" si="47"/>
        <v>0.71623604762559834</v>
      </c>
      <c r="AU89" s="24">
        <f t="shared" si="48"/>
        <v>0</v>
      </c>
      <c r="AV89" s="24">
        <f t="shared" si="49"/>
        <v>0.74397336684145299</v>
      </c>
      <c r="AW89" s="24">
        <f t="shared" si="50"/>
        <v>1.4072052062098517</v>
      </c>
      <c r="AX89" s="24">
        <f t="shared" si="51"/>
        <v>0.32268814379984673</v>
      </c>
      <c r="AY89" s="24">
        <f t="shared" si="52"/>
        <v>0.28888640509408475</v>
      </c>
      <c r="AZ89" s="24">
        <f t="shared" si="53"/>
        <v>0.2623258823298697</v>
      </c>
      <c r="BA89" s="24">
        <f t="shared" si="54"/>
        <v>0.1245595084921812</v>
      </c>
      <c r="BB89" s="24">
        <f t="shared" si="55"/>
        <v>0.15254069805597825</v>
      </c>
      <c r="BC89" s="49">
        <f t="shared" si="56"/>
        <v>5.1339004842865537</v>
      </c>
    </row>
    <row r="90" spans="6:55" x14ac:dyDescent="0.2">
      <c r="AI90" s="4">
        <f>F13</f>
        <v>40786</v>
      </c>
      <c r="AJ90" s="24">
        <f t="shared" si="37"/>
        <v>0</v>
      </c>
      <c r="AK90" s="24">
        <f t="shared" si="38"/>
        <v>0</v>
      </c>
      <c r="AL90" s="24">
        <f t="shared" si="39"/>
        <v>0</v>
      </c>
      <c r="AM90" s="24">
        <f t="shared" si="40"/>
        <v>0</v>
      </c>
      <c r="AN90" s="24">
        <f t="shared" si="41"/>
        <v>0</v>
      </c>
      <c r="AO90" s="24">
        <f t="shared" si="42"/>
        <v>0.1581106950328984</v>
      </c>
      <c r="AP90" s="24">
        <f t="shared" si="43"/>
        <v>0</v>
      </c>
      <c r="AQ90" s="24">
        <f t="shared" si="44"/>
        <v>0</v>
      </c>
      <c r="AR90" s="24">
        <f t="shared" si="45"/>
        <v>0</v>
      </c>
      <c r="AS90" s="24">
        <f t="shared" si="46"/>
        <v>0.70713510959479875</v>
      </c>
      <c r="AT90" s="24">
        <f t="shared" si="47"/>
        <v>0.65700115201659304</v>
      </c>
      <c r="AU90" s="24">
        <f t="shared" si="48"/>
        <v>0</v>
      </c>
      <c r="AV90" s="24">
        <f t="shared" si="49"/>
        <v>0.57570183317535673</v>
      </c>
      <c r="AW90" s="24">
        <f t="shared" si="50"/>
        <v>1.2860270793525141</v>
      </c>
      <c r="AX90" s="24">
        <f t="shared" si="51"/>
        <v>0.24930881846916392</v>
      </c>
      <c r="AY90" s="24">
        <f t="shared" si="52"/>
        <v>0.26333949013361835</v>
      </c>
      <c r="AZ90" s="24">
        <f t="shared" si="53"/>
        <v>0.23668823804548178</v>
      </c>
      <c r="BA90" s="24">
        <f t="shared" si="54"/>
        <v>0.11234722398483041</v>
      </c>
      <c r="BB90" s="24">
        <f t="shared" si="55"/>
        <v>0.1379401350559252</v>
      </c>
      <c r="BC90" s="49">
        <f t="shared" si="56"/>
        <v>4.3835997748611808</v>
      </c>
    </row>
    <row r="91" spans="6:55" x14ac:dyDescent="0.2">
      <c r="AI91" s="4">
        <f>F14</f>
        <v>40816</v>
      </c>
      <c r="AJ91" s="24">
        <f t="shared" si="37"/>
        <v>0</v>
      </c>
      <c r="AK91" s="24">
        <f t="shared" si="38"/>
        <v>0</v>
      </c>
      <c r="AL91" s="24">
        <f t="shared" si="39"/>
        <v>0</v>
      </c>
      <c r="AM91" s="24">
        <f t="shared" si="40"/>
        <v>0</v>
      </c>
      <c r="AN91" s="24">
        <f t="shared" si="41"/>
        <v>0</v>
      </c>
      <c r="AO91" s="24">
        <f t="shared" si="42"/>
        <v>0.13580789718314173</v>
      </c>
      <c r="AP91" s="24">
        <f t="shared" si="43"/>
        <v>0</v>
      </c>
      <c r="AQ91" s="24">
        <f t="shared" si="44"/>
        <v>0</v>
      </c>
      <c r="AR91" s="24">
        <f t="shared" si="45"/>
        <v>0</v>
      </c>
      <c r="AS91" s="24">
        <f t="shared" si="46"/>
        <v>0.60634588765016861</v>
      </c>
      <c r="AT91" s="24">
        <f t="shared" si="47"/>
        <v>0.57557967103765584</v>
      </c>
      <c r="AU91" s="24">
        <f t="shared" si="48"/>
        <v>0</v>
      </c>
      <c r="AV91" s="24">
        <f t="shared" si="49"/>
        <v>0.49236989463580882</v>
      </c>
      <c r="AW91" s="24">
        <f t="shared" si="50"/>
        <v>1.1218640384639491</v>
      </c>
      <c r="AX91" s="24">
        <f t="shared" si="51"/>
        <v>0.21276931304226923</v>
      </c>
      <c r="AY91" s="24">
        <f t="shared" si="52"/>
        <v>0.22946323277200772</v>
      </c>
      <c r="AZ91" s="24">
        <f t="shared" si="53"/>
        <v>0.20429123408083805</v>
      </c>
      <c r="BA91" s="24">
        <f t="shared" si="54"/>
        <v>9.6993899574186929E-2</v>
      </c>
      <c r="BB91" s="24">
        <f t="shared" si="55"/>
        <v>0.11944067784408073</v>
      </c>
      <c r="BC91" s="49">
        <f t="shared" si="56"/>
        <v>3.7949257462841071</v>
      </c>
    </row>
    <row r="92" spans="6:55" x14ac:dyDescent="0.2">
      <c r="AI92" s="4">
        <f>F15</f>
        <v>40847</v>
      </c>
      <c r="AJ92" s="24">
        <f t="shared" si="37"/>
        <v>0</v>
      </c>
      <c r="AK92" s="24">
        <f t="shared" si="38"/>
        <v>0</v>
      </c>
      <c r="AL92" s="24">
        <f t="shared" si="39"/>
        <v>0</v>
      </c>
      <c r="AM92" s="24">
        <f t="shared" si="40"/>
        <v>0</v>
      </c>
      <c r="AN92" s="24">
        <f t="shared" si="41"/>
        <v>0</v>
      </c>
      <c r="AO92" s="24">
        <f t="shared" si="42"/>
        <v>0.1581038285412652</v>
      </c>
      <c r="AP92" s="24">
        <f t="shared" si="43"/>
        <v>0</v>
      </c>
      <c r="AQ92" s="24">
        <f t="shared" si="44"/>
        <v>0</v>
      </c>
      <c r="AR92" s="24">
        <f t="shared" si="45"/>
        <v>0</v>
      </c>
      <c r="AS92" s="24">
        <f t="shared" si="46"/>
        <v>0.70449329988671228</v>
      </c>
      <c r="AT92" s="24">
        <f t="shared" si="47"/>
        <v>0.55871530545764525</v>
      </c>
      <c r="AU92" s="24">
        <f t="shared" si="48"/>
        <v>0</v>
      </c>
      <c r="AV92" s="24">
        <f t="shared" si="49"/>
        <v>0.57048961695304101</v>
      </c>
      <c r="AW92" s="24">
        <f t="shared" si="50"/>
        <v>1.0839403563070353</v>
      </c>
      <c r="AX92" s="24">
        <f t="shared" si="51"/>
        <v>0.24636454292608673</v>
      </c>
      <c r="AY92" s="24">
        <f t="shared" si="52"/>
        <v>0.22145118797692556</v>
      </c>
      <c r="AZ92" s="24">
        <f t="shared" si="53"/>
        <v>0.19507806776024442</v>
      </c>
      <c r="BA92" s="24">
        <f t="shared" si="54"/>
        <v>9.2689672175613219E-2</v>
      </c>
      <c r="BB92" s="24">
        <f t="shared" si="55"/>
        <v>0.11451005139508386</v>
      </c>
      <c r="BC92" s="49">
        <f t="shared" si="56"/>
        <v>3.9458359293796534</v>
      </c>
    </row>
    <row r="93" spans="6:55" x14ac:dyDescent="0.2">
      <c r="AI93" s="4">
        <f>F16</f>
        <v>40877</v>
      </c>
      <c r="AJ93" s="24">
        <f t="shared" si="37"/>
        <v>0</v>
      </c>
      <c r="AK93" s="24">
        <f t="shared" si="38"/>
        <v>0</v>
      </c>
      <c r="AL93" s="24">
        <f t="shared" si="39"/>
        <v>0</v>
      </c>
      <c r="AM93" s="24">
        <f t="shared" si="40"/>
        <v>0</v>
      </c>
      <c r="AN93" s="24">
        <f t="shared" si="41"/>
        <v>0</v>
      </c>
      <c r="AO93" s="24">
        <f t="shared" si="42"/>
        <v>0.16569634543274353</v>
      </c>
      <c r="AP93" s="24">
        <f t="shared" si="43"/>
        <v>0</v>
      </c>
      <c r="AQ93" s="24">
        <f t="shared" si="44"/>
        <v>0</v>
      </c>
      <c r="AR93" s="24">
        <f t="shared" si="45"/>
        <v>0</v>
      </c>
      <c r="AS93" s="24">
        <f t="shared" si="46"/>
        <v>0.73077940510345207</v>
      </c>
      <c r="AT93" s="24">
        <f t="shared" si="47"/>
        <v>0.58776754106144535</v>
      </c>
      <c r="AU93" s="24">
        <f t="shared" si="48"/>
        <v>0</v>
      </c>
      <c r="AV93" s="24">
        <f t="shared" si="49"/>
        <v>0.59096613475438498</v>
      </c>
      <c r="AW93" s="24">
        <f t="shared" si="50"/>
        <v>1.135034188735752</v>
      </c>
      <c r="AX93" s="24">
        <f t="shared" si="51"/>
        <v>0.25640086300930792</v>
      </c>
      <c r="AY93" s="24">
        <f t="shared" si="52"/>
        <v>0.23318609769525794</v>
      </c>
      <c r="AZ93" s="24">
        <f t="shared" si="53"/>
        <v>0.20412960116342493</v>
      </c>
      <c r="BA93" s="24">
        <f t="shared" si="54"/>
        <v>9.7319592094818747E-2</v>
      </c>
      <c r="BB93" s="24">
        <f t="shared" si="55"/>
        <v>0.12071413565568391</v>
      </c>
      <c r="BC93" s="49">
        <f t="shared" si="56"/>
        <v>4.1219939047062706</v>
      </c>
    </row>
    <row r="94" spans="6:55" x14ac:dyDescent="0.2">
      <c r="AI94" s="4">
        <f>F17</f>
        <v>40907</v>
      </c>
      <c r="AJ94" s="24">
        <f t="shared" si="37"/>
        <v>0</v>
      </c>
      <c r="AK94" s="24">
        <f t="shared" si="38"/>
        <v>0</v>
      </c>
      <c r="AL94" s="24">
        <f t="shared" si="39"/>
        <v>0</v>
      </c>
      <c r="AM94" s="24">
        <f t="shared" si="40"/>
        <v>0</v>
      </c>
      <c r="AN94" s="24">
        <f t="shared" si="41"/>
        <v>0</v>
      </c>
      <c r="AO94" s="24">
        <f t="shared" si="42"/>
        <v>0.16749125666998252</v>
      </c>
      <c r="AP94" s="24">
        <f t="shared" si="43"/>
        <v>0</v>
      </c>
      <c r="AQ94" s="24">
        <f t="shared" si="44"/>
        <v>0</v>
      </c>
      <c r="AR94" s="24">
        <f t="shared" si="45"/>
        <v>0</v>
      </c>
      <c r="AS94" s="24">
        <f t="shared" si="46"/>
        <v>0.73087399091683969</v>
      </c>
      <c r="AT94" s="24">
        <f t="shared" si="47"/>
        <v>0.57396700099584652</v>
      </c>
      <c r="AU94" s="24">
        <f t="shared" si="48"/>
        <v>0</v>
      </c>
      <c r="AV94" s="24">
        <f t="shared" si="49"/>
        <v>0.59076725767824456</v>
      </c>
      <c r="AW94" s="24">
        <f t="shared" si="50"/>
        <v>1.1032931240029682</v>
      </c>
      <c r="AX94" s="24">
        <f t="shared" si="51"/>
        <v>0.25773922384467735</v>
      </c>
      <c r="AY94" s="24">
        <f t="shared" si="52"/>
        <v>0.22851983047703728</v>
      </c>
      <c r="AZ94" s="24">
        <f t="shared" si="53"/>
        <v>0.19907284585207158</v>
      </c>
      <c r="BA94" s="24">
        <f t="shared" si="54"/>
        <v>9.5318413627377016E-2</v>
      </c>
      <c r="BB94" s="24">
        <f t="shared" si="55"/>
        <v>0.11870994573502772</v>
      </c>
      <c r="BC94" s="49">
        <f t="shared" si="56"/>
        <v>4.0657528898000725</v>
      </c>
    </row>
    <row r="95" spans="6:55" x14ac:dyDescent="0.2">
      <c r="AI95" s="4">
        <f>F18</f>
        <v>40939</v>
      </c>
      <c r="AJ95" s="24">
        <f t="shared" si="37"/>
        <v>0</v>
      </c>
      <c r="AK95" s="24">
        <f t="shared" si="38"/>
        <v>0</v>
      </c>
      <c r="AL95" s="24">
        <f t="shared" si="39"/>
        <v>0</v>
      </c>
      <c r="AM95" s="24">
        <f t="shared" si="40"/>
        <v>0</v>
      </c>
      <c r="AN95" s="24">
        <f t="shared" si="41"/>
        <v>0</v>
      </c>
      <c r="AO95" s="24">
        <f t="shared" si="42"/>
        <v>0.15357788547722181</v>
      </c>
      <c r="AP95" s="24">
        <f t="shared" si="43"/>
        <v>0</v>
      </c>
      <c r="AQ95" s="24">
        <f t="shared" si="44"/>
        <v>0</v>
      </c>
      <c r="AR95" s="24">
        <f t="shared" si="45"/>
        <v>0</v>
      </c>
      <c r="AS95" s="24">
        <f t="shared" si="46"/>
        <v>0.66341882390361817</v>
      </c>
      <c r="AT95" s="24">
        <f t="shared" si="47"/>
        <v>0.5551177649911152</v>
      </c>
      <c r="AU95" s="24">
        <f t="shared" si="48"/>
        <v>0</v>
      </c>
      <c r="AV95" s="24">
        <f t="shared" si="49"/>
        <v>0.53628345425397739</v>
      </c>
      <c r="AW95" s="24">
        <f t="shared" si="50"/>
        <v>1.061818912284392</v>
      </c>
      <c r="AX95" s="24">
        <f t="shared" si="51"/>
        <v>0.23550551018571933</v>
      </c>
      <c r="AY95" s="24">
        <f t="shared" si="52"/>
        <v>0.22214806511959165</v>
      </c>
      <c r="AZ95" s="24">
        <f t="shared" si="53"/>
        <v>0.19260596336778441</v>
      </c>
      <c r="BA95" s="24">
        <f t="shared" si="54"/>
        <v>9.274960676142617E-2</v>
      </c>
      <c r="BB95" s="24">
        <f t="shared" si="55"/>
        <v>0.11611248014418632</v>
      </c>
      <c r="BC95" s="49">
        <f t="shared" si="56"/>
        <v>3.8293384664890326</v>
      </c>
    </row>
    <row r="96" spans="6:55" x14ac:dyDescent="0.2">
      <c r="AI96" s="4">
        <f>F19</f>
        <v>40968</v>
      </c>
      <c r="AJ96" s="24">
        <f t="shared" si="37"/>
        <v>0</v>
      </c>
      <c r="AK96" s="24">
        <f t="shared" si="38"/>
        <v>0</v>
      </c>
      <c r="AL96" s="24">
        <f t="shared" si="39"/>
        <v>0</v>
      </c>
      <c r="AM96" s="24">
        <f t="shared" si="40"/>
        <v>0</v>
      </c>
      <c r="AN96" s="24">
        <f t="shared" si="41"/>
        <v>0</v>
      </c>
      <c r="AO96" s="24">
        <f t="shared" si="42"/>
        <v>0.17176090104972938</v>
      </c>
      <c r="AP96" s="24">
        <f t="shared" si="43"/>
        <v>0</v>
      </c>
      <c r="AQ96" s="24">
        <f t="shared" si="44"/>
        <v>0</v>
      </c>
      <c r="AR96" s="24">
        <f t="shared" si="45"/>
        <v>0</v>
      </c>
      <c r="AS96" s="24">
        <f t="shared" si="46"/>
        <v>0.73670897562748849</v>
      </c>
      <c r="AT96" s="24">
        <f t="shared" si="47"/>
        <v>0.58487009769301423</v>
      </c>
      <c r="AU96" s="24">
        <f t="shared" si="48"/>
        <v>0</v>
      </c>
      <c r="AV96" s="24">
        <f t="shared" si="49"/>
        <v>0.59328475099497247</v>
      </c>
      <c r="AW96" s="24">
        <f t="shared" si="50"/>
        <v>1.1113892605951152</v>
      </c>
      <c r="AX96" s="24">
        <f t="shared" si="51"/>
        <v>0.26138420084205533</v>
      </c>
      <c r="AY96" s="24">
        <f t="shared" si="52"/>
        <v>0.23416558417851077</v>
      </c>
      <c r="AZ96" s="24">
        <f t="shared" si="53"/>
        <v>0.20189450912544074</v>
      </c>
      <c r="BA96" s="24">
        <f t="shared" si="54"/>
        <v>9.7647695150594918E-2</v>
      </c>
      <c r="BB96" s="24">
        <f t="shared" si="55"/>
        <v>0.1229193383744019</v>
      </c>
      <c r="BC96" s="49">
        <f t="shared" si="56"/>
        <v>4.1160253136313241</v>
      </c>
    </row>
    <row r="97" spans="35:55" x14ac:dyDescent="0.2">
      <c r="AI97" s="4">
        <f>F20</f>
        <v>40998</v>
      </c>
      <c r="AJ97" s="24">
        <f t="shared" si="37"/>
        <v>0</v>
      </c>
      <c r="AK97" s="24">
        <f t="shared" si="38"/>
        <v>0</v>
      </c>
      <c r="AL97" s="24">
        <f t="shared" si="39"/>
        <v>0</v>
      </c>
      <c r="AM97" s="24">
        <f t="shared" si="40"/>
        <v>0</v>
      </c>
      <c r="AN97" s="24">
        <f t="shared" si="41"/>
        <v>0</v>
      </c>
      <c r="AO97" s="24">
        <f t="shared" si="42"/>
        <v>0.15131432950577609</v>
      </c>
      <c r="AP97" s="24">
        <f t="shared" si="43"/>
        <v>0</v>
      </c>
      <c r="AQ97" s="24">
        <f t="shared" si="44"/>
        <v>0</v>
      </c>
      <c r="AR97" s="24">
        <f t="shared" si="45"/>
        <v>0.49407140817879935</v>
      </c>
      <c r="AS97" s="24">
        <f t="shared" si="46"/>
        <v>0.64498899972641077</v>
      </c>
      <c r="AT97" s="24">
        <f t="shared" si="47"/>
        <v>0.49125081281100086</v>
      </c>
      <c r="AU97" s="24">
        <f t="shared" si="48"/>
        <v>0.46365863619983044</v>
      </c>
      <c r="AV97" s="24">
        <f t="shared" si="49"/>
        <v>0.51858779810996936</v>
      </c>
      <c r="AW97" s="24">
        <f t="shared" si="50"/>
        <v>0.92895903400996271</v>
      </c>
      <c r="AX97" s="24">
        <f t="shared" si="51"/>
        <v>0.22921374611615986</v>
      </c>
      <c r="AY97" s="24">
        <f t="shared" si="52"/>
        <v>0.19709447398294189</v>
      </c>
      <c r="AZ97" s="24">
        <f t="shared" si="53"/>
        <v>0.16868115384439261</v>
      </c>
      <c r="BA97" s="24">
        <f t="shared" si="54"/>
        <v>8.1854369062175303E-2</v>
      </c>
      <c r="BB97" s="24">
        <f t="shared" si="55"/>
        <v>0.10365559731820778</v>
      </c>
      <c r="BC97" s="49">
        <f t="shared" si="56"/>
        <v>4.4733303588656268</v>
      </c>
    </row>
    <row r="98" spans="35:55" x14ac:dyDescent="0.2">
      <c r="AI98" s="4">
        <f>F21</f>
        <v>41029</v>
      </c>
      <c r="AJ98" s="24">
        <f t="shared" si="37"/>
        <v>0</v>
      </c>
      <c r="AK98" s="24">
        <f t="shared" si="38"/>
        <v>0</v>
      </c>
      <c r="AL98" s="24">
        <f t="shared" si="39"/>
        <v>0</v>
      </c>
      <c r="AM98" s="24">
        <f t="shared" si="40"/>
        <v>0</v>
      </c>
      <c r="AN98" s="24">
        <f t="shared" si="41"/>
        <v>0</v>
      </c>
      <c r="AO98" s="24">
        <f t="shared" si="42"/>
        <v>0.14791573780743292</v>
      </c>
      <c r="AP98" s="24">
        <f t="shared" si="43"/>
        <v>0</v>
      </c>
      <c r="AQ98" s="24">
        <f t="shared" si="44"/>
        <v>0</v>
      </c>
      <c r="AR98" s="24">
        <f t="shared" si="45"/>
        <v>0.46666624531087314</v>
      </c>
      <c r="AS98" s="24">
        <f t="shared" si="46"/>
        <v>0.62648324958379531</v>
      </c>
      <c r="AT98" s="24">
        <f t="shared" si="47"/>
        <v>0.50281200760829514</v>
      </c>
      <c r="AU98" s="24">
        <f t="shared" si="48"/>
        <v>0.43711680936586494</v>
      </c>
      <c r="AV98" s="24">
        <f t="shared" si="49"/>
        <v>0.5022985804474519</v>
      </c>
      <c r="AW98" s="24">
        <f t="shared" si="50"/>
        <v>0.94635374109708259</v>
      </c>
      <c r="AX98" s="24">
        <f t="shared" si="51"/>
        <v>0.22342141483295808</v>
      </c>
      <c r="AY98" s="24">
        <f t="shared" si="52"/>
        <v>0.20285604506906829</v>
      </c>
      <c r="AZ98" s="24">
        <f t="shared" si="53"/>
        <v>0.17182695484946656</v>
      </c>
      <c r="BA98" s="24">
        <f t="shared" si="54"/>
        <v>8.3881003056408623E-2</v>
      </c>
      <c r="BB98" s="24">
        <f t="shared" si="55"/>
        <v>0.10689813652713269</v>
      </c>
      <c r="BC98" s="49">
        <f t="shared" si="56"/>
        <v>4.4185299255558297</v>
      </c>
    </row>
    <row r="99" spans="35:55" x14ac:dyDescent="0.2">
      <c r="AI99" s="4">
        <f>F22</f>
        <v>41060</v>
      </c>
      <c r="AJ99" s="24">
        <f t="shared" si="37"/>
        <v>0</v>
      </c>
      <c r="AK99" s="24">
        <f t="shared" si="38"/>
        <v>0</v>
      </c>
      <c r="AL99" s="24">
        <f t="shared" si="39"/>
        <v>0</v>
      </c>
      <c r="AM99" s="24">
        <f t="shared" si="40"/>
        <v>0</v>
      </c>
      <c r="AN99" s="24">
        <f t="shared" si="41"/>
        <v>0</v>
      </c>
      <c r="AO99" s="24">
        <f t="shared" si="42"/>
        <v>0.13537805892481519</v>
      </c>
      <c r="AP99" s="24">
        <f t="shared" si="43"/>
        <v>0</v>
      </c>
      <c r="AQ99" s="24">
        <f t="shared" si="44"/>
        <v>0</v>
      </c>
      <c r="AR99" s="24">
        <f t="shared" si="45"/>
        <v>0.41913575342593451</v>
      </c>
      <c r="AS99" s="24">
        <f t="shared" si="46"/>
        <v>0.56966459439714145</v>
      </c>
      <c r="AT99" s="24">
        <f t="shared" si="47"/>
        <v>0.47811104637414986</v>
      </c>
      <c r="AU99" s="24">
        <f t="shared" si="48"/>
        <v>0.39225233623754546</v>
      </c>
      <c r="AV99" s="24">
        <f t="shared" si="49"/>
        <v>0.45565669066499459</v>
      </c>
      <c r="AW99" s="24">
        <f t="shared" si="50"/>
        <v>0.89754714931558044</v>
      </c>
      <c r="AX99" s="24">
        <f t="shared" si="51"/>
        <v>0.20394596510037752</v>
      </c>
      <c r="AY99" s="24">
        <f t="shared" si="52"/>
        <v>0.19463780015535861</v>
      </c>
      <c r="AZ99" s="24">
        <f t="shared" si="53"/>
        <v>0.16304993659039066</v>
      </c>
      <c r="BA99" s="24">
        <f t="shared" si="54"/>
        <v>7.9997652242727216E-2</v>
      </c>
      <c r="BB99" s="24">
        <f t="shared" si="55"/>
        <v>0.10264091783944682</v>
      </c>
      <c r="BC99" s="49">
        <f t="shared" si="56"/>
        <v>4.0920179012684619</v>
      </c>
    </row>
    <row r="100" spans="35:55" x14ac:dyDescent="0.2">
      <c r="AI100" s="4">
        <f>F23</f>
        <v>41089</v>
      </c>
      <c r="AJ100" s="24">
        <f t="shared" si="37"/>
        <v>0</v>
      </c>
      <c r="AK100" s="24">
        <f t="shared" si="38"/>
        <v>0</v>
      </c>
      <c r="AL100" s="24">
        <f t="shared" si="39"/>
        <v>0</v>
      </c>
      <c r="AM100" s="24">
        <f t="shared" si="40"/>
        <v>0</v>
      </c>
      <c r="AN100" s="24">
        <f t="shared" si="41"/>
        <v>0</v>
      </c>
      <c r="AO100" s="24">
        <f t="shared" si="42"/>
        <v>0.13919475179995086</v>
      </c>
      <c r="AP100" s="24">
        <f t="shared" si="43"/>
        <v>0</v>
      </c>
      <c r="AQ100" s="24">
        <f t="shared" si="44"/>
        <v>0</v>
      </c>
      <c r="AR100" s="24">
        <f t="shared" si="45"/>
        <v>0.42652052260886336</v>
      </c>
      <c r="AS100" s="24">
        <f t="shared" si="46"/>
        <v>0.58259764591292307</v>
      </c>
      <c r="AT100" s="24">
        <f t="shared" si="47"/>
        <v>0.46364130838037487</v>
      </c>
      <c r="AU100" s="24">
        <f t="shared" si="48"/>
        <v>0.39788785873886845</v>
      </c>
      <c r="AV100" s="24">
        <f t="shared" si="49"/>
        <v>0.46402122789329281</v>
      </c>
      <c r="AW100" s="24">
        <f t="shared" si="50"/>
        <v>0.86689505985920512</v>
      </c>
      <c r="AX100" s="24">
        <f t="shared" si="51"/>
        <v>0.20839663688795421</v>
      </c>
      <c r="AY100" s="24">
        <f t="shared" si="52"/>
        <v>0.18948565410475585</v>
      </c>
      <c r="AZ100" s="24">
        <f t="shared" si="53"/>
        <v>0.15613285210346053</v>
      </c>
      <c r="BA100" s="24">
        <f t="shared" si="54"/>
        <v>7.6931829314869957E-2</v>
      </c>
      <c r="BB100" s="24">
        <f t="shared" si="55"/>
        <v>9.9623676323506355E-2</v>
      </c>
      <c r="BC100" s="49">
        <f t="shared" si="56"/>
        <v>4.0713290239280262</v>
      </c>
    </row>
    <row r="101" spans="35:55" x14ac:dyDescent="0.2">
      <c r="AI101" s="4">
        <f>F24</f>
        <v>41121</v>
      </c>
      <c r="AJ101" s="24">
        <f t="shared" si="37"/>
        <v>0</v>
      </c>
      <c r="AK101" s="24">
        <f t="shared" si="38"/>
        <v>0</v>
      </c>
      <c r="AL101" s="24">
        <f t="shared" si="39"/>
        <v>0</v>
      </c>
      <c r="AM101" s="24">
        <f t="shared" si="40"/>
        <v>0</v>
      </c>
      <c r="AN101" s="24">
        <f t="shared" si="41"/>
        <v>0</v>
      </c>
      <c r="AO101" s="24">
        <f t="shared" si="42"/>
        <v>0.14005395685337729</v>
      </c>
      <c r="AP101" s="24">
        <f t="shared" si="43"/>
        <v>0</v>
      </c>
      <c r="AQ101" s="24">
        <f t="shared" si="44"/>
        <v>0</v>
      </c>
      <c r="AR101" s="24">
        <f t="shared" si="45"/>
        <v>0.43856647541923527</v>
      </c>
      <c r="AS101" s="24">
        <f t="shared" si="46"/>
        <v>0.58377146589694418</v>
      </c>
      <c r="AT101" s="24">
        <f t="shared" si="47"/>
        <v>0.46891582128284304</v>
      </c>
      <c r="AU101" s="24">
        <f t="shared" si="48"/>
        <v>0.40818215740218816</v>
      </c>
      <c r="AV101" s="24">
        <f t="shared" si="49"/>
        <v>0.4626696889164304</v>
      </c>
      <c r="AW101" s="24">
        <f t="shared" si="50"/>
        <v>0.87324395477190953</v>
      </c>
      <c r="AX101" s="24">
        <f t="shared" si="51"/>
        <v>0.20851705719183303</v>
      </c>
      <c r="AY101" s="24">
        <f t="shared" si="52"/>
        <v>0.19199165089479542</v>
      </c>
      <c r="AZ101" s="24">
        <f t="shared" si="53"/>
        <v>0.15469231691928731</v>
      </c>
      <c r="BA101" s="24">
        <f t="shared" si="54"/>
        <v>7.660180802322622E-2</v>
      </c>
      <c r="BB101" s="24">
        <f t="shared" si="55"/>
        <v>0.10015614718806895</v>
      </c>
      <c r="BC101" s="49">
        <f t="shared" si="56"/>
        <v>4.1073625007601384</v>
      </c>
    </row>
    <row r="102" spans="35:55" x14ac:dyDescent="0.2">
      <c r="AI102" s="4">
        <f>F25</f>
        <v>41152</v>
      </c>
      <c r="AJ102" s="24">
        <f t="shared" si="37"/>
        <v>0</v>
      </c>
      <c r="AK102" s="24">
        <f t="shared" si="38"/>
        <v>0</v>
      </c>
      <c r="AL102" s="24">
        <f t="shared" si="39"/>
        <v>0</v>
      </c>
      <c r="AM102" s="24">
        <f t="shared" si="40"/>
        <v>0</v>
      </c>
      <c r="AN102" s="24">
        <f t="shared" si="41"/>
        <v>0</v>
      </c>
      <c r="AO102" s="24">
        <f t="shared" si="42"/>
        <v>0.14793902012535168</v>
      </c>
      <c r="AP102" s="24">
        <f t="shared" si="43"/>
        <v>0</v>
      </c>
      <c r="AQ102" s="24">
        <f t="shared" si="44"/>
        <v>0</v>
      </c>
      <c r="AR102" s="24">
        <f t="shared" si="45"/>
        <v>0.46536907359393542</v>
      </c>
      <c r="AS102" s="24">
        <f t="shared" si="46"/>
        <v>0.61488367034557379</v>
      </c>
      <c r="AT102" s="24">
        <f t="shared" si="47"/>
        <v>0.47179252291998869</v>
      </c>
      <c r="AU102" s="24">
        <f t="shared" si="48"/>
        <v>0.43388962425021815</v>
      </c>
      <c r="AV102" s="24">
        <f t="shared" si="49"/>
        <v>0.48668043112275827</v>
      </c>
      <c r="AW102" s="24">
        <f t="shared" si="50"/>
        <v>0.87665166612638257</v>
      </c>
      <c r="AX102" s="24">
        <f t="shared" si="51"/>
        <v>0.22026364252686417</v>
      </c>
      <c r="AY102" s="24">
        <f t="shared" si="52"/>
        <v>0.19437513954250044</v>
      </c>
      <c r="AZ102" s="24">
        <f t="shared" si="53"/>
        <v>0.1528694828526872</v>
      </c>
      <c r="BA102" s="24">
        <f t="shared" si="54"/>
        <v>7.613495126540086E-2</v>
      </c>
      <c r="BB102" s="24">
        <f t="shared" si="55"/>
        <v>0.10037596340800965</v>
      </c>
      <c r="BC102" s="49">
        <f t="shared" si="56"/>
        <v>4.2412251880796719</v>
      </c>
    </row>
    <row r="103" spans="35:55" x14ac:dyDescent="0.2">
      <c r="AI103" s="4">
        <f>F26</f>
        <v>41180</v>
      </c>
      <c r="AJ103" s="24">
        <f t="shared" si="37"/>
        <v>0</v>
      </c>
      <c r="AK103" s="24">
        <f t="shared" si="38"/>
        <v>0</v>
      </c>
      <c r="AL103" s="24">
        <f t="shared" si="39"/>
        <v>0</v>
      </c>
      <c r="AM103" s="24">
        <f t="shared" si="40"/>
        <v>0</v>
      </c>
      <c r="AN103" s="24">
        <f t="shared" si="41"/>
        <v>0</v>
      </c>
      <c r="AO103" s="24">
        <f t="shared" si="42"/>
        <v>0.14134731899593891</v>
      </c>
      <c r="AP103" s="24">
        <f t="shared" si="43"/>
        <v>0</v>
      </c>
      <c r="AQ103" s="24">
        <f t="shared" si="44"/>
        <v>0</v>
      </c>
      <c r="AR103" s="24">
        <f t="shared" si="45"/>
        <v>0.40409148354755614</v>
      </c>
      <c r="AS103" s="24">
        <f t="shared" si="46"/>
        <v>0.58683914046242536</v>
      </c>
      <c r="AT103" s="24">
        <f t="shared" si="47"/>
        <v>0.45187506433530855</v>
      </c>
      <c r="AU103" s="24">
        <f t="shared" si="48"/>
        <v>0.37892105535961884</v>
      </c>
      <c r="AV103" s="24">
        <f t="shared" si="49"/>
        <v>0.46523458948019314</v>
      </c>
      <c r="AW103" s="24">
        <f t="shared" si="50"/>
        <v>0.83962462054207843</v>
      </c>
      <c r="AX103" s="24">
        <f t="shared" si="51"/>
        <v>0.2121480460431949</v>
      </c>
      <c r="AY103" s="24">
        <f t="shared" si="52"/>
        <v>0.18847996388848495</v>
      </c>
      <c r="AZ103" s="24">
        <f t="shared" si="53"/>
        <v>0.14471936111327613</v>
      </c>
      <c r="BA103" s="24">
        <f t="shared" si="54"/>
        <v>7.2492726188318327E-2</v>
      </c>
      <c r="BB103" s="24">
        <f t="shared" si="55"/>
        <v>9.6252330109059592E-2</v>
      </c>
      <c r="BC103" s="49">
        <f t="shared" si="56"/>
        <v>3.9820257000654533</v>
      </c>
    </row>
    <row r="104" spans="35:55" x14ac:dyDescent="0.2">
      <c r="AI104" s="4">
        <f>F27</f>
        <v>41213</v>
      </c>
      <c r="AJ104" s="24">
        <f t="shared" si="37"/>
        <v>0</v>
      </c>
      <c r="AK104" s="24">
        <f t="shared" si="38"/>
        <v>0</v>
      </c>
      <c r="AL104" s="24">
        <f t="shared" si="39"/>
        <v>0</v>
      </c>
      <c r="AM104" s="24">
        <f t="shared" si="40"/>
        <v>0</v>
      </c>
      <c r="AN104" s="24">
        <f t="shared" si="41"/>
        <v>0</v>
      </c>
      <c r="AO104" s="24">
        <f t="shared" si="42"/>
        <v>0.14030458763628292</v>
      </c>
      <c r="AP104" s="24">
        <f t="shared" si="43"/>
        <v>0</v>
      </c>
      <c r="AQ104" s="24">
        <f t="shared" si="44"/>
        <v>0</v>
      </c>
      <c r="AR104" s="24">
        <f t="shared" si="45"/>
        <v>0.42080429469971603</v>
      </c>
      <c r="AS104" s="24">
        <f t="shared" si="46"/>
        <v>0.58194792875873835</v>
      </c>
      <c r="AT104" s="24">
        <f t="shared" si="47"/>
        <v>0.4535657902540241</v>
      </c>
      <c r="AU104" s="24">
        <f t="shared" si="48"/>
        <v>0.39740175337490186</v>
      </c>
      <c r="AV104" s="24">
        <f t="shared" si="49"/>
        <v>0.46387547943254054</v>
      </c>
      <c r="AW104" s="24">
        <f t="shared" si="50"/>
        <v>0.8453412649837927</v>
      </c>
      <c r="AX104" s="24">
        <f t="shared" si="51"/>
        <v>0.2134777911495751</v>
      </c>
      <c r="AY104" s="24">
        <f t="shared" si="52"/>
        <v>0.19241960093115915</v>
      </c>
      <c r="AZ104" s="24">
        <f t="shared" si="53"/>
        <v>0.1442849823606123</v>
      </c>
      <c r="BA104" s="24">
        <f t="shared" si="54"/>
        <v>7.2868382261291317E-2</v>
      </c>
      <c r="BB104" s="24">
        <f t="shared" si="55"/>
        <v>9.762034671685807E-2</v>
      </c>
      <c r="BC104" s="49">
        <f t="shared" si="56"/>
        <v>4.0239122025594929</v>
      </c>
    </row>
    <row r="105" spans="35:55" x14ac:dyDescent="0.2">
      <c r="AI105" s="4">
        <f>F28</f>
        <v>41243</v>
      </c>
      <c r="AJ105" s="24">
        <f t="shared" si="37"/>
        <v>0</v>
      </c>
      <c r="AK105" s="24">
        <f t="shared" si="38"/>
        <v>0</v>
      </c>
      <c r="AL105" s="24">
        <f t="shared" si="39"/>
        <v>0</v>
      </c>
      <c r="AM105" s="24">
        <f t="shared" si="40"/>
        <v>0</v>
      </c>
      <c r="AN105" s="24">
        <f t="shared" si="41"/>
        <v>0</v>
      </c>
      <c r="AO105" s="24">
        <f t="shared" si="42"/>
        <v>0.13102477214128808</v>
      </c>
      <c r="AP105" s="24">
        <f t="shared" si="43"/>
        <v>0</v>
      </c>
      <c r="AQ105" s="24">
        <f t="shared" si="44"/>
        <v>0</v>
      </c>
      <c r="AR105" s="24">
        <f t="shared" si="45"/>
        <v>0.39382519232259988</v>
      </c>
      <c r="AS105" s="24">
        <f t="shared" si="46"/>
        <v>0.54252723125278912</v>
      </c>
      <c r="AT105" s="24">
        <f t="shared" si="47"/>
        <v>0.42132557236641677</v>
      </c>
      <c r="AU105" s="24">
        <f t="shared" si="48"/>
        <v>0.37394342158396437</v>
      </c>
      <c r="AV105" s="24">
        <f t="shared" si="49"/>
        <v>0.43435677370379111</v>
      </c>
      <c r="AW105" s="24">
        <f t="shared" si="50"/>
        <v>0.78849154495242346</v>
      </c>
      <c r="AX105" s="24">
        <f t="shared" si="51"/>
        <v>0.20153087396036448</v>
      </c>
      <c r="AY105" s="24">
        <f t="shared" si="52"/>
        <v>0.18165097546409176</v>
      </c>
      <c r="AZ105" s="24">
        <f t="shared" si="53"/>
        <v>0.13373755518767949</v>
      </c>
      <c r="BA105" s="24">
        <f t="shared" si="54"/>
        <v>6.7983982624821457E-2</v>
      </c>
      <c r="BB105" s="24">
        <f t="shared" si="55"/>
        <v>9.1813054329170765E-2</v>
      </c>
      <c r="BC105" s="49">
        <f t="shared" si="56"/>
        <v>3.7622109498894005</v>
      </c>
    </row>
    <row r="106" spans="35:55" x14ac:dyDescent="0.2">
      <c r="AI106" s="4">
        <f>F29</f>
        <v>41274</v>
      </c>
      <c r="AJ106" s="24">
        <f t="shared" si="37"/>
        <v>0</v>
      </c>
      <c r="AK106" s="24">
        <f t="shared" si="38"/>
        <v>0</v>
      </c>
      <c r="AL106" s="24">
        <f t="shared" si="39"/>
        <v>0</v>
      </c>
      <c r="AM106" s="24">
        <f t="shared" si="40"/>
        <v>0</v>
      </c>
      <c r="AN106" s="24">
        <f t="shared" si="41"/>
        <v>0</v>
      </c>
      <c r="AO106" s="24">
        <f t="shared" si="42"/>
        <v>0.13437310663704957</v>
      </c>
      <c r="AP106" s="24">
        <f t="shared" si="43"/>
        <v>0</v>
      </c>
      <c r="AQ106" s="24">
        <f t="shared" si="44"/>
        <v>0</v>
      </c>
      <c r="AR106" s="24">
        <f t="shared" si="45"/>
        <v>0.41310596944039313</v>
      </c>
      <c r="AS106" s="24">
        <f t="shared" si="46"/>
        <v>0.55496299511895208</v>
      </c>
      <c r="AT106" s="24">
        <f t="shared" si="47"/>
        <v>0.42971054933767311</v>
      </c>
      <c r="AU106" s="24">
        <f t="shared" si="48"/>
        <v>0.39429281209524125</v>
      </c>
      <c r="AV106" s="24">
        <f t="shared" si="49"/>
        <v>0.44603655371080297</v>
      </c>
      <c r="AW106" s="24">
        <f t="shared" si="50"/>
        <v>0.80580498989659421</v>
      </c>
      <c r="AX106" s="24">
        <f t="shared" si="51"/>
        <v>0.2087272842194472</v>
      </c>
      <c r="AY106" s="24">
        <f t="shared" si="52"/>
        <v>0.18816720598357356</v>
      </c>
      <c r="AZ106" s="24">
        <f t="shared" si="53"/>
        <v>0.13532697601945817</v>
      </c>
      <c r="BA106" s="24">
        <f t="shared" si="54"/>
        <v>6.9163289997509328E-2</v>
      </c>
      <c r="BB106" s="24">
        <f t="shared" si="55"/>
        <v>9.4378459888063079E-2</v>
      </c>
      <c r="BC106" s="49">
        <f t="shared" si="56"/>
        <v>3.8740501923447579</v>
      </c>
    </row>
    <row r="107" spans="35:55" x14ac:dyDescent="0.2">
      <c r="AI107" s="4">
        <f>F30</f>
        <v>41305</v>
      </c>
      <c r="AJ107" s="24">
        <f t="shared" si="37"/>
        <v>0</v>
      </c>
      <c r="AK107" s="24">
        <f t="shared" si="38"/>
        <v>0</v>
      </c>
      <c r="AL107" s="24">
        <f t="shared" si="39"/>
        <v>0</v>
      </c>
      <c r="AM107" s="24">
        <f t="shared" si="40"/>
        <v>0</v>
      </c>
      <c r="AN107" s="24">
        <f t="shared" si="41"/>
        <v>0</v>
      </c>
      <c r="AO107" s="24">
        <f t="shared" si="42"/>
        <v>0.1364144954106136</v>
      </c>
      <c r="AP107" s="24">
        <f t="shared" si="43"/>
        <v>0</v>
      </c>
      <c r="AQ107" s="24">
        <f t="shared" si="44"/>
        <v>0</v>
      </c>
      <c r="AR107" s="24">
        <f t="shared" si="45"/>
        <v>0.45031066401562531</v>
      </c>
      <c r="AS107" s="24">
        <f t="shared" si="46"/>
        <v>0.56360663346911166</v>
      </c>
      <c r="AT107" s="24">
        <f t="shared" si="47"/>
        <v>0.4094579951348204</v>
      </c>
      <c r="AU107" s="24">
        <f t="shared" si="48"/>
        <v>0.43294117218115347</v>
      </c>
      <c r="AV107" s="24">
        <f t="shared" si="49"/>
        <v>0.4560053972207852</v>
      </c>
      <c r="AW107" s="24">
        <f t="shared" si="50"/>
        <v>0.77115298486279082</v>
      </c>
      <c r="AX107" s="24">
        <f t="shared" si="51"/>
        <v>0.21519895198885725</v>
      </c>
      <c r="AY107" s="24">
        <f t="shared" si="52"/>
        <v>0.18242289646300899</v>
      </c>
      <c r="AZ107" s="24">
        <f t="shared" si="53"/>
        <v>0.12814991642377263</v>
      </c>
      <c r="BA107" s="24">
        <f t="shared" si="54"/>
        <v>6.5972138910813174E-2</v>
      </c>
      <c r="BB107" s="24">
        <f t="shared" si="55"/>
        <v>9.0692334148986795E-2</v>
      </c>
      <c r="BC107" s="49">
        <f t="shared" si="56"/>
        <v>3.9023255802303392</v>
      </c>
    </row>
    <row r="108" spans="35:55" x14ac:dyDescent="0.2">
      <c r="AI108" s="4">
        <f>F31</f>
        <v>41333</v>
      </c>
      <c r="AJ108" s="24">
        <f t="shared" si="37"/>
        <v>0</v>
      </c>
      <c r="AK108" s="24">
        <f t="shared" si="38"/>
        <v>0</v>
      </c>
      <c r="AL108" s="24">
        <f t="shared" si="39"/>
        <v>0</v>
      </c>
      <c r="AM108" s="24">
        <f t="shared" si="40"/>
        <v>0</v>
      </c>
      <c r="AN108" s="24">
        <f t="shared" si="41"/>
        <v>0</v>
      </c>
      <c r="AO108" s="24">
        <f t="shared" si="42"/>
        <v>0.13466220055223693</v>
      </c>
      <c r="AP108" s="24">
        <f t="shared" si="43"/>
        <v>0</v>
      </c>
      <c r="AQ108" s="24">
        <f t="shared" si="44"/>
        <v>0</v>
      </c>
      <c r="AR108" s="24">
        <f t="shared" si="45"/>
        <v>0.44846471968296209</v>
      </c>
      <c r="AS108" s="24">
        <f t="shared" si="46"/>
        <v>0.55668628461271463</v>
      </c>
      <c r="AT108" s="24">
        <f t="shared" si="47"/>
        <v>0.39598514221229769</v>
      </c>
      <c r="AU108" s="24">
        <f t="shared" si="48"/>
        <v>0.43429766348471338</v>
      </c>
      <c r="AV108" s="24">
        <f t="shared" si="49"/>
        <v>0.45292817927786899</v>
      </c>
      <c r="AW108" s="24">
        <f t="shared" si="50"/>
        <v>0.74880970829577265</v>
      </c>
      <c r="AX108" s="24">
        <f t="shared" si="51"/>
        <v>0.21563697727694839</v>
      </c>
      <c r="AY108" s="24">
        <f t="shared" si="52"/>
        <v>0.17976215849594693</v>
      </c>
      <c r="AZ108" s="24">
        <f t="shared" si="53"/>
        <v>0.12334483155160271</v>
      </c>
      <c r="BA108" s="24">
        <f t="shared" si="54"/>
        <v>6.4036663603378396E-2</v>
      </c>
      <c r="BB108" s="24">
        <f t="shared" si="55"/>
        <v>8.8579922203624151E-2</v>
      </c>
      <c r="BC108" s="49">
        <f t="shared" si="56"/>
        <v>3.8431944512500666</v>
      </c>
    </row>
    <row r="109" spans="35:55" x14ac:dyDescent="0.2">
      <c r="AI109" s="4">
        <f>F32</f>
        <v>41361</v>
      </c>
      <c r="AJ109" s="24">
        <f t="shared" si="37"/>
        <v>0</v>
      </c>
      <c r="AK109" s="24">
        <f t="shared" si="38"/>
        <v>1.066162429267675</v>
      </c>
      <c r="AL109" s="24">
        <f t="shared" si="39"/>
        <v>0</v>
      </c>
      <c r="AM109" s="24">
        <f t="shared" si="40"/>
        <v>0</v>
      </c>
      <c r="AN109" s="24">
        <f t="shared" si="41"/>
        <v>1.1843385142141729</v>
      </c>
      <c r="AO109" s="24">
        <f t="shared" si="42"/>
        <v>8.56225470687971E-2</v>
      </c>
      <c r="AP109" s="24">
        <f t="shared" si="43"/>
        <v>0</v>
      </c>
      <c r="AQ109" s="24">
        <f t="shared" si="44"/>
        <v>0</v>
      </c>
      <c r="AR109" s="24">
        <f t="shared" si="45"/>
        <v>0.28762562147499959</v>
      </c>
      <c r="AS109" s="24">
        <f t="shared" si="46"/>
        <v>0.35306106023687223</v>
      </c>
      <c r="AT109" s="24">
        <f t="shared" si="47"/>
        <v>0.23871742363967713</v>
      </c>
      <c r="AU109" s="24">
        <f t="shared" si="48"/>
        <v>0.28018607133466555</v>
      </c>
      <c r="AV109" s="24">
        <f t="shared" si="49"/>
        <v>0.28820635041205933</v>
      </c>
      <c r="AW109" s="24">
        <f t="shared" si="50"/>
        <v>0.45286648247375416</v>
      </c>
      <c r="AX109" s="24">
        <f t="shared" si="51"/>
        <v>0.13830011470081338</v>
      </c>
      <c r="AY109" s="24">
        <f t="shared" si="52"/>
        <v>0.1103297383495033</v>
      </c>
      <c r="AZ109" s="24">
        <f t="shared" si="53"/>
        <v>7.392900906911902E-2</v>
      </c>
      <c r="BA109" s="24">
        <f t="shared" si="54"/>
        <v>3.8600997495158475E-2</v>
      </c>
      <c r="BB109" s="24">
        <f t="shared" si="55"/>
        <v>5.3640282338419477E-2</v>
      </c>
      <c r="BC109" s="49">
        <f t="shared" si="56"/>
        <v>4.6515866420756877</v>
      </c>
    </row>
    <row r="110" spans="35:55" x14ac:dyDescent="0.2">
      <c r="AI110" s="4">
        <f>F33</f>
        <v>41394</v>
      </c>
      <c r="AJ110" s="24">
        <f t="shared" si="37"/>
        <v>0</v>
      </c>
      <c r="AK110" s="24">
        <f t="shared" si="38"/>
        <v>0.94733704799534391</v>
      </c>
      <c r="AL110" s="24">
        <f t="shared" si="39"/>
        <v>0</v>
      </c>
      <c r="AM110" s="24">
        <f t="shared" si="40"/>
        <v>0</v>
      </c>
      <c r="AN110" s="24">
        <f t="shared" si="41"/>
        <v>1.0443831853405086</v>
      </c>
      <c r="AO110" s="24">
        <f t="shared" si="42"/>
        <v>7.4272426667518959E-2</v>
      </c>
      <c r="AP110" s="24">
        <f t="shared" si="43"/>
        <v>0</v>
      </c>
      <c r="AQ110" s="24">
        <f t="shared" si="44"/>
        <v>0</v>
      </c>
      <c r="AR110" s="24">
        <f t="shared" si="45"/>
        <v>0.25151555929496378</v>
      </c>
      <c r="AS110" s="24">
        <f t="shared" si="46"/>
        <v>0.30518396174433238</v>
      </c>
      <c r="AT110" s="24">
        <f t="shared" si="47"/>
        <v>0.21021708033519329</v>
      </c>
      <c r="AU110" s="24">
        <f t="shared" si="48"/>
        <v>0.24555736676719908</v>
      </c>
      <c r="AV110" s="24">
        <f t="shared" si="49"/>
        <v>0.24942261671058275</v>
      </c>
      <c r="AW110" s="24">
        <f t="shared" si="50"/>
        <v>0.40057515091198848</v>
      </c>
      <c r="AX110" s="24">
        <f t="shared" si="51"/>
        <v>0.12054461820130651</v>
      </c>
      <c r="AY110" s="24">
        <f t="shared" si="52"/>
        <v>9.8805595458272139E-2</v>
      </c>
      <c r="AZ110" s="24">
        <f t="shared" si="53"/>
        <v>6.473132660939751E-2</v>
      </c>
      <c r="BA110" s="24">
        <f t="shared" si="54"/>
        <v>3.3964039480506469E-2</v>
      </c>
      <c r="BB110" s="24">
        <f t="shared" si="55"/>
        <v>4.749242225212405E-2</v>
      </c>
      <c r="BC110" s="49">
        <f t="shared" si="56"/>
        <v>4.0940023977692368</v>
      </c>
    </row>
    <row r="111" spans="35:55" x14ac:dyDescent="0.2">
      <c r="AI111" s="4">
        <f>F34</f>
        <v>41425</v>
      </c>
      <c r="AJ111" s="24">
        <f t="shared" si="37"/>
        <v>0</v>
      </c>
      <c r="AK111" s="24">
        <f t="shared" si="38"/>
        <v>1.1728901790471566</v>
      </c>
      <c r="AL111" s="24">
        <f t="shared" si="39"/>
        <v>0</v>
      </c>
      <c r="AM111" s="24">
        <f t="shared" si="40"/>
        <v>0</v>
      </c>
      <c r="AN111" s="24">
        <f t="shared" si="41"/>
        <v>1.2852239391679479</v>
      </c>
      <c r="AO111" s="24">
        <f t="shared" si="42"/>
        <v>7.5238159919010672E-2</v>
      </c>
      <c r="AP111" s="24">
        <f t="shared" si="43"/>
        <v>0</v>
      </c>
      <c r="AQ111" s="24">
        <f t="shared" si="44"/>
        <v>0</v>
      </c>
      <c r="AR111" s="24">
        <f t="shared" si="45"/>
        <v>0.29714269510196373</v>
      </c>
      <c r="AS111" s="24">
        <f t="shared" si="46"/>
        <v>0.30751327804274059</v>
      </c>
      <c r="AT111" s="24">
        <f t="shared" si="47"/>
        <v>0.19957963545646321</v>
      </c>
      <c r="AU111" s="24">
        <f t="shared" si="48"/>
        <v>0.28974397314046357</v>
      </c>
      <c r="AV111" s="24">
        <f t="shared" si="49"/>
        <v>0.25078928958985686</v>
      </c>
      <c r="AW111" s="24">
        <f t="shared" si="50"/>
        <v>0.38035288612380835</v>
      </c>
      <c r="AX111" s="24">
        <f t="shared" si="51"/>
        <v>0.12213882932628811</v>
      </c>
      <c r="AY111" s="24">
        <f t="shared" si="52"/>
        <v>9.4840752741141482E-2</v>
      </c>
      <c r="AZ111" s="24">
        <f t="shared" si="53"/>
        <v>6.0633972442343351E-2</v>
      </c>
      <c r="BA111" s="24">
        <f t="shared" si="54"/>
        <v>3.1963683467081776E-2</v>
      </c>
      <c r="BB111" s="24">
        <f t="shared" si="55"/>
        <v>4.5148963252193287E-2</v>
      </c>
      <c r="BC111" s="49">
        <f t="shared" si="56"/>
        <v>4.613200236818459</v>
      </c>
    </row>
    <row r="112" spans="35:55" x14ac:dyDescent="0.2">
      <c r="AI112" s="4">
        <f>F35</f>
        <v>41453</v>
      </c>
      <c r="AJ112" s="24">
        <f t="shared" si="37"/>
        <v>0</v>
      </c>
      <c r="AK112" s="24">
        <f t="shared" si="38"/>
        <v>1.2416208300110814</v>
      </c>
      <c r="AL112" s="24">
        <f t="shared" si="39"/>
        <v>0</v>
      </c>
      <c r="AM112" s="24">
        <f t="shared" si="40"/>
        <v>0</v>
      </c>
      <c r="AN112" s="24">
        <f t="shared" si="41"/>
        <v>1.3536517315968191</v>
      </c>
      <c r="AO112" s="24">
        <f t="shared" si="42"/>
        <v>8.7121451776293393E-2</v>
      </c>
      <c r="AP112" s="24">
        <f t="shared" si="43"/>
        <v>0</v>
      </c>
      <c r="AQ112" s="24">
        <f t="shared" si="44"/>
        <v>0</v>
      </c>
      <c r="AR112" s="24">
        <f t="shared" si="45"/>
        <v>0.33364718716553077</v>
      </c>
      <c r="AS112" s="24">
        <f t="shared" si="46"/>
        <v>0.35406016020583253</v>
      </c>
      <c r="AT112" s="24">
        <f t="shared" si="47"/>
        <v>0.20904052164168072</v>
      </c>
      <c r="AU112" s="24">
        <f t="shared" si="48"/>
        <v>0.32443847186575686</v>
      </c>
      <c r="AV112" s="24">
        <f t="shared" si="49"/>
        <v>0.28732917963596383</v>
      </c>
      <c r="AW112" s="24">
        <f t="shared" si="50"/>
        <v>0.39760190292984138</v>
      </c>
      <c r="AX112" s="24">
        <f t="shared" si="51"/>
        <v>0.14074747857011566</v>
      </c>
      <c r="AY112" s="24">
        <f t="shared" si="52"/>
        <v>0.10005627890425255</v>
      </c>
      <c r="AZ112" s="24">
        <f t="shared" si="53"/>
        <v>6.2243341497477213E-2</v>
      </c>
      <c r="BA112" s="24">
        <f t="shared" si="54"/>
        <v>3.2957320649574018E-2</v>
      </c>
      <c r="BB112" s="24">
        <f t="shared" si="55"/>
        <v>4.7034187944017009E-2</v>
      </c>
      <c r="BC112" s="49">
        <f t="shared" si="56"/>
        <v>4.9715500443942355</v>
      </c>
    </row>
    <row r="113" spans="35:55" x14ac:dyDescent="0.2">
      <c r="AI113" s="4">
        <f>F36</f>
        <v>41486</v>
      </c>
      <c r="AJ113" s="24">
        <f t="shared" si="37"/>
        <v>0</v>
      </c>
      <c r="AK113" s="24">
        <f t="shared" si="38"/>
        <v>1.3554245327756573</v>
      </c>
      <c r="AL113" s="24">
        <f t="shared" si="39"/>
        <v>0</v>
      </c>
      <c r="AM113" s="24">
        <f t="shared" si="40"/>
        <v>0</v>
      </c>
      <c r="AN113" s="24">
        <f t="shared" si="41"/>
        <v>1.4680409981077325</v>
      </c>
      <c r="AO113" s="24">
        <f t="shared" si="42"/>
        <v>9.1322945964651833E-2</v>
      </c>
      <c r="AP113" s="24">
        <f t="shared" si="43"/>
        <v>0</v>
      </c>
      <c r="AQ113" s="24">
        <f t="shared" si="44"/>
        <v>0</v>
      </c>
      <c r="AR113" s="24">
        <f t="shared" si="45"/>
        <v>0.35041466937856131</v>
      </c>
      <c r="AS113" s="24">
        <f t="shared" si="46"/>
        <v>0.36947496409373026</v>
      </c>
      <c r="AT113" s="24">
        <f t="shared" si="47"/>
        <v>0.21960393166889533</v>
      </c>
      <c r="AU113" s="24">
        <f t="shared" si="48"/>
        <v>0.34034408184027348</v>
      </c>
      <c r="AV113" s="24">
        <f t="shared" si="49"/>
        <v>0.29918856398489291</v>
      </c>
      <c r="AW113" s="24">
        <f t="shared" si="50"/>
        <v>0.41716773843242572</v>
      </c>
      <c r="AX113" s="24">
        <f t="shared" si="51"/>
        <v>0.14722773406530326</v>
      </c>
      <c r="AY113" s="24">
        <f t="shared" si="52"/>
        <v>0.10587842577464177</v>
      </c>
      <c r="AZ113" s="24">
        <f t="shared" si="53"/>
        <v>6.3916693648463932E-2</v>
      </c>
      <c r="BA113" s="24">
        <f t="shared" si="54"/>
        <v>3.399715307774822E-2</v>
      </c>
      <c r="BB113" s="24">
        <f t="shared" si="55"/>
        <v>4.9071843131550455E-2</v>
      </c>
      <c r="BC113" s="49">
        <f t="shared" si="56"/>
        <v>5.3110742759445282</v>
      </c>
    </row>
    <row r="114" spans="35:55" x14ac:dyDescent="0.2">
      <c r="AI114" s="4">
        <f>F37</f>
        <v>41516</v>
      </c>
      <c r="AJ114" s="24">
        <f t="shared" si="37"/>
        <v>0</v>
      </c>
      <c r="AK114" s="24">
        <f t="shared" si="38"/>
        <v>1.3887109118513528</v>
      </c>
      <c r="AL114" s="24">
        <f t="shared" si="39"/>
        <v>0</v>
      </c>
      <c r="AM114" s="24">
        <f t="shared" si="40"/>
        <v>0</v>
      </c>
      <c r="AN114" s="24">
        <f t="shared" si="41"/>
        <v>1.4953595277041627</v>
      </c>
      <c r="AO114" s="24">
        <f t="shared" si="42"/>
        <v>0.1002960577518594</v>
      </c>
      <c r="AP114" s="24">
        <f t="shared" si="43"/>
        <v>0</v>
      </c>
      <c r="AQ114" s="24">
        <f t="shared" si="44"/>
        <v>0</v>
      </c>
      <c r="AR114" s="24">
        <f t="shared" si="45"/>
        <v>0.3745436907459393</v>
      </c>
      <c r="AS114" s="24">
        <f t="shared" si="46"/>
        <v>0.40335844134749427</v>
      </c>
      <c r="AT114" s="24">
        <f t="shared" si="47"/>
        <v>0.23076398933357828</v>
      </c>
      <c r="AU114" s="24">
        <f t="shared" si="48"/>
        <v>0.36324427925125891</v>
      </c>
      <c r="AV114" s="24">
        <f t="shared" si="49"/>
        <v>0.32609947770232617</v>
      </c>
      <c r="AW114" s="24">
        <f t="shared" si="50"/>
        <v>0.43746435523641281</v>
      </c>
      <c r="AX114" s="24">
        <f t="shared" si="51"/>
        <v>0.16114789166788238</v>
      </c>
      <c r="AY114" s="24">
        <f t="shared" si="52"/>
        <v>0.11196457278889783</v>
      </c>
      <c r="AZ114" s="24">
        <f t="shared" si="53"/>
        <v>6.5571519756640217E-2</v>
      </c>
      <c r="BA114" s="24">
        <f t="shared" si="54"/>
        <v>3.5117775849010893E-2</v>
      </c>
      <c r="BB114" s="24">
        <f t="shared" si="55"/>
        <v>5.1243937485172079E-2</v>
      </c>
      <c r="BC114" s="49">
        <f t="shared" si="56"/>
        <v>5.5448864284719885</v>
      </c>
    </row>
    <row r="115" spans="35:55" x14ac:dyDescent="0.2">
      <c r="AI115" s="4">
        <f>F38</f>
        <v>41547</v>
      </c>
      <c r="AJ115" s="24">
        <f t="shared" si="37"/>
        <v>0</v>
      </c>
      <c r="AK115" s="24">
        <f t="shared" si="38"/>
        <v>1.4408699285680415</v>
      </c>
      <c r="AL115" s="24">
        <f t="shared" si="39"/>
        <v>0</v>
      </c>
      <c r="AM115" s="24">
        <f t="shared" si="40"/>
        <v>0</v>
      </c>
      <c r="AN115" s="24">
        <f t="shared" si="41"/>
        <v>1.5457535534716789</v>
      </c>
      <c r="AO115" s="24">
        <f t="shared" si="42"/>
        <v>9.8331924572928067E-2</v>
      </c>
      <c r="AP115" s="24">
        <f t="shared" si="43"/>
        <v>0</v>
      </c>
      <c r="AQ115" s="24">
        <f t="shared" si="44"/>
        <v>0</v>
      </c>
      <c r="AR115" s="24">
        <f t="shared" si="45"/>
        <v>0.37177867588124441</v>
      </c>
      <c r="AS115" s="24">
        <f t="shared" si="46"/>
        <v>0.39348558587910354</v>
      </c>
      <c r="AT115" s="24">
        <f t="shared" si="47"/>
        <v>0.23404772760682396</v>
      </c>
      <c r="AU115" s="24">
        <f t="shared" si="48"/>
        <v>0.35908316312017746</v>
      </c>
      <c r="AV115" s="24">
        <f t="shared" si="49"/>
        <v>0.31642761036994776</v>
      </c>
      <c r="AW115" s="24">
        <f t="shared" si="50"/>
        <v>0.44145830401594982</v>
      </c>
      <c r="AX115" s="24">
        <f t="shared" si="51"/>
        <v>0.15643714967782213</v>
      </c>
      <c r="AY115" s="24">
        <f t="shared" si="52"/>
        <v>0.11340326024750431</v>
      </c>
      <c r="AZ115" s="24">
        <f t="shared" si="53"/>
        <v>6.4448940109814085E-2</v>
      </c>
      <c r="BA115" s="24">
        <f t="shared" si="54"/>
        <v>3.4661093741370864E-2</v>
      </c>
      <c r="BB115" s="24">
        <f t="shared" si="55"/>
        <v>5.1049230181215807E-2</v>
      </c>
      <c r="BC115" s="49">
        <f t="shared" si="56"/>
        <v>5.6212361474436241</v>
      </c>
    </row>
    <row r="116" spans="35:55" x14ac:dyDescent="0.2">
      <c r="AI116" s="4">
        <f>F39</f>
        <v>41578</v>
      </c>
      <c r="AJ116" s="24">
        <f t="shared" si="37"/>
        <v>0</v>
      </c>
      <c r="AK116" s="24">
        <f t="shared" si="38"/>
        <v>1.4240057762997338</v>
      </c>
      <c r="AL116" s="24">
        <f t="shared" si="39"/>
        <v>0</v>
      </c>
      <c r="AM116" s="24">
        <f t="shared" si="40"/>
        <v>0</v>
      </c>
      <c r="AN116" s="24">
        <f t="shared" si="41"/>
        <v>1.5244981713288301</v>
      </c>
      <c r="AO116" s="24">
        <f t="shared" si="42"/>
        <v>9.5269419870685393E-2</v>
      </c>
      <c r="AP116" s="24">
        <f t="shared" si="43"/>
        <v>0</v>
      </c>
      <c r="AQ116" s="24">
        <f t="shared" si="44"/>
        <v>0</v>
      </c>
      <c r="AR116" s="24">
        <f t="shared" si="45"/>
        <v>0.3664566554413578</v>
      </c>
      <c r="AS116" s="24">
        <f t="shared" si="46"/>
        <v>0.37967443169571524</v>
      </c>
      <c r="AT116" s="24">
        <f t="shared" si="47"/>
        <v>0.23974224193036478</v>
      </c>
      <c r="AU116" s="24">
        <f t="shared" si="48"/>
        <v>0.35259164627360012</v>
      </c>
      <c r="AV116" s="24">
        <f t="shared" si="49"/>
        <v>0.30382030772597424</v>
      </c>
      <c r="AW116" s="24">
        <f t="shared" si="50"/>
        <v>0.44998613710477625</v>
      </c>
      <c r="AX116" s="24">
        <f t="shared" si="51"/>
        <v>0.15000868757007765</v>
      </c>
      <c r="AY116" s="24">
        <f t="shared" si="52"/>
        <v>0.11531456502571333</v>
      </c>
      <c r="AZ116" s="24">
        <f t="shared" si="53"/>
        <v>6.3880190811515677E-2</v>
      </c>
      <c r="BA116" s="24">
        <f t="shared" si="54"/>
        <v>3.4313489411849037E-2</v>
      </c>
      <c r="BB116" s="24">
        <f t="shared" si="55"/>
        <v>5.0825100833939152E-2</v>
      </c>
      <c r="BC116" s="49">
        <f t="shared" si="56"/>
        <v>5.5503868213241336</v>
      </c>
    </row>
    <row r="117" spans="35:55" x14ac:dyDescent="0.2">
      <c r="AI117" s="4">
        <f>F40</f>
        <v>41607</v>
      </c>
      <c r="AJ117" s="24">
        <f t="shared" ref="AJ117:AJ148" si="57">G40*AJ40</f>
        <v>0</v>
      </c>
      <c r="AK117" s="24">
        <f t="shared" ref="AK117:AK148" si="58">H40*AK40</f>
        <v>1.5258702655605267</v>
      </c>
      <c r="AL117" s="24">
        <f t="shared" ref="AL117:AL148" si="59">I40*AL40</f>
        <v>0</v>
      </c>
      <c r="AM117" s="24">
        <f t="shared" ref="AM117:AM148" si="60">J40*AM40</f>
        <v>0</v>
      </c>
      <c r="AN117" s="24">
        <f t="shared" ref="AN117:AN148" si="61">K40*AN40</f>
        <v>1.6312717998006656</v>
      </c>
      <c r="AO117" s="24">
        <f t="shared" ref="AO117:AO148" si="62">L40*AO40</f>
        <v>0.10181006413163911</v>
      </c>
      <c r="AP117" s="24">
        <f t="shared" ref="AP117:AP148" si="63">M40*AP40</f>
        <v>0</v>
      </c>
      <c r="AQ117" s="24">
        <f t="shared" ref="AQ117:AQ148" si="64">N40*AQ40</f>
        <v>0</v>
      </c>
      <c r="AR117" s="24">
        <f t="shared" ref="AR117:AR148" si="65">O40*AR40</f>
        <v>0.39892549253779774</v>
      </c>
      <c r="AS117" s="24">
        <f t="shared" ref="AS117:AS148" si="66">P40*AS40</f>
        <v>0.40476518554441077</v>
      </c>
      <c r="AT117" s="24">
        <f t="shared" ref="AT117:AT148" si="67">Q40*AT40</f>
        <v>0.2586744132802461</v>
      </c>
      <c r="AU117" s="24">
        <f t="shared" ref="AU117:AU148" si="68">R40*AU40</f>
        <v>0.38252566173510127</v>
      </c>
      <c r="AV117" s="24">
        <f t="shared" ref="AV117:AV148" si="69">S40*AV40</f>
        <v>0.32277876044407255</v>
      </c>
      <c r="AW117" s="24">
        <f t="shared" ref="AW117:AW148" si="70">T40*AW40</f>
        <v>0.48379966809687119</v>
      </c>
      <c r="AX117" s="24">
        <f t="shared" ref="AX117:AX148" si="71">U40*AX40</f>
        <v>0.15889004449574184</v>
      </c>
      <c r="AY117" s="24">
        <f t="shared" ref="AY117:AY148" si="72">V40*AY40</f>
        <v>0.12349056357037086</v>
      </c>
      <c r="AZ117" s="24">
        <f t="shared" ref="AZ117:AZ148" si="73">W40*AZ40</f>
        <v>6.7028011445432134E-2</v>
      </c>
      <c r="BA117" s="24">
        <f t="shared" ref="BA117:BA148" si="74">X40*BA40</f>
        <v>3.5885152410069156E-2</v>
      </c>
      <c r="BB117" s="24">
        <f t="shared" ref="BB117:BB148" si="75">Y40*BB40</f>
        <v>5.337562625184044E-2</v>
      </c>
      <c r="BC117" s="49">
        <f t="shared" si="56"/>
        <v>5.9490907093047865</v>
      </c>
    </row>
    <row r="118" spans="35:55" x14ac:dyDescent="0.2">
      <c r="AI118" s="4">
        <f>F41</f>
        <v>41639</v>
      </c>
      <c r="AJ118" s="24">
        <f t="shared" si="57"/>
        <v>0</v>
      </c>
      <c r="AK118" s="24">
        <f t="shared" si="58"/>
        <v>1.5728925357324317</v>
      </c>
      <c r="AL118" s="24">
        <f t="shared" si="59"/>
        <v>0</v>
      </c>
      <c r="AM118" s="24">
        <f t="shared" si="60"/>
        <v>0</v>
      </c>
      <c r="AN118" s="24">
        <f t="shared" si="61"/>
        <v>1.6792643190733048</v>
      </c>
      <c r="AO118" s="24">
        <f t="shared" si="62"/>
        <v>0.11327073270251248</v>
      </c>
      <c r="AP118" s="24">
        <f t="shared" si="63"/>
        <v>0</v>
      </c>
      <c r="AQ118" s="24">
        <f t="shared" si="64"/>
        <v>0</v>
      </c>
      <c r="AR118" s="24">
        <f t="shared" si="65"/>
        <v>0.42577392851671608</v>
      </c>
      <c r="AS118" s="24">
        <f t="shared" si="66"/>
        <v>0.44971000768735148</v>
      </c>
      <c r="AT118" s="24">
        <f t="shared" si="67"/>
        <v>0.28224791028031099</v>
      </c>
      <c r="AU118" s="24">
        <f t="shared" si="68"/>
        <v>0.40740274277122401</v>
      </c>
      <c r="AV118" s="24">
        <f t="shared" si="69"/>
        <v>0.35738179529575775</v>
      </c>
      <c r="AW118" s="24">
        <f t="shared" si="70"/>
        <v>0.52592621360038683</v>
      </c>
      <c r="AX118" s="24">
        <f t="shared" si="71"/>
        <v>0.17545754998711713</v>
      </c>
      <c r="AY118" s="24">
        <f t="shared" si="72"/>
        <v>0.13371383863111408</v>
      </c>
      <c r="AZ118" s="24">
        <f t="shared" si="73"/>
        <v>7.1182907554481895E-2</v>
      </c>
      <c r="BA118" s="24">
        <f t="shared" si="74"/>
        <v>3.8035765759723429E-2</v>
      </c>
      <c r="BB118" s="24">
        <f t="shared" si="75"/>
        <v>5.6548898115743609E-2</v>
      </c>
      <c r="BC118" s="49">
        <f t="shared" si="56"/>
        <v>6.288809145708175</v>
      </c>
    </row>
    <row r="119" spans="35:55" x14ac:dyDescent="0.2">
      <c r="AI119" s="4">
        <f>F42</f>
        <v>41670</v>
      </c>
      <c r="AJ119" s="24">
        <f t="shared" si="57"/>
        <v>0</v>
      </c>
      <c r="AK119" s="24">
        <f t="shared" si="58"/>
        <v>1.5499953218416005</v>
      </c>
      <c r="AL119" s="24">
        <f t="shared" si="59"/>
        <v>0</v>
      </c>
      <c r="AM119" s="24">
        <f t="shared" si="60"/>
        <v>0</v>
      </c>
      <c r="AN119" s="24">
        <f t="shared" si="61"/>
        <v>1.6524149085082325</v>
      </c>
      <c r="AO119" s="24">
        <f t="shared" si="62"/>
        <v>0.10804444457845812</v>
      </c>
      <c r="AP119" s="24">
        <f t="shared" si="63"/>
        <v>0</v>
      </c>
      <c r="AQ119" s="24">
        <f t="shared" si="64"/>
        <v>0</v>
      </c>
      <c r="AR119" s="24">
        <f t="shared" si="65"/>
        <v>0.40434809665523047</v>
      </c>
      <c r="AS119" s="24">
        <f t="shared" si="66"/>
        <v>0.42836991479919884</v>
      </c>
      <c r="AT119" s="24">
        <f t="shared" si="67"/>
        <v>0.28090755287033126</v>
      </c>
      <c r="AU119" s="24">
        <f t="shared" si="68"/>
        <v>0.38587050621592933</v>
      </c>
      <c r="AV119" s="24">
        <f t="shared" si="69"/>
        <v>0.3391661041570399</v>
      </c>
      <c r="AW119" s="24">
        <f t="shared" si="70"/>
        <v>0.5213420915416197</v>
      </c>
      <c r="AX119" s="24">
        <f t="shared" si="71"/>
        <v>0.16613034777041996</v>
      </c>
      <c r="AY119" s="24">
        <f t="shared" si="72"/>
        <v>0.13219201528387972</v>
      </c>
      <c r="AZ119" s="24">
        <f t="shared" si="73"/>
        <v>6.9225303008789596E-2</v>
      </c>
      <c r="BA119" s="24">
        <f t="shared" si="74"/>
        <v>3.6832661009554964E-2</v>
      </c>
      <c r="BB119" s="24">
        <f t="shared" si="75"/>
        <v>5.4886945073375729E-2</v>
      </c>
      <c r="BC119" s="49">
        <f t="shared" si="56"/>
        <v>6.1297262133136607</v>
      </c>
    </row>
    <row r="120" spans="35:55" x14ac:dyDescent="0.2">
      <c r="AI120" s="4">
        <f>F43</f>
        <v>41698</v>
      </c>
      <c r="AJ120" s="24">
        <f t="shared" si="57"/>
        <v>0</v>
      </c>
      <c r="AK120" s="24">
        <f t="shared" si="58"/>
        <v>1.5717857093370271</v>
      </c>
      <c r="AL120" s="24">
        <f t="shared" si="59"/>
        <v>0</v>
      </c>
      <c r="AM120" s="24">
        <f t="shared" si="60"/>
        <v>0</v>
      </c>
      <c r="AN120" s="24">
        <f t="shared" si="61"/>
        <v>1.6732012047825258</v>
      </c>
      <c r="AO120" s="24">
        <f t="shared" si="62"/>
        <v>0.11405021139523315</v>
      </c>
      <c r="AP120" s="24">
        <f t="shared" si="63"/>
        <v>0</v>
      </c>
      <c r="AQ120" s="24">
        <f t="shared" si="64"/>
        <v>0</v>
      </c>
      <c r="AR120" s="24">
        <f t="shared" si="65"/>
        <v>0.41017106399932463</v>
      </c>
      <c r="AS120" s="24">
        <f t="shared" si="66"/>
        <v>0.45136210260389953</v>
      </c>
      <c r="AT120" s="24">
        <f t="shared" si="67"/>
        <v>0.2913575846074074</v>
      </c>
      <c r="AU120" s="24">
        <f t="shared" si="68"/>
        <v>0.39013669009701996</v>
      </c>
      <c r="AV120" s="24">
        <f t="shared" si="69"/>
        <v>0.35604531439307163</v>
      </c>
      <c r="AW120" s="24">
        <f t="shared" si="70"/>
        <v>0.53810979632537104</v>
      </c>
      <c r="AX120" s="24">
        <f t="shared" si="71"/>
        <v>0.17375913394501707</v>
      </c>
      <c r="AY120" s="24">
        <f t="shared" si="72"/>
        <v>0.13610013652458</v>
      </c>
      <c r="AZ120" s="24">
        <f t="shared" si="73"/>
        <v>7.0132582242681374E-2</v>
      </c>
      <c r="BA120" s="24">
        <f t="shared" si="74"/>
        <v>3.721546433073749E-2</v>
      </c>
      <c r="BB120" s="24">
        <f t="shared" si="75"/>
        <v>5.5576869964926064E-2</v>
      </c>
      <c r="BC120" s="49">
        <f t="shared" si="56"/>
        <v>6.2690038645488224</v>
      </c>
    </row>
    <row r="121" spans="35:55" x14ac:dyDescent="0.2">
      <c r="AI121" s="4">
        <f>F44</f>
        <v>41729</v>
      </c>
      <c r="AJ121" s="24">
        <f t="shared" si="57"/>
        <v>1.2399092418249231</v>
      </c>
      <c r="AK121" s="24">
        <f t="shared" si="58"/>
        <v>1.0655966671394517</v>
      </c>
      <c r="AL121" s="24">
        <f t="shared" si="59"/>
        <v>0</v>
      </c>
      <c r="AM121" s="24">
        <f t="shared" si="60"/>
        <v>0.74580009288089133</v>
      </c>
      <c r="AN121" s="24">
        <f t="shared" si="61"/>
        <v>1.1331932846514621</v>
      </c>
      <c r="AO121" s="24">
        <f t="shared" si="62"/>
        <v>7.8997393366899427E-2</v>
      </c>
      <c r="AP121" s="24">
        <f t="shared" si="63"/>
        <v>0</v>
      </c>
      <c r="AQ121" s="24">
        <f t="shared" si="64"/>
        <v>0.61913452173530126</v>
      </c>
      <c r="AR121" s="24">
        <f t="shared" si="65"/>
        <v>0.28090235498921962</v>
      </c>
      <c r="AS121" s="24">
        <f t="shared" si="66"/>
        <v>0.31225695704051576</v>
      </c>
      <c r="AT121" s="24">
        <f t="shared" si="67"/>
        <v>0.19492956659938324</v>
      </c>
      <c r="AU121" s="24">
        <f t="shared" si="68"/>
        <v>0.26669922317278416</v>
      </c>
      <c r="AV121" s="24">
        <f t="shared" si="69"/>
        <v>0.24563572930088556</v>
      </c>
      <c r="AW121" s="24">
        <f t="shared" si="70"/>
        <v>0.35897973423946</v>
      </c>
      <c r="AX121" s="24">
        <f t="shared" si="71"/>
        <v>0.1197250037614206</v>
      </c>
      <c r="AY121" s="24">
        <f t="shared" si="72"/>
        <v>9.0561933712933543E-2</v>
      </c>
      <c r="AZ121" s="24">
        <f t="shared" si="73"/>
        <v>4.5988491700562316E-2</v>
      </c>
      <c r="BA121" s="24">
        <f t="shared" si="74"/>
        <v>2.4350576566942592E-2</v>
      </c>
      <c r="BB121" s="24">
        <f t="shared" si="75"/>
        <v>3.6346529236056052E-2</v>
      </c>
      <c r="BC121" s="49">
        <f t="shared" si="56"/>
        <v>6.8590073019190925</v>
      </c>
    </row>
    <row r="122" spans="35:55" x14ac:dyDescent="0.2">
      <c r="AI122" s="4">
        <f>F45</f>
        <v>41759</v>
      </c>
      <c r="AJ122" s="24">
        <f t="shared" si="57"/>
        <v>1.2073729981238437</v>
      </c>
      <c r="AK122" s="24">
        <f t="shared" si="58"/>
        <v>1.0556628815432589</v>
      </c>
      <c r="AL122" s="24">
        <f t="shared" si="59"/>
        <v>0</v>
      </c>
      <c r="AM122" s="24">
        <f t="shared" si="60"/>
        <v>0.7259621489512964</v>
      </c>
      <c r="AN122" s="24">
        <f t="shared" si="61"/>
        <v>1.1213954215328821</v>
      </c>
      <c r="AO122" s="24">
        <f t="shared" si="62"/>
        <v>7.7404320703970436E-2</v>
      </c>
      <c r="AP122" s="24">
        <f t="shared" si="63"/>
        <v>0</v>
      </c>
      <c r="AQ122" s="24">
        <f t="shared" si="64"/>
        <v>0.60224426476350224</v>
      </c>
      <c r="AR122" s="24">
        <f t="shared" si="65"/>
        <v>0.27457125721303932</v>
      </c>
      <c r="AS122" s="24">
        <f t="shared" si="66"/>
        <v>0.30579742973149243</v>
      </c>
      <c r="AT122" s="24">
        <f t="shared" si="67"/>
        <v>0.19723620541729034</v>
      </c>
      <c r="AU122" s="24">
        <f t="shared" si="68"/>
        <v>0.26017303547417692</v>
      </c>
      <c r="AV122" s="24">
        <f t="shared" si="69"/>
        <v>0.24001866728173271</v>
      </c>
      <c r="AW122" s="24">
        <f t="shared" si="70"/>
        <v>0.36221914567504526</v>
      </c>
      <c r="AX122" s="24">
        <f t="shared" si="71"/>
        <v>0.11667142484396097</v>
      </c>
      <c r="AY122" s="24">
        <f t="shared" si="72"/>
        <v>9.1131685816871352E-2</v>
      </c>
      <c r="AZ122" s="24">
        <f t="shared" si="73"/>
        <v>4.5675965879318159E-2</v>
      </c>
      <c r="BA122" s="24">
        <f t="shared" si="74"/>
        <v>2.4157123624353939E-2</v>
      </c>
      <c r="BB122" s="24">
        <f t="shared" si="75"/>
        <v>3.6059790912528311E-2</v>
      </c>
      <c r="BC122" s="49">
        <f t="shared" si="56"/>
        <v>6.7437537674885633</v>
      </c>
    </row>
    <row r="123" spans="35:55" x14ac:dyDescent="0.2">
      <c r="AI123" s="4">
        <f>F46</f>
        <v>41789</v>
      </c>
      <c r="AJ123" s="24">
        <f t="shared" si="57"/>
        <v>1.1515542144779651</v>
      </c>
      <c r="AK123" s="24">
        <f t="shared" si="58"/>
        <v>1.0338782437023162</v>
      </c>
      <c r="AL123" s="24">
        <f t="shared" si="59"/>
        <v>0</v>
      </c>
      <c r="AM123" s="24">
        <f t="shared" si="60"/>
        <v>0.69215951819722377</v>
      </c>
      <c r="AN123" s="24">
        <f t="shared" si="61"/>
        <v>1.0969639891718956</v>
      </c>
      <c r="AO123" s="24">
        <f t="shared" si="62"/>
        <v>7.2254835043492699E-2</v>
      </c>
      <c r="AP123" s="24">
        <f t="shared" si="63"/>
        <v>0</v>
      </c>
      <c r="AQ123" s="24">
        <f t="shared" si="64"/>
        <v>0.57294983298639779</v>
      </c>
      <c r="AR123" s="24">
        <f t="shared" si="65"/>
        <v>0.26112206845532288</v>
      </c>
      <c r="AS123" s="24">
        <f t="shared" si="66"/>
        <v>0.28512842145544148</v>
      </c>
      <c r="AT123" s="24">
        <f t="shared" si="67"/>
        <v>0.19689629107368795</v>
      </c>
      <c r="AU123" s="24">
        <f t="shared" si="68"/>
        <v>0.24672951244591518</v>
      </c>
      <c r="AV123" s="24">
        <f t="shared" si="69"/>
        <v>0.22315608823477093</v>
      </c>
      <c r="AW123" s="24">
        <f t="shared" si="70"/>
        <v>0.36028325040169334</v>
      </c>
      <c r="AX123" s="24">
        <f t="shared" si="71"/>
        <v>0.10825939139049133</v>
      </c>
      <c r="AY123" s="24">
        <f t="shared" si="72"/>
        <v>9.0463447319893267E-2</v>
      </c>
      <c r="AZ123" s="24">
        <f t="shared" si="73"/>
        <v>4.4824296386706743E-2</v>
      </c>
      <c r="BA123" s="24">
        <f t="shared" si="74"/>
        <v>2.3614780508820786E-2</v>
      </c>
      <c r="BB123" s="24">
        <f t="shared" si="75"/>
        <v>3.5371487248511677E-2</v>
      </c>
      <c r="BC123" s="49">
        <f t="shared" si="56"/>
        <v>6.4956096685005438</v>
      </c>
    </row>
    <row r="124" spans="35:55" x14ac:dyDescent="0.2">
      <c r="AI124" s="4">
        <f>F47</f>
        <v>41820</v>
      </c>
      <c r="AJ124" s="24">
        <f t="shared" si="57"/>
        <v>1.1939096142090579</v>
      </c>
      <c r="AK124" s="24">
        <f t="shared" si="58"/>
        <v>1.0518574988168192</v>
      </c>
      <c r="AL124" s="24">
        <f t="shared" si="59"/>
        <v>0</v>
      </c>
      <c r="AM124" s="24">
        <f t="shared" si="60"/>
        <v>0.71720511712009294</v>
      </c>
      <c r="AN124" s="24">
        <f t="shared" si="61"/>
        <v>1.1142555311032309</v>
      </c>
      <c r="AO124" s="24">
        <f t="shared" si="62"/>
        <v>7.7323938293908948E-2</v>
      </c>
      <c r="AP124" s="24">
        <f t="shared" si="63"/>
        <v>0</v>
      </c>
      <c r="AQ124" s="24">
        <f t="shared" si="64"/>
        <v>0.59293301124292985</v>
      </c>
      <c r="AR124" s="24">
        <f t="shared" si="65"/>
        <v>0.27259629931488399</v>
      </c>
      <c r="AS124" s="24">
        <f t="shared" si="66"/>
        <v>0.30460856784476215</v>
      </c>
      <c r="AT124" s="24">
        <f t="shared" si="67"/>
        <v>0.20116509495783572</v>
      </c>
      <c r="AU124" s="24">
        <f t="shared" si="68"/>
        <v>0.2570504619071261</v>
      </c>
      <c r="AV124" s="24">
        <f t="shared" si="69"/>
        <v>0.2377468741863086</v>
      </c>
      <c r="AW124" s="24">
        <f t="shared" si="70"/>
        <v>0.36670780477920389</v>
      </c>
      <c r="AX124" s="24">
        <f t="shared" si="71"/>
        <v>0.11517298731734472</v>
      </c>
      <c r="AY124" s="24">
        <f t="shared" si="72"/>
        <v>9.1875274992736386E-2</v>
      </c>
      <c r="AZ124" s="24">
        <f t="shared" si="73"/>
        <v>4.5017781920533358E-2</v>
      </c>
      <c r="BA124" s="24">
        <f t="shared" si="74"/>
        <v>2.3705166638861287E-2</v>
      </c>
      <c r="BB124" s="24">
        <f t="shared" si="75"/>
        <v>3.5514866717344301E-2</v>
      </c>
      <c r="BC124" s="49">
        <f t="shared" si="56"/>
        <v>6.6986458913629807</v>
      </c>
    </row>
    <row r="125" spans="35:55" x14ac:dyDescent="0.2">
      <c r="AI125" s="4">
        <f>F48</f>
        <v>41851</v>
      </c>
      <c r="AJ125" s="24">
        <f t="shared" si="57"/>
        <v>1.20108306781827</v>
      </c>
      <c r="AK125" s="24">
        <f t="shared" si="58"/>
        <v>1.0519679986949273</v>
      </c>
      <c r="AL125" s="24">
        <f t="shared" si="59"/>
        <v>0</v>
      </c>
      <c r="AM125" s="24">
        <f t="shared" si="60"/>
        <v>0.72094425562284503</v>
      </c>
      <c r="AN125" s="24">
        <f t="shared" si="61"/>
        <v>1.1126356347904367</v>
      </c>
      <c r="AO125" s="24">
        <f t="shared" si="62"/>
        <v>7.9820071019268954E-2</v>
      </c>
      <c r="AP125" s="24">
        <f t="shared" si="63"/>
        <v>0</v>
      </c>
      <c r="AQ125" s="24">
        <f t="shared" si="64"/>
        <v>0.59516645588581751</v>
      </c>
      <c r="AR125" s="24">
        <f t="shared" si="65"/>
        <v>0.27627325252953794</v>
      </c>
      <c r="AS125" s="24">
        <f t="shared" si="66"/>
        <v>0.31406770610212231</v>
      </c>
      <c r="AT125" s="24">
        <f t="shared" si="67"/>
        <v>0.20844113961485894</v>
      </c>
      <c r="AU125" s="24">
        <f t="shared" si="68"/>
        <v>0.25986906401552129</v>
      </c>
      <c r="AV125" s="24">
        <f t="shared" si="69"/>
        <v>0.2444128615003916</v>
      </c>
      <c r="AW125" s="24">
        <f t="shared" si="70"/>
        <v>0.3786072797138339</v>
      </c>
      <c r="AX125" s="24">
        <f t="shared" si="71"/>
        <v>0.11826926180119013</v>
      </c>
      <c r="AY125" s="24">
        <f t="shared" si="72"/>
        <v>9.4657929394469348E-2</v>
      </c>
      <c r="AZ125" s="24">
        <f t="shared" si="73"/>
        <v>4.5951596509006203E-2</v>
      </c>
      <c r="BA125" s="24">
        <f t="shared" si="74"/>
        <v>2.4161573850900474E-2</v>
      </c>
      <c r="BB125" s="24">
        <f t="shared" si="75"/>
        <v>3.61792155859764E-2</v>
      </c>
      <c r="BC125" s="49">
        <f t="shared" si="56"/>
        <v>6.7625083644493751</v>
      </c>
    </row>
    <row r="126" spans="35:55" x14ac:dyDescent="0.2">
      <c r="AI126" s="4">
        <f>F49</f>
        <v>41880</v>
      </c>
      <c r="AJ126" s="24">
        <f t="shared" si="57"/>
        <v>1.1157834731663649</v>
      </c>
      <c r="AK126" s="24">
        <f t="shared" si="58"/>
        <v>1.0131614831276752</v>
      </c>
      <c r="AL126" s="24">
        <f t="shared" si="59"/>
        <v>0</v>
      </c>
      <c r="AM126" s="24">
        <f t="shared" si="60"/>
        <v>0.66925067360351054</v>
      </c>
      <c r="AN126" s="24">
        <f t="shared" si="61"/>
        <v>1.0694638098154323</v>
      </c>
      <c r="AO126" s="24">
        <f t="shared" si="62"/>
        <v>7.4830829914326782E-2</v>
      </c>
      <c r="AP126" s="24">
        <f t="shared" si="63"/>
        <v>0</v>
      </c>
      <c r="AQ126" s="24">
        <f t="shared" si="64"/>
        <v>0.54985191387592314</v>
      </c>
      <c r="AR126" s="24">
        <f t="shared" si="65"/>
        <v>0.25820356438726794</v>
      </c>
      <c r="AS126" s="24">
        <f t="shared" si="66"/>
        <v>0.29399760421156779</v>
      </c>
      <c r="AT126" s="24">
        <f t="shared" si="67"/>
        <v>0.20565549315629811</v>
      </c>
      <c r="AU126" s="24">
        <f t="shared" si="68"/>
        <v>0.24225546284739338</v>
      </c>
      <c r="AV126" s="24">
        <f t="shared" si="69"/>
        <v>0.22820415177361225</v>
      </c>
      <c r="AW126" s="24">
        <f t="shared" si="70"/>
        <v>0.37217234773290686</v>
      </c>
      <c r="AX126" s="24">
        <f t="shared" si="71"/>
        <v>0.11024335182149535</v>
      </c>
      <c r="AY126" s="24">
        <f t="shared" si="72"/>
        <v>9.2933542357850743E-2</v>
      </c>
      <c r="AZ126" s="24">
        <f t="shared" si="73"/>
        <v>4.4629128495130094E-2</v>
      </c>
      <c r="BA126" s="24">
        <f t="shared" si="74"/>
        <v>2.3485081702877365E-2</v>
      </c>
      <c r="BB126" s="24">
        <f t="shared" si="75"/>
        <v>3.5168714496397233E-2</v>
      </c>
      <c r="BC126" s="49">
        <f t="shared" si="56"/>
        <v>6.3992906264860281</v>
      </c>
    </row>
    <row r="127" spans="35:55" x14ac:dyDescent="0.2">
      <c r="AI127" s="4">
        <f>F50</f>
        <v>41912</v>
      </c>
      <c r="AJ127" s="24">
        <f t="shared" si="57"/>
        <v>1.1824499456051885</v>
      </c>
      <c r="AK127" s="24">
        <f t="shared" si="58"/>
        <v>1.050103688181947</v>
      </c>
      <c r="AL127" s="24">
        <f t="shared" si="59"/>
        <v>0</v>
      </c>
      <c r="AM127" s="24">
        <f t="shared" si="60"/>
        <v>0.70828136071294834</v>
      </c>
      <c r="AN127" s="24">
        <f t="shared" si="61"/>
        <v>1.1064662325608958</v>
      </c>
      <c r="AO127" s="24">
        <f t="shared" si="62"/>
        <v>8.0720803243081535E-2</v>
      </c>
      <c r="AP127" s="24">
        <f t="shared" si="63"/>
        <v>0</v>
      </c>
      <c r="AQ127" s="24">
        <f t="shared" si="64"/>
        <v>0.57887261657032718</v>
      </c>
      <c r="AR127" s="24">
        <f t="shared" si="65"/>
        <v>0.27556639903879127</v>
      </c>
      <c r="AS127" s="24">
        <f t="shared" si="66"/>
        <v>0.31632562218505783</v>
      </c>
      <c r="AT127" s="24">
        <f t="shared" si="67"/>
        <v>0.21135706420698194</v>
      </c>
      <c r="AU127" s="24">
        <f t="shared" si="68"/>
        <v>0.25810926832364006</v>
      </c>
      <c r="AV127" s="24">
        <f t="shared" si="69"/>
        <v>0.24475568687150145</v>
      </c>
      <c r="AW127" s="24">
        <f t="shared" si="70"/>
        <v>0.38096482047410513</v>
      </c>
      <c r="AX127" s="24">
        <f t="shared" si="71"/>
        <v>0.11804212329484702</v>
      </c>
      <c r="AY127" s="24">
        <f t="shared" si="72"/>
        <v>9.5060982882169298E-2</v>
      </c>
      <c r="AZ127" s="24">
        <f t="shared" si="73"/>
        <v>4.5347843637483717E-2</v>
      </c>
      <c r="BA127" s="24">
        <f t="shared" si="74"/>
        <v>2.3856676806697293E-2</v>
      </c>
      <c r="BB127" s="24">
        <f t="shared" si="75"/>
        <v>3.56900190828289E-2</v>
      </c>
      <c r="BC127" s="49">
        <f t="shared" si="56"/>
        <v>6.7119711536784923</v>
      </c>
    </row>
    <row r="128" spans="35:55" x14ac:dyDescent="0.2">
      <c r="AI128" s="4">
        <f>F51</f>
        <v>41943</v>
      </c>
      <c r="AJ128" s="24">
        <f t="shared" si="57"/>
        <v>1.103547696545762</v>
      </c>
      <c r="AK128" s="24">
        <f t="shared" si="58"/>
        <v>1.0180732195512388</v>
      </c>
      <c r="AL128" s="24">
        <f t="shared" si="59"/>
        <v>0</v>
      </c>
      <c r="AM128" s="24">
        <f t="shared" si="60"/>
        <v>0.66008666164590213</v>
      </c>
      <c r="AN128" s="24">
        <f t="shared" si="61"/>
        <v>1.0706530083665671</v>
      </c>
      <c r="AO128" s="24">
        <f t="shared" si="62"/>
        <v>7.4947524469038518E-2</v>
      </c>
      <c r="AP128" s="24">
        <f t="shared" si="63"/>
        <v>0</v>
      </c>
      <c r="AQ128" s="24">
        <f t="shared" si="64"/>
        <v>0.53751502215750091</v>
      </c>
      <c r="AR128" s="24">
        <f t="shared" si="65"/>
        <v>0.26059706908274216</v>
      </c>
      <c r="AS128" s="24">
        <f t="shared" si="66"/>
        <v>0.29336472625215776</v>
      </c>
      <c r="AT128" s="24">
        <f t="shared" si="67"/>
        <v>0.20500698973198184</v>
      </c>
      <c r="AU128" s="24">
        <f t="shared" si="68"/>
        <v>0.2434166163312092</v>
      </c>
      <c r="AV128" s="24">
        <f t="shared" si="69"/>
        <v>0.22624556032821824</v>
      </c>
      <c r="AW128" s="24">
        <f t="shared" si="70"/>
        <v>0.36813841471124914</v>
      </c>
      <c r="AX128" s="24">
        <f t="shared" si="71"/>
        <v>0.10899645547681223</v>
      </c>
      <c r="AY128" s="24">
        <f t="shared" si="72"/>
        <v>9.1684687979589313E-2</v>
      </c>
      <c r="AZ128" s="24">
        <f t="shared" si="73"/>
        <v>4.3378607787730034E-2</v>
      </c>
      <c r="BA128" s="24">
        <f t="shared" si="74"/>
        <v>2.2827620950234849E-2</v>
      </c>
      <c r="BB128" s="24">
        <f t="shared" si="75"/>
        <v>3.4223433419580125E-2</v>
      </c>
      <c r="BC128" s="49">
        <f t="shared" si="56"/>
        <v>6.3627033147875141</v>
      </c>
    </row>
    <row r="129" spans="35:55" x14ac:dyDescent="0.2">
      <c r="AI129" s="4">
        <f>F52</f>
        <v>41971</v>
      </c>
      <c r="AJ129" s="24">
        <f t="shared" si="57"/>
        <v>1.0474899061723733</v>
      </c>
      <c r="AK129" s="24">
        <f t="shared" si="58"/>
        <v>0.98922833766820517</v>
      </c>
      <c r="AL129" s="24">
        <f t="shared" si="59"/>
        <v>0</v>
      </c>
      <c r="AM129" s="24">
        <f t="shared" si="60"/>
        <v>0.62576594762185156</v>
      </c>
      <c r="AN129" s="24">
        <f t="shared" si="61"/>
        <v>1.0383564783776702</v>
      </c>
      <c r="AO129" s="24">
        <f t="shared" si="62"/>
        <v>7.2415869948828926E-2</v>
      </c>
      <c r="AP129" s="24">
        <f t="shared" si="63"/>
        <v>0</v>
      </c>
      <c r="AQ129" s="24">
        <f t="shared" si="64"/>
        <v>0.50690730565919517</v>
      </c>
      <c r="AR129" s="24">
        <f t="shared" si="65"/>
        <v>0.24955169944372246</v>
      </c>
      <c r="AS129" s="24">
        <f t="shared" si="66"/>
        <v>0.2827915369299504</v>
      </c>
      <c r="AT129" s="24">
        <f t="shared" si="67"/>
        <v>0.20179967056936379</v>
      </c>
      <c r="AU129" s="24">
        <f t="shared" si="68"/>
        <v>0.23256044547103166</v>
      </c>
      <c r="AV129" s="24">
        <f t="shared" si="69"/>
        <v>0.21736756842461499</v>
      </c>
      <c r="AW129" s="24">
        <f t="shared" si="70"/>
        <v>0.36086123417082955</v>
      </c>
      <c r="AX129" s="24">
        <f t="shared" si="71"/>
        <v>0.10444669077793835</v>
      </c>
      <c r="AY129" s="24">
        <f t="shared" si="72"/>
        <v>8.9716803493111758E-2</v>
      </c>
      <c r="AZ129" s="24">
        <f t="shared" si="73"/>
        <v>4.2140165268306863E-2</v>
      </c>
      <c r="BA129" s="24">
        <f t="shared" si="74"/>
        <v>2.2170006453389051E-2</v>
      </c>
      <c r="BB129" s="24">
        <f t="shared" si="75"/>
        <v>3.3303160483342358E-2</v>
      </c>
      <c r="BC129" s="49">
        <f t="shared" si="56"/>
        <v>6.1168728269337258</v>
      </c>
    </row>
    <row r="130" spans="35:55" x14ac:dyDescent="0.2">
      <c r="AI130" s="4">
        <f>F53</f>
        <v>42004</v>
      </c>
      <c r="AJ130" s="24">
        <f t="shared" si="57"/>
        <v>0.98583227602999446</v>
      </c>
      <c r="AK130" s="24">
        <f t="shared" si="58"/>
        <v>0.97801402696063855</v>
      </c>
      <c r="AL130" s="24">
        <f t="shared" si="59"/>
        <v>0</v>
      </c>
      <c r="AM130" s="24">
        <f t="shared" si="60"/>
        <v>0.58790080554580648</v>
      </c>
      <c r="AN130" s="24">
        <f t="shared" si="61"/>
        <v>1.0245769797706612</v>
      </c>
      <c r="AO130" s="24">
        <f t="shared" si="62"/>
        <v>7.1749045299107375E-2</v>
      </c>
      <c r="AP130" s="24">
        <f t="shared" si="63"/>
        <v>0</v>
      </c>
      <c r="AQ130" s="24">
        <f t="shared" si="64"/>
        <v>0.47387868016829549</v>
      </c>
      <c r="AR130" s="24">
        <f t="shared" si="65"/>
        <v>0.24609951713361097</v>
      </c>
      <c r="AS130" s="24">
        <f t="shared" si="66"/>
        <v>0.27974618446778721</v>
      </c>
      <c r="AT130" s="24">
        <f t="shared" si="67"/>
        <v>0.20119057101338766</v>
      </c>
      <c r="AU130" s="24">
        <f t="shared" si="68"/>
        <v>0.22874994308784025</v>
      </c>
      <c r="AV130" s="24">
        <f t="shared" si="69"/>
        <v>0.21434888584809478</v>
      </c>
      <c r="AW130" s="24">
        <f t="shared" si="70"/>
        <v>0.35813910132192733</v>
      </c>
      <c r="AX130" s="24">
        <f t="shared" si="71"/>
        <v>0.10272147973520936</v>
      </c>
      <c r="AY130" s="24">
        <f t="shared" si="72"/>
        <v>8.8832738300679698E-2</v>
      </c>
      <c r="AZ130" s="24">
        <f t="shared" si="73"/>
        <v>4.1403768087167336E-2</v>
      </c>
      <c r="BA130" s="24">
        <f t="shared" si="74"/>
        <v>2.1746952542447396E-2</v>
      </c>
      <c r="BB130" s="24">
        <f t="shared" si="75"/>
        <v>3.2842891623287879E-2</v>
      </c>
      <c r="BC130" s="49">
        <f t="shared" si="56"/>
        <v>5.9377738469359418</v>
      </c>
    </row>
    <row r="131" spans="35:55" x14ac:dyDescent="0.2">
      <c r="AI131" s="4">
        <f>F54</f>
        <v>42034</v>
      </c>
      <c r="AJ131" s="24">
        <f t="shared" si="57"/>
        <v>0.74211975209255376</v>
      </c>
      <c r="AK131" s="24">
        <f t="shared" si="58"/>
        <v>0.79240600499454816</v>
      </c>
      <c r="AL131" s="24">
        <f t="shared" si="59"/>
        <v>0</v>
      </c>
      <c r="AM131" s="24">
        <f t="shared" si="60"/>
        <v>0.44124706723053764</v>
      </c>
      <c r="AN131" s="24">
        <f t="shared" si="61"/>
        <v>0.82855726901999671</v>
      </c>
      <c r="AO131" s="24">
        <f t="shared" si="62"/>
        <v>5.9959029450098629E-2</v>
      </c>
      <c r="AP131" s="24">
        <f t="shared" si="63"/>
        <v>0</v>
      </c>
      <c r="AQ131" s="24">
        <f t="shared" si="64"/>
        <v>0.35233473939329218</v>
      </c>
      <c r="AR131" s="24">
        <f t="shared" si="65"/>
        <v>0.20052748655469355</v>
      </c>
      <c r="AS131" s="24">
        <f t="shared" si="66"/>
        <v>0.23311926837079827</v>
      </c>
      <c r="AT131" s="24">
        <f t="shared" si="67"/>
        <v>0.19482976857408504</v>
      </c>
      <c r="AU131" s="24">
        <f t="shared" si="68"/>
        <v>0.18594184833939909</v>
      </c>
      <c r="AV131" s="24">
        <f t="shared" si="69"/>
        <v>0.17808309890395702</v>
      </c>
      <c r="AW131" s="24">
        <f t="shared" si="70"/>
        <v>0.34547896237863168</v>
      </c>
      <c r="AX131" s="24">
        <f t="shared" si="71"/>
        <v>8.5282923053993931E-2</v>
      </c>
      <c r="AY131" s="24">
        <f t="shared" si="72"/>
        <v>8.5636427662177161E-2</v>
      </c>
      <c r="AZ131" s="24">
        <f t="shared" si="73"/>
        <v>3.9723442124933304E-2</v>
      </c>
      <c r="BA131" s="24">
        <f t="shared" si="74"/>
        <v>2.0871897321371662E-2</v>
      </c>
      <c r="BB131" s="24">
        <f t="shared" si="75"/>
        <v>3.1537375193686649E-2</v>
      </c>
      <c r="BC131" s="49">
        <f t="shared" si="56"/>
        <v>4.8176563606587548</v>
      </c>
    </row>
    <row r="132" spans="35:55" x14ac:dyDescent="0.2">
      <c r="AI132" s="5">
        <f>F55</f>
        <v>42062</v>
      </c>
      <c r="AJ132" s="24">
        <f t="shared" si="57"/>
        <v>0.91761926620624601</v>
      </c>
      <c r="AK132" s="24">
        <f t="shared" si="58"/>
        <v>0.91624482418900122</v>
      </c>
      <c r="AL132" s="24">
        <f t="shared" si="59"/>
        <v>0</v>
      </c>
      <c r="AM132" s="24">
        <f t="shared" si="60"/>
        <v>0.54389276948260978</v>
      </c>
      <c r="AN132" s="24">
        <f t="shared" si="61"/>
        <v>0.95588183948055983</v>
      </c>
      <c r="AO132" s="24">
        <f t="shared" si="62"/>
        <v>6.9304981980921165E-2</v>
      </c>
      <c r="AP132" s="24">
        <f t="shared" si="63"/>
        <v>0</v>
      </c>
      <c r="AQ132" s="24">
        <f t="shared" si="64"/>
        <v>0.4296113207014976</v>
      </c>
      <c r="AR132" s="24">
        <f t="shared" si="65"/>
        <v>0.23248539348016611</v>
      </c>
      <c r="AS132" s="24">
        <f t="shared" si="66"/>
        <v>0.26849257465691256</v>
      </c>
      <c r="AT132" s="24">
        <f t="shared" si="67"/>
        <v>0.21270877315891359</v>
      </c>
      <c r="AU132" s="24">
        <f t="shared" si="68"/>
        <v>0.21498174990348967</v>
      </c>
      <c r="AV132" s="24">
        <f t="shared" si="69"/>
        <v>0.20427600138205873</v>
      </c>
      <c r="AW132" s="24">
        <f t="shared" si="70"/>
        <v>0.37539132480002313</v>
      </c>
      <c r="AX132" s="24">
        <f t="shared" si="71"/>
        <v>9.774436748060647E-2</v>
      </c>
      <c r="AY132" s="24">
        <f t="shared" si="72"/>
        <v>9.3123585203642861E-2</v>
      </c>
      <c r="AZ132" s="24">
        <f t="shared" si="73"/>
        <v>4.2947390784728361E-2</v>
      </c>
      <c r="BA132" s="24">
        <f t="shared" si="74"/>
        <v>2.2554153156056453E-2</v>
      </c>
      <c r="BB132" s="24">
        <f t="shared" si="75"/>
        <v>3.4188755808712216E-2</v>
      </c>
      <c r="BC132" s="49">
        <f t="shared" si="56"/>
        <v>5.6314490718561458</v>
      </c>
    </row>
    <row r="133" spans="35:55" x14ac:dyDescent="0.2">
      <c r="AI133" s="5">
        <f>F56</f>
        <v>42094</v>
      </c>
      <c r="AJ133" s="24">
        <f t="shared" si="57"/>
        <v>0.88206373258162274</v>
      </c>
      <c r="AK133" s="24">
        <f t="shared" si="58"/>
        <v>0.8965306598330588</v>
      </c>
      <c r="AL133" s="24">
        <f t="shared" si="59"/>
        <v>0</v>
      </c>
      <c r="AM133" s="24">
        <f t="shared" si="60"/>
        <v>0.5209531085150082</v>
      </c>
      <c r="AN133" s="24">
        <f t="shared" si="61"/>
        <v>0.93314420557377609</v>
      </c>
      <c r="AO133" s="24">
        <f t="shared" si="62"/>
        <v>6.7834594650540675E-2</v>
      </c>
      <c r="AP133" s="24">
        <f t="shared" si="63"/>
        <v>0</v>
      </c>
      <c r="AQ133" s="24">
        <f t="shared" si="64"/>
        <v>0.40806698926730711</v>
      </c>
      <c r="AR133" s="24">
        <f t="shared" si="65"/>
        <v>0.22770968569557418</v>
      </c>
      <c r="AS133" s="24">
        <f t="shared" si="66"/>
        <v>0.26211038035354384</v>
      </c>
      <c r="AT133" s="24">
        <f t="shared" si="67"/>
        <v>0.2224074068633573</v>
      </c>
      <c r="AU133" s="24">
        <f t="shared" si="68"/>
        <v>0.20993887995512173</v>
      </c>
      <c r="AV133" s="24">
        <f t="shared" si="69"/>
        <v>0.19892157362342722</v>
      </c>
      <c r="AW133" s="24">
        <f t="shared" si="70"/>
        <v>0.39120751271111942</v>
      </c>
      <c r="AX133" s="24">
        <f t="shared" si="71"/>
        <v>9.5004272551899721E-2</v>
      </c>
      <c r="AY133" s="24">
        <f t="shared" si="72"/>
        <v>9.7218810402161501E-2</v>
      </c>
      <c r="AZ133" s="24">
        <f t="shared" si="73"/>
        <v>4.4665420914851907E-2</v>
      </c>
      <c r="BA133" s="24">
        <f t="shared" si="74"/>
        <v>2.3428348210365275E-2</v>
      </c>
      <c r="BB133" s="24">
        <f t="shared" si="75"/>
        <v>3.5564409122529679E-2</v>
      </c>
      <c r="BC133" s="49">
        <f t="shared" si="56"/>
        <v>5.5167699908252645</v>
      </c>
    </row>
    <row r="134" spans="35:55" x14ac:dyDescent="0.2">
      <c r="AI134" s="5">
        <f>F57</f>
        <v>42124</v>
      </c>
      <c r="AJ134" s="24">
        <f t="shared" si="57"/>
        <v>0.79429987193029405</v>
      </c>
      <c r="AK134" s="24">
        <f t="shared" si="58"/>
        <v>0.79142618750681359</v>
      </c>
      <c r="AL134" s="24">
        <f t="shared" si="59"/>
        <v>0.36192792854518524</v>
      </c>
      <c r="AM134" s="24">
        <f t="shared" si="60"/>
        <v>0.46530355481235497</v>
      </c>
      <c r="AN134" s="24">
        <f t="shared" si="61"/>
        <v>0.82081992545397042</v>
      </c>
      <c r="AO134" s="24">
        <f t="shared" si="62"/>
        <v>5.8899342934113745E-2</v>
      </c>
      <c r="AP134" s="24">
        <f t="shared" si="63"/>
        <v>0.51127860919326784</v>
      </c>
      <c r="AQ134" s="24">
        <f t="shared" si="64"/>
        <v>0.35926615675623652</v>
      </c>
      <c r="AR134" s="24">
        <f t="shared" si="65"/>
        <v>0.1972861424955939</v>
      </c>
      <c r="AS134" s="24">
        <f t="shared" si="66"/>
        <v>0.22735038282137679</v>
      </c>
      <c r="AT134" s="24">
        <f t="shared" si="67"/>
        <v>0.18902664832791394</v>
      </c>
      <c r="AU134" s="24">
        <f t="shared" si="68"/>
        <v>0.18193900842050351</v>
      </c>
      <c r="AV134" s="24">
        <f t="shared" si="69"/>
        <v>0.17223440592361142</v>
      </c>
      <c r="AW134" s="24">
        <f t="shared" si="70"/>
        <v>0.3323555115581901</v>
      </c>
      <c r="AX134" s="24">
        <f t="shared" si="71"/>
        <v>8.2306639717172739E-2</v>
      </c>
      <c r="AY134" s="24">
        <f t="shared" si="72"/>
        <v>8.2933889411994269E-2</v>
      </c>
      <c r="AZ134" s="24">
        <f t="shared" si="73"/>
        <v>3.8003697932700871E-2</v>
      </c>
      <c r="BA134" s="24">
        <f t="shared" si="74"/>
        <v>1.9949237162027348E-2</v>
      </c>
      <c r="BB134" s="24">
        <f t="shared" si="75"/>
        <v>3.0313466317932934E-2</v>
      </c>
      <c r="BC134" s="49">
        <f t="shared" si="56"/>
        <v>5.7169206072212546</v>
      </c>
    </row>
    <row r="135" spans="35:55" x14ac:dyDescent="0.2">
      <c r="AI135" s="5">
        <f>F58</f>
        <v>42153</v>
      </c>
      <c r="AJ135" s="24">
        <f t="shared" si="57"/>
        <v>0.83915558044129768</v>
      </c>
      <c r="AK135" s="24">
        <f t="shared" si="58"/>
        <v>0.8042962756743145</v>
      </c>
      <c r="AL135" s="24">
        <f t="shared" si="59"/>
        <v>0.38051536330015878</v>
      </c>
      <c r="AM135" s="24">
        <f t="shared" si="60"/>
        <v>0.48734494032558234</v>
      </c>
      <c r="AN135" s="24">
        <f t="shared" si="61"/>
        <v>0.8299497499575893</v>
      </c>
      <c r="AO135" s="24">
        <f t="shared" si="62"/>
        <v>5.9646634173321555E-2</v>
      </c>
      <c r="AP135" s="24">
        <f t="shared" si="63"/>
        <v>0.53632560835839893</v>
      </c>
      <c r="AQ135" s="24">
        <f t="shared" si="64"/>
        <v>0.36962788521613255</v>
      </c>
      <c r="AR135" s="24">
        <f t="shared" si="65"/>
        <v>0.19846771085151454</v>
      </c>
      <c r="AS135" s="24">
        <f t="shared" si="66"/>
        <v>0.22910434818925221</v>
      </c>
      <c r="AT135" s="24">
        <f t="shared" si="67"/>
        <v>0.18448648574789461</v>
      </c>
      <c r="AU135" s="24">
        <f t="shared" si="68"/>
        <v>0.18307299988943351</v>
      </c>
      <c r="AV135" s="24">
        <f t="shared" si="69"/>
        <v>0.17343551176672839</v>
      </c>
      <c r="AW135" s="24">
        <f t="shared" si="70"/>
        <v>0.32377011873996525</v>
      </c>
      <c r="AX135" s="24">
        <f t="shared" si="71"/>
        <v>8.3046554722811861E-2</v>
      </c>
      <c r="AY135" s="24">
        <f t="shared" si="72"/>
        <v>8.125209605837741E-2</v>
      </c>
      <c r="AZ135" s="24">
        <f t="shared" si="73"/>
        <v>3.7060635465655745E-2</v>
      </c>
      <c r="BA135" s="24">
        <f t="shared" si="74"/>
        <v>1.9517413124153518E-2</v>
      </c>
      <c r="BB135" s="24">
        <f t="shared" si="75"/>
        <v>2.9734106907831265E-2</v>
      </c>
      <c r="BC135" s="49">
        <f t="shared" ref="BC135" si="76">SUM(AJ135:BB135)</f>
        <v>5.8498100189104134</v>
      </c>
    </row>
    <row r="136" spans="35:55" x14ac:dyDescent="0.2">
      <c r="AI136" s="5">
        <f>F59</f>
        <v>42185</v>
      </c>
      <c r="AJ136" s="24">
        <f t="shared" si="57"/>
        <v>0.97633312886170442</v>
      </c>
      <c r="AK136" s="24">
        <f t="shared" si="58"/>
        <v>0.87622766436963218</v>
      </c>
      <c r="AL136" s="24">
        <f t="shared" si="59"/>
        <v>0.43608694419276489</v>
      </c>
      <c r="AM136" s="24">
        <f t="shared" si="60"/>
        <v>0.56434131070687821</v>
      </c>
      <c r="AN136" s="24">
        <f t="shared" si="61"/>
        <v>0.90036959545394635</v>
      </c>
      <c r="AO136" s="24">
        <f t="shared" si="62"/>
        <v>6.3864798826463343E-2</v>
      </c>
      <c r="AP136" s="24">
        <f t="shared" si="63"/>
        <v>0.61299922758346681</v>
      </c>
      <c r="AQ136" s="24">
        <f t="shared" si="64"/>
        <v>0.42321166455033221</v>
      </c>
      <c r="AR136" s="24">
        <f t="shared" si="65"/>
        <v>0.21373810001401924</v>
      </c>
      <c r="AS136" s="24">
        <f t="shared" si="66"/>
        <v>0.24442421498562181</v>
      </c>
      <c r="AT136" s="24">
        <f t="shared" si="67"/>
        <v>0.18851147292810638</v>
      </c>
      <c r="AU136" s="24">
        <f t="shared" si="68"/>
        <v>0.19674581366173921</v>
      </c>
      <c r="AV136" s="24">
        <f t="shared" si="69"/>
        <v>0.18445525045387565</v>
      </c>
      <c r="AW136" s="24">
        <f t="shared" si="70"/>
        <v>0.33035589770424628</v>
      </c>
      <c r="AX136" s="24">
        <f t="shared" si="71"/>
        <v>8.8391086612389549E-2</v>
      </c>
      <c r="AY136" s="24">
        <f t="shared" si="72"/>
        <v>8.3203336424622854E-2</v>
      </c>
      <c r="AZ136" s="24">
        <f t="shared" si="73"/>
        <v>3.7844770209572151E-2</v>
      </c>
      <c r="BA136" s="24">
        <f t="shared" si="74"/>
        <v>1.9951937769716911E-2</v>
      </c>
      <c r="BB136" s="24">
        <f t="shared" si="75"/>
        <v>3.0479151274747023E-2</v>
      </c>
      <c r="BC136" s="49">
        <f t="shared" ref="BC136:BC141" si="77">SUM(AJ136:BB136)</f>
        <v>6.4715353665838453</v>
      </c>
    </row>
    <row r="137" spans="35:55" x14ac:dyDescent="0.2">
      <c r="AI137" s="5">
        <f>F60</f>
        <v>42216</v>
      </c>
      <c r="AJ137" s="24">
        <f t="shared" si="57"/>
        <v>0.93126918296816674</v>
      </c>
      <c r="AK137" s="24">
        <f t="shared" si="58"/>
        <v>0.84864589685134773</v>
      </c>
      <c r="AL137" s="24">
        <f t="shared" si="59"/>
        <v>0.41148850014659444</v>
      </c>
      <c r="AM137" s="24">
        <f t="shared" si="60"/>
        <v>0.53600997038829967</v>
      </c>
      <c r="AN137" s="24">
        <f t="shared" si="61"/>
        <v>0.86857496516847132</v>
      </c>
      <c r="AO137" s="24">
        <f t="shared" si="62"/>
        <v>6.1792501782089136E-2</v>
      </c>
      <c r="AP137" s="24">
        <f t="shared" si="63"/>
        <v>0.57744976278704474</v>
      </c>
      <c r="AQ137" s="24">
        <f t="shared" si="64"/>
        <v>0.39841569421537443</v>
      </c>
      <c r="AR137" s="24">
        <f t="shared" si="65"/>
        <v>0.20610153976489573</v>
      </c>
      <c r="AS137" s="24">
        <f t="shared" si="66"/>
        <v>0.23569674926227185</v>
      </c>
      <c r="AT137" s="24">
        <f t="shared" si="67"/>
        <v>0.18613330870442302</v>
      </c>
      <c r="AU137" s="24">
        <f t="shared" si="68"/>
        <v>0.18949416156365234</v>
      </c>
      <c r="AV137" s="24">
        <f t="shared" si="69"/>
        <v>0.17737525315979386</v>
      </c>
      <c r="AW137" s="24">
        <f t="shared" si="70"/>
        <v>0.32558074205350068</v>
      </c>
      <c r="AX137" s="24">
        <f t="shared" si="71"/>
        <v>8.4980043367040764E-2</v>
      </c>
      <c r="AY137" s="24">
        <f t="shared" si="72"/>
        <v>8.2147469685774382E-2</v>
      </c>
      <c r="AZ137" s="24">
        <f t="shared" si="73"/>
        <v>3.730729050212702E-2</v>
      </c>
      <c r="BA137" s="24">
        <f t="shared" si="74"/>
        <v>1.9692017536738514E-2</v>
      </c>
      <c r="BB137" s="24">
        <f t="shared" si="75"/>
        <v>3.0198744100865316E-2</v>
      </c>
      <c r="BC137" s="49">
        <f t="shared" si="77"/>
        <v>6.2083537940084703</v>
      </c>
    </row>
    <row r="138" spans="35:55" x14ac:dyDescent="0.2">
      <c r="AI138" s="5">
        <f>F61</f>
        <v>42247</v>
      </c>
      <c r="AJ138" s="24">
        <f t="shared" si="57"/>
        <v>0.92100995427729571</v>
      </c>
      <c r="AK138" s="24">
        <f t="shared" si="58"/>
        <v>0.84547379058879901</v>
      </c>
      <c r="AL138" s="24">
        <f t="shared" si="59"/>
        <v>0.40991606402216085</v>
      </c>
      <c r="AM138" s="24">
        <f t="shared" si="60"/>
        <v>0.53010507310685651</v>
      </c>
      <c r="AN138" s="24">
        <f t="shared" si="61"/>
        <v>0.86532836715070405</v>
      </c>
      <c r="AO138" s="24">
        <f t="shared" si="62"/>
        <v>6.196705686596439E-2</v>
      </c>
      <c r="AP138" s="24">
        <f t="shared" si="63"/>
        <v>0.57524313279196948</v>
      </c>
      <c r="AQ138" s="24">
        <f t="shared" si="64"/>
        <v>0.39402658975906668</v>
      </c>
      <c r="AR138" s="24">
        <f t="shared" si="65"/>
        <v>0.20670902018756826</v>
      </c>
      <c r="AS138" s="24">
        <f t="shared" si="66"/>
        <v>0.23636255926591415</v>
      </c>
      <c r="AT138" s="24">
        <f t="shared" si="67"/>
        <v>0.1856708776557493</v>
      </c>
      <c r="AU138" s="24">
        <f t="shared" si="68"/>
        <v>0.19005269205057629</v>
      </c>
      <c r="AV138" s="24">
        <f t="shared" si="69"/>
        <v>0.17787631318001909</v>
      </c>
      <c r="AW138" s="24">
        <f t="shared" si="70"/>
        <v>0.32477186671021191</v>
      </c>
      <c r="AX138" s="24">
        <f t="shared" si="71"/>
        <v>8.5220099978601291E-2</v>
      </c>
      <c r="AY138" s="24">
        <f t="shared" si="72"/>
        <v>8.1943381869267515E-2</v>
      </c>
      <c r="AZ138" s="24">
        <f t="shared" si="73"/>
        <v>3.7214603977666919E-2</v>
      </c>
      <c r="BA138" s="24">
        <f t="shared" si="74"/>
        <v>1.964309453427647E-2</v>
      </c>
      <c r="BB138" s="24">
        <f t="shared" si="75"/>
        <v>3.0123718104710231E-2</v>
      </c>
      <c r="BC138" s="49">
        <f t="shared" si="77"/>
        <v>6.1786582560773784</v>
      </c>
    </row>
    <row r="139" spans="35:55" x14ac:dyDescent="0.2">
      <c r="AI139" s="5">
        <f>F62</f>
        <v>42277</v>
      </c>
      <c r="AJ139" s="24">
        <f t="shared" si="57"/>
        <v>0.88587704003094236</v>
      </c>
      <c r="AK139" s="24">
        <f t="shared" si="58"/>
        <v>0.82404878400795378</v>
      </c>
      <c r="AL139" s="24">
        <f t="shared" si="59"/>
        <v>0.39234323231014451</v>
      </c>
      <c r="AM139" s="24">
        <f t="shared" si="60"/>
        <v>0.50705060558954085</v>
      </c>
      <c r="AN139" s="24">
        <f t="shared" si="61"/>
        <v>0.83758725408264956</v>
      </c>
      <c r="AO139" s="24">
        <f t="shared" si="62"/>
        <v>5.8464200577343126E-2</v>
      </c>
      <c r="AP139" s="24">
        <f t="shared" si="63"/>
        <v>0.54625823524662498</v>
      </c>
      <c r="AQ139" s="24">
        <f t="shared" si="64"/>
        <v>0.3720127934453476</v>
      </c>
      <c r="AR139" s="24">
        <f t="shared" si="65"/>
        <v>0.19541658749374999</v>
      </c>
      <c r="AS139" s="24">
        <f t="shared" si="66"/>
        <v>0.2212662658835165</v>
      </c>
      <c r="AT139" s="24">
        <f t="shared" si="67"/>
        <v>0.17800599994310445</v>
      </c>
      <c r="AU139" s="24">
        <f t="shared" si="68"/>
        <v>0.17898436552499999</v>
      </c>
      <c r="AV139" s="24">
        <f t="shared" si="69"/>
        <v>0.16526791441417041</v>
      </c>
      <c r="AW139" s="24">
        <f t="shared" si="70"/>
        <v>0.30932448512883159</v>
      </c>
      <c r="AX139" s="24">
        <f t="shared" si="71"/>
        <v>7.9045730205361653E-2</v>
      </c>
      <c r="AY139" s="24">
        <f t="shared" si="72"/>
        <v>7.8241868082404534E-2</v>
      </c>
      <c r="AZ139" s="24">
        <f t="shared" si="73"/>
        <v>3.5181844900242676E-2</v>
      </c>
      <c r="BA139" s="24">
        <f t="shared" si="74"/>
        <v>1.8683913882238081E-2</v>
      </c>
      <c r="BB139" s="24">
        <f t="shared" si="75"/>
        <v>2.8860934546540058E-2</v>
      </c>
      <c r="BC139" s="49">
        <f t="shared" si="77"/>
        <v>5.9119220552957072</v>
      </c>
    </row>
    <row r="140" spans="35:55" x14ac:dyDescent="0.2">
      <c r="AI140" s="5">
        <f>F63</f>
        <v>42307</v>
      </c>
      <c r="AJ140" s="24">
        <f t="shared" si="57"/>
        <v>0.89024219101122237</v>
      </c>
      <c r="AK140" s="24">
        <f t="shared" si="58"/>
        <v>0.82716974330333992</v>
      </c>
      <c r="AL140" s="24">
        <f t="shared" si="59"/>
        <v>0.39351471957635764</v>
      </c>
      <c r="AM140" s="24">
        <f t="shared" si="60"/>
        <v>0.50846912004607259</v>
      </c>
      <c r="AN140" s="24">
        <f t="shared" si="61"/>
        <v>0.83856083919526581</v>
      </c>
      <c r="AO140" s="24">
        <f t="shared" si="62"/>
        <v>5.8552435210624296E-2</v>
      </c>
      <c r="AP140" s="24">
        <f t="shared" si="63"/>
        <v>0.54555806381653182</v>
      </c>
      <c r="AQ140" s="24">
        <f t="shared" si="64"/>
        <v>0.37130668428234642</v>
      </c>
      <c r="AR140" s="24">
        <f t="shared" si="65"/>
        <v>0.19524224188680875</v>
      </c>
      <c r="AS140" s="24">
        <f t="shared" si="66"/>
        <v>0.22097808469305283</v>
      </c>
      <c r="AT140" s="24">
        <f t="shared" si="67"/>
        <v>0.17939085821323503</v>
      </c>
      <c r="AU140" s="24">
        <f t="shared" si="68"/>
        <v>0.17838599708014211</v>
      </c>
      <c r="AV140" s="24">
        <f t="shared" si="69"/>
        <v>0.16447309160206583</v>
      </c>
      <c r="AW140" s="24">
        <f t="shared" si="70"/>
        <v>0.31040130364572532</v>
      </c>
      <c r="AX140" s="24">
        <f t="shared" si="71"/>
        <v>7.8537170384072416E-2</v>
      </c>
      <c r="AY140" s="24">
        <f t="shared" si="72"/>
        <v>7.8393753342265088E-2</v>
      </c>
      <c r="AZ140" s="24">
        <f t="shared" si="73"/>
        <v>3.5138201134861588E-2</v>
      </c>
      <c r="BA140" s="24">
        <f t="shared" si="74"/>
        <v>1.8675455778458316E-2</v>
      </c>
      <c r="BB140" s="24">
        <f t="shared" si="75"/>
        <v>2.8909639087882914E-2</v>
      </c>
      <c r="BC140" s="49">
        <f t="shared" si="77"/>
        <v>5.9218995932903313</v>
      </c>
    </row>
    <row r="141" spans="35:55" x14ac:dyDescent="0.2">
      <c r="AI141" s="5">
        <f>F64</f>
        <v>42338</v>
      </c>
      <c r="AJ141" s="24">
        <f t="shared" si="57"/>
        <v>0.92930465810000007</v>
      </c>
      <c r="AK141" s="24">
        <f t="shared" si="58"/>
        <v>0.86988888879999993</v>
      </c>
      <c r="AL141" s="24">
        <f t="shared" si="59"/>
        <v>0.43609722220000002</v>
      </c>
      <c r="AM141" s="24">
        <f t="shared" si="60"/>
        <v>0.55145551140000004</v>
      </c>
      <c r="AN141" s="24">
        <f t="shared" si="61"/>
        <v>0.86988888880000015</v>
      </c>
      <c r="AO141" s="24">
        <f t="shared" si="62"/>
        <v>6.5128968257142858E-2</v>
      </c>
      <c r="AP141" s="24">
        <f t="shared" si="63"/>
        <v>0.54512152775</v>
      </c>
      <c r="AQ141" s="24">
        <f t="shared" si="64"/>
        <v>0.37529611192500001</v>
      </c>
      <c r="AR141" s="24">
        <f t="shared" si="65"/>
        <v>0.17240625000000001</v>
      </c>
      <c r="AS141" s="24">
        <f t="shared" si="66"/>
        <v>0.2279513889</v>
      </c>
      <c r="AT141" s="24">
        <f t="shared" si="67"/>
        <v>0.20144014919999997</v>
      </c>
      <c r="AU141" s="24">
        <f t="shared" si="68"/>
        <v>0.20433333333333334</v>
      </c>
      <c r="AV141" s="24">
        <f t="shared" si="69"/>
        <v>0.15196759259999998</v>
      </c>
      <c r="AW141" s="24">
        <f t="shared" si="70"/>
        <v>0.29842985066666666</v>
      </c>
      <c r="AX141" s="24">
        <f t="shared" si="71"/>
        <v>9.1180555560000001E-2</v>
      </c>
      <c r="AY141" s="24">
        <f t="shared" si="72"/>
        <v>5.3717373119999995E-2</v>
      </c>
      <c r="AZ141" s="24">
        <f t="shared" si="73"/>
        <v>4.8833975563636368E-2</v>
      </c>
      <c r="BA141" s="24">
        <f t="shared" si="74"/>
        <v>1.884920216391343E-2</v>
      </c>
      <c r="BB141" s="24">
        <f t="shared" si="75"/>
        <v>4.1321056246153842E-2</v>
      </c>
      <c r="BC141" s="49">
        <f t="shared" si="77"/>
        <v>6.1526125045858455</v>
      </c>
    </row>
    <row r="142" spans="35:55" x14ac:dyDescent="0.2">
      <c r="AI142" s="5">
        <f>F65</f>
        <v>42369</v>
      </c>
      <c r="AJ142" s="24">
        <f t="shared" si="57"/>
        <v>0.94429076906666665</v>
      </c>
      <c r="AK142" s="24">
        <f t="shared" si="58"/>
        <v>0.8816807955999999</v>
      </c>
      <c r="AL142" s="24">
        <f t="shared" si="59"/>
        <v>0.44270150880000003</v>
      </c>
      <c r="AM142" s="24">
        <f t="shared" si="60"/>
        <v>0.56034836845714275</v>
      </c>
      <c r="AN142" s="24">
        <f t="shared" si="61"/>
        <v>0.88168079560000001</v>
      </c>
      <c r="AO142" s="24">
        <f t="shared" si="62"/>
        <v>6.6319444457142857E-2</v>
      </c>
      <c r="AP142" s="24">
        <f t="shared" si="63"/>
        <v>0.55337688600000001</v>
      </c>
      <c r="AQ142" s="24">
        <f t="shared" si="64"/>
        <v>0.38134819520000002</v>
      </c>
      <c r="AR142" s="24">
        <f t="shared" si="65"/>
        <v>0.17491410749999997</v>
      </c>
      <c r="AS142" s="24">
        <f t="shared" si="66"/>
        <v>0.23211805559999998</v>
      </c>
      <c r="AT142" s="24">
        <f t="shared" si="67"/>
        <v>0.20336979164999999</v>
      </c>
      <c r="AU142" s="24">
        <f t="shared" si="68"/>
        <v>0.20730560888888888</v>
      </c>
      <c r="AV142" s="24">
        <f t="shared" si="69"/>
        <v>0.1547453704</v>
      </c>
      <c r="AW142" s="24">
        <f t="shared" si="70"/>
        <v>0.30128858022222227</v>
      </c>
      <c r="AX142" s="24">
        <f t="shared" si="71"/>
        <v>9.2847222239999999E-2</v>
      </c>
      <c r="AY142" s="24">
        <f t="shared" si="72"/>
        <v>5.4231944439999999E-2</v>
      </c>
      <c r="AZ142" s="24">
        <f t="shared" si="73"/>
        <v>4.9301767672727273E-2</v>
      </c>
      <c r="BA142" s="24">
        <f t="shared" si="74"/>
        <v>1.9029763093740819E-2</v>
      </c>
      <c r="BB142" s="24">
        <f t="shared" si="75"/>
        <v>4.1716880338461541E-2</v>
      </c>
      <c r="BC142" s="49">
        <f t="shared" ref="BC142" si="78">SUM(AJ142:BB142)</f>
        <v>6.2426158552269913</v>
      </c>
    </row>
    <row r="143" spans="35:55" x14ac:dyDescent="0.2">
      <c r="AI143" s="5">
        <f>F66</f>
        <v>42398</v>
      </c>
      <c r="AJ143" s="24">
        <f t="shared" si="57"/>
        <v>0.82164814809999998</v>
      </c>
      <c r="AK143" s="24">
        <f t="shared" si="58"/>
        <v>0.79738888880000003</v>
      </c>
      <c r="AL143" s="24">
        <f t="shared" si="59"/>
        <v>0.38172222220000007</v>
      </c>
      <c r="AM143" s="24">
        <f t="shared" si="60"/>
        <v>0.48757142854285712</v>
      </c>
      <c r="AN143" s="24">
        <f t="shared" si="61"/>
        <v>0.79738888880000014</v>
      </c>
      <c r="AO143" s="24">
        <f t="shared" si="62"/>
        <v>6.0664682542857146E-2</v>
      </c>
      <c r="AP143" s="24">
        <f t="shared" si="63"/>
        <v>0.47715277775000003</v>
      </c>
      <c r="AQ143" s="24">
        <f t="shared" si="64"/>
        <v>0.33181944442500005</v>
      </c>
      <c r="AR143" s="24">
        <f t="shared" si="65"/>
        <v>0.1582266075</v>
      </c>
      <c r="AS143" s="24">
        <f t="shared" si="66"/>
        <v>0.2123263889</v>
      </c>
      <c r="AT143" s="24">
        <f t="shared" si="67"/>
        <v>0.1985104167</v>
      </c>
      <c r="AU143" s="24">
        <f t="shared" si="68"/>
        <v>0.1875278311111111</v>
      </c>
      <c r="AV143" s="24">
        <f t="shared" si="69"/>
        <v>0.14155092593333332</v>
      </c>
      <c r="AW143" s="24">
        <f t="shared" si="70"/>
        <v>0.29408950622222224</v>
      </c>
      <c r="AX143" s="24">
        <f t="shared" si="71"/>
        <v>8.4930555559999996E-2</v>
      </c>
      <c r="AY143" s="24">
        <f t="shared" si="72"/>
        <v>5.2936111119999997E-2</v>
      </c>
      <c r="AZ143" s="24">
        <f t="shared" si="73"/>
        <v>4.8123737381818181E-2</v>
      </c>
      <c r="BA143" s="24">
        <f t="shared" si="74"/>
        <v>1.8575060586884219E-2</v>
      </c>
      <c r="BB143" s="24">
        <f t="shared" si="75"/>
        <v>4.0720085476923081E-2</v>
      </c>
      <c r="BC143" s="51">
        <f t="shared" ref="BC143" si="79">SUM(AJ143:BB143)</f>
        <v>5.5928737076530046</v>
      </c>
    </row>
    <row r="144" spans="35:55" x14ac:dyDescent="0.2">
      <c r="AI144" s="5">
        <f>F67</f>
        <v>42429</v>
      </c>
      <c r="AJ144" s="24">
        <f t="shared" si="57"/>
        <v>0.76409632476666667</v>
      </c>
      <c r="AK144" s="24">
        <f t="shared" si="58"/>
        <v>0.75113888880000002</v>
      </c>
      <c r="AL144" s="24">
        <f t="shared" si="59"/>
        <v>0.35390984220000005</v>
      </c>
      <c r="AM144" s="24">
        <f t="shared" si="60"/>
        <v>0.45341979711428571</v>
      </c>
      <c r="AN144" s="24">
        <f t="shared" si="61"/>
        <v>0.75113888880000013</v>
      </c>
      <c r="AO144" s="24">
        <f t="shared" si="62"/>
        <v>5.8745056828571424E-2</v>
      </c>
      <c r="AP144" s="24">
        <f t="shared" si="63"/>
        <v>0.44238730275000004</v>
      </c>
      <c r="AQ144" s="24">
        <f t="shared" si="64"/>
        <v>0.30857736192500002</v>
      </c>
      <c r="AR144" s="24">
        <f t="shared" si="65"/>
        <v>0.151546875</v>
      </c>
      <c r="AS144" s="24">
        <f t="shared" si="66"/>
        <v>0.2056076989</v>
      </c>
      <c r="AT144" s="24">
        <f t="shared" si="67"/>
        <v>0.20038541669999999</v>
      </c>
      <c r="AU144" s="24">
        <f t="shared" si="68"/>
        <v>0.17961111111111114</v>
      </c>
      <c r="AV144" s="24">
        <f t="shared" si="69"/>
        <v>0.13707179926666666</v>
      </c>
      <c r="AW144" s="24">
        <f t="shared" si="70"/>
        <v>0.29686728400000001</v>
      </c>
      <c r="AX144" s="24">
        <f t="shared" si="71"/>
        <v>8.2243079560000001E-2</v>
      </c>
      <c r="AY144" s="24">
        <f t="shared" si="72"/>
        <v>5.3436111119999997E-2</v>
      </c>
      <c r="AZ144" s="24">
        <f t="shared" si="73"/>
        <v>4.8578282836363638E-2</v>
      </c>
      <c r="BA144" s="24">
        <f t="shared" si="74"/>
        <v>1.875050850130295E-2</v>
      </c>
      <c r="BB144" s="24">
        <f t="shared" si="75"/>
        <v>4.110470086153846E-2</v>
      </c>
      <c r="BC144" s="51">
        <f t="shared" ref="BC144" si="80">SUM(AJ144:BB144)</f>
        <v>5.2986163310415062</v>
      </c>
    </row>
    <row r="145" spans="35:55" x14ac:dyDescent="0.2">
      <c r="AI145" s="5">
        <f>F68</f>
        <v>42460</v>
      </c>
      <c r="AJ145" s="24">
        <f t="shared" si="57"/>
        <v>0.78034632476666665</v>
      </c>
      <c r="AK145" s="24">
        <f t="shared" si="58"/>
        <v>0.75988888880000005</v>
      </c>
      <c r="AL145" s="24">
        <f t="shared" si="59"/>
        <v>0.35922222220000005</v>
      </c>
      <c r="AM145" s="24">
        <f t="shared" si="60"/>
        <v>0.46306265425714283</v>
      </c>
      <c r="AN145" s="24">
        <f t="shared" si="61"/>
        <v>0.75988888880000016</v>
      </c>
      <c r="AO145" s="24">
        <f t="shared" si="62"/>
        <v>5.8789682542857151E-2</v>
      </c>
      <c r="AP145" s="24">
        <f t="shared" si="63"/>
        <v>0.44902777775000002</v>
      </c>
      <c r="AQ145" s="24">
        <f t="shared" si="64"/>
        <v>0.31513986192500004</v>
      </c>
      <c r="AR145" s="24">
        <f t="shared" si="65"/>
        <v>0.15353910749999999</v>
      </c>
      <c r="AS145" s="24">
        <f t="shared" si="66"/>
        <v>0.2057638889</v>
      </c>
      <c r="AT145" s="24">
        <f t="shared" si="67"/>
        <v>0.20448702419999998</v>
      </c>
      <c r="AU145" s="24">
        <f t="shared" si="68"/>
        <v>0.18197227555555556</v>
      </c>
      <c r="AV145" s="24">
        <f t="shared" si="69"/>
        <v>0.13717592593333333</v>
      </c>
      <c r="AW145" s="24">
        <f t="shared" si="70"/>
        <v>0.30294373955555559</v>
      </c>
      <c r="AX145" s="24">
        <f t="shared" si="71"/>
        <v>8.2305555560000007E-2</v>
      </c>
      <c r="AY145" s="24">
        <f t="shared" si="72"/>
        <v>5.4529873119999996E-2</v>
      </c>
      <c r="AZ145" s="24">
        <f t="shared" si="73"/>
        <v>4.9572611927272726E-2</v>
      </c>
      <c r="BA145" s="24">
        <f t="shared" si="74"/>
        <v>1.9134305024843867E-2</v>
      </c>
      <c r="BB145" s="24">
        <f t="shared" si="75"/>
        <v>4.1946056246153843E-2</v>
      </c>
      <c r="BC145" s="51">
        <f t="shared" ref="BC145" si="81">SUM(AJ145:BB145)</f>
        <v>5.3787366645643813</v>
      </c>
    </row>
    <row r="146" spans="35:55" x14ac:dyDescent="0.2">
      <c r="AI146" s="5">
        <f>F69</f>
        <v>42489</v>
      </c>
      <c r="AJ146" s="24">
        <f t="shared" si="57"/>
        <v>0.79233796286666669</v>
      </c>
      <c r="AK146" s="24">
        <f t="shared" si="58"/>
        <v>0.76152777760000012</v>
      </c>
      <c r="AL146" s="24">
        <f t="shared" si="59"/>
        <v>0.36319444440000004</v>
      </c>
      <c r="AM146" s="24">
        <f t="shared" si="60"/>
        <v>0.47017857137142854</v>
      </c>
      <c r="AN146" s="24">
        <f t="shared" si="61"/>
        <v>0.76152777760000012</v>
      </c>
      <c r="AO146" s="24">
        <f t="shared" si="62"/>
        <v>5.8918650800000007E-2</v>
      </c>
      <c r="AP146" s="24">
        <f t="shared" si="63"/>
        <v>0.45399305550000002</v>
      </c>
      <c r="AQ146" s="24">
        <f t="shared" si="64"/>
        <v>0.31998263885</v>
      </c>
      <c r="AR146" s="24">
        <f t="shared" si="65"/>
        <v>0.15562499999999999</v>
      </c>
      <c r="AS146" s="24">
        <f t="shared" si="66"/>
        <v>0.20621527780000001</v>
      </c>
      <c r="AT146" s="24">
        <f t="shared" si="67"/>
        <v>0.20860681582499999</v>
      </c>
      <c r="AU146" s="24">
        <f t="shared" si="68"/>
        <v>0.18444444444444444</v>
      </c>
      <c r="AV146" s="24">
        <f t="shared" si="69"/>
        <v>0.13747685186666667</v>
      </c>
      <c r="AW146" s="24">
        <f t="shared" si="70"/>
        <v>0.30904713455555555</v>
      </c>
      <c r="AX146" s="24">
        <f t="shared" si="71"/>
        <v>8.2486111120000011E-2</v>
      </c>
      <c r="AY146" s="24">
        <f t="shared" si="72"/>
        <v>5.5628484220000003E-2</v>
      </c>
      <c r="AZ146" s="24">
        <f t="shared" si="73"/>
        <v>5.057134929090909E-2</v>
      </c>
      <c r="BA146" s="24">
        <f t="shared" si="74"/>
        <v>1.9519803077348397E-2</v>
      </c>
      <c r="BB146" s="24">
        <f t="shared" si="75"/>
        <v>4.2791141707692305E-2</v>
      </c>
      <c r="BC146" s="51">
        <f t="shared" ref="BC146" si="82">SUM(AJ146:BB146)</f>
        <v>5.4340732928957109</v>
      </c>
    </row>
    <row r="147" spans="35:55" x14ac:dyDescent="0.2">
      <c r="AI147" s="5">
        <f>F70</f>
        <v>42521</v>
      </c>
      <c r="AJ147" s="24">
        <f t="shared" si="57"/>
        <v>0.80336715810000003</v>
      </c>
      <c r="AK147" s="24">
        <f t="shared" si="58"/>
        <v>0.76363888880000008</v>
      </c>
      <c r="AL147" s="24">
        <f t="shared" si="59"/>
        <v>0.36703484220000004</v>
      </c>
      <c r="AM147" s="24">
        <f t="shared" si="60"/>
        <v>0.47672336854285713</v>
      </c>
      <c r="AN147" s="24">
        <f t="shared" si="61"/>
        <v>0.76363888880000008</v>
      </c>
      <c r="AO147" s="24">
        <f t="shared" si="62"/>
        <v>5.9370056828571424E-2</v>
      </c>
      <c r="AP147" s="24">
        <f t="shared" si="63"/>
        <v>0.45879355275</v>
      </c>
      <c r="AQ147" s="24">
        <f t="shared" si="64"/>
        <v>0.32443673692500002</v>
      </c>
      <c r="AR147" s="24">
        <f t="shared" si="65"/>
        <v>0.15682035749999998</v>
      </c>
      <c r="AS147" s="24">
        <f t="shared" si="66"/>
        <v>0.20779519890000001</v>
      </c>
      <c r="AT147" s="24">
        <f t="shared" si="67"/>
        <v>0.21233854169999999</v>
      </c>
      <c r="AU147" s="24">
        <f t="shared" si="68"/>
        <v>0.18586116444444442</v>
      </c>
      <c r="AV147" s="24">
        <f t="shared" si="69"/>
        <v>0.13853013259999999</v>
      </c>
      <c r="AW147" s="24">
        <f t="shared" si="70"/>
        <v>0.31457561733333339</v>
      </c>
      <c r="AX147" s="24">
        <f t="shared" si="71"/>
        <v>8.3118079559999988E-2</v>
      </c>
      <c r="AY147" s="24">
        <f t="shared" si="72"/>
        <v>5.662361112E-2</v>
      </c>
      <c r="AZ147" s="24">
        <f t="shared" si="73"/>
        <v>5.1476010109090913E-2</v>
      </c>
      <c r="BA147" s="24">
        <f t="shared" si="74"/>
        <v>1.9868988955722349E-2</v>
      </c>
      <c r="BB147" s="24">
        <f t="shared" si="75"/>
        <v>4.355662393846154E-2</v>
      </c>
      <c r="BC147" s="51">
        <f t="shared" ref="BC147" si="83">SUM(AJ147:BB147)</f>
        <v>5.4875678191074817</v>
      </c>
    </row>
    <row r="148" spans="35:55" x14ac:dyDescent="0.2">
      <c r="AI148" s="5">
        <f>F71</f>
        <v>42551</v>
      </c>
      <c r="AJ148" s="24">
        <f t="shared" si="57"/>
        <v>0.70925231476666672</v>
      </c>
      <c r="AK148" s="24">
        <f t="shared" si="58"/>
        <v>0.67613888880000006</v>
      </c>
      <c r="AL148" s="24">
        <f t="shared" si="59"/>
        <v>0.3201598222</v>
      </c>
      <c r="AM148" s="24">
        <f t="shared" si="60"/>
        <v>0.42087499997142858</v>
      </c>
      <c r="AN148" s="24">
        <f t="shared" si="61"/>
        <v>0.67613888880000017</v>
      </c>
      <c r="AO148" s="24">
        <f t="shared" si="62"/>
        <v>5.4503968257142862E-2</v>
      </c>
      <c r="AP148" s="24">
        <f t="shared" si="63"/>
        <v>0.40019977774999999</v>
      </c>
      <c r="AQ148" s="24">
        <f t="shared" si="64"/>
        <v>0.28642881942500004</v>
      </c>
      <c r="AR148" s="24">
        <f t="shared" si="65"/>
        <v>0.14182035749999999</v>
      </c>
      <c r="AS148" s="24">
        <f t="shared" si="66"/>
        <v>0.19076388890000001</v>
      </c>
      <c r="AT148" s="24">
        <f t="shared" si="67"/>
        <v>0.20929166669999999</v>
      </c>
      <c r="AU148" s="24">
        <f t="shared" si="68"/>
        <v>0.16808338666666667</v>
      </c>
      <c r="AV148" s="24">
        <f t="shared" si="69"/>
        <v>0.12717592593333335</v>
      </c>
      <c r="AW148" s="24">
        <f t="shared" si="70"/>
        <v>0.31006172844444446</v>
      </c>
      <c r="AX148" s="24">
        <f t="shared" si="71"/>
        <v>7.6305555560000002E-2</v>
      </c>
      <c r="AY148" s="24">
        <f t="shared" si="72"/>
        <v>5.5811111120000007E-2</v>
      </c>
      <c r="AZ148" s="24">
        <f t="shared" si="73"/>
        <v>5.0737373745454548E-2</v>
      </c>
      <c r="BA148" s="24">
        <f t="shared" si="74"/>
        <v>1.9583886094791916E-2</v>
      </c>
      <c r="BB148" s="24">
        <f t="shared" si="75"/>
        <v>4.293162393846154E-2</v>
      </c>
      <c r="BC148" s="51">
        <f t="shared" ref="BC148" si="84">SUM(AJ148:BB148)</f>
        <v>4.9362639845733911</v>
      </c>
    </row>
    <row r="149" spans="35:55" x14ac:dyDescent="0.2">
      <c r="AI149" s="5">
        <f>F72</f>
        <v>42580</v>
      </c>
      <c r="AJ149" s="24">
        <f>G72*AJ72</f>
        <v>0.68623148143333335</v>
      </c>
      <c r="AK149" s="24">
        <f>H72*AK72</f>
        <v>0.64488888879999995</v>
      </c>
      <c r="AL149" s="24">
        <f>I72*AL72</f>
        <v>0.30797222219999998</v>
      </c>
      <c r="AM149" s="24">
        <f>J72*AM72</f>
        <v>0.40721428568571422</v>
      </c>
      <c r="AN149" s="24">
        <f>K72*AN72</f>
        <v>0.64488888880000017</v>
      </c>
      <c r="AO149" s="24">
        <f>L72*AO72</f>
        <v>5.3566485400000002E-2</v>
      </c>
      <c r="AP149" s="24">
        <f>M72*AP72</f>
        <v>0.38496527775</v>
      </c>
      <c r="AQ149" s="24">
        <f>N72*AQ72</f>
        <v>0.277131944425</v>
      </c>
      <c r="AR149" s="24">
        <f>O72*AR72</f>
        <v>0.13807035749999999</v>
      </c>
      <c r="AS149" s="24">
        <f>P72*AS72</f>
        <v>0.18748269889999999</v>
      </c>
      <c r="AT149" s="24">
        <f>Q72*AT72</f>
        <v>0.21116666669999998</v>
      </c>
      <c r="AU149" s="24">
        <f>R72*AU72</f>
        <v>0.16363894222222222</v>
      </c>
      <c r="AV149" s="24">
        <f>S72*AV72</f>
        <v>0.12498846593333333</v>
      </c>
      <c r="AW149" s="24">
        <f>T72*AW72</f>
        <v>0.31283950622222223</v>
      </c>
      <c r="AX149" s="24">
        <f>U72*AX72</f>
        <v>7.4993079559999995E-2</v>
      </c>
      <c r="AY149" s="24">
        <f>V72*AY72</f>
        <v>5.631111112E-2</v>
      </c>
      <c r="AZ149" s="24">
        <f>W72*AZ72</f>
        <v>5.1191919199999998E-2</v>
      </c>
      <c r="BA149" s="24">
        <f>X72*BA72</f>
        <v>1.9759334009210643E-2</v>
      </c>
      <c r="BB149" s="24">
        <f>Y72*BB72</f>
        <v>4.3316239323076919E-2</v>
      </c>
      <c r="BC149" s="51">
        <f t="shared" ref="BC149" si="85">SUM(AJ149:BB149)</f>
        <v>4.7906177951841142</v>
      </c>
    </row>
    <row r="150" spans="35:55" x14ac:dyDescent="0.2">
      <c r="AI150" s="5">
        <f>F73</f>
        <v>42613</v>
      </c>
      <c r="AJ150" s="24">
        <f t="shared" ref="AJ150:BB150" si="86">G73*AJ73</f>
        <v>0.71466898143333346</v>
      </c>
      <c r="AK150" s="24">
        <f t="shared" si="86"/>
        <v>0.6680141288</v>
      </c>
      <c r="AL150" s="24">
        <f t="shared" si="86"/>
        <v>0.32172222220000002</v>
      </c>
      <c r="AM150" s="24">
        <f t="shared" si="86"/>
        <v>0.4240892856857143</v>
      </c>
      <c r="AN150" s="24">
        <f t="shared" si="86"/>
        <v>0.66801412880000011</v>
      </c>
      <c r="AO150" s="24">
        <f t="shared" si="86"/>
        <v>5.508434254285715E-2</v>
      </c>
      <c r="AP150" s="24">
        <f t="shared" si="86"/>
        <v>0.40215277775000002</v>
      </c>
      <c r="AQ150" s="24">
        <f t="shared" si="86"/>
        <v>0.28861631942500005</v>
      </c>
      <c r="AR150" s="24">
        <f t="shared" si="86"/>
        <v>0.14193749999999999</v>
      </c>
      <c r="AS150" s="24">
        <f t="shared" si="86"/>
        <v>0.19279519889999999</v>
      </c>
      <c r="AT150" s="24">
        <f t="shared" si="86"/>
        <v>0.2160885417</v>
      </c>
      <c r="AU150" s="24">
        <f t="shared" si="86"/>
        <v>0.16822222222222225</v>
      </c>
      <c r="AV150" s="24">
        <f t="shared" si="86"/>
        <v>0.12853013259999999</v>
      </c>
      <c r="AW150" s="24">
        <f t="shared" si="86"/>
        <v>0.32013117288888893</v>
      </c>
      <c r="AX150" s="24">
        <f t="shared" si="86"/>
        <v>7.7118079559999997E-2</v>
      </c>
      <c r="AY150" s="24">
        <f t="shared" si="86"/>
        <v>5.7623611120000001E-2</v>
      </c>
      <c r="AZ150" s="24">
        <f t="shared" si="86"/>
        <v>5.2385101018181821E-2</v>
      </c>
      <c r="BA150" s="24">
        <f t="shared" si="86"/>
        <v>2.0219884784559806E-2</v>
      </c>
      <c r="BB150" s="24">
        <f t="shared" si="86"/>
        <v>4.4325854707692312E-2</v>
      </c>
      <c r="BC150" s="51">
        <f t="shared" ref="BC150:BC152" si="87">SUM(AJ150:BB150)</f>
        <v>4.9617394861384483</v>
      </c>
    </row>
    <row r="151" spans="35:55" x14ac:dyDescent="0.2">
      <c r="AI151" s="5">
        <f>F74</f>
        <v>42643</v>
      </c>
      <c r="AJ151" s="24">
        <f t="shared" ref="AJ151:BB151" si="88">G74*AJ74</f>
        <v>0.71495512096666669</v>
      </c>
      <c r="AK151" s="24">
        <f t="shared" si="88"/>
        <v>0.66691666679999995</v>
      </c>
      <c r="AL151" s="24">
        <f t="shared" si="88"/>
        <v>0.32154166660000005</v>
      </c>
      <c r="AM151" s="24">
        <f t="shared" si="88"/>
        <v>0.42425908277142854</v>
      </c>
      <c r="AN151" s="24">
        <f t="shared" si="88"/>
        <v>0.66691666680000006</v>
      </c>
      <c r="AO151" s="24">
        <f t="shared" si="88"/>
        <v>5.5074421914285722E-2</v>
      </c>
      <c r="AP151" s="24">
        <f t="shared" si="88"/>
        <v>0.40192708325000004</v>
      </c>
      <c r="AQ151" s="24">
        <f t="shared" si="88"/>
        <v>0.28873187577500004</v>
      </c>
      <c r="AR151" s="24">
        <f t="shared" si="88"/>
        <v>0.14235937499999998</v>
      </c>
      <c r="AS151" s="24">
        <f t="shared" si="88"/>
        <v>0.19276047670000002</v>
      </c>
      <c r="AT151" s="24">
        <f t="shared" si="88"/>
        <v>0.21776562502499999</v>
      </c>
      <c r="AU151" s="24">
        <f t="shared" si="88"/>
        <v>0.16872222222222219</v>
      </c>
      <c r="AV151" s="24">
        <f t="shared" si="88"/>
        <v>0.12850698446666667</v>
      </c>
      <c r="AW151" s="24">
        <f t="shared" si="88"/>
        <v>0.32261574077777783</v>
      </c>
      <c r="AX151" s="24">
        <f t="shared" si="88"/>
        <v>7.7104190680000004E-2</v>
      </c>
      <c r="AY151" s="24">
        <f t="shared" si="88"/>
        <v>5.8070833339999996E-2</v>
      </c>
      <c r="AZ151" s="24">
        <f t="shared" si="88"/>
        <v>5.2791666672727271E-2</v>
      </c>
      <c r="BA151" s="24">
        <f t="shared" si="88"/>
        <v>2.0376813196121238E-2</v>
      </c>
      <c r="BB151" s="24">
        <f t="shared" si="88"/>
        <v>4.4669871800000004E-2</v>
      </c>
      <c r="BC151" s="51">
        <f t="shared" si="87"/>
        <v>4.9660663847578954</v>
      </c>
    </row>
    <row r="152" spans="35:55" x14ac:dyDescent="0.2">
      <c r="AI152" s="5">
        <f>F75</f>
        <v>42674</v>
      </c>
      <c r="AJ152" s="24">
        <f t="shared" ref="AJ152:BB152" si="89">G75*AJ75</f>
        <v>0.84304680478385918</v>
      </c>
      <c r="AK152" s="24">
        <f t="shared" si="89"/>
        <v>0.76448753395714486</v>
      </c>
      <c r="AL152" s="24">
        <f t="shared" si="89"/>
        <v>0.33132853377467947</v>
      </c>
      <c r="AM152" s="24">
        <f t="shared" si="89"/>
        <v>0.46230727153096962</v>
      </c>
      <c r="AN152" s="24">
        <f t="shared" si="89"/>
        <v>0.74784561108346925</v>
      </c>
      <c r="AO152" s="24">
        <f t="shared" si="89"/>
        <v>5.4370677603004694E-2</v>
      </c>
      <c r="AP152" s="24">
        <f t="shared" si="89"/>
        <v>0.44589584626509671</v>
      </c>
      <c r="AQ152" s="24">
        <f t="shared" si="89"/>
        <v>0.31297123727268794</v>
      </c>
      <c r="AR152" s="24">
        <f t="shared" si="89"/>
        <v>0.17606849199816357</v>
      </c>
      <c r="AS152" s="24">
        <f t="shared" si="89"/>
        <v>0.19952326106515925</v>
      </c>
      <c r="AT152" s="24">
        <f t="shared" si="89"/>
        <v>0.17607716214652372</v>
      </c>
      <c r="AU152" s="24">
        <f t="shared" si="89"/>
        <v>0.15869033550523856</v>
      </c>
      <c r="AV152" s="24">
        <f t="shared" si="89"/>
        <v>0.14427609914547451</v>
      </c>
      <c r="AW152" s="24">
        <f t="shared" si="89"/>
        <v>0.2977092586025924</v>
      </c>
      <c r="AX152" s="24">
        <f t="shared" si="89"/>
        <v>6.7997808409648738E-2</v>
      </c>
      <c r="AY152" s="24">
        <f t="shared" si="89"/>
        <v>7.5665161252312527E-2</v>
      </c>
      <c r="AZ152" s="24">
        <f t="shared" si="89"/>
        <v>3.2933110524651178E-2</v>
      </c>
      <c r="BA152" s="24">
        <f t="shared" si="89"/>
        <v>1.7561254365590844E-2</v>
      </c>
      <c r="BB152" s="24">
        <f t="shared" si="89"/>
        <v>2.7724970957580222E-2</v>
      </c>
      <c r="BC152" s="51">
        <f t="shared" si="87"/>
        <v>5.3364804302438476</v>
      </c>
    </row>
    <row r="153" spans="35:55" x14ac:dyDescent="0.2">
      <c r="AI153" s="5">
        <f>F76</f>
        <v>42704</v>
      </c>
      <c r="AJ153" s="24">
        <f t="shared" ref="AJ153" si="90">G76*AJ76</f>
        <v>1.0128828297494259</v>
      </c>
      <c r="AK153" s="24">
        <f t="shared" ref="AK153" si="91">H76*AK76</f>
        <v>0.893992670952377</v>
      </c>
      <c r="AL153" s="24">
        <f t="shared" ref="AL153" si="92">I76*AL76</f>
        <v>0.40604608199956366</v>
      </c>
      <c r="AM153" s="24">
        <f t="shared" ref="AM153" si="93">J76*AM76</f>
        <v>0.55544139986637908</v>
      </c>
      <c r="AN153" s="24">
        <f t="shared" ref="AN153" si="94">K76*AN76</f>
        <v>0.87453158569097267</v>
      </c>
      <c r="AO153" s="24">
        <f t="shared" ref="AO153" si="95">L76*AO76</f>
        <v>6.1307801231013009E-2</v>
      </c>
      <c r="AP153" s="24">
        <f t="shared" ref="AP153" si="96">M76*AP76</f>
        <v>0.54644934830438885</v>
      </c>
      <c r="AQ153" s="24">
        <f t="shared" ref="AQ153" si="97">N76*AQ76</f>
        <v>0.37602086935162826</v>
      </c>
      <c r="AR153" s="24">
        <f t="shared" ref="AR153" si="98">O76*AR76</f>
        <v>0.20238745510954251</v>
      </c>
      <c r="AS153" s="24">
        <f t="shared" ref="AS153" si="99">P76*AS76</f>
        <v>0.22498031971685975</v>
      </c>
      <c r="AT153" s="24">
        <f t="shared" ref="AT153" si="100">Q76*AT76</f>
        <v>0.17437834282447015</v>
      </c>
      <c r="AU153" s="24">
        <f t="shared" ref="AU153" si="101">R76*AU76</f>
        <v>0.18241158760943835</v>
      </c>
      <c r="AV153" s="24">
        <f t="shared" ref="AV153" si="102">S76*AV76</f>
        <v>0.16268420403699113</v>
      </c>
      <c r="AW153" s="24">
        <f t="shared" ref="AW153" si="103">T76*AW76</f>
        <v>0.29483691425819947</v>
      </c>
      <c r="AX153" s="24">
        <f t="shared" ref="AX153" si="104">U76*AX76</f>
        <v>7.6673609855707786E-2</v>
      </c>
      <c r="AY153" s="24">
        <f t="shared" ref="AY153" si="105">V76*AY76</f>
        <v>7.4935132233360235E-2</v>
      </c>
      <c r="AZ153" s="24">
        <f t="shared" ref="AZ153" si="106">W76*AZ76</f>
        <v>3.2615366850158929E-2</v>
      </c>
      <c r="BA153" s="24">
        <f t="shared" ref="BA153" si="107">X76*BA76</f>
        <v>1.7391820704393275E-2</v>
      </c>
      <c r="BB153" s="24">
        <f t="shared" ref="BB153" si="108">Y76*BB76</f>
        <v>2.7457476208165091E-2</v>
      </c>
      <c r="BC153" s="51">
        <f t="shared" ref="BC153" si="109">SUM(AJ153:BB153)</f>
        <v>6.1974248165530366</v>
      </c>
    </row>
    <row r="154" spans="35:55" x14ac:dyDescent="0.2">
      <c r="AI154" s="5">
        <f>F77</f>
        <v>42734</v>
      </c>
      <c r="AJ154" s="24">
        <f t="shared" ref="AJ154" si="110">G77*AJ77</f>
        <v>0.9273784823368183</v>
      </c>
      <c r="AK154" s="24">
        <f t="shared" ref="AK154" si="111">H77*AK77</f>
        <v>0.82687092888558134</v>
      </c>
      <c r="AL154" s="24">
        <f t="shared" ref="AL154" si="112">I77*AL77</f>
        <v>0.39062826322434807</v>
      </c>
      <c r="AM154" s="24">
        <f t="shared" ref="AM154" si="113">J77*AM77</f>
        <v>0.55685052384514444</v>
      </c>
      <c r="AN154" s="24">
        <f t="shared" ref="AN154" si="114">K77*AN77</f>
        <v>0.89772155622724348</v>
      </c>
      <c r="AO154" s="24">
        <f t="shared" ref="AO154" si="115">L77*AO77</f>
        <v>5.3048796279145598E-2</v>
      </c>
      <c r="AP154" s="24">
        <f t="shared" ref="AP154" si="116">M77*AP77</f>
        <v>0.56563693470107146</v>
      </c>
      <c r="AQ154" s="24">
        <f t="shared" ref="AQ154" si="117">N77*AQ77</f>
        <v>0.37697481341061823</v>
      </c>
      <c r="AR154" s="24">
        <f t="shared" ref="AR154" si="118">O77*AR77</f>
        <v>0.20087461386708802</v>
      </c>
      <c r="AS154" s="24">
        <f t="shared" ref="AS154" si="119">P77*AS77</f>
        <v>0.22468222040401292</v>
      </c>
      <c r="AT154" s="24">
        <f t="shared" ref="AT154" si="120">Q77*AT77</f>
        <v>0.13460282701810916</v>
      </c>
      <c r="AU154" s="24">
        <f t="shared" ref="AU154" si="121">R77*AU77</f>
        <v>0.1869621951559583</v>
      </c>
      <c r="AV154" s="24">
        <f t="shared" ref="AV154" si="122">S77*AV77</f>
        <v>0.16113121511823145</v>
      </c>
      <c r="AW154" s="24">
        <f t="shared" ref="AW154" si="123">T77*AW77</f>
        <v>0.24158657740229386</v>
      </c>
      <c r="AX154" s="24">
        <f t="shared" ref="AX154" si="124">U77*AX77</f>
        <v>7.8272519704184931E-2</v>
      </c>
      <c r="AY154" s="24">
        <f t="shared" ref="AY154" si="125">V77*AY77</f>
        <v>6.2082514033585244E-2</v>
      </c>
      <c r="AZ154" s="24">
        <f t="shared" ref="AZ154" si="126">W77*AZ77</f>
        <v>2.7990742023451576E-2</v>
      </c>
      <c r="BA154" s="24">
        <f t="shared" ref="BA154" si="127">X77*BA77</f>
        <v>1.6150382726559231E-2</v>
      </c>
      <c r="BB154" s="24">
        <f t="shared" ref="BB154" si="128">Y77*BB77</f>
        <v>2.7131923449442989E-2</v>
      </c>
      <c r="BC154" s="51">
        <f t="shared" ref="BC154" si="129">SUM(AJ154:BB154)</f>
        <v>5.9565780298128894</v>
      </c>
    </row>
  </sheetData>
  <mergeCells count="1">
    <mergeCell ref="F6:AC6"/>
  </mergeCells>
  <conditionalFormatting sqref="G8:AB8 G9:Z60 G81:Z81 G79:Z79 AJ79:BA79">
    <cfRule type="cellIs" dxfId="56" priority="67" operator="equal">
      <formula>0</formula>
    </cfRule>
  </conditionalFormatting>
  <conditionalFormatting sqref="AJ8:BC54">
    <cfRule type="cellIs" dxfId="55" priority="66" operator="equal">
      <formula>0</formula>
    </cfRule>
  </conditionalFormatting>
  <conditionalFormatting sqref="AJ85:BC137">
    <cfRule type="cellIs" dxfId="54" priority="65" operator="equal">
      <formula>0</formula>
    </cfRule>
  </conditionalFormatting>
  <conditionalFormatting sqref="AJ55:BC60">
    <cfRule type="cellIs" dxfId="53" priority="63" operator="equal">
      <formula>0</formula>
    </cfRule>
  </conditionalFormatting>
  <conditionalFormatting sqref="G61:Z61">
    <cfRule type="cellIs" dxfId="52" priority="62" operator="equal">
      <formula>0</formula>
    </cfRule>
  </conditionalFormatting>
  <conditionalFormatting sqref="AJ61:BC61">
    <cfRule type="cellIs" dxfId="51" priority="61" operator="equal">
      <formula>0</formula>
    </cfRule>
  </conditionalFormatting>
  <conditionalFormatting sqref="AJ138:BC138">
    <cfRule type="cellIs" dxfId="50" priority="60" operator="equal">
      <formula>0</formula>
    </cfRule>
  </conditionalFormatting>
  <conditionalFormatting sqref="G62:Z63 G80:Z80">
    <cfRule type="cellIs" dxfId="49" priority="59" operator="equal">
      <formula>0</formula>
    </cfRule>
  </conditionalFormatting>
  <conditionalFormatting sqref="AJ62:BC63 AJ80:BC80 BA64:BA68">
    <cfRule type="cellIs" dxfId="48" priority="58" operator="equal">
      <formula>0</formula>
    </cfRule>
  </conditionalFormatting>
  <conditionalFormatting sqref="AJ139:BC142">
    <cfRule type="cellIs" dxfId="47" priority="57" operator="equal">
      <formula>0</formula>
    </cfRule>
  </conditionalFormatting>
  <conditionalFormatting sqref="G64:Z64">
    <cfRule type="cellIs" dxfId="46" priority="56" operator="equal">
      <formula>0</formula>
    </cfRule>
  </conditionalFormatting>
  <conditionalFormatting sqref="AJ64:AZ64 BB64:BC64">
    <cfRule type="cellIs" dxfId="45" priority="55" operator="equal">
      <formula>0</formula>
    </cfRule>
  </conditionalFormatting>
  <conditionalFormatting sqref="G65:Z65">
    <cfRule type="cellIs" dxfId="44" priority="54" operator="equal">
      <formula>0</formula>
    </cfRule>
  </conditionalFormatting>
  <conditionalFormatting sqref="AJ65:AZ65 BB65:BC65">
    <cfRule type="cellIs" dxfId="43" priority="53" operator="equal">
      <formula>0</formula>
    </cfRule>
  </conditionalFormatting>
  <conditionalFormatting sqref="G66:Z66">
    <cfRule type="cellIs" dxfId="42" priority="52" operator="equal">
      <formula>0</formula>
    </cfRule>
  </conditionalFormatting>
  <conditionalFormatting sqref="AJ66:AZ66 BB66:BC66">
    <cfRule type="cellIs" dxfId="41" priority="51" operator="equal">
      <formula>0</formula>
    </cfRule>
  </conditionalFormatting>
  <conditionalFormatting sqref="AJ143:BC144">
    <cfRule type="cellIs" dxfId="40" priority="50" operator="equal">
      <formula>0</formula>
    </cfRule>
  </conditionalFormatting>
  <conditionalFormatting sqref="G67:Z67">
    <cfRule type="cellIs" dxfId="39" priority="49" operator="equal">
      <formula>0</formula>
    </cfRule>
  </conditionalFormatting>
  <conditionalFormatting sqref="AJ67:AZ67 BB67:BC67">
    <cfRule type="cellIs" dxfId="38" priority="48" operator="equal">
      <formula>0</formula>
    </cfRule>
  </conditionalFormatting>
  <conditionalFormatting sqref="G68:Z68">
    <cfRule type="cellIs" dxfId="37" priority="47" operator="equal">
      <formula>0</formula>
    </cfRule>
  </conditionalFormatting>
  <conditionalFormatting sqref="AJ68:AZ68 BB68:BC68">
    <cfRule type="cellIs" dxfId="36" priority="46" operator="equal">
      <formula>0</formula>
    </cfRule>
  </conditionalFormatting>
  <conditionalFormatting sqref="AJ145:BC145">
    <cfRule type="cellIs" dxfId="35" priority="45" operator="equal">
      <formula>0</formula>
    </cfRule>
  </conditionalFormatting>
  <conditionalFormatting sqref="BA69">
    <cfRule type="cellIs" dxfId="34" priority="44" operator="equal">
      <formula>0</formula>
    </cfRule>
  </conditionalFormatting>
  <conditionalFormatting sqref="G69:Z69">
    <cfRule type="cellIs" dxfId="33" priority="43" operator="equal">
      <formula>0</formula>
    </cfRule>
  </conditionalFormatting>
  <conditionalFormatting sqref="AJ69:AZ69 BB69:BC69">
    <cfRule type="cellIs" dxfId="32" priority="42" operator="equal">
      <formula>0</formula>
    </cfRule>
  </conditionalFormatting>
  <conditionalFormatting sqref="AJ146:BC146">
    <cfRule type="cellIs" dxfId="31" priority="41" operator="equal">
      <formula>0</formula>
    </cfRule>
  </conditionalFormatting>
  <conditionalFormatting sqref="BA70">
    <cfRule type="cellIs" dxfId="30" priority="39" operator="equal">
      <formula>0</formula>
    </cfRule>
  </conditionalFormatting>
  <conditionalFormatting sqref="G70:Z70">
    <cfRule type="cellIs" dxfId="29" priority="38" operator="equal">
      <formula>0</formula>
    </cfRule>
  </conditionalFormatting>
  <conditionalFormatting sqref="AJ70:AZ70 BB70:BC70">
    <cfRule type="cellIs" dxfId="28" priority="37" operator="equal">
      <formula>0</formula>
    </cfRule>
  </conditionalFormatting>
  <conditionalFormatting sqref="AJ147:BC147">
    <cfRule type="cellIs" dxfId="27" priority="36" operator="equal">
      <formula>0</formula>
    </cfRule>
  </conditionalFormatting>
  <conditionalFormatting sqref="BA71">
    <cfRule type="cellIs" dxfId="26" priority="35" operator="equal">
      <formula>0</formula>
    </cfRule>
  </conditionalFormatting>
  <conditionalFormatting sqref="G71:Z71">
    <cfRule type="cellIs" dxfId="25" priority="34" operator="equal">
      <formula>0</formula>
    </cfRule>
  </conditionalFormatting>
  <conditionalFormatting sqref="AJ71:AZ71 BB71:BC71">
    <cfRule type="cellIs" dxfId="24" priority="33" operator="equal">
      <formula>0</formula>
    </cfRule>
  </conditionalFormatting>
  <conditionalFormatting sqref="AJ148:BC148">
    <cfRule type="cellIs" dxfId="23" priority="32" operator="equal">
      <formula>0</formula>
    </cfRule>
  </conditionalFormatting>
  <conditionalFormatting sqref="BA72">
    <cfRule type="cellIs" dxfId="22" priority="30" operator="equal">
      <formula>0</formula>
    </cfRule>
  </conditionalFormatting>
  <conditionalFormatting sqref="G72:Z72">
    <cfRule type="cellIs" dxfId="21" priority="29" operator="equal">
      <formula>0</formula>
    </cfRule>
  </conditionalFormatting>
  <conditionalFormatting sqref="AJ72:AZ72 BB72:BC72">
    <cfRule type="cellIs" dxfId="20" priority="28" operator="equal">
      <formula>0</formula>
    </cfRule>
  </conditionalFormatting>
  <conditionalFormatting sqref="AJ149:BC152">
    <cfRule type="cellIs" dxfId="19" priority="27" operator="equal">
      <formula>0</formula>
    </cfRule>
  </conditionalFormatting>
  <conditionalFormatting sqref="BB79:BC79">
    <cfRule type="cellIs" dxfId="18" priority="18" operator="equal">
      <formula>0</formula>
    </cfRule>
  </conditionalFormatting>
  <conditionalFormatting sqref="BA73">
    <cfRule type="cellIs" dxfId="17" priority="17" operator="equal">
      <formula>0</formula>
    </cfRule>
  </conditionalFormatting>
  <conditionalFormatting sqref="G73:Z73">
    <cfRule type="cellIs" dxfId="16" priority="16" operator="equal">
      <formula>0</formula>
    </cfRule>
  </conditionalFormatting>
  <conditionalFormatting sqref="AJ73:AZ73 BB73:BC73">
    <cfRule type="cellIs" dxfId="15" priority="15" operator="equal">
      <formula>0</formula>
    </cfRule>
  </conditionalFormatting>
  <conditionalFormatting sqref="BA74 BA78">
    <cfRule type="cellIs" dxfId="14" priority="14" operator="equal">
      <formula>0</formula>
    </cfRule>
  </conditionalFormatting>
  <conditionalFormatting sqref="G74:Z74 G78:Z78">
    <cfRule type="cellIs" dxfId="13" priority="13" operator="equal">
      <formula>0</formula>
    </cfRule>
  </conditionalFormatting>
  <conditionalFormatting sqref="AJ74:AZ74 BB74:BC74 BB78:BC78 AJ78:AZ78">
    <cfRule type="cellIs" dxfId="12" priority="12" operator="equal">
      <formula>0</formula>
    </cfRule>
  </conditionalFormatting>
  <conditionalFormatting sqref="BA75">
    <cfRule type="cellIs" dxfId="11" priority="11" operator="equal">
      <formula>0</formula>
    </cfRule>
  </conditionalFormatting>
  <conditionalFormatting sqref="G75:Z75">
    <cfRule type="cellIs" dxfId="10" priority="10" operator="equal">
      <formula>0</formula>
    </cfRule>
  </conditionalFormatting>
  <conditionalFormatting sqref="AJ75:AZ75 BB75:BC75">
    <cfRule type="cellIs" dxfId="9" priority="9" operator="equal">
      <formula>0</formula>
    </cfRule>
  </conditionalFormatting>
  <conditionalFormatting sqref="BA76">
    <cfRule type="cellIs" dxfId="8" priority="8" operator="equal">
      <formula>0</formula>
    </cfRule>
  </conditionalFormatting>
  <conditionalFormatting sqref="G76:Z76">
    <cfRule type="cellIs" dxfId="7" priority="7" operator="equal">
      <formula>0</formula>
    </cfRule>
  </conditionalFormatting>
  <conditionalFormatting sqref="AJ76:AZ76 BB76:BC76">
    <cfRule type="cellIs" dxfId="6" priority="6" operator="equal">
      <formula>0</formula>
    </cfRule>
  </conditionalFormatting>
  <conditionalFormatting sqref="AJ153:BC153">
    <cfRule type="cellIs" dxfId="5" priority="5" operator="equal">
      <formula>0</formula>
    </cfRule>
  </conditionalFormatting>
  <conditionalFormatting sqref="BA77">
    <cfRule type="cellIs" dxfId="4" priority="4" operator="equal">
      <formula>0</formula>
    </cfRule>
  </conditionalFormatting>
  <conditionalFormatting sqref="G77:Z77">
    <cfRule type="cellIs" dxfId="3" priority="3" operator="equal">
      <formula>0</formula>
    </cfRule>
  </conditionalFormatting>
  <conditionalFormatting sqref="AJ77:AZ77 BB77:BC77">
    <cfRule type="cellIs" dxfId="2" priority="2" operator="equal">
      <formula>0</formula>
    </cfRule>
  </conditionalFormatting>
  <conditionalFormatting sqref="AJ154:BC154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7"/>
  <sheetViews>
    <sheetView topLeftCell="A31" workbookViewId="0">
      <selection activeCell="I84" sqref="I84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4" t="s">
        <v>27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5">
        <v>40633</v>
      </c>
      <c r="G8" s="29"/>
      <c r="H8" s="36"/>
      <c r="I8" s="41"/>
      <c r="J8" s="42"/>
      <c r="K8" s="30"/>
      <c r="L8" s="36">
        <v>25.970889890000002</v>
      </c>
      <c r="M8" s="41"/>
      <c r="N8" s="42"/>
      <c r="O8" s="30"/>
      <c r="P8" s="30">
        <v>25.970889890000002</v>
      </c>
      <c r="Q8" s="36">
        <v>21.327054560000001</v>
      </c>
      <c r="R8" s="29"/>
      <c r="S8" s="30">
        <v>25.970889890000002</v>
      </c>
      <c r="T8" s="36">
        <v>21.327054560000001</v>
      </c>
      <c r="U8" s="29">
        <v>25.970889890000002</v>
      </c>
      <c r="V8" s="36">
        <v>21.327054560000001</v>
      </c>
      <c r="W8" s="37">
        <v>21.327054560000001</v>
      </c>
      <c r="X8" s="37">
        <v>21.327054560000001</v>
      </c>
      <c r="Y8" s="37">
        <v>21.327054560000001</v>
      </c>
      <c r="AC8" s="31">
        <v>23.184588691999998</v>
      </c>
    </row>
    <row r="9" spans="6:29" x14ac:dyDescent="0.2">
      <c r="F9" s="5">
        <v>40662</v>
      </c>
      <c r="G9" s="29"/>
      <c r="H9" s="36"/>
      <c r="I9" s="41"/>
      <c r="J9" s="42"/>
      <c r="K9" s="30"/>
      <c r="L9" s="36">
        <v>26.527777780000001</v>
      </c>
      <c r="M9" s="41"/>
      <c r="N9" s="42"/>
      <c r="O9" s="30"/>
      <c r="P9" s="30">
        <v>26.527777780000001</v>
      </c>
      <c r="Q9" s="36">
        <v>21.451111109999999</v>
      </c>
      <c r="R9" s="29"/>
      <c r="S9" s="30">
        <v>26.527777780000001</v>
      </c>
      <c r="T9" s="36">
        <v>21.451111109999999</v>
      </c>
      <c r="U9" s="29">
        <v>26.527777780000001</v>
      </c>
      <c r="V9" s="36">
        <v>21.451111109999999</v>
      </c>
      <c r="W9" s="37">
        <v>21.451111109999999</v>
      </c>
      <c r="X9" s="37">
        <v>21.451111109999999</v>
      </c>
      <c r="Y9" s="37">
        <v>21.451111109999999</v>
      </c>
      <c r="AC9" s="31">
        <v>23.481777778000001</v>
      </c>
    </row>
    <row r="10" spans="6:29" x14ac:dyDescent="0.2">
      <c r="F10" s="5">
        <v>40694</v>
      </c>
      <c r="G10" s="29"/>
      <c r="H10" s="36"/>
      <c r="I10" s="41"/>
      <c r="J10" s="42"/>
      <c r="K10" s="30"/>
      <c r="L10" s="36">
        <v>26.618888890000001</v>
      </c>
      <c r="M10" s="41"/>
      <c r="N10" s="42"/>
      <c r="O10" s="30"/>
      <c r="P10" s="30">
        <v>26.618888890000001</v>
      </c>
      <c r="Q10" s="36">
        <v>22.12805556</v>
      </c>
      <c r="R10" s="29"/>
      <c r="S10" s="30">
        <v>26.618888890000001</v>
      </c>
      <c r="T10" s="36">
        <v>22.12805556</v>
      </c>
      <c r="U10" s="29">
        <v>26.618888890000001</v>
      </c>
      <c r="V10" s="36">
        <v>22.12805556</v>
      </c>
      <c r="W10" s="37">
        <v>22.12805556</v>
      </c>
      <c r="X10" s="37">
        <v>22.12805556</v>
      </c>
      <c r="Y10" s="37">
        <v>22.12805556</v>
      </c>
      <c r="AC10" s="31">
        <v>23.924388892000003</v>
      </c>
    </row>
    <row r="11" spans="6:29" x14ac:dyDescent="0.2">
      <c r="F11" s="5">
        <v>40724</v>
      </c>
      <c r="G11" s="29"/>
      <c r="H11" s="36"/>
      <c r="I11" s="41"/>
      <c r="J11" s="42"/>
      <c r="K11" s="30"/>
      <c r="L11" s="36">
        <v>27.333888890000001</v>
      </c>
      <c r="M11" s="41"/>
      <c r="N11" s="42"/>
      <c r="O11" s="30"/>
      <c r="P11" s="30">
        <v>27.333888890000001</v>
      </c>
      <c r="Q11" s="36">
        <v>22.460056559999998</v>
      </c>
      <c r="R11" s="29"/>
      <c r="S11" s="30">
        <v>27.333888890000001</v>
      </c>
      <c r="T11" s="36">
        <v>22.460056559999998</v>
      </c>
      <c r="U11" s="29">
        <v>27.333888890000001</v>
      </c>
      <c r="V11" s="36">
        <v>22.460056559999998</v>
      </c>
      <c r="W11" s="37">
        <v>22.460056559999998</v>
      </c>
      <c r="X11" s="37">
        <v>22.460056559999998</v>
      </c>
      <c r="Y11" s="37">
        <v>22.460056559999998</v>
      </c>
      <c r="AC11" s="31">
        <v>24.409589491999999</v>
      </c>
    </row>
    <row r="12" spans="6:29" x14ac:dyDescent="0.2">
      <c r="F12" s="5">
        <v>40753</v>
      </c>
      <c r="G12" s="29"/>
      <c r="H12" s="36"/>
      <c r="I12" s="41"/>
      <c r="J12" s="42"/>
      <c r="K12" s="30"/>
      <c r="L12" s="36">
        <v>25.38888889</v>
      </c>
      <c r="M12" s="41"/>
      <c r="N12" s="42"/>
      <c r="O12" s="30"/>
      <c r="P12" s="30">
        <v>25.38888889</v>
      </c>
      <c r="Q12" s="36">
        <v>21.84305556</v>
      </c>
      <c r="R12" s="29"/>
      <c r="S12" s="30">
        <v>25.38888889</v>
      </c>
      <c r="T12" s="36">
        <v>21.84305556</v>
      </c>
      <c r="U12" s="29">
        <v>25.38888889</v>
      </c>
      <c r="V12" s="36">
        <v>21.84305556</v>
      </c>
      <c r="W12" s="37">
        <v>21.84305556</v>
      </c>
      <c r="X12" s="37">
        <v>21.84305556</v>
      </c>
      <c r="Y12" s="37">
        <v>21.84305556</v>
      </c>
      <c r="AC12" s="31">
        <v>23.261388892000006</v>
      </c>
    </row>
    <row r="13" spans="6:29" x14ac:dyDescent="0.2">
      <c r="F13" s="5">
        <v>40786</v>
      </c>
      <c r="G13" s="29"/>
      <c r="H13" s="36"/>
      <c r="I13" s="41"/>
      <c r="J13" s="42"/>
      <c r="K13" s="30"/>
      <c r="L13" s="36">
        <v>19.575888890000002</v>
      </c>
      <c r="M13" s="41"/>
      <c r="N13" s="42"/>
      <c r="O13" s="30"/>
      <c r="P13" s="30">
        <v>19.575888890000002</v>
      </c>
      <c r="Q13" s="36">
        <v>19.96805556</v>
      </c>
      <c r="R13" s="29"/>
      <c r="S13" s="30">
        <v>19.575888890000002</v>
      </c>
      <c r="T13" s="36">
        <v>19.96805556</v>
      </c>
      <c r="U13" s="29">
        <v>19.575888890000002</v>
      </c>
      <c r="V13" s="36">
        <v>19.96805556</v>
      </c>
      <c r="W13" s="37">
        <v>19.96805556</v>
      </c>
      <c r="X13" s="37">
        <v>19.96805556</v>
      </c>
      <c r="Y13" s="37">
        <v>19.96805556</v>
      </c>
      <c r="AC13" s="31">
        <v>19.811188892000004</v>
      </c>
    </row>
    <row r="14" spans="6:29" x14ac:dyDescent="0.2">
      <c r="F14" s="5">
        <v>40816</v>
      </c>
      <c r="G14" s="29"/>
      <c r="H14" s="36"/>
      <c r="I14" s="41"/>
      <c r="J14" s="42"/>
      <c r="K14" s="30"/>
      <c r="L14" s="36">
        <v>16.682667670000001</v>
      </c>
      <c r="M14" s="41"/>
      <c r="N14" s="42"/>
      <c r="O14" s="30"/>
      <c r="P14" s="30">
        <v>16.682667670000001</v>
      </c>
      <c r="Q14" s="36">
        <v>17.441166670000001</v>
      </c>
      <c r="R14" s="29"/>
      <c r="S14" s="30">
        <v>16.682667670000001</v>
      </c>
      <c r="T14" s="36">
        <v>17.441166670000001</v>
      </c>
      <c r="U14" s="29">
        <v>16.682667670000001</v>
      </c>
      <c r="V14" s="36">
        <v>17.441166670000001</v>
      </c>
      <c r="W14" s="37">
        <v>17.441166670000001</v>
      </c>
      <c r="X14" s="37">
        <v>17.441166670000001</v>
      </c>
      <c r="Y14" s="37">
        <v>17.441166670000001</v>
      </c>
      <c r="AC14" s="31">
        <v>17.137767070000002</v>
      </c>
    </row>
    <row r="15" spans="6:29" x14ac:dyDescent="0.2">
      <c r="F15" s="5">
        <v>40847</v>
      </c>
      <c r="G15" s="29"/>
      <c r="H15" s="36"/>
      <c r="I15" s="41"/>
      <c r="J15" s="42"/>
      <c r="K15" s="30"/>
      <c r="L15" s="36">
        <v>19.26388889</v>
      </c>
      <c r="M15" s="41"/>
      <c r="N15" s="42"/>
      <c r="O15" s="30"/>
      <c r="P15" s="30">
        <v>19.26388889</v>
      </c>
      <c r="Q15" s="36">
        <v>16.874055559999999</v>
      </c>
      <c r="R15" s="29"/>
      <c r="S15" s="30">
        <v>19.26388889</v>
      </c>
      <c r="T15" s="36">
        <v>16.874055559999999</v>
      </c>
      <c r="U15" s="29">
        <v>19.26388889</v>
      </c>
      <c r="V15" s="36">
        <v>16.874055559999999</v>
      </c>
      <c r="W15" s="37">
        <v>16.874055559999999</v>
      </c>
      <c r="X15" s="37">
        <v>16.874055559999999</v>
      </c>
      <c r="Y15" s="37">
        <v>16.874055559999999</v>
      </c>
      <c r="AC15" s="31">
        <v>17.829988891999996</v>
      </c>
    </row>
    <row r="16" spans="6:29" x14ac:dyDescent="0.2">
      <c r="F16" s="5">
        <v>40877</v>
      </c>
      <c r="G16" s="29"/>
      <c r="H16" s="36"/>
      <c r="I16" s="41"/>
      <c r="J16" s="42"/>
      <c r="K16" s="30"/>
      <c r="L16" s="36">
        <v>19.919888889999999</v>
      </c>
      <c r="M16" s="41"/>
      <c r="N16" s="42"/>
      <c r="O16" s="30"/>
      <c r="P16" s="30">
        <v>19.919888889999999</v>
      </c>
      <c r="Q16" s="36">
        <v>17.749055559999999</v>
      </c>
      <c r="R16" s="29"/>
      <c r="S16" s="30">
        <v>19.919888889999999</v>
      </c>
      <c r="T16" s="36">
        <v>17.749055559999999</v>
      </c>
      <c r="U16" s="29">
        <v>19.919888889999999</v>
      </c>
      <c r="V16" s="36">
        <v>17.749055559999999</v>
      </c>
      <c r="W16" s="37">
        <v>17.749055559999999</v>
      </c>
      <c r="X16" s="37">
        <v>17.749055559999999</v>
      </c>
      <c r="Y16" s="37">
        <v>17.749055559999999</v>
      </c>
      <c r="AC16" s="31">
        <v>18.617388891999994</v>
      </c>
    </row>
    <row r="17" spans="6:29" x14ac:dyDescent="0.2">
      <c r="F17" s="5">
        <v>40907</v>
      </c>
      <c r="G17" s="29"/>
      <c r="H17" s="36"/>
      <c r="I17" s="41"/>
      <c r="J17" s="42"/>
      <c r="K17" s="30"/>
      <c r="L17" s="36">
        <v>19.853666670000003</v>
      </c>
      <c r="M17" s="41"/>
      <c r="N17" s="42"/>
      <c r="O17" s="30"/>
      <c r="P17" s="30">
        <v>19.853666670000003</v>
      </c>
      <c r="Q17" s="36">
        <v>17.363165670000001</v>
      </c>
      <c r="R17" s="29"/>
      <c r="S17" s="30">
        <v>19.853666670000003</v>
      </c>
      <c r="T17" s="36">
        <v>17.363165670000001</v>
      </c>
      <c r="U17" s="29">
        <v>19.853666670000003</v>
      </c>
      <c r="V17" s="36">
        <v>17.363165670000001</v>
      </c>
      <c r="W17" s="37">
        <v>17.363165670000001</v>
      </c>
      <c r="X17" s="37">
        <v>17.363165670000001</v>
      </c>
      <c r="Y17" s="37">
        <v>17.363165670000001</v>
      </c>
      <c r="AC17" s="31">
        <v>18.35936607</v>
      </c>
    </row>
    <row r="18" spans="6:29" x14ac:dyDescent="0.2">
      <c r="F18" s="5">
        <v>40939</v>
      </c>
      <c r="G18" s="29"/>
      <c r="H18" s="36"/>
      <c r="I18" s="41"/>
      <c r="J18" s="42"/>
      <c r="K18" s="30"/>
      <c r="L18" s="36">
        <v>17.951888889999999</v>
      </c>
      <c r="M18" s="41"/>
      <c r="N18" s="42"/>
      <c r="O18" s="30"/>
      <c r="P18" s="30">
        <v>17.951888889999999</v>
      </c>
      <c r="Q18" s="36">
        <v>16.84305556</v>
      </c>
      <c r="R18" s="29"/>
      <c r="S18" s="30">
        <v>17.951888889999999</v>
      </c>
      <c r="T18" s="36">
        <v>16.84305556</v>
      </c>
      <c r="U18" s="29">
        <v>17.951888889999999</v>
      </c>
      <c r="V18" s="36">
        <v>16.84305556</v>
      </c>
      <c r="W18" s="37">
        <v>16.84305556</v>
      </c>
      <c r="X18" s="37">
        <v>16.84305556</v>
      </c>
      <c r="Y18" s="37">
        <v>16.84305556</v>
      </c>
      <c r="AC18" s="31">
        <v>17.286588892000001</v>
      </c>
    </row>
    <row r="19" spans="6:29" x14ac:dyDescent="0.2">
      <c r="F19" s="5">
        <v>40968</v>
      </c>
      <c r="G19" s="29"/>
      <c r="H19" s="36"/>
      <c r="I19" s="41"/>
      <c r="J19" s="42"/>
      <c r="K19" s="30"/>
      <c r="L19" s="36">
        <v>19.77988989</v>
      </c>
      <c r="M19" s="41"/>
      <c r="N19" s="42"/>
      <c r="O19" s="30"/>
      <c r="P19" s="30">
        <v>19.77988989</v>
      </c>
      <c r="Q19" s="36">
        <v>17.765056560000001</v>
      </c>
      <c r="R19" s="29"/>
      <c r="S19" s="30">
        <v>19.77988989</v>
      </c>
      <c r="T19" s="36">
        <v>17.765056560000001</v>
      </c>
      <c r="U19" s="29">
        <v>19.77988989</v>
      </c>
      <c r="V19" s="36">
        <v>17.765056560000001</v>
      </c>
      <c r="W19" s="37">
        <v>17.765056560000001</v>
      </c>
      <c r="X19" s="37">
        <v>17.765056560000001</v>
      </c>
      <c r="Y19" s="37">
        <v>17.765056560000001</v>
      </c>
      <c r="AC19" s="31">
        <v>18.570989892000004</v>
      </c>
    </row>
    <row r="20" spans="6:29" x14ac:dyDescent="0.2">
      <c r="F20" s="5">
        <v>40998</v>
      </c>
      <c r="G20" s="29"/>
      <c r="H20" s="36"/>
      <c r="I20" s="41"/>
      <c r="J20" s="42"/>
      <c r="K20" s="30"/>
      <c r="L20" s="36">
        <v>21.41877878</v>
      </c>
      <c r="M20" s="41"/>
      <c r="N20" s="42"/>
      <c r="O20" s="30">
        <v>20.733999000000001</v>
      </c>
      <c r="P20" s="30">
        <v>21.41877878</v>
      </c>
      <c r="Q20" s="36">
        <v>18.580111110000001</v>
      </c>
      <c r="R20" s="29">
        <v>20.733999000000001</v>
      </c>
      <c r="S20" s="30">
        <v>21.41877878</v>
      </c>
      <c r="T20" s="36">
        <v>18.580111110000001</v>
      </c>
      <c r="U20" s="29">
        <v>21.41877878</v>
      </c>
      <c r="V20" s="36">
        <v>18.580111110000001</v>
      </c>
      <c r="W20" s="37">
        <v>18.580111110000001</v>
      </c>
      <c r="X20" s="37">
        <v>18.580111110000001</v>
      </c>
      <c r="Y20" s="37">
        <v>18.580111110000001</v>
      </c>
      <c r="AC20" s="31">
        <v>19.885314981666664</v>
      </c>
    </row>
    <row r="21" spans="6:29" x14ac:dyDescent="0.2">
      <c r="F21" s="5">
        <v>41029</v>
      </c>
      <c r="G21" s="29"/>
      <c r="H21" s="36"/>
      <c r="I21" s="41"/>
      <c r="J21" s="42"/>
      <c r="K21" s="30"/>
      <c r="L21" s="36">
        <v>20.716887889999999</v>
      </c>
      <c r="M21" s="41"/>
      <c r="N21" s="42"/>
      <c r="O21" s="30">
        <v>19.3935</v>
      </c>
      <c r="P21" s="30">
        <v>20.716887889999999</v>
      </c>
      <c r="Q21" s="36">
        <v>19.109056559999999</v>
      </c>
      <c r="R21" s="29">
        <v>19.3935</v>
      </c>
      <c r="S21" s="30">
        <v>20.716887889999999</v>
      </c>
      <c r="T21" s="36">
        <v>19.109056559999999</v>
      </c>
      <c r="U21" s="29">
        <v>20.716887889999999</v>
      </c>
      <c r="V21" s="36">
        <v>19.109056559999999</v>
      </c>
      <c r="W21" s="37">
        <v>19.109056559999999</v>
      </c>
      <c r="X21" s="37">
        <v>19.109056559999999</v>
      </c>
      <c r="Y21" s="37">
        <v>19.109056559999999</v>
      </c>
      <c r="AC21" s="31">
        <v>19.692407576666668</v>
      </c>
    </row>
    <row r="22" spans="6:29" x14ac:dyDescent="0.2">
      <c r="F22" s="5">
        <v>41060</v>
      </c>
      <c r="G22" s="29"/>
      <c r="H22" s="36"/>
      <c r="I22" s="41"/>
      <c r="J22" s="42"/>
      <c r="K22" s="30"/>
      <c r="L22" s="36">
        <v>18.747887890000001</v>
      </c>
      <c r="M22" s="41"/>
      <c r="N22" s="42"/>
      <c r="O22" s="30">
        <v>17.237500000000001</v>
      </c>
      <c r="P22" s="30">
        <v>18.747887890000001</v>
      </c>
      <c r="Q22" s="36">
        <v>18.312055560000001</v>
      </c>
      <c r="R22" s="29">
        <v>17.237500000000001</v>
      </c>
      <c r="S22" s="30">
        <v>18.747887890000001</v>
      </c>
      <c r="T22" s="36">
        <v>18.312055560000001</v>
      </c>
      <c r="U22" s="29">
        <v>18.747887890000001</v>
      </c>
      <c r="V22" s="36">
        <v>18.312055560000001</v>
      </c>
      <c r="W22" s="37">
        <v>18.312055560000001</v>
      </c>
      <c r="X22" s="37">
        <v>18.312055560000001</v>
      </c>
      <c r="Y22" s="37">
        <v>18.312055560000001</v>
      </c>
      <c r="AC22" s="31">
        <v>18.278240410000002</v>
      </c>
    </row>
    <row r="23" spans="6:29" x14ac:dyDescent="0.2">
      <c r="F23" s="5">
        <v>41089</v>
      </c>
      <c r="G23" s="29"/>
      <c r="H23" s="36"/>
      <c r="I23" s="41"/>
      <c r="J23" s="42"/>
      <c r="K23" s="30"/>
      <c r="L23" s="36">
        <v>19.04377878</v>
      </c>
      <c r="M23" s="41"/>
      <c r="N23" s="42"/>
      <c r="O23" s="30">
        <v>17.327998999999998</v>
      </c>
      <c r="P23" s="30">
        <v>19.04377878</v>
      </c>
      <c r="Q23" s="36">
        <v>17.84511011</v>
      </c>
      <c r="R23" s="29">
        <v>17.327998999999998</v>
      </c>
      <c r="S23" s="30">
        <v>19.04377878</v>
      </c>
      <c r="T23" s="36">
        <v>17.84511011</v>
      </c>
      <c r="U23" s="29">
        <v>19.04377878</v>
      </c>
      <c r="V23" s="36">
        <v>17.84511011</v>
      </c>
      <c r="W23" s="37">
        <v>17.84511011</v>
      </c>
      <c r="X23" s="37">
        <v>17.84511011</v>
      </c>
      <c r="Y23" s="37">
        <v>17.84511011</v>
      </c>
      <c r="AC23" s="31">
        <v>18.158481148333337</v>
      </c>
    </row>
    <row r="24" spans="6:29" x14ac:dyDescent="0.2">
      <c r="F24" s="5">
        <v>41121</v>
      </c>
      <c r="G24" s="29"/>
      <c r="H24" s="36"/>
      <c r="I24" s="41"/>
      <c r="J24" s="42"/>
      <c r="K24" s="30"/>
      <c r="L24" s="36">
        <v>18.935889890000002</v>
      </c>
      <c r="M24" s="41"/>
      <c r="N24" s="42"/>
      <c r="O24" s="30">
        <v>17.612500000000001</v>
      </c>
      <c r="P24" s="30">
        <v>18.935889890000002</v>
      </c>
      <c r="Q24" s="36">
        <v>18.109056559999999</v>
      </c>
      <c r="R24" s="29">
        <v>17.612500000000001</v>
      </c>
      <c r="S24" s="30">
        <v>18.935889890000002</v>
      </c>
      <c r="T24" s="36">
        <v>18.109056559999999</v>
      </c>
      <c r="U24" s="29">
        <v>18.935889890000002</v>
      </c>
      <c r="V24" s="36">
        <v>18.109056559999999</v>
      </c>
      <c r="W24" s="37">
        <v>18.109056559999999</v>
      </c>
      <c r="X24" s="37">
        <v>18.109056559999999</v>
      </c>
      <c r="Y24" s="37">
        <v>18.109056559999999</v>
      </c>
      <c r="AC24" s="31">
        <v>18.301908243333333</v>
      </c>
    </row>
    <row r="25" spans="6:29" x14ac:dyDescent="0.2">
      <c r="F25" s="5">
        <v>41152</v>
      </c>
      <c r="G25" s="29"/>
      <c r="H25" s="36"/>
      <c r="I25" s="41"/>
      <c r="J25" s="42"/>
      <c r="K25" s="30"/>
      <c r="L25" s="36">
        <v>19.836555559999997</v>
      </c>
      <c r="M25" s="41"/>
      <c r="N25" s="42"/>
      <c r="O25" s="30">
        <v>18.541000999999998</v>
      </c>
      <c r="P25" s="30">
        <v>19.836555559999997</v>
      </c>
      <c r="Q25" s="36">
        <v>18.303222219999999</v>
      </c>
      <c r="R25" s="29">
        <v>18.541000999999998</v>
      </c>
      <c r="S25" s="30">
        <v>19.836555559999997</v>
      </c>
      <c r="T25" s="36">
        <v>18.303222219999999</v>
      </c>
      <c r="U25" s="29">
        <v>19.836555559999997</v>
      </c>
      <c r="V25" s="36">
        <v>18.303222219999999</v>
      </c>
      <c r="W25" s="37">
        <v>18.303222219999999</v>
      </c>
      <c r="X25" s="37">
        <v>18.303222219999999</v>
      </c>
      <c r="Y25" s="37">
        <v>18.303222219999999</v>
      </c>
      <c r="AC25" s="31">
        <v>18.85396313</v>
      </c>
    </row>
    <row r="26" spans="6:29" x14ac:dyDescent="0.2">
      <c r="F26" s="5">
        <v>41180</v>
      </c>
      <c r="G26" s="29"/>
      <c r="H26" s="36"/>
      <c r="I26" s="41"/>
      <c r="J26" s="42"/>
      <c r="K26" s="30"/>
      <c r="L26" s="36">
        <v>18.872887890000001</v>
      </c>
      <c r="M26" s="41"/>
      <c r="N26" s="42"/>
      <c r="O26" s="30">
        <v>16.0185</v>
      </c>
      <c r="P26" s="30">
        <v>18.872887890000001</v>
      </c>
      <c r="Q26" s="36">
        <v>17.655055560000001</v>
      </c>
      <c r="R26" s="29">
        <v>16.0185</v>
      </c>
      <c r="S26" s="30">
        <v>18.872887890000001</v>
      </c>
      <c r="T26" s="36">
        <v>17.655055560000001</v>
      </c>
      <c r="U26" s="29">
        <v>18.872887890000001</v>
      </c>
      <c r="V26" s="36">
        <v>17.655055560000001</v>
      </c>
      <c r="W26" s="37">
        <v>17.655055560000001</v>
      </c>
      <c r="X26" s="37">
        <v>17.655055560000001</v>
      </c>
      <c r="Y26" s="37">
        <v>17.655055560000001</v>
      </c>
      <c r="AC26" s="31">
        <v>17.78824041</v>
      </c>
    </row>
    <row r="27" spans="6:29" x14ac:dyDescent="0.2">
      <c r="F27" s="5">
        <v>41213</v>
      </c>
      <c r="G27" s="29"/>
      <c r="H27" s="36"/>
      <c r="I27" s="41"/>
      <c r="J27" s="42"/>
      <c r="K27" s="30"/>
      <c r="L27" s="36">
        <v>18.716887889999999</v>
      </c>
      <c r="M27" s="41"/>
      <c r="N27" s="42"/>
      <c r="O27" s="30">
        <v>16.596499000000001</v>
      </c>
      <c r="P27" s="30">
        <v>18.716887889999999</v>
      </c>
      <c r="Q27" s="36">
        <v>17.906055559999999</v>
      </c>
      <c r="R27" s="29">
        <v>16.596499000000001</v>
      </c>
      <c r="S27" s="30">
        <v>18.716887889999999</v>
      </c>
      <c r="T27" s="36">
        <v>17.906055559999999</v>
      </c>
      <c r="U27" s="29">
        <v>18.716887889999999</v>
      </c>
      <c r="V27" s="36">
        <v>17.906055559999999</v>
      </c>
      <c r="W27" s="37">
        <v>17.906055559999999</v>
      </c>
      <c r="X27" s="37">
        <v>17.906055559999999</v>
      </c>
      <c r="Y27" s="37">
        <v>17.906055559999999</v>
      </c>
      <c r="AC27" s="31">
        <v>17.958073576666667</v>
      </c>
    </row>
    <row r="28" spans="6:29" x14ac:dyDescent="0.2">
      <c r="F28" s="5">
        <v>41243</v>
      </c>
      <c r="G28" s="29"/>
      <c r="H28" s="36"/>
      <c r="I28" s="41"/>
      <c r="J28" s="42"/>
      <c r="K28" s="30"/>
      <c r="L28" s="36">
        <v>17.44766667</v>
      </c>
      <c r="M28" s="41"/>
      <c r="N28" s="42"/>
      <c r="O28" s="30">
        <v>15.4505</v>
      </c>
      <c r="P28" s="30">
        <v>17.44766667</v>
      </c>
      <c r="Q28" s="36">
        <v>16.817166669999999</v>
      </c>
      <c r="R28" s="29">
        <v>15.4505</v>
      </c>
      <c r="S28" s="30">
        <v>17.44766667</v>
      </c>
      <c r="T28" s="36">
        <v>16.817166669999999</v>
      </c>
      <c r="U28" s="29">
        <v>17.44766667</v>
      </c>
      <c r="V28" s="36">
        <v>16.817166669999999</v>
      </c>
      <c r="W28" s="37">
        <v>16.817166669999999</v>
      </c>
      <c r="X28" s="37">
        <v>16.817166669999999</v>
      </c>
      <c r="Y28" s="37">
        <v>16.817166669999999</v>
      </c>
      <c r="AC28" s="31">
        <v>16.799555558333335</v>
      </c>
    </row>
    <row r="29" spans="6:29" x14ac:dyDescent="0.2">
      <c r="F29" s="5">
        <v>41274</v>
      </c>
      <c r="G29" s="29"/>
      <c r="H29" s="36"/>
      <c r="I29" s="41"/>
      <c r="J29" s="42"/>
      <c r="K29" s="30"/>
      <c r="L29" s="36">
        <v>17.824778780000003</v>
      </c>
      <c r="M29" s="41"/>
      <c r="N29" s="42"/>
      <c r="O29" s="30">
        <v>16.094000000000001</v>
      </c>
      <c r="P29" s="30">
        <v>17.824778780000003</v>
      </c>
      <c r="Q29" s="36">
        <v>17.330111110000001</v>
      </c>
      <c r="R29" s="29">
        <v>16.094000000000001</v>
      </c>
      <c r="S29" s="30">
        <v>17.824778780000003</v>
      </c>
      <c r="T29" s="36">
        <v>17.330111110000001</v>
      </c>
      <c r="U29" s="29">
        <v>17.824778780000003</v>
      </c>
      <c r="V29" s="36">
        <v>17.330111110000001</v>
      </c>
      <c r="W29" s="37">
        <v>17.330111110000001</v>
      </c>
      <c r="X29" s="37">
        <v>17.330111110000001</v>
      </c>
      <c r="Y29" s="37">
        <v>17.330111110000001</v>
      </c>
      <c r="AC29" s="31">
        <v>17.288981815</v>
      </c>
    </row>
    <row r="30" spans="6:29" x14ac:dyDescent="0.2">
      <c r="F30" s="5">
        <v>41305</v>
      </c>
      <c r="G30" s="29"/>
      <c r="H30" s="36"/>
      <c r="I30" s="41"/>
      <c r="J30" s="42"/>
      <c r="K30" s="30"/>
      <c r="L30" s="36">
        <v>18.122887890000001</v>
      </c>
      <c r="M30" s="41"/>
      <c r="N30" s="42"/>
      <c r="O30" s="30">
        <v>17.471499000000001</v>
      </c>
      <c r="P30" s="30">
        <v>18.122887890000001</v>
      </c>
      <c r="Q30" s="36">
        <v>16.687055560000001</v>
      </c>
      <c r="R30" s="29">
        <v>17.471499000000001</v>
      </c>
      <c r="S30" s="30">
        <v>18.122887890000001</v>
      </c>
      <c r="T30" s="36">
        <v>16.687055560000001</v>
      </c>
      <c r="U30" s="29">
        <v>18.122887890000001</v>
      </c>
      <c r="V30" s="36">
        <v>16.687055560000001</v>
      </c>
      <c r="W30" s="37">
        <v>16.687055560000001</v>
      </c>
      <c r="X30" s="37">
        <v>16.687055560000001</v>
      </c>
      <c r="Y30" s="37">
        <v>16.687055560000001</v>
      </c>
      <c r="AC30" s="31">
        <v>17.296406910000002</v>
      </c>
    </row>
    <row r="31" spans="6:29" x14ac:dyDescent="0.2">
      <c r="F31" s="5">
        <v>41333</v>
      </c>
      <c r="G31" s="29"/>
      <c r="H31" s="36"/>
      <c r="I31" s="41"/>
      <c r="J31" s="42"/>
      <c r="K31" s="30"/>
      <c r="L31" s="36">
        <v>17.90488989</v>
      </c>
      <c r="M31" s="41"/>
      <c r="N31" s="42"/>
      <c r="O31" s="30">
        <v>17.315498999999999</v>
      </c>
      <c r="P31" s="30">
        <v>17.90488989</v>
      </c>
      <c r="Q31" s="36">
        <v>16.327055560000002</v>
      </c>
      <c r="R31" s="29">
        <v>17.315498999999999</v>
      </c>
      <c r="S31" s="30">
        <v>17.90488989</v>
      </c>
      <c r="T31" s="36">
        <v>16.327055560000002</v>
      </c>
      <c r="U31" s="29">
        <v>17.90488989</v>
      </c>
      <c r="V31" s="36">
        <v>16.327055560000002</v>
      </c>
      <c r="W31" s="37">
        <v>16.327055560000002</v>
      </c>
      <c r="X31" s="37">
        <v>16.327055560000002</v>
      </c>
      <c r="Y31" s="37">
        <v>16.327055560000002</v>
      </c>
      <c r="AC31" s="31">
        <v>17.017740909999997</v>
      </c>
    </row>
    <row r="32" spans="6:29" x14ac:dyDescent="0.2">
      <c r="F32" s="5">
        <v>41361</v>
      </c>
      <c r="G32" s="29"/>
      <c r="H32" s="36">
        <v>19.26272122</v>
      </c>
      <c r="I32" s="41"/>
      <c r="J32" s="42"/>
      <c r="K32" s="30">
        <v>19.26272122</v>
      </c>
      <c r="L32" s="36">
        <v>18.325888890000002</v>
      </c>
      <c r="M32" s="41"/>
      <c r="N32" s="42"/>
      <c r="O32" s="30">
        <v>17.862500000000001</v>
      </c>
      <c r="P32" s="30">
        <v>18.325888890000002</v>
      </c>
      <c r="Q32" s="36">
        <v>16.077055560000002</v>
      </c>
      <c r="R32" s="29">
        <v>17.862500000000001</v>
      </c>
      <c r="S32" s="30">
        <v>18.325888890000002</v>
      </c>
      <c r="T32" s="36">
        <v>16.077055560000002</v>
      </c>
      <c r="U32" s="29">
        <v>18.325888890000002</v>
      </c>
      <c r="V32" s="36">
        <v>16.077055560000002</v>
      </c>
      <c r="W32" s="37">
        <v>16.077055560000002</v>
      </c>
      <c r="X32" s="37">
        <v>16.077055560000002</v>
      </c>
      <c r="Y32" s="37">
        <v>16.077055560000002</v>
      </c>
      <c r="AC32" s="31">
        <v>17.429737954285713</v>
      </c>
    </row>
    <row r="33" spans="6:29" x14ac:dyDescent="0.2">
      <c r="F33" s="5">
        <v>41394</v>
      </c>
      <c r="G33" s="29"/>
      <c r="H33" s="36">
        <v>16.793721220000002</v>
      </c>
      <c r="I33" s="41"/>
      <c r="J33" s="42"/>
      <c r="K33" s="30">
        <v>16.793721220000002</v>
      </c>
      <c r="L33" s="36">
        <v>15.951888890000001</v>
      </c>
      <c r="M33" s="41"/>
      <c r="N33" s="42"/>
      <c r="O33" s="30">
        <v>15.643500000000001</v>
      </c>
      <c r="P33" s="30">
        <v>15.951888890000001</v>
      </c>
      <c r="Q33" s="36">
        <v>14.45205556</v>
      </c>
      <c r="R33" s="29">
        <v>15.643500000000001</v>
      </c>
      <c r="S33" s="30">
        <v>15.951888890000001</v>
      </c>
      <c r="T33" s="36">
        <v>14.45205556</v>
      </c>
      <c r="U33" s="29">
        <v>15.951888890000001</v>
      </c>
      <c r="V33" s="36">
        <v>14.45205556</v>
      </c>
      <c r="W33" s="37">
        <v>14.45205556</v>
      </c>
      <c r="X33" s="37">
        <v>14.45205556</v>
      </c>
      <c r="Y33" s="37">
        <v>14.45205556</v>
      </c>
      <c r="AC33" s="31">
        <v>15.385309382857141</v>
      </c>
    </row>
    <row r="34" spans="6:29" x14ac:dyDescent="0.2">
      <c r="F34" s="5">
        <v>41425</v>
      </c>
      <c r="G34" s="29"/>
      <c r="H34" s="36">
        <v>20.392166669999998</v>
      </c>
      <c r="I34" s="41"/>
      <c r="J34" s="42"/>
      <c r="K34" s="30">
        <v>20.392166669999998</v>
      </c>
      <c r="L34" s="36">
        <v>16.166666670000001</v>
      </c>
      <c r="M34" s="41"/>
      <c r="N34" s="42"/>
      <c r="O34" s="30">
        <v>18.496499</v>
      </c>
      <c r="P34" s="30">
        <v>16.166666670000001</v>
      </c>
      <c r="Q34" s="36">
        <v>13.973166669999999</v>
      </c>
      <c r="R34" s="29">
        <v>18.496499</v>
      </c>
      <c r="S34" s="30">
        <v>16.166666670000001</v>
      </c>
      <c r="T34" s="36">
        <v>13.973166669999999</v>
      </c>
      <c r="U34" s="29">
        <v>16.166666670000001</v>
      </c>
      <c r="V34" s="36">
        <v>13.973166669999999</v>
      </c>
      <c r="W34" s="37">
        <v>13.973166669999999</v>
      </c>
      <c r="X34" s="37">
        <v>13.973166669999999</v>
      </c>
      <c r="Y34" s="37">
        <v>13.973166669999999</v>
      </c>
      <c r="AC34" s="31">
        <v>16.163071288571434</v>
      </c>
    </row>
    <row r="35" spans="6:29" x14ac:dyDescent="0.2">
      <c r="F35" s="5">
        <v>41453</v>
      </c>
      <c r="G35" s="29"/>
      <c r="H35" s="36">
        <v>21.184722220000001</v>
      </c>
      <c r="I35" s="41"/>
      <c r="J35" s="42"/>
      <c r="K35" s="30">
        <v>21.184722220000001</v>
      </c>
      <c r="L35" s="36">
        <v>18.685889890000002</v>
      </c>
      <c r="M35" s="41"/>
      <c r="N35" s="42"/>
      <c r="O35" s="30">
        <v>20.7685</v>
      </c>
      <c r="P35" s="30">
        <v>18.685889890000002</v>
      </c>
      <c r="Q35" s="36">
        <v>14.87405556</v>
      </c>
      <c r="R35" s="29">
        <v>20.7685</v>
      </c>
      <c r="S35" s="30">
        <v>18.685889890000002</v>
      </c>
      <c r="T35" s="36">
        <v>14.87405556</v>
      </c>
      <c r="U35" s="29">
        <v>18.685889890000002</v>
      </c>
      <c r="V35" s="36">
        <v>14.87405556</v>
      </c>
      <c r="W35" s="37">
        <v>14.87405556</v>
      </c>
      <c r="X35" s="37">
        <v>14.87405556</v>
      </c>
      <c r="Y35" s="37">
        <v>14.87405556</v>
      </c>
      <c r="AC35" s="31">
        <v>17.706738382857139</v>
      </c>
    </row>
    <row r="36" spans="6:29" x14ac:dyDescent="0.2">
      <c r="F36" s="5">
        <v>41486</v>
      </c>
      <c r="G36" s="29"/>
      <c r="H36" s="36">
        <v>22.70072322</v>
      </c>
      <c r="I36" s="41"/>
      <c r="J36" s="42"/>
      <c r="K36" s="30">
        <v>22.70072322</v>
      </c>
      <c r="L36" s="36">
        <v>19.591887889999999</v>
      </c>
      <c r="M36" s="41"/>
      <c r="N36" s="42"/>
      <c r="O36" s="30">
        <v>21.815498999999999</v>
      </c>
      <c r="P36" s="30">
        <v>19.591887889999999</v>
      </c>
      <c r="Q36" s="36">
        <v>15.87405556</v>
      </c>
      <c r="R36" s="29">
        <v>21.815498999999999</v>
      </c>
      <c r="S36" s="30">
        <v>19.591887889999999</v>
      </c>
      <c r="T36" s="36">
        <v>15.87405556</v>
      </c>
      <c r="U36" s="29">
        <v>19.591887889999999</v>
      </c>
      <c r="V36" s="36">
        <v>15.87405556</v>
      </c>
      <c r="W36" s="37">
        <v>15.87405556</v>
      </c>
      <c r="X36" s="37">
        <v>15.87405556</v>
      </c>
      <c r="Y36" s="37">
        <v>15.87405556</v>
      </c>
      <c r="AC36" s="31">
        <v>18.760309239999998</v>
      </c>
    </row>
    <row r="37" spans="6:29" x14ac:dyDescent="0.2">
      <c r="F37" s="5">
        <v>41516</v>
      </c>
      <c r="G37" s="29"/>
      <c r="H37" s="36">
        <v>22.860166669999998</v>
      </c>
      <c r="I37" s="41"/>
      <c r="J37" s="42"/>
      <c r="K37" s="30">
        <v>22.860166669999998</v>
      </c>
      <c r="L37" s="36">
        <v>21.49466567</v>
      </c>
      <c r="M37" s="41"/>
      <c r="N37" s="42"/>
      <c r="O37" s="30">
        <v>23.3245</v>
      </c>
      <c r="P37" s="30">
        <v>21.49466567</v>
      </c>
      <c r="Q37" s="36">
        <v>16.926167670000002</v>
      </c>
      <c r="R37" s="29">
        <v>23.3245</v>
      </c>
      <c r="S37" s="30">
        <v>21.49466567</v>
      </c>
      <c r="T37" s="36">
        <v>16.926167670000002</v>
      </c>
      <c r="U37" s="29">
        <v>21.49466567</v>
      </c>
      <c r="V37" s="36">
        <v>16.926167670000002</v>
      </c>
      <c r="W37" s="37">
        <v>16.926167670000002</v>
      </c>
      <c r="X37" s="37">
        <v>16.926167670000002</v>
      </c>
      <c r="Y37" s="37">
        <v>16.926167670000002</v>
      </c>
      <c r="AC37" s="31">
        <v>19.993214431428573</v>
      </c>
    </row>
    <row r="38" spans="6:29" x14ac:dyDescent="0.2">
      <c r="F38" s="5">
        <v>41547</v>
      </c>
      <c r="G38" s="29"/>
      <c r="H38" s="36">
        <v>23.356723220000003</v>
      </c>
      <c r="I38" s="41"/>
      <c r="J38" s="42"/>
      <c r="K38" s="30">
        <v>23.356723220000003</v>
      </c>
      <c r="L38" s="36">
        <v>21.01388889</v>
      </c>
      <c r="M38" s="41"/>
      <c r="N38" s="42"/>
      <c r="O38" s="30">
        <v>23.112500000000001</v>
      </c>
      <c r="P38" s="30">
        <v>21.01388889</v>
      </c>
      <c r="Q38" s="36">
        <v>17.34305556</v>
      </c>
      <c r="R38" s="29">
        <v>23.112500000000001</v>
      </c>
      <c r="S38" s="30">
        <v>21.01388889</v>
      </c>
      <c r="T38" s="36">
        <v>17.34305556</v>
      </c>
      <c r="U38" s="29">
        <v>21.01388889</v>
      </c>
      <c r="V38" s="36">
        <v>17.34305556</v>
      </c>
      <c r="W38" s="37">
        <v>17.34305556</v>
      </c>
      <c r="X38" s="37">
        <v>17.34305556</v>
      </c>
      <c r="Y38" s="37">
        <v>17.34305556</v>
      </c>
      <c r="AC38" s="31">
        <v>20.075166811428574</v>
      </c>
    </row>
    <row r="39" spans="6:29" x14ac:dyDescent="0.2">
      <c r="F39" s="5">
        <v>41578</v>
      </c>
      <c r="G39" s="29"/>
      <c r="H39" s="36">
        <v>22.840972220000001</v>
      </c>
      <c r="I39" s="41"/>
      <c r="J39" s="42"/>
      <c r="K39" s="30">
        <v>22.840972220000001</v>
      </c>
      <c r="L39" s="36">
        <v>20.27951989</v>
      </c>
      <c r="M39" s="41"/>
      <c r="N39" s="42"/>
      <c r="O39" s="30">
        <v>22.721881</v>
      </c>
      <c r="P39" s="30">
        <v>20.27951989</v>
      </c>
      <c r="Q39" s="36">
        <v>17.84305556</v>
      </c>
      <c r="R39" s="29">
        <v>22.721881</v>
      </c>
      <c r="S39" s="30">
        <v>20.27951989</v>
      </c>
      <c r="T39" s="36">
        <v>17.84305556</v>
      </c>
      <c r="U39" s="29">
        <v>20.27951989</v>
      </c>
      <c r="V39" s="36">
        <v>17.84305556</v>
      </c>
      <c r="W39" s="37">
        <v>17.84305556</v>
      </c>
      <c r="X39" s="37">
        <v>17.84305556</v>
      </c>
      <c r="Y39" s="37">
        <v>17.84305556</v>
      </c>
      <c r="AC39" s="31">
        <v>19.950151382857143</v>
      </c>
    </row>
    <row r="40" spans="6:29" x14ac:dyDescent="0.2">
      <c r="F40" s="5">
        <v>41607</v>
      </c>
      <c r="G40" s="29"/>
      <c r="H40" s="36">
        <v>24.303825440000001</v>
      </c>
      <c r="I40" s="41"/>
      <c r="J40" s="42"/>
      <c r="K40" s="30">
        <v>24.303825440000001</v>
      </c>
      <c r="L40" s="36">
        <v>21.60590878</v>
      </c>
      <c r="M40" s="41"/>
      <c r="N40" s="42"/>
      <c r="O40" s="30">
        <v>24.671880999999999</v>
      </c>
      <c r="P40" s="30">
        <v>21.60590878</v>
      </c>
      <c r="Q40" s="36">
        <v>19.282992109999999</v>
      </c>
      <c r="R40" s="29">
        <v>24.671880999999999</v>
      </c>
      <c r="S40" s="30">
        <v>21.60590878</v>
      </c>
      <c r="T40" s="36">
        <v>19.282992109999999</v>
      </c>
      <c r="U40" s="29">
        <v>21.60590878</v>
      </c>
      <c r="V40" s="36">
        <v>19.282992109999999</v>
      </c>
      <c r="W40" s="37">
        <v>19.282992109999999</v>
      </c>
      <c r="X40" s="37">
        <v>19.282992109999999</v>
      </c>
      <c r="Y40" s="37">
        <v>19.282992109999999</v>
      </c>
      <c r="AC40" s="31">
        <v>21.433785761428574</v>
      </c>
    </row>
    <row r="41" spans="6:29" x14ac:dyDescent="0.2">
      <c r="F41" s="5">
        <v>41639</v>
      </c>
      <c r="G41" s="29"/>
      <c r="H41" s="36">
        <v>24.897575440000001</v>
      </c>
      <c r="I41" s="41"/>
      <c r="J41" s="42"/>
      <c r="K41" s="30">
        <v>24.897575440000001</v>
      </c>
      <c r="L41" s="36">
        <v>23.98090878</v>
      </c>
      <c r="M41" s="41"/>
      <c r="N41" s="42"/>
      <c r="O41" s="30">
        <v>26.296880999999999</v>
      </c>
      <c r="P41" s="30">
        <v>23.98090878</v>
      </c>
      <c r="Q41" s="36">
        <v>21.04861111</v>
      </c>
      <c r="R41" s="29">
        <v>26.296880999999999</v>
      </c>
      <c r="S41" s="30">
        <v>23.98090878</v>
      </c>
      <c r="T41" s="36">
        <v>21.04861111</v>
      </c>
      <c r="U41" s="29">
        <v>23.98090878</v>
      </c>
      <c r="V41" s="36">
        <v>21.04861111</v>
      </c>
      <c r="W41" s="37">
        <v>21.04861111</v>
      </c>
      <c r="X41" s="37">
        <v>21.04861111</v>
      </c>
      <c r="Y41" s="37">
        <v>21.04861111</v>
      </c>
      <c r="AC41" s="31">
        <v>23.186015332857146</v>
      </c>
    </row>
    <row r="42" spans="6:29" x14ac:dyDescent="0.2">
      <c r="F42" s="5">
        <v>41670</v>
      </c>
      <c r="G42" s="29"/>
      <c r="H42" s="36">
        <v>24.391666669999999</v>
      </c>
      <c r="I42" s="41"/>
      <c r="J42" s="42"/>
      <c r="K42" s="30">
        <v>24.391666669999999</v>
      </c>
      <c r="L42" s="36">
        <v>22.822916670000001</v>
      </c>
      <c r="M42" s="41"/>
      <c r="N42" s="42"/>
      <c r="O42" s="30">
        <v>24.934380999999998</v>
      </c>
      <c r="P42" s="30">
        <v>22.822916670000001</v>
      </c>
      <c r="Q42" s="36">
        <v>20.957297669999999</v>
      </c>
      <c r="R42" s="29">
        <v>24.934380999999998</v>
      </c>
      <c r="S42" s="30">
        <v>22.822916670000001</v>
      </c>
      <c r="T42" s="36">
        <v>20.957297669999999</v>
      </c>
      <c r="U42" s="29">
        <v>22.822916670000001</v>
      </c>
      <c r="V42" s="36">
        <v>20.957297669999999</v>
      </c>
      <c r="W42" s="37">
        <v>20.957297669999999</v>
      </c>
      <c r="X42" s="37">
        <v>20.957297669999999</v>
      </c>
      <c r="Y42" s="37">
        <v>20.957297669999999</v>
      </c>
      <c r="AC42" s="31">
        <v>22.549110574285717</v>
      </c>
    </row>
    <row r="43" spans="6:29" x14ac:dyDescent="0.2">
      <c r="F43" s="5">
        <v>41698</v>
      </c>
      <c r="G43" s="29"/>
      <c r="H43" s="36">
        <v>24.579166669999999</v>
      </c>
      <c r="I43" s="41"/>
      <c r="J43" s="42"/>
      <c r="K43" s="30">
        <v>24.579166669999999</v>
      </c>
      <c r="L43" s="36">
        <v>24.026047670000001</v>
      </c>
      <c r="M43" s="41"/>
      <c r="N43" s="42"/>
      <c r="O43" s="30">
        <v>25.246880999999998</v>
      </c>
      <c r="P43" s="30">
        <v>24.026047670000001</v>
      </c>
      <c r="Q43" s="36">
        <v>21.75416667</v>
      </c>
      <c r="R43" s="29">
        <v>25.246880999999998</v>
      </c>
      <c r="S43" s="30">
        <v>24.026047670000001</v>
      </c>
      <c r="T43" s="36">
        <v>21.75416667</v>
      </c>
      <c r="U43" s="29">
        <v>24.026047670000001</v>
      </c>
      <c r="V43" s="36">
        <v>21.75416667</v>
      </c>
      <c r="W43" s="37">
        <v>21.75416667</v>
      </c>
      <c r="X43" s="37">
        <v>21.75416667</v>
      </c>
      <c r="Y43" s="37">
        <v>21.75416667</v>
      </c>
      <c r="AC43" s="31">
        <v>23.305806145714289</v>
      </c>
    </row>
    <row r="44" spans="6:29" x14ac:dyDescent="0.2">
      <c r="F44" s="5">
        <v>41729</v>
      </c>
      <c r="G44" s="29">
        <v>26.53924211</v>
      </c>
      <c r="H44" s="36">
        <v>24.82535322</v>
      </c>
      <c r="I44" s="41"/>
      <c r="J44" s="42">
        <v>26.53924211</v>
      </c>
      <c r="K44" s="30">
        <v>24.82535322</v>
      </c>
      <c r="L44" s="36">
        <v>24.85763889</v>
      </c>
      <c r="M44" s="41"/>
      <c r="N44" s="42">
        <v>26.53924211</v>
      </c>
      <c r="O44" s="30">
        <v>25.846881</v>
      </c>
      <c r="P44" s="30">
        <v>24.85763889</v>
      </c>
      <c r="Q44" s="36">
        <v>21.796186559999999</v>
      </c>
      <c r="R44" s="29">
        <v>25.846881</v>
      </c>
      <c r="S44" s="30">
        <v>24.85763889</v>
      </c>
      <c r="T44" s="36">
        <v>21.796186559999999</v>
      </c>
      <c r="U44" s="29">
        <v>24.85763889</v>
      </c>
      <c r="V44" s="36">
        <v>21.796186559999999</v>
      </c>
      <c r="W44" s="37">
        <v>21.796186559999999</v>
      </c>
      <c r="X44" s="37">
        <v>21.796186559999999</v>
      </c>
      <c r="Y44" s="37">
        <v>21.796186559999999</v>
      </c>
      <c r="AC44" s="31">
        <v>24.186462922941182</v>
      </c>
    </row>
    <row r="45" spans="6:29" x14ac:dyDescent="0.2">
      <c r="F45" s="5">
        <v>41759</v>
      </c>
      <c r="G45" s="29">
        <v>25.75799211</v>
      </c>
      <c r="H45" s="36">
        <v>24.528472220000001</v>
      </c>
      <c r="I45" s="41"/>
      <c r="J45" s="42">
        <v>25.75799211</v>
      </c>
      <c r="K45" s="30">
        <v>24.528472220000001</v>
      </c>
      <c r="L45" s="36">
        <v>24.35763889</v>
      </c>
      <c r="M45" s="41"/>
      <c r="N45" s="42">
        <v>25.75799211</v>
      </c>
      <c r="O45" s="30">
        <v>25.268750000000001</v>
      </c>
      <c r="P45" s="30">
        <v>24.35763889</v>
      </c>
      <c r="Q45" s="36">
        <v>22.09305556</v>
      </c>
      <c r="R45" s="29">
        <v>25.268750000000001</v>
      </c>
      <c r="S45" s="30">
        <v>24.35763889</v>
      </c>
      <c r="T45" s="36">
        <v>22.09305556</v>
      </c>
      <c r="U45" s="29">
        <v>24.35763889</v>
      </c>
      <c r="V45" s="36">
        <v>22.09305556</v>
      </c>
      <c r="W45" s="37">
        <v>22.09305556</v>
      </c>
      <c r="X45" s="37">
        <v>22.09305556</v>
      </c>
      <c r="Y45" s="37">
        <v>22.09305556</v>
      </c>
      <c r="AC45" s="31">
        <v>23.932782922941172</v>
      </c>
    </row>
    <row r="46" spans="6:29" x14ac:dyDescent="0.2">
      <c r="F46" s="5">
        <v>41789</v>
      </c>
      <c r="G46" s="29">
        <v>24.472222219999999</v>
      </c>
      <c r="H46" s="36">
        <v>23.944444440000002</v>
      </c>
      <c r="I46" s="41"/>
      <c r="J46" s="42">
        <v>24.472222219999999</v>
      </c>
      <c r="K46" s="30">
        <v>23.944444440000002</v>
      </c>
      <c r="L46" s="36">
        <v>22.73090878</v>
      </c>
      <c r="M46" s="41"/>
      <c r="N46" s="42">
        <v>24.472222219999999</v>
      </c>
      <c r="O46" s="30">
        <v>24.03125</v>
      </c>
      <c r="P46" s="30">
        <v>22.73090878</v>
      </c>
      <c r="Q46" s="36">
        <v>22.11111111</v>
      </c>
      <c r="R46" s="29">
        <v>24.03125</v>
      </c>
      <c r="S46" s="30">
        <v>22.73090878</v>
      </c>
      <c r="T46" s="36">
        <v>22.11111111</v>
      </c>
      <c r="U46" s="29">
        <v>22.73090878</v>
      </c>
      <c r="V46" s="36">
        <v>22.11111111</v>
      </c>
      <c r="W46" s="37">
        <v>22.11111111</v>
      </c>
      <c r="X46" s="37">
        <v>22.11111111</v>
      </c>
      <c r="Y46" s="37">
        <v>22.11111111</v>
      </c>
      <c r="AC46" s="31">
        <v>23.11519748941177</v>
      </c>
    </row>
    <row r="47" spans="6:29" x14ac:dyDescent="0.2">
      <c r="F47" s="5">
        <v>41820</v>
      </c>
      <c r="G47" s="29">
        <v>25.273611110000001</v>
      </c>
      <c r="H47" s="36">
        <v>24.278472220000001</v>
      </c>
      <c r="I47" s="41"/>
      <c r="J47" s="42">
        <v>25.273611110000001</v>
      </c>
      <c r="K47" s="30">
        <v>24.278472220000001</v>
      </c>
      <c r="L47" s="36">
        <v>24.31076989</v>
      </c>
      <c r="M47" s="41"/>
      <c r="N47" s="42">
        <v>25.273611110000001</v>
      </c>
      <c r="O47" s="30">
        <v>25.096881</v>
      </c>
      <c r="P47" s="30">
        <v>24.31076989</v>
      </c>
      <c r="Q47" s="36">
        <v>22.65555556</v>
      </c>
      <c r="R47" s="29">
        <v>25.096881</v>
      </c>
      <c r="S47" s="30">
        <v>24.31076989</v>
      </c>
      <c r="T47" s="36">
        <v>22.65555556</v>
      </c>
      <c r="U47" s="29">
        <v>24.31076989</v>
      </c>
      <c r="V47" s="36">
        <v>22.65555556</v>
      </c>
      <c r="W47" s="37">
        <v>22.65555556</v>
      </c>
      <c r="X47" s="37">
        <v>22.65555556</v>
      </c>
      <c r="Y47" s="37">
        <v>22.65555556</v>
      </c>
      <c r="AC47" s="31">
        <v>23.985173687647055</v>
      </c>
    </row>
    <row r="48" spans="6:29" x14ac:dyDescent="0.2">
      <c r="F48" s="5">
        <v>41851</v>
      </c>
      <c r="G48" s="29">
        <v>25.32049211</v>
      </c>
      <c r="H48" s="36">
        <v>24.20035322</v>
      </c>
      <c r="I48" s="41"/>
      <c r="J48" s="42">
        <v>25.32049211</v>
      </c>
      <c r="K48" s="30">
        <v>24.20035322</v>
      </c>
      <c r="L48" s="36">
        <v>25.09201989</v>
      </c>
      <c r="M48" s="41"/>
      <c r="N48" s="42">
        <v>25.32049211</v>
      </c>
      <c r="O48" s="30">
        <v>25.456250000000001</v>
      </c>
      <c r="P48" s="30">
        <v>25.09201989</v>
      </c>
      <c r="Q48" s="36">
        <v>23.546186559999999</v>
      </c>
      <c r="R48" s="29">
        <v>25.456250000000001</v>
      </c>
      <c r="S48" s="30">
        <v>25.09201989</v>
      </c>
      <c r="T48" s="36">
        <v>23.546186559999999</v>
      </c>
      <c r="U48" s="29">
        <v>25.09201989</v>
      </c>
      <c r="V48" s="36">
        <v>23.546186559999999</v>
      </c>
      <c r="W48" s="37">
        <v>23.546186559999999</v>
      </c>
      <c r="X48" s="37">
        <v>23.546186559999999</v>
      </c>
      <c r="Y48" s="37">
        <v>23.546186559999999</v>
      </c>
      <c r="AC48" s="31">
        <v>24.524698922941184</v>
      </c>
    </row>
    <row r="49" spans="6:29" x14ac:dyDescent="0.2">
      <c r="F49" s="5">
        <v>41880</v>
      </c>
      <c r="G49" s="29">
        <v>23.409722219999999</v>
      </c>
      <c r="H49" s="36">
        <v>23.210075440000001</v>
      </c>
      <c r="I49" s="41"/>
      <c r="J49" s="42">
        <v>23.409722219999999</v>
      </c>
      <c r="K49" s="30">
        <v>23.210075440000001</v>
      </c>
      <c r="L49" s="36">
        <v>23.527777780000001</v>
      </c>
      <c r="M49" s="41"/>
      <c r="N49" s="42">
        <v>23.409722219999999</v>
      </c>
      <c r="O49" s="30">
        <v>23.8125</v>
      </c>
      <c r="P49" s="30">
        <v>23.527777780000001</v>
      </c>
      <c r="Q49" s="36">
        <v>23.314242109999999</v>
      </c>
      <c r="R49" s="29">
        <v>23.8125</v>
      </c>
      <c r="S49" s="30">
        <v>23.527777780000001</v>
      </c>
      <c r="T49" s="36">
        <v>23.314242109999999</v>
      </c>
      <c r="U49" s="29">
        <v>23.527777780000001</v>
      </c>
      <c r="V49" s="36">
        <v>23.314242109999999</v>
      </c>
      <c r="W49" s="37">
        <v>23.314242109999999</v>
      </c>
      <c r="X49" s="37">
        <v>23.314242109999999</v>
      </c>
      <c r="Y49" s="37">
        <v>23.314242109999999</v>
      </c>
      <c r="AC49" s="31">
        <v>23.427698901176473</v>
      </c>
    </row>
    <row r="50" spans="6:29" x14ac:dyDescent="0.2">
      <c r="F50" s="5">
        <v>41912</v>
      </c>
      <c r="G50" s="29">
        <v>24.679861110000001</v>
      </c>
      <c r="H50" s="36">
        <v>23.95035322</v>
      </c>
      <c r="I50" s="41"/>
      <c r="J50" s="42">
        <v>24.679861110000001</v>
      </c>
      <c r="K50" s="30">
        <v>23.95035322</v>
      </c>
      <c r="L50" s="36">
        <v>25.35763889</v>
      </c>
      <c r="M50" s="41"/>
      <c r="N50" s="42">
        <v>24.679861110000001</v>
      </c>
      <c r="O50" s="30">
        <v>25.456250000000001</v>
      </c>
      <c r="P50" s="30">
        <v>25.35763889</v>
      </c>
      <c r="Q50" s="36">
        <v>24.06180556</v>
      </c>
      <c r="R50" s="29">
        <v>25.456250000000001</v>
      </c>
      <c r="S50" s="30">
        <v>25.35763889</v>
      </c>
      <c r="T50" s="36">
        <v>24.06180556</v>
      </c>
      <c r="U50" s="29">
        <v>25.35763889</v>
      </c>
      <c r="V50" s="36">
        <v>24.06180556</v>
      </c>
      <c r="W50" s="37">
        <v>24.06180556</v>
      </c>
      <c r="X50" s="37">
        <v>24.06180556</v>
      </c>
      <c r="Y50" s="37">
        <v>24.06180556</v>
      </c>
      <c r="AC50" s="31">
        <v>24.626716393529406</v>
      </c>
    </row>
    <row r="51" spans="6:29" x14ac:dyDescent="0.2">
      <c r="F51" s="5">
        <v>41943</v>
      </c>
      <c r="G51" s="29">
        <v>22.920833330000001</v>
      </c>
      <c r="H51" s="36">
        <v>23.126047669999998</v>
      </c>
      <c r="I51" s="41"/>
      <c r="J51" s="42">
        <v>22.920833330000001</v>
      </c>
      <c r="K51" s="30">
        <v>23.126047669999998</v>
      </c>
      <c r="L51" s="36">
        <v>23.557297670000001</v>
      </c>
      <c r="M51" s="41"/>
      <c r="N51" s="42">
        <v>22.920833330000001</v>
      </c>
      <c r="O51" s="30">
        <v>24.090630999999998</v>
      </c>
      <c r="P51" s="30">
        <v>23.557297670000001</v>
      </c>
      <c r="Q51" s="36">
        <v>23.426047669999999</v>
      </c>
      <c r="R51" s="29">
        <v>24.090630999999998</v>
      </c>
      <c r="S51" s="30">
        <v>23.557297670000001</v>
      </c>
      <c r="T51" s="36">
        <v>23.426047669999999</v>
      </c>
      <c r="U51" s="29">
        <v>23.557297670000001</v>
      </c>
      <c r="V51" s="36">
        <v>23.426047669999999</v>
      </c>
      <c r="W51" s="37">
        <v>23.426047669999999</v>
      </c>
      <c r="X51" s="37">
        <v>23.426047669999999</v>
      </c>
      <c r="Y51" s="37">
        <v>23.426047669999999</v>
      </c>
      <c r="AC51" s="31">
        <v>23.41066670764706</v>
      </c>
    </row>
    <row r="52" spans="6:29" x14ac:dyDescent="0.2">
      <c r="F52" s="5">
        <v>41971</v>
      </c>
      <c r="G52" s="29">
        <v>21.648611110000001</v>
      </c>
      <c r="H52" s="36">
        <v>22.372222220000001</v>
      </c>
      <c r="I52" s="41"/>
      <c r="J52" s="42">
        <v>21.648611110000001</v>
      </c>
      <c r="K52" s="30">
        <v>22.372222220000001</v>
      </c>
      <c r="L52" s="36">
        <v>22.74826989</v>
      </c>
      <c r="M52" s="41"/>
      <c r="N52" s="42">
        <v>21.648611110000001</v>
      </c>
      <c r="O52" s="30">
        <v>23.096881</v>
      </c>
      <c r="P52" s="30">
        <v>22.74826989</v>
      </c>
      <c r="Q52" s="36">
        <v>23.139936559999999</v>
      </c>
      <c r="R52" s="29">
        <v>23.096881</v>
      </c>
      <c r="S52" s="30">
        <v>22.74826989</v>
      </c>
      <c r="T52" s="36">
        <v>23.139936559999999</v>
      </c>
      <c r="U52" s="29">
        <v>22.74826989</v>
      </c>
      <c r="V52" s="36">
        <v>23.139936559999999</v>
      </c>
      <c r="W52" s="37">
        <v>23.139936559999999</v>
      </c>
      <c r="X52" s="37">
        <v>23.139936559999999</v>
      </c>
      <c r="Y52" s="37">
        <v>23.139936559999999</v>
      </c>
      <c r="AC52" s="31">
        <v>22.689219922941184</v>
      </c>
    </row>
    <row r="53" spans="6:29" x14ac:dyDescent="0.2">
      <c r="F53" s="5">
        <v>42004</v>
      </c>
      <c r="G53" s="29">
        <v>20.269103219999998</v>
      </c>
      <c r="H53" s="36">
        <v>22.022575440000001</v>
      </c>
      <c r="I53" s="41"/>
      <c r="J53" s="42">
        <v>20.269103219999998</v>
      </c>
      <c r="K53" s="30">
        <v>22.022575440000001</v>
      </c>
      <c r="L53" s="36">
        <v>22.54340878</v>
      </c>
      <c r="M53" s="41"/>
      <c r="N53" s="42">
        <v>20.269103219999998</v>
      </c>
      <c r="O53" s="30">
        <v>22.796880999999999</v>
      </c>
      <c r="P53" s="30">
        <v>22.54340878</v>
      </c>
      <c r="Q53" s="36">
        <v>23.14236111</v>
      </c>
      <c r="R53" s="29">
        <v>22.796880999999999</v>
      </c>
      <c r="S53" s="30">
        <v>22.54340878</v>
      </c>
      <c r="T53" s="36">
        <v>23.14236111</v>
      </c>
      <c r="U53" s="29">
        <v>22.54340878</v>
      </c>
      <c r="V53" s="36">
        <v>23.14236111</v>
      </c>
      <c r="W53" s="37">
        <v>23.14236111</v>
      </c>
      <c r="X53" s="37">
        <v>23.14236111</v>
      </c>
      <c r="Y53" s="37">
        <v>23.14236111</v>
      </c>
      <c r="AC53" s="31">
        <v>22.322001430588244</v>
      </c>
    </row>
    <row r="54" spans="6:29" x14ac:dyDescent="0.2">
      <c r="F54" s="5">
        <v>42034</v>
      </c>
      <c r="G54" s="29">
        <v>15.175352220000001</v>
      </c>
      <c r="H54" s="36">
        <v>17.756944440000002</v>
      </c>
      <c r="I54" s="41"/>
      <c r="J54" s="42">
        <v>15.175352220000001</v>
      </c>
      <c r="K54" s="30">
        <v>17.756944440000002</v>
      </c>
      <c r="L54" s="36">
        <v>18.809027780000001</v>
      </c>
      <c r="M54" s="41"/>
      <c r="N54" s="42">
        <v>15.175352220000001</v>
      </c>
      <c r="O54" s="30">
        <v>18.578130999999999</v>
      </c>
      <c r="P54" s="30">
        <v>18.809027780000001</v>
      </c>
      <c r="Q54" s="36">
        <v>22.48611111</v>
      </c>
      <c r="R54" s="29">
        <v>18.578130999999999</v>
      </c>
      <c r="S54" s="30">
        <v>18.809027780000001</v>
      </c>
      <c r="T54" s="36">
        <v>22.48611111</v>
      </c>
      <c r="U54" s="29">
        <v>18.809027780000001</v>
      </c>
      <c r="V54" s="36">
        <v>22.48611111</v>
      </c>
      <c r="W54" s="37">
        <v>22.48611111</v>
      </c>
      <c r="X54" s="37">
        <v>22.48611111</v>
      </c>
      <c r="Y54" s="37">
        <v>22.48611111</v>
      </c>
      <c r="AC54" s="31">
        <v>19.314646195294124</v>
      </c>
    </row>
    <row r="55" spans="6:29" x14ac:dyDescent="0.2">
      <c r="F55" s="5">
        <v>42062</v>
      </c>
      <c r="G55" s="29">
        <v>18.644103219999998</v>
      </c>
      <c r="H55" s="36">
        <v>20.413194440000002</v>
      </c>
      <c r="I55" s="41"/>
      <c r="J55" s="42">
        <v>18.644103219999998</v>
      </c>
      <c r="K55" s="30">
        <v>20.413194440000002</v>
      </c>
      <c r="L55" s="36">
        <v>21.69965878</v>
      </c>
      <c r="M55" s="41"/>
      <c r="N55" s="42">
        <v>18.644103219999998</v>
      </c>
      <c r="O55" s="30">
        <v>21.5625</v>
      </c>
      <c r="P55" s="30">
        <v>21.69965878</v>
      </c>
      <c r="Q55" s="36">
        <v>24.657992109999999</v>
      </c>
      <c r="R55" s="29">
        <v>21.5625</v>
      </c>
      <c r="S55" s="30">
        <v>21.69965878</v>
      </c>
      <c r="T55" s="36">
        <v>24.657992109999999</v>
      </c>
      <c r="U55" s="29">
        <v>21.69965878</v>
      </c>
      <c r="V55" s="36">
        <v>24.657992109999999</v>
      </c>
      <c r="W55" s="37">
        <v>24.657992109999999</v>
      </c>
      <c r="X55" s="37">
        <v>24.657992109999999</v>
      </c>
      <c r="Y55" s="37">
        <v>24.657992109999999</v>
      </c>
      <c r="AC55" s="31">
        <v>22.037075665882355</v>
      </c>
    </row>
    <row r="56" spans="6:29" x14ac:dyDescent="0.2">
      <c r="F56" s="5">
        <v>42094</v>
      </c>
      <c r="G56" s="29">
        <v>17.82049211</v>
      </c>
      <c r="H56" s="36">
        <v>19.872222220000001</v>
      </c>
      <c r="I56" s="41">
        <v>17.929861110000001</v>
      </c>
      <c r="J56" s="42">
        <v>17.82049211</v>
      </c>
      <c r="K56" s="30">
        <v>19.872222220000001</v>
      </c>
      <c r="L56" s="36">
        <v>21.21701989</v>
      </c>
      <c r="M56" s="41">
        <v>17.929861110000001</v>
      </c>
      <c r="N56" s="42">
        <v>17.82049211</v>
      </c>
      <c r="O56" s="30">
        <v>21.128131</v>
      </c>
      <c r="P56" s="30">
        <v>21.21701989</v>
      </c>
      <c r="Q56" s="36">
        <v>25.90555556</v>
      </c>
      <c r="R56" s="29">
        <v>21.128131</v>
      </c>
      <c r="S56" s="30">
        <v>21.21701989</v>
      </c>
      <c r="T56" s="36">
        <v>25.90555556</v>
      </c>
      <c r="U56" s="29">
        <v>21.21701989</v>
      </c>
      <c r="V56" s="36">
        <v>25.90555556</v>
      </c>
      <c r="W56" s="37">
        <v>25.90555556</v>
      </c>
      <c r="X56" s="37">
        <v>25.90555556</v>
      </c>
      <c r="Y56" s="37">
        <v>25.90555556</v>
      </c>
      <c r="AC56" s="31">
        <v>21.664385153157891</v>
      </c>
    </row>
    <row r="57" spans="6:29" x14ac:dyDescent="0.2">
      <c r="F57" s="5">
        <v>42124</v>
      </c>
      <c r="G57" s="29">
        <v>19.179861110000001</v>
      </c>
      <c r="H57" s="36">
        <v>20.98160322</v>
      </c>
      <c r="I57" s="41">
        <v>19.44549211</v>
      </c>
      <c r="J57" s="42">
        <v>19.179861110000001</v>
      </c>
      <c r="K57" s="30">
        <v>20.98160322</v>
      </c>
      <c r="L57" s="36">
        <v>22.23263889</v>
      </c>
      <c r="M57" s="41">
        <v>19.44549211</v>
      </c>
      <c r="N57" s="42">
        <v>19.179861110000001</v>
      </c>
      <c r="O57" s="30">
        <v>22.112500000000001</v>
      </c>
      <c r="P57" s="30">
        <v>22.23263889</v>
      </c>
      <c r="Q57" s="36">
        <v>26.764936559999999</v>
      </c>
      <c r="R57" s="29">
        <v>22.112500000000001</v>
      </c>
      <c r="S57" s="30">
        <v>22.23263889</v>
      </c>
      <c r="T57" s="36">
        <v>26.764936559999999</v>
      </c>
      <c r="U57" s="29">
        <v>22.23263889</v>
      </c>
      <c r="V57" s="36">
        <v>26.764936559999999</v>
      </c>
      <c r="W57" s="37">
        <v>26.764936559999999</v>
      </c>
      <c r="X57" s="37">
        <v>26.764936559999999</v>
      </c>
      <c r="Y57" s="37">
        <v>26.764936559999999</v>
      </c>
      <c r="AC57" s="31">
        <v>22.744155205789479</v>
      </c>
    </row>
    <row r="58" spans="6:29" x14ac:dyDescent="0.2">
      <c r="F58" s="5">
        <v>42153</v>
      </c>
      <c r="G58" s="29">
        <v>20.023611110000001</v>
      </c>
      <c r="H58" s="36">
        <v>21.090972220000001</v>
      </c>
      <c r="I58" s="41">
        <v>20.523611110000001</v>
      </c>
      <c r="J58" s="42">
        <v>20.023611110000001</v>
      </c>
      <c r="K58" s="30">
        <v>21.090972220000001</v>
      </c>
      <c r="L58" s="36">
        <v>22.51388889</v>
      </c>
      <c r="M58" s="41">
        <v>20.523611110000001</v>
      </c>
      <c r="N58" s="42">
        <v>20.023611110000001</v>
      </c>
      <c r="O58" s="30">
        <v>22.315631</v>
      </c>
      <c r="P58" s="30">
        <v>22.51388889</v>
      </c>
      <c r="Q58" s="36">
        <v>26.37430556</v>
      </c>
      <c r="R58" s="29">
        <v>22.315631</v>
      </c>
      <c r="S58" s="30">
        <v>22.51388889</v>
      </c>
      <c r="T58" s="36">
        <v>26.37430556</v>
      </c>
      <c r="U58" s="29">
        <v>22.51388889</v>
      </c>
      <c r="V58" s="36">
        <v>26.37430556</v>
      </c>
      <c r="W58" s="37">
        <v>26.37430556</v>
      </c>
      <c r="X58" s="37">
        <v>26.37430556</v>
      </c>
      <c r="Y58" s="37">
        <v>26.37430556</v>
      </c>
      <c r="AC58" s="31">
        <v>22.95961320578947</v>
      </c>
    </row>
    <row r="59" spans="6:29" x14ac:dyDescent="0.2">
      <c r="F59" s="5">
        <v>42185</v>
      </c>
      <c r="G59" s="29">
        <v>23.10174211</v>
      </c>
      <c r="H59" s="36">
        <v>22.79410322</v>
      </c>
      <c r="I59" s="41">
        <v>23.50799211</v>
      </c>
      <c r="J59" s="42">
        <v>23.10174211</v>
      </c>
      <c r="K59" s="30">
        <v>22.79410322</v>
      </c>
      <c r="L59" s="36">
        <v>24.12326989</v>
      </c>
      <c r="M59" s="41">
        <v>23.50799211</v>
      </c>
      <c r="N59" s="42">
        <v>23.10174211</v>
      </c>
      <c r="O59" s="30">
        <v>24.112500000000001</v>
      </c>
      <c r="P59" s="30">
        <v>24.12326989</v>
      </c>
      <c r="Q59" s="36">
        <v>27.21805556</v>
      </c>
      <c r="R59" s="29">
        <v>24.112500000000001</v>
      </c>
      <c r="S59" s="30">
        <v>24.12326989</v>
      </c>
      <c r="T59" s="36">
        <v>27.21805556</v>
      </c>
      <c r="U59" s="29">
        <v>24.12326989</v>
      </c>
      <c r="V59" s="36">
        <v>27.21805556</v>
      </c>
      <c r="W59" s="37">
        <v>27.21805556</v>
      </c>
      <c r="X59" s="37">
        <v>27.21805556</v>
      </c>
      <c r="Y59" s="37">
        <v>27.21805556</v>
      </c>
      <c r="AC59" s="31">
        <v>24.733464732105261</v>
      </c>
    </row>
    <row r="60" spans="6:29" x14ac:dyDescent="0.2">
      <c r="F60" s="5">
        <v>42216</v>
      </c>
      <c r="G60" s="29">
        <v>21.87396433</v>
      </c>
      <c r="H60" s="36">
        <v>21.922916669999999</v>
      </c>
      <c r="I60" s="41">
        <v>22.170833330000001</v>
      </c>
      <c r="J60" s="42">
        <v>21.87396433</v>
      </c>
      <c r="K60" s="30">
        <v>21.922916669999999</v>
      </c>
      <c r="L60" s="36">
        <v>23.354166670000001</v>
      </c>
      <c r="M60" s="41">
        <v>22.170833330000001</v>
      </c>
      <c r="N60" s="42">
        <v>21.87396433</v>
      </c>
      <c r="O60" s="30">
        <v>23.324999999999999</v>
      </c>
      <c r="P60" s="30">
        <v>23.354166670000001</v>
      </c>
      <c r="Q60" s="36">
        <v>27.113547669999999</v>
      </c>
      <c r="R60" s="29">
        <v>23.324999999999999</v>
      </c>
      <c r="S60" s="30">
        <v>23.354166670000001</v>
      </c>
      <c r="T60" s="36">
        <v>27.113547669999999</v>
      </c>
      <c r="U60" s="29">
        <v>23.354166670000001</v>
      </c>
      <c r="V60" s="36">
        <v>27.113547669999999</v>
      </c>
      <c r="W60" s="37">
        <v>27.113547669999999</v>
      </c>
      <c r="X60" s="37">
        <v>27.113547669999999</v>
      </c>
      <c r="Y60" s="37">
        <v>27.113547669999999</v>
      </c>
      <c r="AC60" s="31">
        <v>24.029333983684211</v>
      </c>
    </row>
    <row r="61" spans="6:29" x14ac:dyDescent="0.2">
      <c r="F61" s="5">
        <v>42247</v>
      </c>
      <c r="G61" s="29">
        <v>21.63299211</v>
      </c>
      <c r="H61" s="36">
        <v>21.840972220000001</v>
      </c>
      <c r="I61" s="41">
        <v>22.086111110000001</v>
      </c>
      <c r="J61" s="42">
        <v>21.63299211</v>
      </c>
      <c r="K61" s="30">
        <v>21.840972220000001</v>
      </c>
      <c r="L61" s="36">
        <v>23.42013889</v>
      </c>
      <c r="M61" s="41">
        <v>22.086111110000001</v>
      </c>
      <c r="N61" s="42">
        <v>21.63299211</v>
      </c>
      <c r="O61" s="30">
        <v>23.393750000000001</v>
      </c>
      <c r="P61" s="30">
        <v>23.42013889</v>
      </c>
      <c r="Q61" s="36">
        <v>27.046186559999999</v>
      </c>
      <c r="R61" s="29">
        <v>23.393750000000001</v>
      </c>
      <c r="S61" s="30">
        <v>23.42013889</v>
      </c>
      <c r="T61" s="36">
        <v>27.046186559999999</v>
      </c>
      <c r="U61" s="29">
        <v>23.42013889</v>
      </c>
      <c r="V61" s="36">
        <v>27.046186559999999</v>
      </c>
      <c r="W61" s="37">
        <v>27.046186559999999</v>
      </c>
      <c r="X61" s="37">
        <v>27.046186559999999</v>
      </c>
      <c r="Y61" s="37">
        <v>27.046186559999999</v>
      </c>
      <c r="AC61" s="31">
        <v>23.973595679473689</v>
      </c>
    </row>
    <row r="62" spans="6:29" x14ac:dyDescent="0.2">
      <c r="F62" s="5">
        <v>42277</v>
      </c>
      <c r="G62" s="29">
        <v>20.57049211</v>
      </c>
      <c r="H62" s="36">
        <v>21.059722220000001</v>
      </c>
      <c r="I62" s="41">
        <v>20.94549211</v>
      </c>
      <c r="J62" s="42">
        <v>20.57049211</v>
      </c>
      <c r="K62" s="30">
        <v>21.059722220000001</v>
      </c>
      <c r="L62" s="36">
        <v>22.10763889</v>
      </c>
      <c r="M62" s="41">
        <v>20.94549211</v>
      </c>
      <c r="N62" s="42">
        <v>20.57049211</v>
      </c>
      <c r="O62" s="30">
        <v>22.268750000000001</v>
      </c>
      <c r="P62" s="30">
        <v>22.10763889</v>
      </c>
      <c r="Q62" s="36">
        <v>26.296186559999999</v>
      </c>
      <c r="R62" s="29">
        <v>22.268750000000001</v>
      </c>
      <c r="S62" s="30">
        <v>22.10763889</v>
      </c>
      <c r="T62" s="36">
        <v>26.296186559999999</v>
      </c>
      <c r="U62" s="29">
        <v>22.10763889</v>
      </c>
      <c r="V62" s="36">
        <v>26.296186559999999</v>
      </c>
      <c r="W62" s="37">
        <v>26.296186559999999</v>
      </c>
      <c r="X62" s="37">
        <v>26.296186559999999</v>
      </c>
      <c r="Y62" s="37">
        <v>26.296186559999999</v>
      </c>
      <c r="AC62" s="31">
        <v>22.971951574210532</v>
      </c>
    </row>
    <row r="63" spans="6:29" x14ac:dyDescent="0.2">
      <c r="F63" s="5">
        <v>42307</v>
      </c>
      <c r="G63" s="29">
        <v>20.581603219999998</v>
      </c>
      <c r="H63" s="36">
        <v>21.053825440000001</v>
      </c>
      <c r="I63" s="41">
        <v>20.909722219999999</v>
      </c>
      <c r="J63" s="42">
        <v>20.581603219999998</v>
      </c>
      <c r="K63" s="30">
        <v>21.053825440000001</v>
      </c>
      <c r="L63" s="36">
        <v>22.13715878</v>
      </c>
      <c r="M63" s="41">
        <v>20.909722219999999</v>
      </c>
      <c r="N63" s="42">
        <v>20.581603219999998</v>
      </c>
      <c r="O63" s="30">
        <v>22.296880999999999</v>
      </c>
      <c r="P63" s="30">
        <v>22.13715878</v>
      </c>
      <c r="Q63" s="36">
        <v>26.61111111</v>
      </c>
      <c r="R63" s="29">
        <v>22.296880999999999</v>
      </c>
      <c r="S63" s="30">
        <v>22.13715878</v>
      </c>
      <c r="T63" s="36">
        <v>26.61111111</v>
      </c>
      <c r="U63" s="29">
        <v>22.13715878</v>
      </c>
      <c r="V63" s="36">
        <v>26.61111111</v>
      </c>
      <c r="W63" s="37">
        <v>26.61111111</v>
      </c>
      <c r="X63" s="37">
        <v>26.61111111</v>
      </c>
      <c r="Y63" s="37">
        <v>26.61111111</v>
      </c>
      <c r="AC63" s="31">
        <v>23.077945724210533</v>
      </c>
    </row>
    <row r="64" spans="6:29" x14ac:dyDescent="0.2">
      <c r="F64" s="5">
        <v>42338</v>
      </c>
      <c r="G64" s="29">
        <v>21.44549211</v>
      </c>
      <c r="H64" s="36">
        <v>21.747222220000001</v>
      </c>
      <c r="I64" s="41">
        <v>21.804861110000001</v>
      </c>
      <c r="J64" s="42">
        <v>21.44549211</v>
      </c>
      <c r="K64" s="30">
        <v>21.747222220000001</v>
      </c>
      <c r="L64" s="36">
        <v>22.79513889</v>
      </c>
      <c r="M64" s="41">
        <v>21.804861110000001</v>
      </c>
      <c r="N64" s="42">
        <v>21.44549211</v>
      </c>
      <c r="O64" s="30">
        <v>22.987500000000001</v>
      </c>
      <c r="P64" s="30">
        <v>22.79513889</v>
      </c>
      <c r="Q64" s="36">
        <v>26.858686559999999</v>
      </c>
      <c r="R64" s="29">
        <v>22.987500000000001</v>
      </c>
      <c r="S64" s="30">
        <v>22.79513889</v>
      </c>
      <c r="T64" s="36">
        <v>26.858686559999999</v>
      </c>
      <c r="U64" s="29">
        <v>22.79513889</v>
      </c>
      <c r="V64" s="36">
        <v>26.858686559999999</v>
      </c>
      <c r="W64" s="37">
        <v>26.858686559999999</v>
      </c>
      <c r="X64" s="37">
        <v>26.858686559999999</v>
      </c>
      <c r="Y64" s="37">
        <v>26.858686559999999</v>
      </c>
      <c r="AC64" s="31">
        <v>23.670964100526319</v>
      </c>
    </row>
    <row r="65" spans="6:29" x14ac:dyDescent="0.2">
      <c r="F65" s="5">
        <v>42369</v>
      </c>
      <c r="G65" s="29">
        <v>21.791325439999998</v>
      </c>
      <c r="H65" s="36">
        <v>22.042019889999999</v>
      </c>
      <c r="I65" s="41">
        <v>22.135075439999998</v>
      </c>
      <c r="J65" s="42">
        <v>21.791325439999998</v>
      </c>
      <c r="K65" s="30">
        <v>22.042019889999999</v>
      </c>
      <c r="L65" s="36">
        <v>23.211805559999998</v>
      </c>
      <c r="M65" s="41">
        <v>22.135075439999998</v>
      </c>
      <c r="N65" s="42">
        <v>21.791325439999998</v>
      </c>
      <c r="O65" s="30">
        <v>23.321880999999998</v>
      </c>
      <c r="P65" s="30">
        <v>23.211805559999998</v>
      </c>
      <c r="Q65" s="36">
        <v>27.11597222</v>
      </c>
      <c r="R65" s="29">
        <v>23.321880999999998</v>
      </c>
      <c r="S65" s="30">
        <v>23.211805559999998</v>
      </c>
      <c r="T65" s="36">
        <v>27.11597222</v>
      </c>
      <c r="U65" s="29">
        <v>23.211805559999998</v>
      </c>
      <c r="V65" s="36">
        <v>27.11597222</v>
      </c>
      <c r="W65" s="37">
        <v>27.11597222</v>
      </c>
      <c r="X65" s="37">
        <v>27.11597222</v>
      </c>
      <c r="Y65" s="37">
        <v>27.11597222</v>
      </c>
      <c r="AC65" s="31">
        <v>23.995525502105266</v>
      </c>
    </row>
    <row r="66" spans="6:29" x14ac:dyDescent="0.2">
      <c r="F66" s="5">
        <v>42398</v>
      </c>
      <c r="G66" s="29">
        <v>18.961111110000001</v>
      </c>
      <c r="H66" s="36">
        <v>19.934722220000001</v>
      </c>
      <c r="I66" s="41">
        <v>19.086111110000001</v>
      </c>
      <c r="J66" s="42">
        <v>18.961111110000001</v>
      </c>
      <c r="K66" s="30">
        <v>19.934722220000001</v>
      </c>
      <c r="L66" s="36">
        <v>21.23263889</v>
      </c>
      <c r="M66" s="41">
        <v>19.086111110000001</v>
      </c>
      <c r="N66" s="42">
        <v>18.961111110000001</v>
      </c>
      <c r="O66" s="30">
        <v>21.096881</v>
      </c>
      <c r="P66" s="30">
        <v>21.23263889</v>
      </c>
      <c r="Q66" s="36">
        <v>26.46805556</v>
      </c>
      <c r="R66" s="29">
        <v>21.096881</v>
      </c>
      <c r="S66" s="30">
        <v>21.23263889</v>
      </c>
      <c r="T66" s="36">
        <v>26.46805556</v>
      </c>
      <c r="U66" s="29">
        <v>21.23263889</v>
      </c>
      <c r="V66" s="36">
        <v>26.46805556</v>
      </c>
      <c r="W66" s="37">
        <v>26.46805556</v>
      </c>
      <c r="X66" s="37">
        <v>26.46805556</v>
      </c>
      <c r="Y66" s="37">
        <v>26.46805556</v>
      </c>
      <c r="AC66" s="31">
        <v>22.150402679473679</v>
      </c>
    </row>
    <row r="67" spans="6:29" x14ac:dyDescent="0.2">
      <c r="F67" s="5">
        <v>42429</v>
      </c>
      <c r="G67" s="29">
        <v>17.63299211</v>
      </c>
      <c r="H67" s="36">
        <v>18.778472220000001</v>
      </c>
      <c r="I67" s="41">
        <v>17.69549211</v>
      </c>
      <c r="J67" s="42">
        <v>17.63299211</v>
      </c>
      <c r="K67" s="30">
        <v>18.778472220000001</v>
      </c>
      <c r="L67" s="36">
        <v>20.56076989</v>
      </c>
      <c r="M67" s="41">
        <v>17.69549211</v>
      </c>
      <c r="N67" s="42">
        <v>17.63299211</v>
      </c>
      <c r="O67" s="30">
        <v>20.206250000000001</v>
      </c>
      <c r="P67" s="30">
        <v>20.56076989</v>
      </c>
      <c r="Q67" s="36">
        <v>26.71805556</v>
      </c>
      <c r="R67" s="29">
        <v>20.206250000000001</v>
      </c>
      <c r="S67" s="30">
        <v>20.56076989</v>
      </c>
      <c r="T67" s="36">
        <v>26.71805556</v>
      </c>
      <c r="U67" s="29">
        <v>20.56076989</v>
      </c>
      <c r="V67" s="36">
        <v>26.71805556</v>
      </c>
      <c r="W67" s="37">
        <v>26.71805556</v>
      </c>
      <c r="X67" s="37">
        <v>26.71805556</v>
      </c>
      <c r="Y67" s="37">
        <v>26.71805556</v>
      </c>
      <c r="AC67" s="31">
        <v>21.516358837368418</v>
      </c>
    </row>
    <row r="68" spans="6:29" x14ac:dyDescent="0.2">
      <c r="F68" s="5">
        <v>42460</v>
      </c>
      <c r="G68" s="29">
        <v>18.00799211</v>
      </c>
      <c r="H68" s="36">
        <v>18.997222220000001</v>
      </c>
      <c r="I68" s="41">
        <v>17.961111110000001</v>
      </c>
      <c r="J68" s="42">
        <v>18.00799211</v>
      </c>
      <c r="K68" s="30">
        <v>18.997222220000001</v>
      </c>
      <c r="L68" s="36">
        <v>20.57638889</v>
      </c>
      <c r="M68" s="41">
        <v>17.961111110000001</v>
      </c>
      <c r="N68" s="42">
        <v>18.00799211</v>
      </c>
      <c r="O68" s="30">
        <v>20.471881</v>
      </c>
      <c r="P68" s="30">
        <v>20.57638889</v>
      </c>
      <c r="Q68" s="36">
        <v>27.264936559999999</v>
      </c>
      <c r="R68" s="29">
        <v>20.471881</v>
      </c>
      <c r="S68" s="30">
        <v>20.57638889</v>
      </c>
      <c r="T68" s="36">
        <v>27.264936559999999</v>
      </c>
      <c r="U68" s="29">
        <v>20.57638889</v>
      </c>
      <c r="V68" s="36">
        <v>27.264936559999999</v>
      </c>
      <c r="W68" s="37">
        <v>27.264936559999999</v>
      </c>
      <c r="X68" s="37">
        <v>27.264936559999999</v>
      </c>
      <c r="Y68" s="37">
        <v>27.264936559999999</v>
      </c>
      <c r="AC68" s="31">
        <v>21.830504205789481</v>
      </c>
    </row>
    <row r="69" spans="6:29" x14ac:dyDescent="0.2">
      <c r="F69" s="5">
        <v>42489</v>
      </c>
      <c r="G69" s="29">
        <v>18.284722219999999</v>
      </c>
      <c r="H69" s="36">
        <v>19.038194440000002</v>
      </c>
      <c r="I69" s="41">
        <v>18.159722219999999</v>
      </c>
      <c r="J69" s="42">
        <v>18.284722219999999</v>
      </c>
      <c r="K69" s="30">
        <v>19.038194440000002</v>
      </c>
      <c r="L69" s="36">
        <v>20.621527780000001</v>
      </c>
      <c r="M69" s="41">
        <v>18.159722219999999</v>
      </c>
      <c r="N69" s="42">
        <v>18.284722219999999</v>
      </c>
      <c r="O69" s="30">
        <v>20.75</v>
      </c>
      <c r="P69" s="30">
        <v>20.621527780000001</v>
      </c>
      <c r="Q69" s="36">
        <v>27.814242109999999</v>
      </c>
      <c r="R69" s="29">
        <v>20.75</v>
      </c>
      <c r="S69" s="30">
        <v>20.621527780000001</v>
      </c>
      <c r="T69" s="36">
        <v>27.814242109999999</v>
      </c>
      <c r="U69" s="29">
        <v>20.621527780000001</v>
      </c>
      <c r="V69" s="36">
        <v>27.814242109999999</v>
      </c>
      <c r="W69" s="37">
        <v>27.814242109999999</v>
      </c>
      <c r="X69" s="37">
        <v>27.814242109999999</v>
      </c>
      <c r="Y69" s="37">
        <v>27.814242109999999</v>
      </c>
      <c r="AC69" s="31">
        <v>22.111661250526321</v>
      </c>
    </row>
    <row r="70" spans="6:29" x14ac:dyDescent="0.2">
      <c r="F70" s="5">
        <v>42521</v>
      </c>
      <c r="G70" s="29">
        <v>18.53924211</v>
      </c>
      <c r="H70" s="36">
        <v>19.090972220000001</v>
      </c>
      <c r="I70" s="41">
        <v>18.35174211</v>
      </c>
      <c r="J70" s="42">
        <v>18.53924211</v>
      </c>
      <c r="K70" s="30">
        <v>19.090972220000001</v>
      </c>
      <c r="L70" s="36">
        <v>20.77951989</v>
      </c>
      <c r="M70" s="41">
        <v>18.35174211</v>
      </c>
      <c r="N70" s="42">
        <v>18.53924211</v>
      </c>
      <c r="O70" s="30">
        <v>20.909381</v>
      </c>
      <c r="P70" s="30">
        <v>20.77951989</v>
      </c>
      <c r="Q70" s="36">
        <v>28.31180556</v>
      </c>
      <c r="R70" s="29">
        <v>20.909381</v>
      </c>
      <c r="S70" s="30">
        <v>20.77951989</v>
      </c>
      <c r="T70" s="36">
        <v>28.31180556</v>
      </c>
      <c r="U70" s="29">
        <v>20.77951989</v>
      </c>
      <c r="V70" s="36">
        <v>28.31180556</v>
      </c>
      <c r="W70" s="37">
        <v>28.31180556</v>
      </c>
      <c r="X70" s="37">
        <v>28.31180556</v>
      </c>
      <c r="Y70" s="37">
        <v>28.31180556</v>
      </c>
      <c r="AC70" s="31">
        <v>22.384780521578943</v>
      </c>
    </row>
    <row r="71" spans="6:29" x14ac:dyDescent="0.2">
      <c r="F71" s="5">
        <v>42551</v>
      </c>
      <c r="G71" s="29">
        <v>16.367361110000001</v>
      </c>
      <c r="H71" s="36">
        <v>16.903472220000001</v>
      </c>
      <c r="I71" s="41">
        <v>16.007991109999999</v>
      </c>
      <c r="J71" s="42">
        <v>16.367361110000001</v>
      </c>
      <c r="K71" s="30">
        <v>16.903472220000001</v>
      </c>
      <c r="L71" s="36">
        <v>19.07638889</v>
      </c>
      <c r="M71" s="41">
        <v>16.007991109999999</v>
      </c>
      <c r="N71" s="42">
        <v>16.367361110000001</v>
      </c>
      <c r="O71" s="30">
        <v>18.909381</v>
      </c>
      <c r="P71" s="30">
        <v>19.07638889</v>
      </c>
      <c r="Q71" s="36">
        <v>27.90555556</v>
      </c>
      <c r="R71" s="29">
        <v>18.909381</v>
      </c>
      <c r="S71" s="30">
        <v>19.07638889</v>
      </c>
      <c r="T71" s="36">
        <v>27.90555556</v>
      </c>
      <c r="U71" s="29">
        <v>19.07638889</v>
      </c>
      <c r="V71" s="36">
        <v>27.90555556</v>
      </c>
      <c r="W71" s="37">
        <v>27.90555556</v>
      </c>
      <c r="X71" s="37">
        <v>27.90555556</v>
      </c>
      <c r="Y71" s="37">
        <v>27.90555556</v>
      </c>
      <c r="AC71" s="31">
        <v>20.867508468947364</v>
      </c>
    </row>
    <row r="72" spans="6:29" x14ac:dyDescent="0.2">
      <c r="F72" s="5">
        <v>42580</v>
      </c>
      <c r="G72" s="29">
        <v>15.836111109999999</v>
      </c>
      <c r="H72" s="36">
        <v>16.122222220000001</v>
      </c>
      <c r="I72" s="41">
        <v>15.398611109999999</v>
      </c>
      <c r="J72" s="42">
        <v>15.836111109999999</v>
      </c>
      <c r="K72" s="30">
        <v>16.122222220000001</v>
      </c>
      <c r="L72" s="36">
        <v>18.74826989</v>
      </c>
      <c r="M72" s="41">
        <v>15.398611109999999</v>
      </c>
      <c r="N72" s="42">
        <v>15.836111109999999</v>
      </c>
      <c r="O72" s="30">
        <v>18.409381</v>
      </c>
      <c r="P72" s="30">
        <v>18.74826989</v>
      </c>
      <c r="Q72" s="36">
        <v>28.15555556</v>
      </c>
      <c r="R72" s="29">
        <v>18.409381</v>
      </c>
      <c r="S72" s="30">
        <v>18.74826989</v>
      </c>
      <c r="T72" s="36">
        <v>28.15555556</v>
      </c>
      <c r="U72" s="29">
        <v>18.74826989</v>
      </c>
      <c r="V72" s="36">
        <v>28.15555556</v>
      </c>
      <c r="W72" s="37">
        <v>28.15555556</v>
      </c>
      <c r="X72" s="37">
        <v>28.15555556</v>
      </c>
      <c r="Y72" s="37">
        <v>28.15555556</v>
      </c>
      <c r="AC72" s="31">
        <v>20.594482889999995</v>
      </c>
    </row>
    <row r="73" spans="6:29" x14ac:dyDescent="0.2">
      <c r="F73" s="5">
        <v>42613</v>
      </c>
      <c r="G73" s="29">
        <v>16.492361110000001</v>
      </c>
      <c r="H73" s="36">
        <v>16.70035322</v>
      </c>
      <c r="I73" s="41">
        <v>16.086111110000001</v>
      </c>
      <c r="J73" s="42">
        <v>16.492361110000001</v>
      </c>
      <c r="K73" s="30">
        <v>16.70035322</v>
      </c>
      <c r="L73" s="36">
        <v>19.27951989</v>
      </c>
      <c r="M73" s="41">
        <v>16.086111110000001</v>
      </c>
      <c r="N73" s="42">
        <v>16.492361110000001</v>
      </c>
      <c r="O73" s="30">
        <v>18.925000000000001</v>
      </c>
      <c r="P73" s="30">
        <v>19.27951989</v>
      </c>
      <c r="Q73" s="36">
        <v>28.81180556</v>
      </c>
      <c r="R73" s="29">
        <v>18.925000000000001</v>
      </c>
      <c r="S73" s="30">
        <v>19.27951989</v>
      </c>
      <c r="T73" s="36">
        <v>28.81180556</v>
      </c>
      <c r="U73" s="29">
        <v>19.27951989</v>
      </c>
      <c r="V73" s="36">
        <v>28.81180556</v>
      </c>
      <c r="W73" s="37">
        <v>28.81180556</v>
      </c>
      <c r="X73" s="37">
        <v>28.81180556</v>
      </c>
      <c r="Y73" s="37">
        <v>28.81180556</v>
      </c>
      <c r="AC73" s="31">
        <v>21.20468025842105</v>
      </c>
    </row>
    <row r="74" spans="6:29" x14ac:dyDescent="0.2">
      <c r="F74" s="5">
        <v>42643</v>
      </c>
      <c r="G74" s="29">
        <v>16.49896433</v>
      </c>
      <c r="H74" s="36">
        <v>16.672916669999999</v>
      </c>
      <c r="I74" s="41">
        <v>16.077083330000001</v>
      </c>
      <c r="J74" s="42">
        <v>16.49896433</v>
      </c>
      <c r="K74" s="30">
        <v>16.672916669999999</v>
      </c>
      <c r="L74" s="36">
        <v>19.276047670000001</v>
      </c>
      <c r="M74" s="41">
        <v>16.077083330000001</v>
      </c>
      <c r="N74" s="42">
        <v>16.49896433</v>
      </c>
      <c r="O74" s="30">
        <v>18.981249999999999</v>
      </c>
      <c r="P74" s="30">
        <v>19.276047670000001</v>
      </c>
      <c r="Q74" s="36">
        <v>29.03541667</v>
      </c>
      <c r="R74" s="29">
        <v>18.981249999999999</v>
      </c>
      <c r="S74" s="30">
        <v>19.276047670000001</v>
      </c>
      <c r="T74" s="36">
        <v>29.03541667</v>
      </c>
      <c r="U74" s="29">
        <v>19.276047670000001</v>
      </c>
      <c r="V74" s="36">
        <v>29.03541667</v>
      </c>
      <c r="W74" s="37">
        <v>29.03541667</v>
      </c>
      <c r="X74" s="37">
        <v>29.03541667</v>
      </c>
      <c r="Y74" s="37">
        <v>29.03541667</v>
      </c>
      <c r="AC74" s="31">
        <v>21.277688615263163</v>
      </c>
    </row>
    <row r="75" spans="6:29" x14ac:dyDescent="0.2">
      <c r="F75" s="5">
        <v>42674</v>
      </c>
      <c r="G75" s="29">
        <v>18.22674211</v>
      </c>
      <c r="H75" s="36">
        <v>18.26285322</v>
      </c>
      <c r="I75" s="41">
        <v>17.94549211</v>
      </c>
      <c r="J75" s="42">
        <v>18.22674211</v>
      </c>
      <c r="K75" s="30">
        <v>18.26285322</v>
      </c>
      <c r="L75" s="36">
        <v>20.45138889</v>
      </c>
      <c r="M75" s="41">
        <v>17.94549211</v>
      </c>
      <c r="N75" s="42">
        <v>18.22674211</v>
      </c>
      <c r="O75" s="30">
        <v>20.487500000000001</v>
      </c>
      <c r="P75" s="30">
        <v>20.45138889</v>
      </c>
      <c r="Q75" s="36">
        <v>27.53055556</v>
      </c>
      <c r="R75" s="29">
        <v>20.487500000000001</v>
      </c>
      <c r="S75" s="30">
        <v>20.45138889</v>
      </c>
      <c r="T75" s="36">
        <v>27.53055556</v>
      </c>
      <c r="U75" s="29">
        <v>20.45138889</v>
      </c>
      <c r="V75" s="36">
        <v>27.53055556</v>
      </c>
      <c r="W75" s="37">
        <v>27.53055556</v>
      </c>
      <c r="X75" s="37">
        <v>27.53055556</v>
      </c>
      <c r="Y75" s="37">
        <v>27.53055556</v>
      </c>
      <c r="AC75" s="31">
        <v>21.845305574210524</v>
      </c>
    </row>
    <row r="76" spans="6:29" x14ac:dyDescent="0.2">
      <c r="F76" s="5">
        <v>42704</v>
      </c>
      <c r="G76" s="29">
        <v>21.898611110000001</v>
      </c>
      <c r="H76" s="36">
        <v>21.35660322</v>
      </c>
      <c r="I76" s="41">
        <v>21.992361110000001</v>
      </c>
      <c r="J76" s="42">
        <v>21.898611110000001</v>
      </c>
      <c r="K76" s="30">
        <v>21.35660322</v>
      </c>
      <c r="L76" s="36">
        <v>23.06076989</v>
      </c>
      <c r="M76" s="41">
        <v>21.992361110000001</v>
      </c>
      <c r="N76" s="42">
        <v>21.898611110000001</v>
      </c>
      <c r="O76" s="30">
        <v>23.55</v>
      </c>
      <c r="P76" s="30">
        <v>23.06076989</v>
      </c>
      <c r="Q76" s="36">
        <v>27.264936559999999</v>
      </c>
      <c r="R76" s="29">
        <v>23.55</v>
      </c>
      <c r="S76" s="30">
        <v>23.06076989</v>
      </c>
      <c r="T76" s="36">
        <v>27.264936559999999</v>
      </c>
      <c r="U76" s="29">
        <v>23.06076989</v>
      </c>
      <c r="V76" s="36">
        <v>27.264936559999999</v>
      </c>
      <c r="W76" s="37">
        <v>27.264936559999999</v>
      </c>
      <c r="X76" s="37">
        <v>27.264936559999999</v>
      </c>
      <c r="Y76" s="37">
        <v>27.264936559999999</v>
      </c>
      <c r="AC76" s="31">
        <v>23.964550574210534</v>
      </c>
    </row>
    <row r="77" spans="6:29" x14ac:dyDescent="0.2">
      <c r="F77" s="5">
        <v>42734</v>
      </c>
      <c r="G77" s="29">
        <v>20.05</v>
      </c>
      <c r="H77" s="36">
        <v>19.753131</v>
      </c>
      <c r="I77" s="41">
        <v>21.157297669999998</v>
      </c>
      <c r="J77" s="42">
        <v>21.954166669999999</v>
      </c>
      <c r="K77" s="30">
        <v>21.922916669999999</v>
      </c>
      <c r="L77" s="36">
        <v>19.954166669999999</v>
      </c>
      <c r="M77" s="41">
        <v>22.764583330000001</v>
      </c>
      <c r="N77" s="42">
        <v>21.954166669999999</v>
      </c>
      <c r="O77" s="30">
        <v>23.37396433</v>
      </c>
      <c r="P77" s="30">
        <v>23.03021433</v>
      </c>
      <c r="Q77" s="36">
        <v>21.045833330000001</v>
      </c>
      <c r="R77" s="29">
        <v>24.137499999999999</v>
      </c>
      <c r="S77" s="30">
        <v>22.840630999999998</v>
      </c>
      <c r="T77" s="36">
        <v>22.340630999999998</v>
      </c>
      <c r="U77" s="29">
        <v>23.541666670000001</v>
      </c>
      <c r="V77" s="36">
        <v>22.588547670000001</v>
      </c>
      <c r="W77" s="37">
        <v>23.398964329999998</v>
      </c>
      <c r="X77" s="37">
        <v>25.318750000000001</v>
      </c>
      <c r="Y77" s="37">
        <v>26.94166667</v>
      </c>
      <c r="AC77" s="31">
        <v>22.529936737368423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2017-01-03T22:36:43Z</dcterms:modified>
</cp:coreProperties>
</file>