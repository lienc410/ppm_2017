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23" i="1" l="1"/>
  <c r="AJ123" i="1"/>
  <c r="BC123" i="1" s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AE63" i="1"/>
  <c r="AY122" i="1" l="1"/>
  <c r="AV122" i="1"/>
  <c r="AI122" i="1"/>
  <c r="BC62" i="1"/>
  <c r="AE62" i="1"/>
  <c r="AF62" i="1" s="1"/>
  <c r="Y62" i="1"/>
  <c r="BB122" i="1" s="1"/>
  <c r="X62" i="1"/>
  <c r="BA122" i="1" s="1"/>
  <c r="W62" i="1"/>
  <c r="AZ122" i="1" s="1"/>
  <c r="V62" i="1"/>
  <c r="U62" i="1"/>
  <c r="AX122" i="1" s="1"/>
  <c r="T62" i="1"/>
  <c r="AW122" i="1" s="1"/>
  <c r="S62" i="1"/>
  <c r="R62" i="1"/>
  <c r="AU122" i="1" s="1"/>
  <c r="Q62" i="1"/>
  <c r="AT122" i="1" s="1"/>
  <c r="P62" i="1"/>
  <c r="AS122" i="1" s="1"/>
  <c r="O62" i="1"/>
  <c r="AR122" i="1" s="1"/>
  <c r="N62" i="1"/>
  <c r="AQ122" i="1" s="1"/>
  <c r="M62" i="1"/>
  <c r="AP122" i="1" s="1"/>
  <c r="L62" i="1"/>
  <c r="AO122" i="1" s="1"/>
  <c r="K62" i="1"/>
  <c r="AN122" i="1" s="1"/>
  <c r="J62" i="1"/>
  <c r="AM122" i="1" s="1"/>
  <c r="I62" i="1"/>
  <c r="AL122" i="1" s="1"/>
  <c r="H62" i="1"/>
  <c r="AK122" i="1" s="1"/>
  <c r="G62" i="1"/>
  <c r="AJ122" i="1" s="1"/>
  <c r="BC122" i="1" l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BC61" i="1"/>
  <c r="Y61" i="1"/>
  <c r="BB121" i="1" s="1"/>
  <c r="X61" i="1"/>
  <c r="BA121" i="1" s="1"/>
  <c r="W61" i="1"/>
  <c r="AZ121" i="1" s="1"/>
  <c r="V61" i="1"/>
  <c r="AY121" i="1" s="1"/>
  <c r="U61" i="1"/>
  <c r="AX121" i="1" s="1"/>
  <c r="T61" i="1"/>
  <c r="AW121" i="1" s="1"/>
  <c r="S61" i="1"/>
  <c r="AV121" i="1" s="1"/>
  <c r="R61" i="1"/>
  <c r="AU121" i="1" s="1"/>
  <c r="Q61" i="1"/>
  <c r="AT121" i="1" s="1"/>
  <c r="P61" i="1"/>
  <c r="AS121" i="1" s="1"/>
  <c r="O61" i="1"/>
  <c r="AR121" i="1" s="1"/>
  <c r="N61" i="1"/>
  <c r="AQ121" i="1" s="1"/>
  <c r="M61" i="1"/>
  <c r="AP121" i="1" s="1"/>
  <c r="L61" i="1"/>
  <c r="AO121" i="1" s="1"/>
  <c r="K61" i="1"/>
  <c r="AN121" i="1" s="1"/>
  <c r="J61" i="1"/>
  <c r="AM121" i="1" s="1"/>
  <c r="I61" i="1"/>
  <c r="AL121" i="1" s="1"/>
  <c r="H61" i="1"/>
  <c r="AK121" i="1" s="1"/>
  <c r="G61" i="1"/>
  <c r="AJ121" i="1" s="1"/>
  <c r="BC121" i="1" l="1"/>
  <c r="AM120" i="1"/>
  <c r="BC60" i="1"/>
  <c r="G60" i="1"/>
  <c r="AJ120" i="1" s="1"/>
  <c r="H60" i="1"/>
  <c r="AK120" i="1" s="1"/>
  <c r="I60" i="1"/>
  <c r="AL120" i="1" s="1"/>
  <c r="J60" i="1"/>
  <c r="K60" i="1"/>
  <c r="AN120" i="1" s="1"/>
  <c r="L60" i="1"/>
  <c r="AO120" i="1" s="1"/>
  <c r="M60" i="1"/>
  <c r="AP120" i="1" s="1"/>
  <c r="N60" i="1"/>
  <c r="AQ120" i="1" s="1"/>
  <c r="O60" i="1"/>
  <c r="AR120" i="1" s="1"/>
  <c r="P60" i="1"/>
  <c r="AS120" i="1" s="1"/>
  <c r="Q60" i="1"/>
  <c r="AT120" i="1" s="1"/>
  <c r="R60" i="1"/>
  <c r="AU120" i="1" s="1"/>
  <c r="S60" i="1"/>
  <c r="AV120" i="1" s="1"/>
  <c r="T60" i="1"/>
  <c r="AW120" i="1" s="1"/>
  <c r="U60" i="1"/>
  <c r="AX120" i="1" s="1"/>
  <c r="V60" i="1"/>
  <c r="AY120" i="1" s="1"/>
  <c r="W60" i="1"/>
  <c r="AZ120" i="1" s="1"/>
  <c r="X60" i="1"/>
  <c r="BA120" i="1" s="1"/>
  <c r="Y60" i="1"/>
  <c r="BB120" i="1" s="1"/>
  <c r="AF60" i="1"/>
  <c r="BC120" i="1" l="1"/>
  <c r="BC59" i="1"/>
  <c r="AF59" i="1"/>
  <c r="G59" i="1"/>
  <c r="AJ119" i="1" s="1"/>
  <c r="H59" i="1"/>
  <c r="AK119" i="1" s="1"/>
  <c r="I59" i="1"/>
  <c r="AL119" i="1" s="1"/>
  <c r="J59" i="1"/>
  <c r="AM119" i="1" s="1"/>
  <c r="K59" i="1"/>
  <c r="AN119" i="1" s="1"/>
  <c r="L59" i="1"/>
  <c r="AO119" i="1" s="1"/>
  <c r="M59" i="1"/>
  <c r="AP119" i="1" s="1"/>
  <c r="N59" i="1"/>
  <c r="AQ119" i="1" s="1"/>
  <c r="O59" i="1"/>
  <c r="AR119" i="1" s="1"/>
  <c r="P59" i="1"/>
  <c r="AS119" i="1" s="1"/>
  <c r="Q59" i="1"/>
  <c r="AT119" i="1" s="1"/>
  <c r="R59" i="1"/>
  <c r="AU119" i="1" s="1"/>
  <c r="S59" i="1"/>
  <c r="AV119" i="1" s="1"/>
  <c r="T59" i="1"/>
  <c r="AW119" i="1" s="1"/>
  <c r="U59" i="1"/>
  <c r="AX119" i="1" s="1"/>
  <c r="V59" i="1"/>
  <c r="AY119" i="1" s="1"/>
  <c r="W59" i="1"/>
  <c r="AZ119" i="1" s="1"/>
  <c r="X59" i="1"/>
  <c r="BA119" i="1" s="1"/>
  <c r="Y59" i="1"/>
  <c r="BB119" i="1" s="1"/>
  <c r="BC58" i="1"/>
  <c r="Y58" i="1"/>
  <c r="BB118" i="1" s="1"/>
  <c r="X58" i="1"/>
  <c r="BA118" i="1" s="1"/>
  <c r="W58" i="1"/>
  <c r="AZ118" i="1" s="1"/>
  <c r="V58" i="1"/>
  <c r="AY118" i="1" s="1"/>
  <c r="U58" i="1"/>
  <c r="AX118" i="1" s="1"/>
  <c r="T58" i="1"/>
  <c r="AW118" i="1"/>
  <c r="S58" i="1"/>
  <c r="AV118" i="1" s="1"/>
  <c r="R58" i="1"/>
  <c r="AU118" i="1" s="1"/>
  <c r="Q58" i="1"/>
  <c r="AT118" i="1" s="1"/>
  <c r="P58" i="1"/>
  <c r="AS118" i="1" s="1"/>
  <c r="O58" i="1"/>
  <c r="AR118" i="1" s="1"/>
  <c r="N58" i="1"/>
  <c r="AQ118" i="1"/>
  <c r="M58" i="1"/>
  <c r="AP118" i="1" s="1"/>
  <c r="L58" i="1"/>
  <c r="AO118" i="1" s="1"/>
  <c r="K58" i="1"/>
  <c r="AN118" i="1" s="1"/>
  <c r="J58" i="1"/>
  <c r="AM118" i="1" s="1"/>
  <c r="I58" i="1"/>
  <c r="AL118" i="1" s="1"/>
  <c r="H58" i="1"/>
  <c r="AK118" i="1" s="1"/>
  <c r="G58" i="1"/>
  <c r="AJ118" i="1" s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8" i="1"/>
  <c r="G9" i="1"/>
  <c r="AJ69" i="1" s="1"/>
  <c r="H9" i="1"/>
  <c r="AK69" i="1" s="1"/>
  <c r="I9" i="1"/>
  <c r="AL69" i="1" s="1"/>
  <c r="J9" i="1"/>
  <c r="AM69" i="1"/>
  <c r="K9" i="1"/>
  <c r="AN69" i="1"/>
  <c r="L9" i="1"/>
  <c r="AO69" i="1" s="1"/>
  <c r="M9" i="1"/>
  <c r="AP69" i="1" s="1"/>
  <c r="N9" i="1"/>
  <c r="AQ69" i="1" s="1"/>
  <c r="O9" i="1"/>
  <c r="AR69" i="1" s="1"/>
  <c r="P9" i="1"/>
  <c r="AS69" i="1" s="1"/>
  <c r="Q9" i="1"/>
  <c r="AT69" i="1" s="1"/>
  <c r="R9" i="1"/>
  <c r="AU69" i="1" s="1"/>
  <c r="S9" i="1"/>
  <c r="AV69" i="1" s="1"/>
  <c r="T9" i="1"/>
  <c r="AW69" i="1" s="1"/>
  <c r="U9" i="1"/>
  <c r="AX69" i="1" s="1"/>
  <c r="V9" i="1"/>
  <c r="AY69" i="1" s="1"/>
  <c r="W9" i="1"/>
  <c r="AZ69" i="1" s="1"/>
  <c r="X9" i="1"/>
  <c r="BA69" i="1" s="1"/>
  <c r="Y9" i="1"/>
  <c r="BB69" i="1" s="1"/>
  <c r="G10" i="1"/>
  <c r="AJ70" i="1" s="1"/>
  <c r="H10" i="1"/>
  <c r="AK70" i="1" s="1"/>
  <c r="I10" i="1"/>
  <c r="AL70" i="1" s="1"/>
  <c r="J10" i="1"/>
  <c r="AM70" i="1" s="1"/>
  <c r="K10" i="1"/>
  <c r="AN70" i="1" s="1"/>
  <c r="L10" i="1"/>
  <c r="AO70" i="1" s="1"/>
  <c r="M10" i="1"/>
  <c r="AP70" i="1" s="1"/>
  <c r="N10" i="1"/>
  <c r="AQ70" i="1" s="1"/>
  <c r="O10" i="1"/>
  <c r="AR70" i="1" s="1"/>
  <c r="P10" i="1"/>
  <c r="AS70" i="1" s="1"/>
  <c r="Q10" i="1"/>
  <c r="AT70" i="1" s="1"/>
  <c r="R10" i="1"/>
  <c r="AU70" i="1" s="1"/>
  <c r="S10" i="1"/>
  <c r="AV70" i="1" s="1"/>
  <c r="T10" i="1"/>
  <c r="AW70" i="1" s="1"/>
  <c r="U10" i="1"/>
  <c r="AX70" i="1" s="1"/>
  <c r="V10" i="1"/>
  <c r="AY70" i="1" s="1"/>
  <c r="W10" i="1"/>
  <c r="AZ70" i="1" s="1"/>
  <c r="X10" i="1"/>
  <c r="BA70" i="1" s="1"/>
  <c r="Y10" i="1"/>
  <c r="BB70" i="1" s="1"/>
  <c r="G11" i="1"/>
  <c r="AJ71" i="1" s="1"/>
  <c r="H11" i="1"/>
  <c r="AK71" i="1" s="1"/>
  <c r="I11" i="1"/>
  <c r="AL71" i="1" s="1"/>
  <c r="J11" i="1"/>
  <c r="AM71" i="1" s="1"/>
  <c r="K11" i="1"/>
  <c r="AN71" i="1" s="1"/>
  <c r="L11" i="1"/>
  <c r="AO71" i="1"/>
  <c r="M11" i="1"/>
  <c r="AP71" i="1" s="1"/>
  <c r="N11" i="1"/>
  <c r="AQ71" i="1" s="1"/>
  <c r="O11" i="1"/>
  <c r="AR71" i="1" s="1"/>
  <c r="P11" i="1"/>
  <c r="AS71" i="1" s="1"/>
  <c r="Q11" i="1"/>
  <c r="AT71" i="1" s="1"/>
  <c r="R11" i="1"/>
  <c r="AU71" i="1" s="1"/>
  <c r="S11" i="1"/>
  <c r="AV71" i="1"/>
  <c r="T11" i="1"/>
  <c r="AW71" i="1" s="1"/>
  <c r="U11" i="1"/>
  <c r="AX71" i="1" s="1"/>
  <c r="V11" i="1"/>
  <c r="AY71" i="1"/>
  <c r="W11" i="1"/>
  <c r="AZ71" i="1" s="1"/>
  <c r="X11" i="1"/>
  <c r="Y11" i="1"/>
  <c r="BB71" i="1" s="1"/>
  <c r="G12" i="1"/>
  <c r="AJ72" i="1" s="1"/>
  <c r="H12" i="1"/>
  <c r="AK72" i="1" s="1"/>
  <c r="I12" i="1"/>
  <c r="AL72" i="1" s="1"/>
  <c r="J12" i="1"/>
  <c r="AM72" i="1" s="1"/>
  <c r="K12" i="1"/>
  <c r="AN72" i="1" s="1"/>
  <c r="L12" i="1"/>
  <c r="AO72" i="1" s="1"/>
  <c r="M12" i="1"/>
  <c r="AP72" i="1" s="1"/>
  <c r="N12" i="1"/>
  <c r="AQ72" i="1" s="1"/>
  <c r="O12" i="1"/>
  <c r="AR72" i="1" s="1"/>
  <c r="P12" i="1"/>
  <c r="AS72" i="1" s="1"/>
  <c r="Q12" i="1"/>
  <c r="AT72" i="1" s="1"/>
  <c r="R12" i="1"/>
  <c r="AU72" i="1" s="1"/>
  <c r="S12" i="1"/>
  <c r="AV72" i="1" s="1"/>
  <c r="T12" i="1"/>
  <c r="AW72" i="1"/>
  <c r="U12" i="1"/>
  <c r="AX72" i="1" s="1"/>
  <c r="V12" i="1"/>
  <c r="AY72" i="1" s="1"/>
  <c r="W12" i="1"/>
  <c r="AZ72" i="1" s="1"/>
  <c r="X12" i="1"/>
  <c r="BA72" i="1" s="1"/>
  <c r="Y12" i="1"/>
  <c r="BB72" i="1" s="1"/>
  <c r="G13" i="1"/>
  <c r="AJ73" i="1" s="1"/>
  <c r="H13" i="1"/>
  <c r="AK73" i="1" s="1"/>
  <c r="I13" i="1"/>
  <c r="AL73" i="1" s="1"/>
  <c r="J13" i="1"/>
  <c r="AM73" i="1" s="1"/>
  <c r="K13" i="1"/>
  <c r="AN73" i="1"/>
  <c r="L13" i="1"/>
  <c r="AO73" i="1" s="1"/>
  <c r="M13" i="1"/>
  <c r="AP73" i="1" s="1"/>
  <c r="N13" i="1"/>
  <c r="AQ73" i="1" s="1"/>
  <c r="O13" i="1"/>
  <c r="AR73" i="1" s="1"/>
  <c r="P13" i="1"/>
  <c r="AS73" i="1"/>
  <c r="Q13" i="1"/>
  <c r="AT73" i="1" s="1"/>
  <c r="R13" i="1"/>
  <c r="S13" i="1"/>
  <c r="AV73" i="1" s="1"/>
  <c r="T13" i="1"/>
  <c r="AW73" i="1" s="1"/>
  <c r="U13" i="1"/>
  <c r="AX73" i="1" s="1"/>
  <c r="V13" i="1"/>
  <c r="AY73" i="1" s="1"/>
  <c r="W13" i="1"/>
  <c r="AZ73" i="1" s="1"/>
  <c r="X13" i="1"/>
  <c r="BA73" i="1" s="1"/>
  <c r="Y13" i="1"/>
  <c r="BB73" i="1" s="1"/>
  <c r="G14" i="1"/>
  <c r="AJ74" i="1" s="1"/>
  <c r="H14" i="1"/>
  <c r="AK74" i="1" s="1"/>
  <c r="I14" i="1"/>
  <c r="AL74" i="1" s="1"/>
  <c r="J14" i="1"/>
  <c r="AM74" i="1" s="1"/>
  <c r="K14" i="1"/>
  <c r="AN74" i="1" s="1"/>
  <c r="L14" i="1"/>
  <c r="AO74" i="1" s="1"/>
  <c r="M14" i="1"/>
  <c r="AP74" i="1" s="1"/>
  <c r="N14" i="1"/>
  <c r="AQ74" i="1" s="1"/>
  <c r="O14" i="1"/>
  <c r="P14" i="1"/>
  <c r="AS74" i="1"/>
  <c r="Q14" i="1"/>
  <c r="AT74" i="1" s="1"/>
  <c r="R14" i="1"/>
  <c r="AU74" i="1" s="1"/>
  <c r="S14" i="1"/>
  <c r="AV74" i="1" s="1"/>
  <c r="T14" i="1"/>
  <c r="AW74" i="1" s="1"/>
  <c r="U14" i="1"/>
  <c r="AX74" i="1" s="1"/>
  <c r="V14" i="1"/>
  <c r="AY74" i="1" s="1"/>
  <c r="W14" i="1"/>
  <c r="AZ74" i="1" s="1"/>
  <c r="X14" i="1"/>
  <c r="BA74" i="1" s="1"/>
  <c r="Y14" i="1"/>
  <c r="BB74" i="1" s="1"/>
  <c r="G15" i="1"/>
  <c r="AJ75" i="1"/>
  <c r="H15" i="1"/>
  <c r="AK75" i="1" s="1"/>
  <c r="I15" i="1"/>
  <c r="AL75" i="1" s="1"/>
  <c r="J15" i="1"/>
  <c r="AM75" i="1" s="1"/>
  <c r="K15" i="1"/>
  <c r="AN75" i="1" s="1"/>
  <c r="L15" i="1"/>
  <c r="AO75" i="1" s="1"/>
  <c r="M15" i="1"/>
  <c r="AP75" i="1" s="1"/>
  <c r="N15" i="1"/>
  <c r="AQ75" i="1" s="1"/>
  <c r="O15" i="1"/>
  <c r="AR75" i="1" s="1"/>
  <c r="P15" i="1"/>
  <c r="AS75" i="1" s="1"/>
  <c r="Q15" i="1"/>
  <c r="AT75" i="1" s="1"/>
  <c r="R15" i="1"/>
  <c r="AU75" i="1" s="1"/>
  <c r="S15" i="1"/>
  <c r="AV75" i="1" s="1"/>
  <c r="T15" i="1"/>
  <c r="AW75" i="1" s="1"/>
  <c r="U15" i="1"/>
  <c r="AX75" i="1" s="1"/>
  <c r="V15" i="1"/>
  <c r="AY75" i="1" s="1"/>
  <c r="W15" i="1"/>
  <c r="AZ75" i="1"/>
  <c r="X15" i="1"/>
  <c r="BA75" i="1" s="1"/>
  <c r="Y15" i="1"/>
  <c r="BB75" i="1" s="1"/>
  <c r="G16" i="1"/>
  <c r="AJ76" i="1" s="1"/>
  <c r="H16" i="1"/>
  <c r="AK76" i="1" s="1"/>
  <c r="I16" i="1"/>
  <c r="AL76" i="1" s="1"/>
  <c r="J16" i="1"/>
  <c r="AM76" i="1" s="1"/>
  <c r="K16" i="1"/>
  <c r="AN76" i="1" s="1"/>
  <c r="L16" i="1"/>
  <c r="AO76" i="1" s="1"/>
  <c r="M16" i="1"/>
  <c r="AP76" i="1" s="1"/>
  <c r="N16" i="1"/>
  <c r="AQ76" i="1" s="1"/>
  <c r="O16" i="1"/>
  <c r="AR76" i="1" s="1"/>
  <c r="P16" i="1"/>
  <c r="AS76" i="1" s="1"/>
  <c r="Q16" i="1"/>
  <c r="R16" i="1"/>
  <c r="AU76" i="1" s="1"/>
  <c r="S16" i="1"/>
  <c r="AV76" i="1" s="1"/>
  <c r="T16" i="1"/>
  <c r="AW76" i="1" s="1"/>
  <c r="U16" i="1"/>
  <c r="AX76" i="1" s="1"/>
  <c r="V16" i="1"/>
  <c r="AY76" i="1" s="1"/>
  <c r="W16" i="1"/>
  <c r="AZ76" i="1" s="1"/>
  <c r="X16" i="1"/>
  <c r="BA76" i="1" s="1"/>
  <c r="Y16" i="1"/>
  <c r="BB76" i="1" s="1"/>
  <c r="G17" i="1"/>
  <c r="AJ77" i="1" s="1"/>
  <c r="H17" i="1"/>
  <c r="AK77" i="1" s="1"/>
  <c r="I17" i="1"/>
  <c r="AL77" i="1" s="1"/>
  <c r="J17" i="1"/>
  <c r="AM77" i="1" s="1"/>
  <c r="K17" i="1"/>
  <c r="AN77" i="1" s="1"/>
  <c r="L17" i="1"/>
  <c r="AO77" i="1" s="1"/>
  <c r="M17" i="1"/>
  <c r="AP77" i="1" s="1"/>
  <c r="N17" i="1"/>
  <c r="AQ77" i="1" s="1"/>
  <c r="O17" i="1"/>
  <c r="AR77" i="1"/>
  <c r="P17" i="1"/>
  <c r="AS77" i="1" s="1"/>
  <c r="Q17" i="1"/>
  <c r="AT77" i="1" s="1"/>
  <c r="R17" i="1"/>
  <c r="AU77" i="1" s="1"/>
  <c r="S17" i="1"/>
  <c r="AV77" i="1" s="1"/>
  <c r="T17" i="1"/>
  <c r="AW77" i="1" s="1"/>
  <c r="U17" i="1"/>
  <c r="AX77" i="1" s="1"/>
  <c r="V17" i="1"/>
  <c r="AY77" i="1" s="1"/>
  <c r="W17" i="1"/>
  <c r="AZ77" i="1" s="1"/>
  <c r="X17" i="1"/>
  <c r="BA77" i="1" s="1"/>
  <c r="Y17" i="1"/>
  <c r="BB77" i="1" s="1"/>
  <c r="G18" i="1"/>
  <c r="AJ78" i="1" s="1"/>
  <c r="H18" i="1"/>
  <c r="AK78" i="1" s="1"/>
  <c r="I18" i="1"/>
  <c r="AL78" i="1" s="1"/>
  <c r="J18" i="1"/>
  <c r="AM78" i="1" s="1"/>
  <c r="K18" i="1"/>
  <c r="AN78" i="1" s="1"/>
  <c r="L18" i="1"/>
  <c r="AO78" i="1" s="1"/>
  <c r="M18" i="1"/>
  <c r="AP78" i="1" s="1"/>
  <c r="N18" i="1"/>
  <c r="AQ78" i="1" s="1"/>
  <c r="O18" i="1"/>
  <c r="AR78" i="1" s="1"/>
  <c r="P18" i="1"/>
  <c r="AS78" i="1" s="1"/>
  <c r="Q18" i="1"/>
  <c r="AT78" i="1" s="1"/>
  <c r="R18" i="1"/>
  <c r="AU78" i="1" s="1"/>
  <c r="S18" i="1"/>
  <c r="T18" i="1"/>
  <c r="AW78" i="1" s="1"/>
  <c r="U18" i="1"/>
  <c r="AX78" i="1" s="1"/>
  <c r="V18" i="1"/>
  <c r="AY78" i="1" s="1"/>
  <c r="W18" i="1"/>
  <c r="AZ78" i="1" s="1"/>
  <c r="X18" i="1"/>
  <c r="BA78" i="1" s="1"/>
  <c r="Y18" i="1"/>
  <c r="BB78" i="1" s="1"/>
  <c r="G19" i="1"/>
  <c r="AJ79" i="1"/>
  <c r="H19" i="1"/>
  <c r="AK79" i="1" s="1"/>
  <c r="I19" i="1"/>
  <c r="AL79" i="1" s="1"/>
  <c r="J19" i="1"/>
  <c r="AM79" i="1" s="1"/>
  <c r="K19" i="1"/>
  <c r="AN79" i="1" s="1"/>
  <c r="L19" i="1"/>
  <c r="AO79" i="1" s="1"/>
  <c r="M19" i="1"/>
  <c r="AP79" i="1" s="1"/>
  <c r="N19" i="1"/>
  <c r="AQ79" i="1" s="1"/>
  <c r="O19" i="1"/>
  <c r="AR79" i="1" s="1"/>
  <c r="P19" i="1"/>
  <c r="AS79" i="1" s="1"/>
  <c r="Q19" i="1"/>
  <c r="AT79" i="1" s="1"/>
  <c r="R19" i="1"/>
  <c r="AU79" i="1"/>
  <c r="S19" i="1"/>
  <c r="AV79" i="1" s="1"/>
  <c r="T19" i="1"/>
  <c r="AW79" i="1" s="1"/>
  <c r="U19" i="1"/>
  <c r="AX79" i="1" s="1"/>
  <c r="V19" i="1"/>
  <c r="AY79" i="1" s="1"/>
  <c r="W19" i="1"/>
  <c r="AZ79" i="1" s="1"/>
  <c r="X19" i="1"/>
  <c r="BA79" i="1" s="1"/>
  <c r="Y19" i="1"/>
  <c r="BB79" i="1" s="1"/>
  <c r="G20" i="1"/>
  <c r="AJ80" i="1"/>
  <c r="H20" i="1"/>
  <c r="AK80" i="1" s="1"/>
  <c r="I20" i="1"/>
  <c r="AL80" i="1" s="1"/>
  <c r="J20" i="1"/>
  <c r="AM80" i="1" s="1"/>
  <c r="K20" i="1"/>
  <c r="AN80" i="1" s="1"/>
  <c r="L20" i="1"/>
  <c r="AO80" i="1" s="1"/>
  <c r="M20" i="1"/>
  <c r="AP80" i="1" s="1"/>
  <c r="N20" i="1"/>
  <c r="AQ80" i="1" s="1"/>
  <c r="O20" i="1"/>
  <c r="AR80" i="1" s="1"/>
  <c r="P20" i="1"/>
  <c r="AS80" i="1" s="1"/>
  <c r="Q20" i="1"/>
  <c r="AT80" i="1"/>
  <c r="R20" i="1"/>
  <c r="AU80" i="1" s="1"/>
  <c r="S20" i="1"/>
  <c r="AV80" i="1" s="1"/>
  <c r="T20" i="1"/>
  <c r="AW80" i="1" s="1"/>
  <c r="U20" i="1"/>
  <c r="AX80" i="1" s="1"/>
  <c r="V20" i="1"/>
  <c r="AY80" i="1" s="1"/>
  <c r="W20" i="1"/>
  <c r="AZ80" i="1" s="1"/>
  <c r="X20" i="1"/>
  <c r="BA80" i="1" s="1"/>
  <c r="Y20" i="1"/>
  <c r="BB80" i="1" s="1"/>
  <c r="G21" i="1"/>
  <c r="AJ81" i="1" s="1"/>
  <c r="H21" i="1"/>
  <c r="AK81" i="1" s="1"/>
  <c r="I21" i="1"/>
  <c r="AL81" i="1"/>
  <c r="J21" i="1"/>
  <c r="AM81" i="1" s="1"/>
  <c r="K21" i="1"/>
  <c r="AN81" i="1"/>
  <c r="L21" i="1"/>
  <c r="AO81" i="1" s="1"/>
  <c r="M21" i="1"/>
  <c r="AP81" i="1" s="1"/>
  <c r="N21" i="1"/>
  <c r="AQ81" i="1" s="1"/>
  <c r="O21" i="1"/>
  <c r="AR81" i="1" s="1"/>
  <c r="P21" i="1"/>
  <c r="AS81" i="1" s="1"/>
  <c r="Q21" i="1"/>
  <c r="AT81" i="1" s="1"/>
  <c r="R21" i="1"/>
  <c r="AU81" i="1" s="1"/>
  <c r="S21" i="1"/>
  <c r="AV81" i="1" s="1"/>
  <c r="T21" i="1"/>
  <c r="AW81" i="1" s="1"/>
  <c r="U21" i="1"/>
  <c r="AX81" i="1" s="1"/>
  <c r="V21" i="1"/>
  <c r="AY81" i="1"/>
  <c r="W21" i="1"/>
  <c r="AZ81" i="1" s="1"/>
  <c r="X21" i="1"/>
  <c r="BA81" i="1" s="1"/>
  <c r="Y21" i="1"/>
  <c r="BB81" i="1" s="1"/>
  <c r="G22" i="1"/>
  <c r="AJ82" i="1" s="1"/>
  <c r="H22" i="1"/>
  <c r="AK82" i="1" s="1"/>
  <c r="I22" i="1"/>
  <c r="AL82" i="1" s="1"/>
  <c r="J22" i="1"/>
  <c r="AM82" i="1" s="1"/>
  <c r="K22" i="1"/>
  <c r="AN82" i="1" s="1"/>
  <c r="L22" i="1"/>
  <c r="AO82" i="1" s="1"/>
  <c r="M22" i="1"/>
  <c r="AP82" i="1" s="1"/>
  <c r="N22" i="1"/>
  <c r="AQ82" i="1" s="1"/>
  <c r="O22" i="1"/>
  <c r="AR82" i="1" s="1"/>
  <c r="P22" i="1"/>
  <c r="AS82" i="1" s="1"/>
  <c r="Q22" i="1"/>
  <c r="AT82" i="1" s="1"/>
  <c r="R22" i="1"/>
  <c r="AU82" i="1" s="1"/>
  <c r="S22" i="1"/>
  <c r="AV82" i="1" s="1"/>
  <c r="T22" i="1"/>
  <c r="AW82" i="1" s="1"/>
  <c r="U22" i="1"/>
  <c r="AX82" i="1" s="1"/>
  <c r="V22" i="1"/>
  <c r="AY82" i="1"/>
  <c r="W22" i="1"/>
  <c r="AZ82" i="1" s="1"/>
  <c r="X22" i="1"/>
  <c r="BA82" i="1" s="1"/>
  <c r="Y22" i="1"/>
  <c r="BB82" i="1" s="1"/>
  <c r="G23" i="1"/>
  <c r="AJ83" i="1"/>
  <c r="H23" i="1"/>
  <c r="AK83" i="1"/>
  <c r="I23" i="1"/>
  <c r="AL83" i="1" s="1"/>
  <c r="J23" i="1"/>
  <c r="AM83" i="1" s="1"/>
  <c r="K23" i="1"/>
  <c r="AN83" i="1" s="1"/>
  <c r="L23" i="1"/>
  <c r="AO83" i="1" s="1"/>
  <c r="M23" i="1"/>
  <c r="AP83" i="1" s="1"/>
  <c r="N23" i="1"/>
  <c r="AQ83" i="1" s="1"/>
  <c r="O23" i="1"/>
  <c r="AR83" i="1" s="1"/>
  <c r="P23" i="1"/>
  <c r="AS83" i="1" s="1"/>
  <c r="Q23" i="1"/>
  <c r="AT83" i="1" s="1"/>
  <c r="R23" i="1"/>
  <c r="AU83" i="1" s="1"/>
  <c r="S23" i="1"/>
  <c r="AV83" i="1" s="1"/>
  <c r="T23" i="1"/>
  <c r="AW83" i="1" s="1"/>
  <c r="U23" i="1"/>
  <c r="AX83" i="1" s="1"/>
  <c r="V23" i="1"/>
  <c r="AY83" i="1" s="1"/>
  <c r="W23" i="1"/>
  <c r="AZ83" i="1" s="1"/>
  <c r="X23" i="1"/>
  <c r="BA83" i="1" s="1"/>
  <c r="Y23" i="1"/>
  <c r="BB83" i="1" s="1"/>
  <c r="G24" i="1"/>
  <c r="AJ84" i="1" s="1"/>
  <c r="H24" i="1"/>
  <c r="AK84" i="1" s="1"/>
  <c r="I24" i="1"/>
  <c r="AL84" i="1" s="1"/>
  <c r="J24" i="1"/>
  <c r="AM84" i="1" s="1"/>
  <c r="K24" i="1"/>
  <c r="AN84" i="1"/>
  <c r="L24" i="1"/>
  <c r="AO84" i="1" s="1"/>
  <c r="M24" i="1"/>
  <c r="AP84" i="1" s="1"/>
  <c r="N24" i="1"/>
  <c r="AQ84" i="1" s="1"/>
  <c r="O24" i="1"/>
  <c r="AR84" i="1" s="1"/>
  <c r="P24" i="1"/>
  <c r="AS84" i="1" s="1"/>
  <c r="Q24" i="1"/>
  <c r="AT84" i="1" s="1"/>
  <c r="R24" i="1"/>
  <c r="AU84" i="1" s="1"/>
  <c r="S24" i="1"/>
  <c r="AV84" i="1"/>
  <c r="T24" i="1"/>
  <c r="AW84" i="1" s="1"/>
  <c r="U24" i="1"/>
  <c r="AX84" i="1" s="1"/>
  <c r="V24" i="1"/>
  <c r="AY84" i="1" s="1"/>
  <c r="W24" i="1"/>
  <c r="AZ84" i="1" s="1"/>
  <c r="X24" i="1"/>
  <c r="BA84" i="1" s="1"/>
  <c r="Y24" i="1"/>
  <c r="BB84" i="1" s="1"/>
  <c r="G25" i="1"/>
  <c r="AJ85" i="1" s="1"/>
  <c r="H25" i="1"/>
  <c r="AK85" i="1" s="1"/>
  <c r="I25" i="1"/>
  <c r="AL85" i="1" s="1"/>
  <c r="J25" i="1"/>
  <c r="AM85" i="1" s="1"/>
  <c r="K25" i="1"/>
  <c r="AN85" i="1" s="1"/>
  <c r="L25" i="1"/>
  <c r="AO85" i="1" s="1"/>
  <c r="M25" i="1"/>
  <c r="AP85" i="1" s="1"/>
  <c r="N25" i="1"/>
  <c r="AQ85" i="1" s="1"/>
  <c r="O25" i="1"/>
  <c r="AR85" i="1" s="1"/>
  <c r="P25" i="1"/>
  <c r="AS85" i="1" s="1"/>
  <c r="Q25" i="1"/>
  <c r="AT85" i="1" s="1"/>
  <c r="R25" i="1"/>
  <c r="AU85" i="1" s="1"/>
  <c r="S25" i="1"/>
  <c r="AV85" i="1" s="1"/>
  <c r="T25" i="1"/>
  <c r="AW85" i="1" s="1"/>
  <c r="U25" i="1"/>
  <c r="AX85" i="1" s="1"/>
  <c r="V25" i="1"/>
  <c r="AY85" i="1" s="1"/>
  <c r="W25" i="1"/>
  <c r="AZ85" i="1" s="1"/>
  <c r="X25" i="1"/>
  <c r="BA85" i="1" s="1"/>
  <c r="Y25" i="1"/>
  <c r="BB85" i="1" s="1"/>
  <c r="G26" i="1"/>
  <c r="AJ86" i="1"/>
  <c r="H26" i="1"/>
  <c r="AK86" i="1"/>
  <c r="I26" i="1"/>
  <c r="AL86" i="1" s="1"/>
  <c r="J26" i="1"/>
  <c r="AM86" i="1" s="1"/>
  <c r="K26" i="1"/>
  <c r="AN86" i="1" s="1"/>
  <c r="L26" i="1"/>
  <c r="AO86" i="1" s="1"/>
  <c r="M26" i="1"/>
  <c r="AP86" i="1" s="1"/>
  <c r="N26" i="1"/>
  <c r="AQ86" i="1" s="1"/>
  <c r="O26" i="1"/>
  <c r="AR86" i="1" s="1"/>
  <c r="P26" i="1"/>
  <c r="AS86" i="1" s="1"/>
  <c r="Q26" i="1"/>
  <c r="AT86" i="1" s="1"/>
  <c r="R26" i="1"/>
  <c r="AU86" i="1" s="1"/>
  <c r="S26" i="1"/>
  <c r="AV86" i="1" s="1"/>
  <c r="T26" i="1"/>
  <c r="AW86" i="1" s="1"/>
  <c r="U26" i="1"/>
  <c r="AX86" i="1" s="1"/>
  <c r="V26" i="1"/>
  <c r="AY86" i="1" s="1"/>
  <c r="W26" i="1"/>
  <c r="AZ86" i="1" s="1"/>
  <c r="X26" i="1"/>
  <c r="BA86" i="1" s="1"/>
  <c r="Y26" i="1"/>
  <c r="BB86" i="1" s="1"/>
  <c r="G27" i="1"/>
  <c r="AJ87" i="1" s="1"/>
  <c r="H27" i="1"/>
  <c r="AK87" i="1" s="1"/>
  <c r="I27" i="1"/>
  <c r="AL87" i="1" s="1"/>
  <c r="J27" i="1"/>
  <c r="AM87" i="1" s="1"/>
  <c r="K27" i="1"/>
  <c r="AN87" i="1"/>
  <c r="L27" i="1"/>
  <c r="AO87" i="1" s="1"/>
  <c r="M27" i="1"/>
  <c r="AP87" i="1" s="1"/>
  <c r="N27" i="1"/>
  <c r="AQ87" i="1" s="1"/>
  <c r="O27" i="1"/>
  <c r="AR87" i="1" s="1"/>
  <c r="P27" i="1"/>
  <c r="AS87" i="1" s="1"/>
  <c r="Q27" i="1"/>
  <c r="AT87" i="1" s="1"/>
  <c r="R27" i="1"/>
  <c r="AU87" i="1" s="1"/>
  <c r="S27" i="1"/>
  <c r="AV87" i="1" s="1"/>
  <c r="T27" i="1"/>
  <c r="AW87" i="1" s="1"/>
  <c r="U27" i="1"/>
  <c r="AX87" i="1" s="1"/>
  <c r="V27" i="1"/>
  <c r="AY87" i="1" s="1"/>
  <c r="W27" i="1"/>
  <c r="AZ87" i="1" s="1"/>
  <c r="X27" i="1"/>
  <c r="Y27" i="1"/>
  <c r="BB87" i="1" s="1"/>
  <c r="G28" i="1"/>
  <c r="AJ88" i="1" s="1"/>
  <c r="H28" i="1"/>
  <c r="AK88" i="1" s="1"/>
  <c r="I28" i="1"/>
  <c r="AL88" i="1" s="1"/>
  <c r="J28" i="1"/>
  <c r="AM88" i="1" s="1"/>
  <c r="K28" i="1"/>
  <c r="AN88" i="1" s="1"/>
  <c r="L28" i="1"/>
  <c r="AO88" i="1" s="1"/>
  <c r="M28" i="1"/>
  <c r="AP88" i="1" s="1"/>
  <c r="N28" i="1"/>
  <c r="AQ88" i="1" s="1"/>
  <c r="O28" i="1"/>
  <c r="AR88" i="1" s="1"/>
  <c r="P28" i="1"/>
  <c r="AS88" i="1" s="1"/>
  <c r="Q28" i="1"/>
  <c r="AT88" i="1" s="1"/>
  <c r="R28" i="1"/>
  <c r="AU88" i="1" s="1"/>
  <c r="S28" i="1"/>
  <c r="AV88" i="1" s="1"/>
  <c r="T28" i="1"/>
  <c r="AW88" i="1" s="1"/>
  <c r="U28" i="1"/>
  <c r="AX88" i="1" s="1"/>
  <c r="V28" i="1"/>
  <c r="AY88" i="1" s="1"/>
  <c r="W28" i="1"/>
  <c r="AZ88" i="1" s="1"/>
  <c r="X28" i="1"/>
  <c r="BA88" i="1" s="1"/>
  <c r="Y28" i="1"/>
  <c r="BB88" i="1" s="1"/>
  <c r="G29" i="1"/>
  <c r="AJ89" i="1" s="1"/>
  <c r="H29" i="1"/>
  <c r="AK89" i="1" s="1"/>
  <c r="I29" i="1"/>
  <c r="AL89" i="1" s="1"/>
  <c r="J29" i="1"/>
  <c r="AM89" i="1"/>
  <c r="K29" i="1"/>
  <c r="AN89" i="1" s="1"/>
  <c r="L29" i="1"/>
  <c r="AO89" i="1"/>
  <c r="M29" i="1"/>
  <c r="AP89" i="1" s="1"/>
  <c r="N29" i="1"/>
  <c r="AQ89" i="1"/>
  <c r="O29" i="1"/>
  <c r="AR89" i="1" s="1"/>
  <c r="P29" i="1"/>
  <c r="AS89" i="1" s="1"/>
  <c r="Q29" i="1"/>
  <c r="AT89" i="1" s="1"/>
  <c r="R29" i="1"/>
  <c r="AU89" i="1" s="1"/>
  <c r="S29" i="1"/>
  <c r="AV89" i="1" s="1"/>
  <c r="T29" i="1"/>
  <c r="AW89" i="1" s="1"/>
  <c r="U29" i="1"/>
  <c r="AX89" i="1" s="1"/>
  <c r="V29" i="1"/>
  <c r="AY89" i="1" s="1"/>
  <c r="W29" i="1"/>
  <c r="AZ89" i="1" s="1"/>
  <c r="X29" i="1"/>
  <c r="BA89" i="1"/>
  <c r="Y29" i="1"/>
  <c r="BB89" i="1" s="1"/>
  <c r="G30" i="1"/>
  <c r="AJ90" i="1" s="1"/>
  <c r="H30" i="1"/>
  <c r="AK90" i="1" s="1"/>
  <c r="I30" i="1"/>
  <c r="AL90" i="1" s="1"/>
  <c r="J30" i="1"/>
  <c r="AM90" i="1"/>
  <c r="K30" i="1"/>
  <c r="AN90" i="1" s="1"/>
  <c r="L30" i="1"/>
  <c r="AO90" i="1" s="1"/>
  <c r="M30" i="1"/>
  <c r="AP90" i="1"/>
  <c r="N30" i="1"/>
  <c r="AQ90" i="1" s="1"/>
  <c r="O30" i="1"/>
  <c r="AR90" i="1"/>
  <c r="P30" i="1"/>
  <c r="AS90" i="1" s="1"/>
  <c r="Q30" i="1"/>
  <c r="AT90" i="1" s="1"/>
  <c r="R30" i="1"/>
  <c r="AU90" i="1" s="1"/>
  <c r="S30" i="1"/>
  <c r="AV90" i="1"/>
  <c r="T30" i="1"/>
  <c r="AW90" i="1" s="1"/>
  <c r="U30" i="1"/>
  <c r="AX90" i="1" s="1"/>
  <c r="V30" i="1"/>
  <c r="AY90" i="1" s="1"/>
  <c r="W30" i="1"/>
  <c r="AZ90" i="1" s="1"/>
  <c r="X30" i="1"/>
  <c r="BA90" i="1" s="1"/>
  <c r="Y30" i="1"/>
  <c r="BB90" i="1" s="1"/>
  <c r="G31" i="1"/>
  <c r="AJ91" i="1" s="1"/>
  <c r="H31" i="1"/>
  <c r="AK91" i="1" s="1"/>
  <c r="I31" i="1"/>
  <c r="AL91" i="1"/>
  <c r="J31" i="1"/>
  <c r="AM91" i="1" s="1"/>
  <c r="K31" i="1"/>
  <c r="AN91" i="1" s="1"/>
  <c r="L31" i="1"/>
  <c r="AO91" i="1" s="1"/>
  <c r="M31" i="1"/>
  <c r="AP91" i="1" s="1"/>
  <c r="N31" i="1"/>
  <c r="AQ91" i="1" s="1"/>
  <c r="O31" i="1"/>
  <c r="AR91" i="1" s="1"/>
  <c r="P31" i="1"/>
  <c r="AS91" i="1" s="1"/>
  <c r="Q31" i="1"/>
  <c r="AT91" i="1" s="1"/>
  <c r="R31" i="1"/>
  <c r="AU91" i="1" s="1"/>
  <c r="S31" i="1"/>
  <c r="AV91" i="1" s="1"/>
  <c r="T31" i="1"/>
  <c r="AW91" i="1" s="1"/>
  <c r="U31" i="1"/>
  <c r="AX91" i="1" s="1"/>
  <c r="V31" i="1"/>
  <c r="AY91" i="1" s="1"/>
  <c r="W31" i="1"/>
  <c r="AZ91" i="1" s="1"/>
  <c r="X31" i="1"/>
  <c r="BA91" i="1" s="1"/>
  <c r="Y31" i="1"/>
  <c r="BB91" i="1" s="1"/>
  <c r="G32" i="1"/>
  <c r="AJ92" i="1" s="1"/>
  <c r="H32" i="1"/>
  <c r="AK92" i="1" s="1"/>
  <c r="I32" i="1"/>
  <c r="AL92" i="1" s="1"/>
  <c r="J32" i="1"/>
  <c r="AM92" i="1" s="1"/>
  <c r="K32" i="1"/>
  <c r="AN92" i="1" s="1"/>
  <c r="L32" i="1"/>
  <c r="AO92" i="1" s="1"/>
  <c r="M32" i="1"/>
  <c r="AP92" i="1" s="1"/>
  <c r="N32" i="1"/>
  <c r="AQ92" i="1" s="1"/>
  <c r="O32" i="1"/>
  <c r="AR92" i="1" s="1"/>
  <c r="P32" i="1"/>
  <c r="AS92" i="1" s="1"/>
  <c r="Q32" i="1"/>
  <c r="AT92" i="1" s="1"/>
  <c r="R32" i="1"/>
  <c r="AU92" i="1" s="1"/>
  <c r="S32" i="1"/>
  <c r="AV92" i="1"/>
  <c r="T32" i="1"/>
  <c r="AW92" i="1" s="1"/>
  <c r="U32" i="1"/>
  <c r="AX92" i="1" s="1"/>
  <c r="V32" i="1"/>
  <c r="AY92" i="1" s="1"/>
  <c r="W32" i="1"/>
  <c r="AZ92" i="1" s="1"/>
  <c r="X32" i="1"/>
  <c r="BA92" i="1" s="1"/>
  <c r="Y32" i="1"/>
  <c r="BB92" i="1" s="1"/>
  <c r="G33" i="1"/>
  <c r="AJ93" i="1" s="1"/>
  <c r="H33" i="1"/>
  <c r="AK93" i="1"/>
  <c r="I33" i="1"/>
  <c r="AL93" i="1" s="1"/>
  <c r="J33" i="1"/>
  <c r="AM93" i="1" s="1"/>
  <c r="K33" i="1"/>
  <c r="AN93" i="1" s="1"/>
  <c r="L33" i="1"/>
  <c r="AO93" i="1" s="1"/>
  <c r="M33" i="1"/>
  <c r="AP93" i="1" s="1"/>
  <c r="N33" i="1"/>
  <c r="AQ93" i="1" s="1"/>
  <c r="O33" i="1"/>
  <c r="AR93" i="1" s="1"/>
  <c r="P33" i="1"/>
  <c r="AS93" i="1" s="1"/>
  <c r="Q33" i="1"/>
  <c r="AT93" i="1" s="1"/>
  <c r="R33" i="1"/>
  <c r="AU93" i="1" s="1"/>
  <c r="S33" i="1"/>
  <c r="AV93" i="1" s="1"/>
  <c r="T33" i="1"/>
  <c r="AW93" i="1" s="1"/>
  <c r="U33" i="1"/>
  <c r="AX93" i="1" s="1"/>
  <c r="V33" i="1"/>
  <c r="AY93" i="1" s="1"/>
  <c r="W33" i="1"/>
  <c r="AZ93" i="1"/>
  <c r="X33" i="1"/>
  <c r="BA93" i="1" s="1"/>
  <c r="Y33" i="1"/>
  <c r="BB93" i="1" s="1"/>
  <c r="G34" i="1"/>
  <c r="AJ94" i="1" s="1"/>
  <c r="H34" i="1"/>
  <c r="AK94" i="1" s="1"/>
  <c r="I34" i="1"/>
  <c r="AL94" i="1" s="1"/>
  <c r="J34" i="1"/>
  <c r="AM94" i="1"/>
  <c r="K34" i="1"/>
  <c r="AN94" i="1" s="1"/>
  <c r="L34" i="1"/>
  <c r="AO94" i="1"/>
  <c r="M34" i="1"/>
  <c r="AP94" i="1" s="1"/>
  <c r="N34" i="1"/>
  <c r="AQ94" i="1" s="1"/>
  <c r="O34" i="1"/>
  <c r="AR94" i="1"/>
  <c r="P34" i="1"/>
  <c r="AS94" i="1" s="1"/>
  <c r="Q34" i="1"/>
  <c r="AT94" i="1" s="1"/>
  <c r="R34" i="1"/>
  <c r="AU94" i="1" s="1"/>
  <c r="S34" i="1"/>
  <c r="AV94" i="1" s="1"/>
  <c r="T34" i="1"/>
  <c r="AW94" i="1" s="1"/>
  <c r="U34" i="1"/>
  <c r="AX94" i="1" s="1"/>
  <c r="V34" i="1"/>
  <c r="AY94" i="1" s="1"/>
  <c r="W34" i="1"/>
  <c r="AZ94" i="1" s="1"/>
  <c r="X34" i="1"/>
  <c r="BA94" i="1" s="1"/>
  <c r="Y34" i="1"/>
  <c r="BB94" i="1" s="1"/>
  <c r="G35" i="1"/>
  <c r="AJ95" i="1" s="1"/>
  <c r="H35" i="1"/>
  <c r="AK95" i="1" s="1"/>
  <c r="I35" i="1"/>
  <c r="AL95" i="1" s="1"/>
  <c r="J35" i="1"/>
  <c r="AM95" i="1" s="1"/>
  <c r="K35" i="1"/>
  <c r="AN95" i="1" s="1"/>
  <c r="L35" i="1"/>
  <c r="AO95" i="1" s="1"/>
  <c r="M35" i="1"/>
  <c r="AP95" i="1"/>
  <c r="N35" i="1"/>
  <c r="AQ95" i="1" s="1"/>
  <c r="O35" i="1"/>
  <c r="AR95" i="1" s="1"/>
  <c r="P35" i="1"/>
  <c r="AS95" i="1" s="1"/>
  <c r="Q35" i="1"/>
  <c r="AT95" i="1" s="1"/>
  <c r="R35" i="1"/>
  <c r="AU95" i="1" s="1"/>
  <c r="S35" i="1"/>
  <c r="AV95" i="1" s="1"/>
  <c r="T35" i="1"/>
  <c r="AW95" i="1" s="1"/>
  <c r="U35" i="1"/>
  <c r="AX95" i="1" s="1"/>
  <c r="V35" i="1"/>
  <c r="AY95" i="1" s="1"/>
  <c r="W35" i="1"/>
  <c r="AZ95" i="1"/>
  <c r="X35" i="1"/>
  <c r="BA95" i="1" s="1"/>
  <c r="Y35" i="1"/>
  <c r="BB95" i="1" s="1"/>
  <c r="G36" i="1"/>
  <c r="AJ96" i="1" s="1"/>
  <c r="H36" i="1"/>
  <c r="AK96" i="1" s="1"/>
  <c r="I36" i="1"/>
  <c r="AL96" i="1"/>
  <c r="J36" i="1"/>
  <c r="AM96" i="1"/>
  <c r="K36" i="1"/>
  <c r="AN96" i="1" s="1"/>
  <c r="L36" i="1"/>
  <c r="AO96" i="1" s="1"/>
  <c r="M36" i="1"/>
  <c r="AP96" i="1" s="1"/>
  <c r="N36" i="1"/>
  <c r="AQ96" i="1" s="1"/>
  <c r="O36" i="1"/>
  <c r="AR96" i="1" s="1"/>
  <c r="P36" i="1"/>
  <c r="AS96" i="1"/>
  <c r="Q36" i="1"/>
  <c r="AT96" i="1" s="1"/>
  <c r="R36" i="1"/>
  <c r="AU96" i="1" s="1"/>
  <c r="S36" i="1"/>
  <c r="AV96" i="1" s="1"/>
  <c r="T36" i="1"/>
  <c r="AW96" i="1" s="1"/>
  <c r="U36" i="1"/>
  <c r="AX96" i="1" s="1"/>
  <c r="V36" i="1"/>
  <c r="AY96" i="1"/>
  <c r="W36" i="1"/>
  <c r="AZ96" i="1" s="1"/>
  <c r="X36" i="1"/>
  <c r="BA96" i="1" s="1"/>
  <c r="Y36" i="1"/>
  <c r="BB96" i="1" s="1"/>
  <c r="G37" i="1"/>
  <c r="AJ97" i="1"/>
  <c r="H37" i="1"/>
  <c r="AK97" i="1" s="1"/>
  <c r="I37" i="1"/>
  <c r="AL97" i="1"/>
  <c r="J37" i="1"/>
  <c r="AM97" i="1" s="1"/>
  <c r="K37" i="1"/>
  <c r="AN97" i="1" s="1"/>
  <c r="L37" i="1"/>
  <c r="AO97" i="1" s="1"/>
  <c r="M37" i="1"/>
  <c r="AP97" i="1" s="1"/>
  <c r="N37" i="1"/>
  <c r="AQ97" i="1" s="1"/>
  <c r="O37" i="1"/>
  <c r="AR97" i="1" s="1"/>
  <c r="P37" i="1"/>
  <c r="AS97" i="1" s="1"/>
  <c r="Q37" i="1"/>
  <c r="AT97" i="1" s="1"/>
  <c r="R37" i="1"/>
  <c r="AU97" i="1" s="1"/>
  <c r="S37" i="1"/>
  <c r="AV97" i="1" s="1"/>
  <c r="T37" i="1"/>
  <c r="AW97" i="1" s="1"/>
  <c r="U37" i="1"/>
  <c r="AX97" i="1"/>
  <c r="V37" i="1"/>
  <c r="AY97" i="1"/>
  <c r="W37" i="1"/>
  <c r="AZ97" i="1" s="1"/>
  <c r="X37" i="1"/>
  <c r="BA97" i="1" s="1"/>
  <c r="Y37" i="1"/>
  <c r="BB97" i="1"/>
  <c r="G38" i="1"/>
  <c r="H38" i="1"/>
  <c r="AK98" i="1" s="1"/>
  <c r="I38" i="1"/>
  <c r="AL98" i="1" s="1"/>
  <c r="J38" i="1"/>
  <c r="AM98" i="1" s="1"/>
  <c r="K38" i="1"/>
  <c r="AN98" i="1" s="1"/>
  <c r="L38" i="1"/>
  <c r="AO98" i="1" s="1"/>
  <c r="M38" i="1"/>
  <c r="AP98" i="1" s="1"/>
  <c r="N38" i="1"/>
  <c r="AQ98" i="1" s="1"/>
  <c r="O38" i="1"/>
  <c r="AR98" i="1" s="1"/>
  <c r="P38" i="1"/>
  <c r="AS98" i="1" s="1"/>
  <c r="Q38" i="1"/>
  <c r="AT98" i="1"/>
  <c r="R38" i="1"/>
  <c r="AU98" i="1" s="1"/>
  <c r="S38" i="1"/>
  <c r="AV98" i="1" s="1"/>
  <c r="T38" i="1"/>
  <c r="AW98" i="1"/>
  <c r="U38" i="1"/>
  <c r="AX98" i="1" s="1"/>
  <c r="V38" i="1"/>
  <c r="AY98" i="1" s="1"/>
  <c r="W38" i="1"/>
  <c r="AZ98" i="1" s="1"/>
  <c r="X38" i="1"/>
  <c r="BA98" i="1" s="1"/>
  <c r="Y38" i="1"/>
  <c r="BB98" i="1" s="1"/>
  <c r="G39" i="1"/>
  <c r="AJ99" i="1" s="1"/>
  <c r="H39" i="1"/>
  <c r="AK99" i="1" s="1"/>
  <c r="I39" i="1"/>
  <c r="AL99" i="1" s="1"/>
  <c r="J39" i="1"/>
  <c r="AM99" i="1"/>
  <c r="K39" i="1"/>
  <c r="AN99" i="1" s="1"/>
  <c r="L39" i="1"/>
  <c r="AO99" i="1" s="1"/>
  <c r="M39" i="1"/>
  <c r="AP99" i="1" s="1"/>
  <c r="N39" i="1"/>
  <c r="AQ99" i="1" s="1"/>
  <c r="O39" i="1"/>
  <c r="AR99" i="1" s="1"/>
  <c r="P39" i="1"/>
  <c r="AS99" i="1" s="1"/>
  <c r="Q39" i="1"/>
  <c r="AT99" i="1" s="1"/>
  <c r="R39" i="1"/>
  <c r="AU99" i="1" s="1"/>
  <c r="S39" i="1"/>
  <c r="AV99" i="1" s="1"/>
  <c r="T39" i="1"/>
  <c r="AW99" i="1" s="1"/>
  <c r="U39" i="1"/>
  <c r="AX99" i="1" s="1"/>
  <c r="V39" i="1"/>
  <c r="AY99" i="1" s="1"/>
  <c r="W39" i="1"/>
  <c r="AZ99" i="1" s="1"/>
  <c r="X39" i="1"/>
  <c r="BA99" i="1" s="1"/>
  <c r="Y39" i="1"/>
  <c r="BB99" i="1" s="1"/>
  <c r="G40" i="1"/>
  <c r="AJ100" i="1" s="1"/>
  <c r="H40" i="1"/>
  <c r="AK100" i="1" s="1"/>
  <c r="I40" i="1"/>
  <c r="AL100" i="1" s="1"/>
  <c r="J40" i="1"/>
  <c r="AM100" i="1" s="1"/>
  <c r="K40" i="1"/>
  <c r="AN100" i="1" s="1"/>
  <c r="L40" i="1"/>
  <c r="AO100" i="1" s="1"/>
  <c r="M40" i="1"/>
  <c r="AP100" i="1" s="1"/>
  <c r="N40" i="1"/>
  <c r="AQ100" i="1" s="1"/>
  <c r="O40" i="1"/>
  <c r="AR100" i="1" s="1"/>
  <c r="P40" i="1"/>
  <c r="AS100" i="1" s="1"/>
  <c r="Q40" i="1"/>
  <c r="AT100" i="1" s="1"/>
  <c r="R40" i="1"/>
  <c r="AU100" i="1" s="1"/>
  <c r="S40" i="1"/>
  <c r="AV100" i="1" s="1"/>
  <c r="T40" i="1"/>
  <c r="AW100" i="1" s="1"/>
  <c r="U40" i="1"/>
  <c r="AX100" i="1" s="1"/>
  <c r="V40" i="1"/>
  <c r="AY100" i="1" s="1"/>
  <c r="W40" i="1"/>
  <c r="AZ100" i="1" s="1"/>
  <c r="X40" i="1"/>
  <c r="BA100" i="1" s="1"/>
  <c r="Y40" i="1"/>
  <c r="BB100" i="1" s="1"/>
  <c r="G41" i="1"/>
  <c r="AJ101" i="1" s="1"/>
  <c r="H41" i="1"/>
  <c r="AK101" i="1" s="1"/>
  <c r="I41" i="1"/>
  <c r="AL101" i="1" s="1"/>
  <c r="J41" i="1"/>
  <c r="AM101" i="1" s="1"/>
  <c r="K41" i="1"/>
  <c r="AN101" i="1" s="1"/>
  <c r="L41" i="1"/>
  <c r="AO101" i="1" s="1"/>
  <c r="M41" i="1"/>
  <c r="AP101" i="1" s="1"/>
  <c r="N41" i="1"/>
  <c r="AQ101" i="1" s="1"/>
  <c r="O41" i="1"/>
  <c r="AR101" i="1" s="1"/>
  <c r="P41" i="1"/>
  <c r="AS101" i="1"/>
  <c r="Q41" i="1"/>
  <c r="AT101" i="1" s="1"/>
  <c r="R41" i="1"/>
  <c r="AU101" i="1" s="1"/>
  <c r="S41" i="1"/>
  <c r="AV101" i="1" s="1"/>
  <c r="T41" i="1"/>
  <c r="AW101" i="1"/>
  <c r="U41" i="1"/>
  <c r="AX101" i="1" s="1"/>
  <c r="V41" i="1"/>
  <c r="AY101" i="1" s="1"/>
  <c r="W41" i="1"/>
  <c r="AZ101" i="1" s="1"/>
  <c r="X41" i="1"/>
  <c r="BA101" i="1" s="1"/>
  <c r="Y41" i="1"/>
  <c r="BB101" i="1" s="1"/>
  <c r="G42" i="1"/>
  <c r="AJ102" i="1" s="1"/>
  <c r="H42" i="1"/>
  <c r="AK102" i="1" s="1"/>
  <c r="I42" i="1"/>
  <c r="AL102" i="1" s="1"/>
  <c r="J42" i="1"/>
  <c r="AM102" i="1" s="1"/>
  <c r="K42" i="1"/>
  <c r="AN102" i="1" s="1"/>
  <c r="L42" i="1"/>
  <c r="AO102" i="1" s="1"/>
  <c r="M42" i="1"/>
  <c r="AP102" i="1"/>
  <c r="N42" i="1"/>
  <c r="AQ102" i="1" s="1"/>
  <c r="O42" i="1"/>
  <c r="AR102" i="1" s="1"/>
  <c r="P42" i="1"/>
  <c r="AS102" i="1" s="1"/>
  <c r="Q42" i="1"/>
  <c r="AT102" i="1" s="1"/>
  <c r="R42" i="1"/>
  <c r="AU102" i="1" s="1"/>
  <c r="S42" i="1"/>
  <c r="AV102" i="1" s="1"/>
  <c r="T42" i="1"/>
  <c r="AW102" i="1" s="1"/>
  <c r="U42" i="1"/>
  <c r="AX102" i="1" s="1"/>
  <c r="V42" i="1"/>
  <c r="AY102" i="1" s="1"/>
  <c r="W42" i="1"/>
  <c r="AZ102" i="1" s="1"/>
  <c r="X42" i="1"/>
  <c r="BA102" i="1" s="1"/>
  <c r="Y42" i="1"/>
  <c r="BB102" i="1" s="1"/>
  <c r="G43" i="1"/>
  <c r="AJ103" i="1" s="1"/>
  <c r="H43" i="1"/>
  <c r="AK103" i="1" s="1"/>
  <c r="I43" i="1"/>
  <c r="AL103" i="1" s="1"/>
  <c r="J43" i="1"/>
  <c r="AM103" i="1" s="1"/>
  <c r="K43" i="1"/>
  <c r="AN103" i="1" s="1"/>
  <c r="L43" i="1"/>
  <c r="AO103" i="1" s="1"/>
  <c r="M43" i="1"/>
  <c r="AP103" i="1" s="1"/>
  <c r="N43" i="1"/>
  <c r="AQ103" i="1" s="1"/>
  <c r="O43" i="1"/>
  <c r="AR103" i="1" s="1"/>
  <c r="P43" i="1"/>
  <c r="AS103" i="1" s="1"/>
  <c r="Q43" i="1"/>
  <c r="AT103" i="1" s="1"/>
  <c r="R43" i="1"/>
  <c r="AU103" i="1" s="1"/>
  <c r="S43" i="1"/>
  <c r="AV103" i="1" s="1"/>
  <c r="T43" i="1"/>
  <c r="AW103" i="1" s="1"/>
  <c r="U43" i="1"/>
  <c r="AX103" i="1" s="1"/>
  <c r="V43" i="1"/>
  <c r="AY103" i="1" s="1"/>
  <c r="W43" i="1"/>
  <c r="AZ103" i="1" s="1"/>
  <c r="X43" i="1"/>
  <c r="BA103" i="1" s="1"/>
  <c r="Y43" i="1"/>
  <c r="BB103" i="1" s="1"/>
  <c r="G44" i="1"/>
  <c r="AJ104" i="1" s="1"/>
  <c r="H44" i="1"/>
  <c r="AK104" i="1" s="1"/>
  <c r="I44" i="1"/>
  <c r="AL104" i="1" s="1"/>
  <c r="J44" i="1"/>
  <c r="AM104" i="1" s="1"/>
  <c r="K44" i="1"/>
  <c r="AN104" i="1" s="1"/>
  <c r="L44" i="1"/>
  <c r="AO104" i="1" s="1"/>
  <c r="M44" i="1"/>
  <c r="AP104" i="1" s="1"/>
  <c r="N44" i="1"/>
  <c r="AQ104" i="1" s="1"/>
  <c r="O44" i="1"/>
  <c r="AR104" i="1"/>
  <c r="P44" i="1"/>
  <c r="AS104" i="1" s="1"/>
  <c r="Q44" i="1"/>
  <c r="AT104" i="1" s="1"/>
  <c r="R44" i="1"/>
  <c r="AU104" i="1" s="1"/>
  <c r="S44" i="1"/>
  <c r="AV104" i="1" s="1"/>
  <c r="T44" i="1"/>
  <c r="AW104" i="1" s="1"/>
  <c r="U44" i="1"/>
  <c r="AX104" i="1" s="1"/>
  <c r="V44" i="1"/>
  <c r="AY104" i="1" s="1"/>
  <c r="W44" i="1"/>
  <c r="AZ104" i="1" s="1"/>
  <c r="X44" i="1"/>
  <c r="BA104" i="1" s="1"/>
  <c r="Y44" i="1"/>
  <c r="BB104" i="1" s="1"/>
  <c r="G45" i="1"/>
  <c r="H45" i="1"/>
  <c r="AK105" i="1"/>
  <c r="I45" i="1"/>
  <c r="AL105" i="1" s="1"/>
  <c r="J45" i="1"/>
  <c r="AM105" i="1" s="1"/>
  <c r="K45" i="1"/>
  <c r="AN105" i="1" s="1"/>
  <c r="L45" i="1"/>
  <c r="AO105" i="1" s="1"/>
  <c r="M45" i="1"/>
  <c r="AP105" i="1" s="1"/>
  <c r="N45" i="1"/>
  <c r="AQ105" i="1" s="1"/>
  <c r="O45" i="1"/>
  <c r="AR105" i="1" s="1"/>
  <c r="P45" i="1"/>
  <c r="AS105" i="1" s="1"/>
  <c r="Q45" i="1"/>
  <c r="AT105" i="1" s="1"/>
  <c r="R45" i="1"/>
  <c r="AU105" i="1" s="1"/>
  <c r="S45" i="1"/>
  <c r="AV105" i="1"/>
  <c r="T45" i="1"/>
  <c r="AW105" i="1" s="1"/>
  <c r="U45" i="1"/>
  <c r="AX105" i="1" s="1"/>
  <c r="V45" i="1"/>
  <c r="AY105" i="1" s="1"/>
  <c r="W45" i="1"/>
  <c r="AZ105" i="1" s="1"/>
  <c r="X45" i="1"/>
  <c r="BA105" i="1" s="1"/>
  <c r="Y45" i="1"/>
  <c r="BB105" i="1" s="1"/>
  <c r="G46" i="1"/>
  <c r="AJ106" i="1" s="1"/>
  <c r="H46" i="1"/>
  <c r="AK106" i="1" s="1"/>
  <c r="I46" i="1"/>
  <c r="AL106" i="1" s="1"/>
  <c r="J46" i="1"/>
  <c r="AM106" i="1" s="1"/>
  <c r="K46" i="1"/>
  <c r="AN106" i="1" s="1"/>
  <c r="L46" i="1"/>
  <c r="AO106" i="1" s="1"/>
  <c r="M46" i="1"/>
  <c r="AP106" i="1" s="1"/>
  <c r="N46" i="1"/>
  <c r="AQ106" i="1" s="1"/>
  <c r="O46" i="1"/>
  <c r="AR106" i="1" s="1"/>
  <c r="P46" i="1"/>
  <c r="AS106" i="1" s="1"/>
  <c r="Q46" i="1"/>
  <c r="AT106" i="1" s="1"/>
  <c r="R46" i="1"/>
  <c r="AU106" i="1" s="1"/>
  <c r="S46" i="1"/>
  <c r="AV106" i="1" s="1"/>
  <c r="T46" i="1"/>
  <c r="AW106" i="1" s="1"/>
  <c r="U46" i="1"/>
  <c r="AX106" i="1" s="1"/>
  <c r="V46" i="1"/>
  <c r="AY106" i="1" s="1"/>
  <c r="W46" i="1"/>
  <c r="AZ106" i="1" s="1"/>
  <c r="X46" i="1"/>
  <c r="BA106" i="1" s="1"/>
  <c r="Y46" i="1"/>
  <c r="BB106" i="1" s="1"/>
  <c r="G47" i="1"/>
  <c r="AJ107" i="1" s="1"/>
  <c r="H47" i="1"/>
  <c r="AK107" i="1" s="1"/>
  <c r="I47" i="1"/>
  <c r="AL107" i="1" s="1"/>
  <c r="J47" i="1"/>
  <c r="AM107" i="1" s="1"/>
  <c r="K47" i="1"/>
  <c r="AN107" i="1" s="1"/>
  <c r="L47" i="1"/>
  <c r="AO107" i="1" s="1"/>
  <c r="M47" i="1"/>
  <c r="AP107" i="1" s="1"/>
  <c r="N47" i="1"/>
  <c r="AQ107" i="1" s="1"/>
  <c r="O47" i="1"/>
  <c r="AR107" i="1" s="1"/>
  <c r="P47" i="1"/>
  <c r="AS107" i="1" s="1"/>
  <c r="Q47" i="1"/>
  <c r="AT107" i="1" s="1"/>
  <c r="R47" i="1"/>
  <c r="AU107" i="1" s="1"/>
  <c r="S47" i="1"/>
  <c r="AV107" i="1" s="1"/>
  <c r="T47" i="1"/>
  <c r="AW107" i="1" s="1"/>
  <c r="U47" i="1"/>
  <c r="AX107" i="1" s="1"/>
  <c r="V47" i="1"/>
  <c r="AY107" i="1" s="1"/>
  <c r="W47" i="1"/>
  <c r="AZ107" i="1" s="1"/>
  <c r="X47" i="1"/>
  <c r="BA107" i="1" s="1"/>
  <c r="Y47" i="1"/>
  <c r="BB107" i="1" s="1"/>
  <c r="G48" i="1"/>
  <c r="AJ108" i="1" s="1"/>
  <c r="H48" i="1"/>
  <c r="AK108" i="1" s="1"/>
  <c r="I48" i="1"/>
  <c r="AL108" i="1" s="1"/>
  <c r="J48" i="1"/>
  <c r="AM108" i="1" s="1"/>
  <c r="K48" i="1"/>
  <c r="AN108" i="1" s="1"/>
  <c r="L48" i="1"/>
  <c r="AO108" i="1"/>
  <c r="M48" i="1"/>
  <c r="AP108" i="1" s="1"/>
  <c r="N48" i="1"/>
  <c r="AQ108" i="1" s="1"/>
  <c r="O48" i="1"/>
  <c r="AR108" i="1"/>
  <c r="P48" i="1"/>
  <c r="AS108" i="1" s="1"/>
  <c r="Q48" i="1"/>
  <c r="AT108" i="1" s="1"/>
  <c r="R48" i="1"/>
  <c r="AU108" i="1" s="1"/>
  <c r="S48" i="1"/>
  <c r="AV108" i="1" s="1"/>
  <c r="T48" i="1"/>
  <c r="AW108" i="1" s="1"/>
  <c r="U48" i="1"/>
  <c r="AX108" i="1" s="1"/>
  <c r="V48" i="1"/>
  <c r="AY108" i="1" s="1"/>
  <c r="W48" i="1"/>
  <c r="AZ108" i="1"/>
  <c r="X48" i="1"/>
  <c r="BA108" i="1" s="1"/>
  <c r="Y48" i="1"/>
  <c r="BB108" i="1" s="1"/>
  <c r="G49" i="1"/>
  <c r="AJ109" i="1" s="1"/>
  <c r="H49" i="1"/>
  <c r="AK109" i="1" s="1"/>
  <c r="I49" i="1"/>
  <c r="AL109" i="1"/>
  <c r="J49" i="1"/>
  <c r="AM109" i="1" s="1"/>
  <c r="K49" i="1"/>
  <c r="AN109" i="1" s="1"/>
  <c r="L49" i="1"/>
  <c r="AO109" i="1"/>
  <c r="M49" i="1"/>
  <c r="AP109" i="1" s="1"/>
  <c r="N49" i="1"/>
  <c r="AQ109" i="1" s="1"/>
  <c r="O49" i="1"/>
  <c r="AR109" i="1" s="1"/>
  <c r="P49" i="1"/>
  <c r="AS109" i="1" s="1"/>
  <c r="Q49" i="1"/>
  <c r="AT109" i="1"/>
  <c r="R49" i="1"/>
  <c r="AU109" i="1" s="1"/>
  <c r="S49" i="1"/>
  <c r="AV109" i="1" s="1"/>
  <c r="T49" i="1"/>
  <c r="AW109" i="1" s="1"/>
  <c r="U49" i="1"/>
  <c r="AX109" i="1" s="1"/>
  <c r="V49" i="1"/>
  <c r="AY109" i="1" s="1"/>
  <c r="W49" i="1"/>
  <c r="AZ109" i="1" s="1"/>
  <c r="X49" i="1"/>
  <c r="BA109" i="1" s="1"/>
  <c r="Y49" i="1"/>
  <c r="BB109" i="1" s="1"/>
  <c r="G50" i="1"/>
  <c r="H50" i="1"/>
  <c r="AK110" i="1" s="1"/>
  <c r="I50" i="1"/>
  <c r="AL110" i="1" s="1"/>
  <c r="J50" i="1"/>
  <c r="AM110" i="1" s="1"/>
  <c r="K50" i="1"/>
  <c r="AN110" i="1" s="1"/>
  <c r="L50" i="1"/>
  <c r="AO110" i="1" s="1"/>
  <c r="M50" i="1"/>
  <c r="AP110" i="1" s="1"/>
  <c r="N50" i="1"/>
  <c r="AQ110" i="1" s="1"/>
  <c r="O50" i="1"/>
  <c r="AR110" i="1" s="1"/>
  <c r="P50" i="1"/>
  <c r="AS110" i="1" s="1"/>
  <c r="Q50" i="1"/>
  <c r="AT110" i="1" s="1"/>
  <c r="R50" i="1"/>
  <c r="AU110" i="1" s="1"/>
  <c r="S50" i="1"/>
  <c r="AV110" i="1" s="1"/>
  <c r="T50" i="1"/>
  <c r="AW110" i="1" s="1"/>
  <c r="U50" i="1"/>
  <c r="AX110" i="1" s="1"/>
  <c r="V50" i="1"/>
  <c r="AY110" i="1" s="1"/>
  <c r="W50" i="1"/>
  <c r="AZ110" i="1"/>
  <c r="X50" i="1"/>
  <c r="BA110" i="1" s="1"/>
  <c r="Y50" i="1"/>
  <c r="BB110" i="1" s="1"/>
  <c r="G51" i="1"/>
  <c r="AJ111" i="1" s="1"/>
  <c r="H51" i="1"/>
  <c r="I51" i="1"/>
  <c r="AL111" i="1" s="1"/>
  <c r="J51" i="1"/>
  <c r="AM111" i="1" s="1"/>
  <c r="K51" i="1"/>
  <c r="AN111" i="1" s="1"/>
  <c r="L51" i="1"/>
  <c r="AO111" i="1" s="1"/>
  <c r="M51" i="1"/>
  <c r="AP111" i="1" s="1"/>
  <c r="N51" i="1"/>
  <c r="AQ111" i="1" s="1"/>
  <c r="O51" i="1"/>
  <c r="AR111" i="1" s="1"/>
  <c r="P51" i="1"/>
  <c r="AS111" i="1"/>
  <c r="Q51" i="1"/>
  <c r="AT111" i="1" s="1"/>
  <c r="R51" i="1"/>
  <c r="AU111" i="1" s="1"/>
  <c r="S51" i="1"/>
  <c r="AV111" i="1" s="1"/>
  <c r="T51" i="1"/>
  <c r="AW111" i="1" s="1"/>
  <c r="U51" i="1"/>
  <c r="AX111" i="1" s="1"/>
  <c r="V51" i="1"/>
  <c r="AY111" i="1" s="1"/>
  <c r="W51" i="1"/>
  <c r="AZ111" i="1" s="1"/>
  <c r="X51" i="1"/>
  <c r="BA111" i="1" s="1"/>
  <c r="Y51" i="1"/>
  <c r="BB111" i="1" s="1"/>
  <c r="G52" i="1"/>
  <c r="AJ112" i="1" s="1"/>
  <c r="H52" i="1"/>
  <c r="AK112" i="1" s="1"/>
  <c r="I52" i="1"/>
  <c r="AL112" i="1" s="1"/>
  <c r="J52" i="1"/>
  <c r="AM112" i="1" s="1"/>
  <c r="K52" i="1"/>
  <c r="AN112" i="1" s="1"/>
  <c r="L52" i="1"/>
  <c r="AO112" i="1" s="1"/>
  <c r="M52" i="1"/>
  <c r="AP112" i="1" s="1"/>
  <c r="N52" i="1"/>
  <c r="AQ112" i="1" s="1"/>
  <c r="O52" i="1"/>
  <c r="AR112" i="1" s="1"/>
  <c r="P52" i="1"/>
  <c r="AS112" i="1" s="1"/>
  <c r="Q52" i="1"/>
  <c r="AT112" i="1"/>
  <c r="R52" i="1"/>
  <c r="AU112" i="1" s="1"/>
  <c r="S52" i="1"/>
  <c r="AV112" i="1" s="1"/>
  <c r="T52" i="1"/>
  <c r="AW112" i="1" s="1"/>
  <c r="U52" i="1"/>
  <c r="AX112" i="1" s="1"/>
  <c r="V52" i="1"/>
  <c r="AY112" i="1" s="1"/>
  <c r="W52" i="1"/>
  <c r="AZ112" i="1" s="1"/>
  <c r="X52" i="1"/>
  <c r="BA112" i="1" s="1"/>
  <c r="Y52" i="1"/>
  <c r="BB112" i="1"/>
  <c r="G53" i="1"/>
  <c r="H53" i="1"/>
  <c r="AK113" i="1" s="1"/>
  <c r="I53" i="1"/>
  <c r="AL113" i="1" s="1"/>
  <c r="J53" i="1"/>
  <c r="AM113" i="1" s="1"/>
  <c r="K53" i="1"/>
  <c r="AN113" i="1" s="1"/>
  <c r="L53" i="1"/>
  <c r="AO113" i="1" s="1"/>
  <c r="M53" i="1"/>
  <c r="AP113" i="1" s="1"/>
  <c r="N53" i="1"/>
  <c r="AQ113" i="1" s="1"/>
  <c r="O53" i="1"/>
  <c r="AR113" i="1" s="1"/>
  <c r="P53" i="1"/>
  <c r="AS113" i="1" s="1"/>
  <c r="Q53" i="1"/>
  <c r="AT113" i="1"/>
  <c r="R53" i="1"/>
  <c r="AU113" i="1" s="1"/>
  <c r="S53" i="1"/>
  <c r="AV113" i="1" s="1"/>
  <c r="T53" i="1"/>
  <c r="AW113" i="1" s="1"/>
  <c r="U53" i="1"/>
  <c r="AX113" i="1" s="1"/>
  <c r="V53" i="1"/>
  <c r="AY113" i="1"/>
  <c r="W53" i="1"/>
  <c r="AZ113" i="1" s="1"/>
  <c r="X53" i="1"/>
  <c r="BA113" i="1" s="1"/>
  <c r="Y53" i="1"/>
  <c r="BB113" i="1" s="1"/>
  <c r="G54" i="1"/>
  <c r="AJ114" i="1" s="1"/>
  <c r="H54" i="1"/>
  <c r="AK114" i="1" s="1"/>
  <c r="I54" i="1"/>
  <c r="AL114" i="1" s="1"/>
  <c r="J54" i="1"/>
  <c r="AM114" i="1" s="1"/>
  <c r="K54" i="1"/>
  <c r="AN114" i="1"/>
  <c r="L54" i="1"/>
  <c r="AO114" i="1" s="1"/>
  <c r="M54" i="1"/>
  <c r="AP114" i="1" s="1"/>
  <c r="N54" i="1"/>
  <c r="AQ114" i="1" s="1"/>
  <c r="O54" i="1"/>
  <c r="AR114" i="1" s="1"/>
  <c r="P54" i="1"/>
  <c r="AS114" i="1" s="1"/>
  <c r="Q54" i="1"/>
  <c r="AT114" i="1" s="1"/>
  <c r="R54" i="1"/>
  <c r="AU114" i="1" s="1"/>
  <c r="S54" i="1"/>
  <c r="AV114" i="1" s="1"/>
  <c r="T54" i="1"/>
  <c r="AW114" i="1" s="1"/>
  <c r="U54" i="1"/>
  <c r="AX114" i="1" s="1"/>
  <c r="V54" i="1"/>
  <c r="AY114" i="1" s="1"/>
  <c r="W54" i="1"/>
  <c r="AZ114" i="1" s="1"/>
  <c r="X54" i="1"/>
  <c r="BA114" i="1" s="1"/>
  <c r="Y54" i="1"/>
  <c r="BB114" i="1" s="1"/>
  <c r="G55" i="1"/>
  <c r="AJ115" i="1" s="1"/>
  <c r="H55" i="1"/>
  <c r="AK115" i="1" s="1"/>
  <c r="I55" i="1"/>
  <c r="AL115" i="1" s="1"/>
  <c r="J55" i="1"/>
  <c r="AM115" i="1" s="1"/>
  <c r="K55" i="1"/>
  <c r="AN115" i="1"/>
  <c r="L55" i="1"/>
  <c r="AO115" i="1" s="1"/>
  <c r="M55" i="1"/>
  <c r="AP115" i="1" s="1"/>
  <c r="N55" i="1"/>
  <c r="AQ115" i="1" s="1"/>
  <c r="O55" i="1"/>
  <c r="AR115" i="1" s="1"/>
  <c r="P55" i="1"/>
  <c r="AS115" i="1" s="1"/>
  <c r="Q55" i="1"/>
  <c r="AT115" i="1" s="1"/>
  <c r="R55" i="1"/>
  <c r="AU115" i="1" s="1"/>
  <c r="S55" i="1"/>
  <c r="AV115" i="1" s="1"/>
  <c r="T55" i="1"/>
  <c r="AW115" i="1" s="1"/>
  <c r="U55" i="1"/>
  <c r="AX115" i="1" s="1"/>
  <c r="V55" i="1"/>
  <c r="AY115" i="1" s="1"/>
  <c r="W55" i="1"/>
  <c r="AZ115" i="1" s="1"/>
  <c r="X55" i="1"/>
  <c r="BA115" i="1" s="1"/>
  <c r="Y55" i="1"/>
  <c r="BB115" i="1" s="1"/>
  <c r="G56" i="1"/>
  <c r="H56" i="1"/>
  <c r="AK116" i="1" s="1"/>
  <c r="I56" i="1"/>
  <c r="AL116" i="1" s="1"/>
  <c r="J56" i="1"/>
  <c r="AM116" i="1" s="1"/>
  <c r="K56" i="1"/>
  <c r="AN116" i="1" s="1"/>
  <c r="L56" i="1"/>
  <c r="AO116" i="1" s="1"/>
  <c r="M56" i="1"/>
  <c r="AP116" i="1" s="1"/>
  <c r="N56" i="1"/>
  <c r="AQ116" i="1" s="1"/>
  <c r="O56" i="1"/>
  <c r="AR116" i="1" s="1"/>
  <c r="P56" i="1"/>
  <c r="AS116" i="1" s="1"/>
  <c r="Q56" i="1"/>
  <c r="AT116" i="1" s="1"/>
  <c r="R56" i="1"/>
  <c r="AU116" i="1" s="1"/>
  <c r="S56" i="1"/>
  <c r="AV116" i="1" s="1"/>
  <c r="T56" i="1"/>
  <c r="AW116" i="1" s="1"/>
  <c r="U56" i="1"/>
  <c r="AX116" i="1" s="1"/>
  <c r="V56" i="1"/>
  <c r="AY116" i="1" s="1"/>
  <c r="W56" i="1"/>
  <c r="AZ116" i="1" s="1"/>
  <c r="X56" i="1"/>
  <c r="BA116" i="1" s="1"/>
  <c r="Y56" i="1"/>
  <c r="BB116" i="1" s="1"/>
  <c r="G57" i="1"/>
  <c r="AJ117" i="1" s="1"/>
  <c r="H57" i="1"/>
  <c r="AK117" i="1" s="1"/>
  <c r="I57" i="1"/>
  <c r="AL117" i="1" s="1"/>
  <c r="J57" i="1"/>
  <c r="AM117" i="1" s="1"/>
  <c r="K57" i="1"/>
  <c r="AN117" i="1" s="1"/>
  <c r="L57" i="1"/>
  <c r="AO117" i="1" s="1"/>
  <c r="M57" i="1"/>
  <c r="AP117" i="1"/>
  <c r="N57" i="1"/>
  <c r="AQ117" i="1" s="1"/>
  <c r="O57" i="1"/>
  <c r="AR117" i="1" s="1"/>
  <c r="P57" i="1"/>
  <c r="AS117" i="1" s="1"/>
  <c r="Q57" i="1"/>
  <c r="AT117" i="1" s="1"/>
  <c r="R57" i="1"/>
  <c r="AU117" i="1"/>
  <c r="S57" i="1"/>
  <c r="AV117" i="1" s="1"/>
  <c r="T57" i="1"/>
  <c r="AW117" i="1" s="1"/>
  <c r="U57" i="1"/>
  <c r="AX117" i="1" s="1"/>
  <c r="V57" i="1"/>
  <c r="AY117" i="1" s="1"/>
  <c r="W57" i="1"/>
  <c r="AZ117" i="1" s="1"/>
  <c r="X57" i="1"/>
  <c r="BA117" i="1" s="1"/>
  <c r="Y57" i="1"/>
  <c r="BB117" i="1" s="1"/>
  <c r="H8" i="1"/>
  <c r="AK68" i="1" s="1"/>
  <c r="I8" i="1"/>
  <c r="AL68" i="1" s="1"/>
  <c r="J8" i="1"/>
  <c r="AM68" i="1" s="1"/>
  <c r="K8" i="1"/>
  <c r="AN68" i="1" s="1"/>
  <c r="L8" i="1"/>
  <c r="AO68" i="1" s="1"/>
  <c r="M8" i="1"/>
  <c r="AP68" i="1" s="1"/>
  <c r="N8" i="1"/>
  <c r="AQ68" i="1" s="1"/>
  <c r="O8" i="1"/>
  <c r="AR68" i="1" s="1"/>
  <c r="P8" i="1"/>
  <c r="AS68" i="1" s="1"/>
  <c r="Q8" i="1"/>
  <c r="AT68" i="1" s="1"/>
  <c r="R8" i="1"/>
  <c r="AU68" i="1" s="1"/>
  <c r="S8" i="1"/>
  <c r="AV68" i="1" s="1"/>
  <c r="T8" i="1"/>
  <c r="AW68" i="1" s="1"/>
  <c r="U8" i="1"/>
  <c r="AX68" i="1" s="1"/>
  <c r="V8" i="1"/>
  <c r="AY68" i="1" s="1"/>
  <c r="W8" i="1"/>
  <c r="AZ68" i="1" s="1"/>
  <c r="X8" i="1"/>
  <c r="BA68" i="1" s="1"/>
  <c r="Y8" i="1"/>
  <c r="BB68" i="1" s="1"/>
  <c r="G8" i="1"/>
  <c r="AJ68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BA71" i="1"/>
  <c r="AU73" i="1"/>
  <c r="AR74" i="1"/>
  <c r="AT76" i="1"/>
  <c r="AV78" i="1"/>
  <c r="BA87" i="1"/>
  <c r="AJ98" i="1"/>
  <c r="BF9" i="1"/>
  <c r="AG51" i="1" l="1"/>
  <c r="AG56" i="1"/>
  <c r="AG53" i="1"/>
  <c r="AJ116" i="1"/>
  <c r="BC116" i="1" s="1"/>
  <c r="AG50" i="1"/>
  <c r="BC72" i="1"/>
  <c r="BC73" i="1"/>
  <c r="BC79" i="1"/>
  <c r="BC75" i="1"/>
  <c r="BC118" i="1"/>
  <c r="BC69" i="1"/>
  <c r="AG52" i="1"/>
  <c r="AK111" i="1"/>
  <c r="BC111" i="1" s="1"/>
  <c r="BC92" i="1"/>
  <c r="BC112" i="1"/>
  <c r="BC91" i="1"/>
  <c r="BC71" i="1"/>
  <c r="AJ110" i="1"/>
  <c r="BC110" i="1" s="1"/>
  <c r="AG45" i="1"/>
  <c r="BC109" i="1"/>
  <c r="BC95" i="1"/>
  <c r="BC98" i="1"/>
  <c r="BC70" i="1"/>
  <c r="BC107" i="1"/>
  <c r="BC85" i="1"/>
  <c r="BC81" i="1"/>
  <c r="BC114" i="1"/>
  <c r="BC89" i="1"/>
  <c r="BC108" i="1"/>
  <c r="BC97" i="1"/>
  <c r="BC86" i="1"/>
  <c r="BC80" i="1"/>
  <c r="BC76" i="1"/>
  <c r="BC115" i="1"/>
  <c r="BC100" i="1"/>
  <c r="BC106" i="1"/>
  <c r="BC117" i="1"/>
  <c r="BC104" i="1"/>
  <c r="BC103" i="1"/>
  <c r="BC102" i="1"/>
  <c r="BC101" i="1"/>
  <c r="BC99" i="1"/>
  <c r="BC96" i="1"/>
  <c r="BC94" i="1"/>
  <c r="BC90" i="1"/>
  <c r="BC87" i="1"/>
  <c r="BC83" i="1"/>
  <c r="BC82" i="1"/>
  <c r="BC74" i="1"/>
  <c r="BC68" i="1"/>
  <c r="BC93" i="1"/>
  <c r="BC88" i="1"/>
  <c r="BC84" i="1"/>
  <c r="BC78" i="1"/>
  <c r="BC77" i="1"/>
  <c r="AG44" i="1"/>
  <c r="BC119" i="1"/>
  <c r="AJ105" i="1"/>
  <c r="BC105" i="1" s="1"/>
  <c r="AG48" i="1"/>
  <c r="AJ113" i="1"/>
  <c r="BC113" i="1" s="1"/>
  <c r="AG55" i="1"/>
  <c r="AG47" i="1"/>
  <c r="AG54" i="1"/>
  <c r="AG46" i="1"/>
  <c r="AG57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<sst xmlns="http://schemas.openxmlformats.org/spreadsheetml/2006/main" count="1198" uniqueCount="32">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</sst>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9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23"/>
  <sheetViews>
    <sheetView tabSelected="1" topLeftCell="W61" workbookViewId="0">
      <selection activeCell="BC123" sqref="BC123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4" t="s">
        <v>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8.27</v>
      </c>
      <c r="H8" s="35">
        <f>Price!H8/'Price D Coupon'!H$5</f>
        <v>8.6666666666666661</v>
      </c>
      <c r="I8" s="35">
        <f>Price!I8/'Price D Coupon'!I$5</f>
        <v>6.9114285714285719</v>
      </c>
      <c r="J8" s="35">
        <f>Price!J8/'Price D Coupon'!J$5</f>
        <v>7.4799999999999995</v>
      </c>
      <c r="K8" s="35">
        <f>Price!K8/'Price D Coupon'!K$5</f>
        <v>6.9857142857142858</v>
      </c>
      <c r="L8" s="35">
        <f>Price!L8/'Price D Coupon'!L$5</f>
        <v>7.42</v>
      </c>
      <c r="M8" s="35">
        <f>Price!M8/'Price D Coupon'!M$5</f>
        <v>6.04</v>
      </c>
      <c r="N8" s="35">
        <f>Price!N8/'Price D Coupon'!N$5</f>
        <v>5.1375000000000002</v>
      </c>
      <c r="O8" s="35">
        <f>Price!O8/'Price D Coupon'!O$5</f>
        <v>5.0549999999999997</v>
      </c>
      <c r="P8" s="35">
        <f>Price!P8/'Price D Coupon'!P$5</f>
        <v>5.3324999999999996</v>
      </c>
      <c r="Q8" s="35">
        <f>Price!Q8/'Price D Coupon'!Q$5</f>
        <v>5.9474999999999998</v>
      </c>
      <c r="R8" s="35">
        <f>Price!R8/'Price D Coupon'!R$5</f>
        <v>0</v>
      </c>
      <c r="S8" s="35">
        <f>Price!S8/'Price D Coupon'!S$5</f>
        <v>0</v>
      </c>
      <c r="T8" s="35">
        <f>Price!T8/'Price D Coupon'!T$5</f>
        <v>0</v>
      </c>
      <c r="U8" s="35">
        <f>Price!U8/'Price D Coupon'!U$5</f>
        <v>0</v>
      </c>
      <c r="V8" s="35">
        <f>Price!V8/'Price D Coupon'!V$5</f>
        <v>0</v>
      </c>
      <c r="W8" s="35">
        <f>Price!W8/'Price D Coupon'!W$5</f>
        <v>0</v>
      </c>
      <c r="X8" s="35">
        <f>Price!X8/'Price D Coupon'!X$5</f>
        <v>0</v>
      </c>
      <c r="Y8" s="35">
        <f>Price!Y8/'Price D Coupon'!Y$5</f>
        <v>0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8.31</v>
      </c>
      <c r="H9" s="35">
        <f>Price!H9/'Price D Coupon'!H$5</f>
        <v>8.7533333333333339</v>
      </c>
      <c r="I9" s="35">
        <f>Price!I9/'Price D Coupon'!I$5</f>
        <v>6.9571428571428573</v>
      </c>
      <c r="J9" s="35">
        <f>Price!J9/'Price D Coupon'!J$5</f>
        <v>7.5285714285714294</v>
      </c>
      <c r="K9" s="35">
        <f>Price!K9/'Price D Coupon'!K$5</f>
        <v>7.0600000000000005</v>
      </c>
      <c r="L9" s="35">
        <f>Price!L9/'Price D Coupon'!L$5</f>
        <v>7.58</v>
      </c>
      <c r="M9" s="35">
        <f>Price!M9/'Price D Coupon'!M$5</f>
        <v>6.2450000000000001</v>
      </c>
      <c r="N9" s="35">
        <f>Price!N9/'Price D Coupon'!N$5</f>
        <v>5.2175000000000002</v>
      </c>
      <c r="O9" s="35">
        <f>Price!O9/'Price D Coupon'!O$5</f>
        <v>5.0949999999999998</v>
      </c>
      <c r="P9" s="35">
        <f>Price!P9/'Price D Coupon'!P$5</f>
        <v>5.3624999999999998</v>
      </c>
      <c r="Q9" s="35">
        <f>Price!Q9/'Price D Coupon'!Q$5</f>
        <v>6.02</v>
      </c>
      <c r="R9" s="35">
        <f>Price!R9/'Price D Coupon'!R$5</f>
        <v>0</v>
      </c>
      <c r="S9" s="35">
        <f>Price!S9/'Price D Coupon'!S$5</f>
        <v>0</v>
      </c>
      <c r="T9" s="35">
        <f>Price!T9/'Price D Coupon'!T$5</f>
        <v>0</v>
      </c>
      <c r="U9" s="35">
        <f>Price!U9/'Price D Coupon'!U$5</f>
        <v>0</v>
      </c>
      <c r="V9" s="35">
        <f>Price!V9/'Price D Coupon'!V$5</f>
        <v>0</v>
      </c>
      <c r="W9" s="35">
        <f>Price!W9/'Price D Coupon'!W$5</f>
        <v>0</v>
      </c>
      <c r="X9" s="35">
        <f>Price!X9/'Price D Coupon'!X$5</f>
        <v>0</v>
      </c>
      <c r="Y9" s="35">
        <f>Price!Y9/'Price D Coupon'!Y$5</f>
        <v>0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1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8.4733333333333345</v>
      </c>
      <c r="H10" s="35">
        <f>Price!H10/'Price D Coupon'!H$5</f>
        <v>8.8733333333333331</v>
      </c>
      <c r="I10" s="35">
        <f>Price!I10/'Price D Coupon'!I$5</f>
        <v>7.0485714285714289</v>
      </c>
      <c r="J10" s="35">
        <f>Price!J10/'Price D Coupon'!J$5</f>
        <v>7.5828571428571427</v>
      </c>
      <c r="K10" s="35">
        <f>Price!K10/'Price D Coupon'!K$5</f>
        <v>7.0200000000000005</v>
      </c>
      <c r="L10" s="35">
        <f>Price!L10/'Price D Coupon'!L$5</f>
        <v>7.6057142857142859</v>
      </c>
      <c r="M10" s="35">
        <f>Price!M10/'Price D Coupon'!M$5</f>
        <v>6.15</v>
      </c>
      <c r="N10" s="35">
        <f>Price!N10/'Price D Coupon'!N$5</f>
        <v>5.0549999999999997</v>
      </c>
      <c r="O10" s="35">
        <f>Price!O10/'Price D Coupon'!O$5</f>
        <v>5.12</v>
      </c>
      <c r="P10" s="35">
        <f>Price!P10/'Price D Coupon'!P$5</f>
        <v>5.5324999999999998</v>
      </c>
      <c r="Q10" s="35">
        <f>Price!Q10/'Price D Coupon'!Q$5</f>
        <v>6.0475000000000003</v>
      </c>
      <c r="R10" s="35">
        <f>Price!R10/'Price D Coupon'!R$5</f>
        <v>0</v>
      </c>
      <c r="S10" s="35">
        <f>Price!S10/'Price D Coupon'!S$5</f>
        <v>0</v>
      </c>
      <c r="T10" s="35">
        <f>Price!T10/'Price D Coupon'!T$5</f>
        <v>0</v>
      </c>
      <c r="U10" s="35">
        <f>Price!U10/'Price D Coupon'!U$5</f>
        <v>0</v>
      </c>
      <c r="V10" s="35">
        <f>Price!V10/'Price D Coupon'!V$5</f>
        <v>0</v>
      </c>
      <c r="W10" s="35">
        <f>Price!W10/'Price D Coupon'!W$5</f>
        <v>0</v>
      </c>
      <c r="X10" s="35">
        <f>Price!X10/'Price D Coupon'!X$5</f>
        <v>0</v>
      </c>
      <c r="Y10" s="35">
        <f>Price!Y10/'Price D Coupon'!Y$5</f>
        <v>0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8.5499999999999989</v>
      </c>
      <c r="H11" s="35">
        <f>Price!H11/'Price D Coupon'!H$5</f>
        <v>8.9633333333333329</v>
      </c>
      <c r="I11" s="35">
        <f>Price!I11/'Price D Coupon'!I$5</f>
        <v>7.0314285714285711</v>
      </c>
      <c r="J11" s="35">
        <f>Price!J11/'Price D Coupon'!J$5</f>
        <v>7.6914285714285722</v>
      </c>
      <c r="K11" s="35">
        <f>Price!K11/'Price D Coupon'!K$5</f>
        <v>7.0228571428571422</v>
      </c>
      <c r="L11" s="35">
        <f>Price!L11/'Price D Coupon'!L$5</f>
        <v>7.8085714285714278</v>
      </c>
      <c r="M11" s="35">
        <f>Price!M11/'Price D Coupon'!M$5</f>
        <v>6.2324999999999999</v>
      </c>
      <c r="N11" s="35">
        <f>Price!N11/'Price D Coupon'!N$5</f>
        <v>5.0724999999999998</v>
      </c>
      <c r="O11" s="35">
        <f>Price!O11/'Price D Coupon'!O$5</f>
        <v>5.21</v>
      </c>
      <c r="P11" s="35">
        <f>Price!P11/'Price D Coupon'!P$5</f>
        <v>5.6150000000000002</v>
      </c>
      <c r="Q11" s="35">
        <f>Price!Q11/'Price D Coupon'!Q$5</f>
        <v>6.1124999999999998</v>
      </c>
      <c r="R11" s="35">
        <f>Price!R11/'Price D Coupon'!R$5</f>
        <v>0</v>
      </c>
      <c r="S11" s="35">
        <f>Price!S11/'Price D Coupon'!S$5</f>
        <v>0</v>
      </c>
      <c r="T11" s="35">
        <f>Price!T11/'Price D Coupon'!T$5</f>
        <v>0</v>
      </c>
      <c r="U11" s="35">
        <f>Price!U11/'Price D Coupon'!U$5</f>
        <v>0</v>
      </c>
      <c r="V11" s="35">
        <f>Price!V11/'Price D Coupon'!V$5</f>
        <v>0</v>
      </c>
      <c r="W11" s="35">
        <f>Price!W11/'Price D Coupon'!W$5</f>
        <v>0</v>
      </c>
      <c r="X11" s="35">
        <f>Price!X11/'Price D Coupon'!X$5</f>
        <v>0</v>
      </c>
      <c r="Y11" s="35">
        <f>Price!Y11/'Price D Coupon'!Y$5</f>
        <v>0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8.31</v>
      </c>
      <c r="H12" s="35">
        <f>Price!H12/'Price D Coupon'!H$5</f>
        <v>8.5766666666666662</v>
      </c>
      <c r="I12" s="35">
        <f>Price!I12/'Price D Coupon'!I$5</f>
        <v>6.6628571428571428</v>
      </c>
      <c r="J12" s="35">
        <f>Price!J12/'Price D Coupon'!J$5</f>
        <v>7.1628571428571428</v>
      </c>
      <c r="K12" s="35">
        <f>Price!K12/'Price D Coupon'!K$5</f>
        <v>6.4799999999999995</v>
      </c>
      <c r="L12" s="35">
        <f>Price!L12/'Price D Coupon'!L$5</f>
        <v>7.2542857142857144</v>
      </c>
      <c r="M12" s="35">
        <f>Price!M12/'Price D Coupon'!M$5</f>
        <v>5.7149999999999999</v>
      </c>
      <c r="N12" s="35">
        <f>Price!N12/'Price D Coupon'!N$5</f>
        <v>4.8375000000000004</v>
      </c>
      <c r="O12" s="35">
        <f>Price!O12/'Price D Coupon'!O$5</f>
        <v>5</v>
      </c>
      <c r="P12" s="35">
        <f>Price!P12/'Price D Coupon'!P$5</f>
        <v>5.46</v>
      </c>
      <c r="Q12" s="35">
        <f>Price!Q12/'Price D Coupon'!Q$5</f>
        <v>5.78</v>
      </c>
      <c r="R12" s="35">
        <f>Price!R12/'Price D Coupon'!R$5</f>
        <v>0</v>
      </c>
      <c r="S12" s="35">
        <f>Price!S12/'Price D Coupon'!S$5</f>
        <v>0</v>
      </c>
      <c r="T12" s="35">
        <f>Price!T12/'Price D Coupon'!T$5</f>
        <v>0</v>
      </c>
      <c r="U12" s="35">
        <f>Price!U12/'Price D Coupon'!U$5</f>
        <v>0</v>
      </c>
      <c r="V12" s="35">
        <f>Price!V12/'Price D Coupon'!V$5</f>
        <v>0</v>
      </c>
      <c r="W12" s="35">
        <f>Price!W12/'Price D Coupon'!W$5</f>
        <v>0</v>
      </c>
      <c r="X12" s="35">
        <f>Price!X12/'Price D Coupon'!X$5</f>
        <v>0</v>
      </c>
      <c r="Y12" s="35">
        <f>Price!Y12/'Price D Coupon'!Y$5</f>
        <v>0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7.3533333333333326</v>
      </c>
      <c r="H13" s="35">
        <f>Price!H13/'Price D Coupon'!H$5</f>
        <v>7.09</v>
      </c>
      <c r="I13" s="35">
        <f>Price!I13/'Price D Coupon'!I$5</f>
        <v>5.5257142857142858</v>
      </c>
      <c r="J13" s="35">
        <f>Price!J13/'Price D Coupon'!J$5</f>
        <v>5.3</v>
      </c>
      <c r="K13" s="35">
        <f>Price!K13/'Price D Coupon'!K$5</f>
        <v>4.8171428571428567</v>
      </c>
      <c r="L13" s="35">
        <f>Price!L13/'Price D Coupon'!L$5</f>
        <v>5.5942857142857134</v>
      </c>
      <c r="M13" s="35">
        <f>Price!M13/'Price D Coupon'!M$5</f>
        <v>4.3550000000000004</v>
      </c>
      <c r="N13" s="35">
        <f>Price!N13/'Price D Coupon'!N$5</f>
        <v>4.0175000000000001</v>
      </c>
      <c r="O13" s="35">
        <f>Price!O13/'Price D Coupon'!O$5</f>
        <v>4.3600000000000003</v>
      </c>
      <c r="P13" s="35">
        <f>Price!P13/'Price D Coupon'!P$5</f>
        <v>4.9924999999999997</v>
      </c>
      <c r="Q13" s="35">
        <f>Price!Q13/'Price D Coupon'!Q$5</f>
        <v>4.7149999999999999</v>
      </c>
      <c r="R13" s="35">
        <f>Price!R13/'Price D Coupon'!R$5</f>
        <v>0</v>
      </c>
      <c r="S13" s="35">
        <f>Price!S13/'Price D Coupon'!S$5</f>
        <v>0</v>
      </c>
      <c r="T13" s="35">
        <f>Price!T13/'Price D Coupon'!T$5</f>
        <v>0</v>
      </c>
      <c r="U13" s="35">
        <f>Price!U13/'Price D Coupon'!U$5</f>
        <v>0</v>
      </c>
      <c r="V13" s="35">
        <f>Price!V13/'Price D Coupon'!V$5</f>
        <v>0</v>
      </c>
      <c r="W13" s="35">
        <f>Price!W13/'Price D Coupon'!W$5</f>
        <v>0</v>
      </c>
      <c r="X13" s="35">
        <f>Price!X13/'Price D Coupon'!X$5</f>
        <v>0</v>
      </c>
      <c r="Y13" s="35">
        <f>Price!Y13/'Price D Coupon'!Y$5</f>
        <v>0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6.1400000000000006</v>
      </c>
      <c r="H14" s="35">
        <f>Price!H14/'Price D Coupon'!H$5</f>
        <v>5.6400000000000006</v>
      </c>
      <c r="I14" s="35">
        <f>Price!I14/'Price D Coupon'!I$5</f>
        <v>4.2685714285714287</v>
      </c>
      <c r="J14" s="35">
        <f>Price!J14/'Price D Coupon'!J$5</f>
        <v>4.3342857142857145</v>
      </c>
      <c r="K14" s="35">
        <f>Price!K14/'Price D Coupon'!K$5</f>
        <v>3.8028571428571429</v>
      </c>
      <c r="L14" s="35">
        <f>Price!L14/'Price D Coupon'!L$5</f>
        <v>4.765714285714286</v>
      </c>
      <c r="M14" s="35">
        <f>Price!M14/'Price D Coupon'!M$5</f>
        <v>3.585</v>
      </c>
      <c r="N14" s="35">
        <f>Price!N14/'Price D Coupon'!N$5</f>
        <v>3.2675000000000001</v>
      </c>
      <c r="O14" s="35">
        <f>Price!O14/'Price D Coupon'!O$5</f>
        <v>3.6724999999999999</v>
      </c>
      <c r="P14" s="35">
        <f>Price!P14/'Price D Coupon'!P$5</f>
        <v>4.3600000000000003</v>
      </c>
      <c r="Q14" s="35">
        <f>Price!Q14/'Price D Coupon'!Q$5</f>
        <v>3.875</v>
      </c>
      <c r="R14" s="35">
        <f>Price!R14/'Price D Coupon'!R$5</f>
        <v>0</v>
      </c>
      <c r="S14" s="35">
        <f>Price!S14/'Price D Coupon'!S$5</f>
        <v>0</v>
      </c>
      <c r="T14" s="35">
        <f>Price!T14/'Price D Coupon'!T$5</f>
        <v>0</v>
      </c>
      <c r="U14" s="35">
        <f>Price!U14/'Price D Coupon'!U$5</f>
        <v>0</v>
      </c>
      <c r="V14" s="35">
        <f>Price!V14/'Price D Coupon'!V$5</f>
        <v>0</v>
      </c>
      <c r="W14" s="35">
        <f>Price!W14/'Price D Coupon'!W$5</f>
        <v>0</v>
      </c>
      <c r="X14" s="35">
        <f>Price!X14/'Price D Coupon'!X$5</f>
        <v>0</v>
      </c>
      <c r="Y14" s="35">
        <f>Price!Y14/'Price D Coupon'!Y$5</f>
        <v>0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6.0366666666666662</v>
      </c>
      <c r="H15" s="35">
        <f>Price!H15/'Price D Coupon'!H$5</f>
        <v>5.5666666666666664</v>
      </c>
      <c r="I15" s="35">
        <f>Price!I15/'Price D Coupon'!I$5</f>
        <v>4.362857142857143</v>
      </c>
      <c r="J15" s="35">
        <f>Price!J15/'Price D Coupon'!J$5</f>
        <v>4.6742857142857144</v>
      </c>
      <c r="K15" s="35">
        <f>Price!K15/'Price D Coupon'!K$5</f>
        <v>4.04</v>
      </c>
      <c r="L15" s="35">
        <f>Price!L15/'Price D Coupon'!L$5</f>
        <v>5.5028571428571436</v>
      </c>
      <c r="M15" s="35">
        <f>Price!M15/'Price D Coupon'!M$5</f>
        <v>4.26</v>
      </c>
      <c r="N15" s="35">
        <f>Price!N15/'Price D Coupon'!N$5</f>
        <v>3.2475000000000001</v>
      </c>
      <c r="O15" s="35">
        <f>Price!O15/'Price D Coupon'!O$5</f>
        <v>3.61</v>
      </c>
      <c r="P15" s="35">
        <f>Price!P15/'Price D Coupon'!P$5</f>
        <v>4.2175000000000002</v>
      </c>
      <c r="Q15" s="35">
        <f>Price!Q15/'Price D Coupon'!Q$5</f>
        <v>4.03</v>
      </c>
      <c r="R15" s="35">
        <f>Price!R15/'Price D Coupon'!R$5</f>
        <v>0</v>
      </c>
      <c r="S15" s="35">
        <f>Price!S15/'Price D Coupon'!S$5</f>
        <v>0</v>
      </c>
      <c r="T15" s="35">
        <f>Price!T15/'Price D Coupon'!T$5</f>
        <v>0</v>
      </c>
      <c r="U15" s="35">
        <f>Price!U15/'Price D Coupon'!U$5</f>
        <v>0</v>
      </c>
      <c r="V15" s="35">
        <f>Price!V15/'Price D Coupon'!V$5</f>
        <v>0</v>
      </c>
      <c r="W15" s="35">
        <f>Price!W15/'Price D Coupon'!W$5</f>
        <v>0</v>
      </c>
      <c r="X15" s="35">
        <f>Price!X15/'Price D Coupon'!X$5</f>
        <v>0</v>
      </c>
      <c r="Y15" s="35">
        <f>Price!Y15/'Price D Coupon'!Y$5</f>
        <v>0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5.8933333333333335</v>
      </c>
      <c r="H16" s="35">
        <f>Price!H16/'Price D Coupon'!H$5</f>
        <v>5.41</v>
      </c>
      <c r="I16" s="35">
        <f>Price!I16/'Price D Coupon'!I$5</f>
        <v>4.0914285714285716</v>
      </c>
      <c r="J16" s="35">
        <f>Price!J16/'Price D Coupon'!J$5</f>
        <v>4.782857142857142</v>
      </c>
      <c r="K16" s="35">
        <f>Price!K16/'Price D Coupon'!K$5</f>
        <v>3.9514285714285715</v>
      </c>
      <c r="L16" s="35">
        <f>Price!L16/'Price D Coupon'!L$5</f>
        <v>5.6914285714285722</v>
      </c>
      <c r="M16" s="35">
        <f>Price!M16/'Price D Coupon'!M$5</f>
        <v>4.3425000000000002</v>
      </c>
      <c r="N16" s="35">
        <f>Price!N16/'Price D Coupon'!N$5</f>
        <v>3.4075000000000002</v>
      </c>
      <c r="O16" s="35">
        <f>Price!O16/'Price D Coupon'!O$5</f>
        <v>3.8675000000000002</v>
      </c>
      <c r="P16" s="35">
        <f>Price!P16/'Price D Coupon'!P$5</f>
        <v>4.4375</v>
      </c>
      <c r="Q16" s="35">
        <f>Price!Q16/'Price D Coupon'!Q$5</f>
        <v>4.0724999999999998</v>
      </c>
      <c r="R16" s="35">
        <f>Price!R16/'Price D Coupon'!R$5</f>
        <v>0</v>
      </c>
      <c r="S16" s="35">
        <f>Price!S16/'Price D Coupon'!S$5</f>
        <v>0</v>
      </c>
      <c r="T16" s="35">
        <f>Price!T16/'Price D Coupon'!T$5</f>
        <v>0</v>
      </c>
      <c r="U16" s="35">
        <f>Price!U16/'Price D Coupon'!U$5</f>
        <v>0</v>
      </c>
      <c r="V16" s="35">
        <f>Price!V16/'Price D Coupon'!V$5</f>
        <v>0</v>
      </c>
      <c r="W16" s="35">
        <f>Price!W16/'Price D Coupon'!W$5</f>
        <v>0</v>
      </c>
      <c r="X16" s="35">
        <f>Price!X16/'Price D Coupon'!X$5</f>
        <v>0</v>
      </c>
      <c r="Y16" s="35">
        <f>Price!Y16/'Price D Coupon'!Y$5</f>
        <v>0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5.73</v>
      </c>
      <c r="H17" s="35">
        <f>Price!H17/'Price D Coupon'!H$5</f>
        <v>5.28</v>
      </c>
      <c r="I17" s="35">
        <f>Price!I17/'Price D Coupon'!I$5</f>
        <v>3.8971428571428572</v>
      </c>
      <c r="J17" s="35">
        <f>Price!J17/'Price D Coupon'!J$5</f>
        <v>4.78</v>
      </c>
      <c r="K17" s="35">
        <f>Price!K17/'Price D Coupon'!K$5</f>
        <v>3.8657142857142857</v>
      </c>
      <c r="L17" s="35">
        <f>Price!L17/'Price D Coupon'!L$5</f>
        <v>5.6714285714285717</v>
      </c>
      <c r="M17" s="35">
        <f>Price!M17/'Price D Coupon'!M$5</f>
        <v>4.2324999999999999</v>
      </c>
      <c r="N17" s="35">
        <f>Price!N17/'Price D Coupon'!N$5</f>
        <v>3.22</v>
      </c>
      <c r="O17" s="35">
        <f>Price!O17/'Price D Coupon'!O$5</f>
        <v>3.7524999999999999</v>
      </c>
      <c r="P17" s="35">
        <f>Price!P17/'Price D Coupon'!P$5</f>
        <v>4.34</v>
      </c>
      <c r="Q17" s="35">
        <f>Price!Q17/'Price D Coupon'!Q$5</f>
        <v>3.9750000000000001</v>
      </c>
      <c r="R17" s="35">
        <f>Price!R17/'Price D Coupon'!R$5</f>
        <v>0</v>
      </c>
      <c r="S17" s="35">
        <f>Price!S17/'Price D Coupon'!S$5</f>
        <v>0</v>
      </c>
      <c r="T17" s="35">
        <f>Price!T17/'Price D Coupon'!T$5</f>
        <v>0</v>
      </c>
      <c r="U17" s="35">
        <f>Price!U17/'Price D Coupon'!U$5</f>
        <v>0</v>
      </c>
      <c r="V17" s="35">
        <f>Price!V17/'Price D Coupon'!V$5</f>
        <v>0</v>
      </c>
      <c r="W17" s="35">
        <f>Price!W17/'Price D Coupon'!W$5</f>
        <v>0</v>
      </c>
      <c r="X17" s="35">
        <f>Price!X17/'Price D Coupon'!X$5</f>
        <v>0</v>
      </c>
      <c r="Y17" s="35">
        <f>Price!Y17/'Price D Coupon'!Y$5</f>
        <v>0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5.3533333333333326</v>
      </c>
      <c r="H18" s="35">
        <f>Price!H18/'Price D Coupon'!H$5</f>
        <v>4.8466666666666667</v>
      </c>
      <c r="I18" s="35">
        <f>Price!I18/'Price D Coupon'!I$5</f>
        <v>3.4342857142857142</v>
      </c>
      <c r="J18" s="35">
        <f>Price!J18/'Price D Coupon'!J$5</f>
        <v>4.3542857142857141</v>
      </c>
      <c r="K18" s="35">
        <f>Price!K18/'Price D Coupon'!K$5</f>
        <v>3.4742857142857142</v>
      </c>
      <c r="L18" s="35">
        <f>Price!L18/'Price D Coupon'!L$5</f>
        <v>5.1285714285714281</v>
      </c>
      <c r="M18" s="35">
        <f>Price!M18/'Price D Coupon'!M$5</f>
        <v>3.7774999999999999</v>
      </c>
      <c r="N18" s="35">
        <f>Price!N18/'Price D Coupon'!N$5</f>
        <v>3.1274999999999999</v>
      </c>
      <c r="O18" s="35">
        <f>Price!O18/'Price D Coupon'!O$5</f>
        <v>3.5750000000000002</v>
      </c>
      <c r="P18" s="35">
        <f>Price!P18/'Price D Coupon'!P$5</f>
        <v>4.21</v>
      </c>
      <c r="Q18" s="35">
        <f>Price!Q18/'Price D Coupon'!Q$5</f>
        <v>3.6675</v>
      </c>
      <c r="R18" s="35">
        <f>Price!R18/'Price D Coupon'!R$5</f>
        <v>0</v>
      </c>
      <c r="S18" s="35">
        <f>Price!S18/'Price D Coupon'!S$5</f>
        <v>0</v>
      </c>
      <c r="T18" s="35">
        <f>Price!T18/'Price D Coupon'!T$5</f>
        <v>0</v>
      </c>
      <c r="U18" s="35">
        <f>Price!U18/'Price D Coupon'!U$5</f>
        <v>0</v>
      </c>
      <c r="V18" s="35">
        <f>Price!V18/'Price D Coupon'!V$5</f>
        <v>0</v>
      </c>
      <c r="W18" s="35">
        <f>Price!W18/'Price D Coupon'!W$5</f>
        <v>0</v>
      </c>
      <c r="X18" s="35">
        <f>Price!X18/'Price D Coupon'!X$5</f>
        <v>0</v>
      </c>
      <c r="Y18" s="35">
        <f>Price!Y18/'Price D Coupon'!Y$5</f>
        <v>0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5.9666666666666659</v>
      </c>
      <c r="H19" s="35">
        <f>Price!H19/'Price D Coupon'!H$5</f>
        <v>5.6133333333333333</v>
      </c>
      <c r="I19" s="35">
        <f>Price!I19/'Price D Coupon'!I$5</f>
        <v>3.8942857142857146</v>
      </c>
      <c r="J19" s="35">
        <f>Price!J19/'Price D Coupon'!J$5</f>
        <v>4.9171428571428573</v>
      </c>
      <c r="K19" s="35">
        <f>Price!K19/'Price D Coupon'!K$5</f>
        <v>3.9285714285714284</v>
      </c>
      <c r="L19" s="35">
        <f>Price!L19/'Price D Coupon'!L$5</f>
        <v>5.6514285714285721</v>
      </c>
      <c r="M19" s="35">
        <f>Price!M19/'Price D Coupon'!M$5</f>
        <v>4.1624999999999996</v>
      </c>
      <c r="N19" s="35">
        <f>Price!N19/'Price D Coupon'!N$5</f>
        <v>3.355</v>
      </c>
      <c r="O19" s="35">
        <f>Price!O19/'Price D Coupon'!O$5</f>
        <v>3.8650000000000002</v>
      </c>
      <c r="P19" s="35">
        <f>Price!P19/'Price D Coupon'!P$5</f>
        <v>4.4424999999999999</v>
      </c>
      <c r="Q19" s="35">
        <f>Price!Q19/'Price D Coupon'!Q$5</f>
        <v>4.0599999999999996</v>
      </c>
      <c r="R19" s="35">
        <f>Price!R19/'Price D Coupon'!R$5</f>
        <v>0</v>
      </c>
      <c r="S19" s="35">
        <f>Price!S19/'Price D Coupon'!S$5</f>
        <v>0</v>
      </c>
      <c r="T19" s="35">
        <f>Price!T19/'Price D Coupon'!T$5</f>
        <v>0</v>
      </c>
      <c r="U19" s="35">
        <f>Price!U19/'Price D Coupon'!U$5</f>
        <v>0</v>
      </c>
      <c r="V19" s="35">
        <f>Price!V19/'Price D Coupon'!V$5</f>
        <v>0</v>
      </c>
      <c r="W19" s="35">
        <f>Price!W19/'Price D Coupon'!W$5</f>
        <v>0</v>
      </c>
      <c r="X19" s="35">
        <f>Price!X19/'Price D Coupon'!X$5</f>
        <v>0</v>
      </c>
      <c r="Y19" s="35">
        <f>Price!Y19/'Price D Coupon'!Y$5</f>
        <v>0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6.5533333333333337</v>
      </c>
      <c r="H20" s="35">
        <f>Price!H20/'Price D Coupon'!H$5</f>
        <v>6.793333333333333</v>
      </c>
      <c r="I20" s="35">
        <f>Price!I20/'Price D Coupon'!I$5</f>
        <v>5.38</v>
      </c>
      <c r="J20" s="35">
        <f>Price!J20/'Price D Coupon'!J$5</f>
        <v>4.491428571428572</v>
      </c>
      <c r="K20" s="35">
        <f>Price!K20/'Price D Coupon'!K$5</f>
        <v>5.9228571428571426</v>
      </c>
      <c r="L20" s="35">
        <f>Price!L20/'Price D Coupon'!L$5</f>
        <v>5.3742857142857137</v>
      </c>
      <c r="M20" s="35">
        <f>Price!M20/'Price D Coupon'!M$5</f>
        <v>3.8325</v>
      </c>
      <c r="N20" s="35">
        <f>Price!N20/'Price D Coupon'!N$5</f>
        <v>5.3550000000000004</v>
      </c>
      <c r="O20" s="35">
        <f>Price!O20/'Price D Coupon'!O$5</f>
        <v>4.6275000000000004</v>
      </c>
      <c r="P20" s="35">
        <f>Price!P20/'Price D Coupon'!P$5</f>
        <v>3.53</v>
      </c>
      <c r="Q20" s="35">
        <f>Price!Q20/'Price D Coupon'!Q$5</f>
        <v>4.0750000000000002</v>
      </c>
      <c r="R20" s="35">
        <f>Price!R20/'Price D Coupon'!R$5</f>
        <v>4.1288888888888886</v>
      </c>
      <c r="S20" s="35">
        <f>Price!S20/'Price D Coupon'!S$5</f>
        <v>4.0444444444444443</v>
      </c>
      <c r="T20" s="35">
        <f>Price!T20/'Price D Coupon'!T$5</f>
        <v>0</v>
      </c>
      <c r="U20" s="35">
        <f>Price!U20/'Price D Coupon'!U$5</f>
        <v>0</v>
      </c>
      <c r="V20" s="35">
        <f>Price!V20/'Price D Coupon'!V$5</f>
        <v>0</v>
      </c>
      <c r="W20" s="35">
        <f>Price!W20/'Price D Coupon'!W$5</f>
        <v>0</v>
      </c>
      <c r="X20" s="35">
        <f>Price!X20/'Price D Coupon'!X$5</f>
        <v>0</v>
      </c>
      <c r="Y20" s="35">
        <f>Price!Y20/'Price D Coupon'!Y$5</f>
        <v>0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6.1033333333333326</v>
      </c>
      <c r="H21" s="35">
        <f>Price!H21/'Price D Coupon'!H$5</f>
        <v>6.3566666666666665</v>
      </c>
      <c r="I21" s="35">
        <f>Price!I21/'Price D Coupon'!I$5</f>
        <v>5.0114285714285716</v>
      </c>
      <c r="J21" s="35">
        <f>Price!J21/'Price D Coupon'!J$5</f>
        <v>4.1457142857142859</v>
      </c>
      <c r="K21" s="35">
        <f>Price!K21/'Price D Coupon'!K$5</f>
        <v>5.54</v>
      </c>
      <c r="L21" s="35">
        <f>Price!L21/'Price D Coupon'!L$5</f>
        <v>4.9828571428571431</v>
      </c>
      <c r="M21" s="35">
        <f>Price!M21/'Price D Coupon'!M$5</f>
        <v>3.52</v>
      </c>
      <c r="N21" s="35">
        <f>Price!N21/'Price D Coupon'!N$5</f>
        <v>5.18</v>
      </c>
      <c r="O21" s="35">
        <f>Price!O21/'Price D Coupon'!O$5</f>
        <v>4.4649999999999999</v>
      </c>
      <c r="P21" s="35">
        <f>Price!P21/'Price D Coupon'!P$5</f>
        <v>3.3849999999999998</v>
      </c>
      <c r="Q21" s="35">
        <f>Price!Q21/'Price D Coupon'!Q$5</f>
        <v>3.9075000000000002</v>
      </c>
      <c r="R21" s="35">
        <f>Price!R21/'Price D Coupon'!R$5</f>
        <v>4.2466666666666661</v>
      </c>
      <c r="S21" s="35">
        <f>Price!S21/'Price D Coupon'!S$5</f>
        <v>3.8377777777777777</v>
      </c>
      <c r="T21" s="35">
        <f>Price!T21/'Price D Coupon'!T$5</f>
        <v>0</v>
      </c>
      <c r="U21" s="35">
        <f>Price!U21/'Price D Coupon'!U$5</f>
        <v>0</v>
      </c>
      <c r="V21" s="35">
        <f>Price!V21/'Price D Coupon'!V$5</f>
        <v>0</v>
      </c>
      <c r="W21" s="35">
        <f>Price!W21/'Price D Coupon'!W$5</f>
        <v>0</v>
      </c>
      <c r="X21" s="35">
        <f>Price!X21/'Price D Coupon'!X$5</f>
        <v>0</v>
      </c>
      <c r="Y21" s="35">
        <f>Price!Y21/'Price D Coupon'!Y$5</f>
        <v>0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5.14</v>
      </c>
      <c r="H22" s="35">
        <f>Price!H22/'Price D Coupon'!H$5</f>
        <v>5.57</v>
      </c>
      <c r="I22" s="35">
        <f>Price!I22/'Price D Coupon'!I$5</f>
        <v>4.2914285714285709</v>
      </c>
      <c r="J22" s="35">
        <f>Price!J22/'Price D Coupon'!J$5</f>
        <v>3.4</v>
      </c>
      <c r="K22" s="35">
        <f>Price!K22/'Price D Coupon'!K$5</f>
        <v>4.9257142857142853</v>
      </c>
      <c r="L22" s="35">
        <f>Price!L22/'Price D Coupon'!L$5</f>
        <v>4.362857142857143</v>
      </c>
      <c r="M22" s="35">
        <f>Price!M22/'Price D Coupon'!M$5</f>
        <v>3.0325000000000002</v>
      </c>
      <c r="N22" s="35">
        <f>Price!N22/'Price D Coupon'!N$5</f>
        <v>4.6875</v>
      </c>
      <c r="O22" s="35">
        <f>Price!O22/'Price D Coupon'!O$5</f>
        <v>3.9950000000000001</v>
      </c>
      <c r="P22" s="35">
        <f>Price!P22/'Price D Coupon'!P$5</f>
        <v>3.0449999999999999</v>
      </c>
      <c r="Q22" s="35">
        <f>Price!Q22/'Price D Coupon'!Q$5</f>
        <v>3.5474999999999999</v>
      </c>
      <c r="R22" s="35">
        <f>Price!R22/'Price D Coupon'!R$5</f>
        <v>4.068888888888889</v>
      </c>
      <c r="S22" s="35">
        <f>Price!S22/'Price D Coupon'!S$5</f>
        <v>3.391111111111111</v>
      </c>
      <c r="T22" s="35">
        <f>Price!T22/'Price D Coupon'!T$5</f>
        <v>0</v>
      </c>
      <c r="U22" s="35">
        <f>Price!U22/'Price D Coupon'!U$5</f>
        <v>0</v>
      </c>
      <c r="V22" s="35">
        <f>Price!V22/'Price D Coupon'!V$5</f>
        <v>0</v>
      </c>
      <c r="W22" s="35">
        <f>Price!W22/'Price D Coupon'!W$5</f>
        <v>0</v>
      </c>
      <c r="X22" s="35">
        <f>Price!X22/'Price D Coupon'!X$5</f>
        <v>0</v>
      </c>
      <c r="Y22" s="35">
        <f>Price!Y22/'Price D Coupon'!Y$5</f>
        <v>0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5.28</v>
      </c>
      <c r="H23" s="35">
        <f>Price!H23/'Price D Coupon'!H$5</f>
        <v>5.47</v>
      </c>
      <c r="I23" s="35">
        <f>Price!I23/'Price D Coupon'!I$5</f>
        <v>4.4085714285714284</v>
      </c>
      <c r="J23" s="35">
        <f>Price!J23/'Price D Coupon'!J$5</f>
        <v>3.577142857142857</v>
      </c>
      <c r="K23" s="35">
        <f>Price!K23/'Price D Coupon'!K$5</f>
        <v>4.9514285714285711</v>
      </c>
      <c r="L23" s="35">
        <f>Price!L23/'Price D Coupon'!L$5</f>
        <v>4.5057142857142853</v>
      </c>
      <c r="M23" s="35">
        <f>Price!M23/'Price D Coupon'!M$5</f>
        <v>3.2425000000000002</v>
      </c>
      <c r="N23" s="35">
        <f>Price!N23/'Price D Coupon'!N$5</f>
        <v>4.76</v>
      </c>
      <c r="O23" s="35">
        <f>Price!O23/'Price D Coupon'!O$5</f>
        <v>4.0975000000000001</v>
      </c>
      <c r="P23" s="35">
        <f>Price!P23/'Price D Coupon'!P$5</f>
        <v>3.0775000000000001</v>
      </c>
      <c r="Q23" s="35">
        <f>Price!Q23/'Price D Coupon'!Q$5</f>
        <v>3.5175000000000001</v>
      </c>
      <c r="R23" s="35">
        <f>Price!R23/'Price D Coupon'!R$5</f>
        <v>3.9666666666666668</v>
      </c>
      <c r="S23" s="35">
        <f>Price!S23/'Price D Coupon'!S$5</f>
        <v>3.4422222222222221</v>
      </c>
      <c r="T23" s="35">
        <f>Price!T23/'Price D Coupon'!T$5</f>
        <v>0</v>
      </c>
      <c r="U23" s="35">
        <f>Price!U23/'Price D Coupon'!U$5</f>
        <v>0</v>
      </c>
      <c r="V23" s="35">
        <f>Price!V23/'Price D Coupon'!V$5</f>
        <v>0</v>
      </c>
      <c r="W23" s="35">
        <f>Price!W23/'Price D Coupon'!W$5</f>
        <v>0</v>
      </c>
      <c r="X23" s="35">
        <f>Price!X23/'Price D Coupon'!X$5</f>
        <v>0</v>
      </c>
      <c r="Y23" s="35">
        <f>Price!Y23/'Price D Coupon'!Y$5</f>
        <v>0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4.6100000000000003</v>
      </c>
      <c r="H24" s="35">
        <f>Price!H24/'Price D Coupon'!H$5</f>
        <v>5.0766666666666671</v>
      </c>
      <c r="I24" s="35">
        <f>Price!I24/'Price D Coupon'!I$5</f>
        <v>4.2028571428571428</v>
      </c>
      <c r="J24" s="35">
        <f>Price!J24/'Price D Coupon'!J$5</f>
        <v>3.4885714285714289</v>
      </c>
      <c r="K24" s="35">
        <f>Price!K24/'Price D Coupon'!K$5</f>
        <v>5.0314285714285711</v>
      </c>
      <c r="L24" s="35">
        <f>Price!L24/'Price D Coupon'!L$5</f>
        <v>4.5200000000000005</v>
      </c>
      <c r="M24" s="35">
        <f>Price!M24/'Price D Coupon'!M$5</f>
        <v>3.2825000000000002</v>
      </c>
      <c r="N24" s="35">
        <f>Price!N24/'Price D Coupon'!N$5</f>
        <v>4.7350000000000003</v>
      </c>
      <c r="O24" s="35">
        <f>Price!O24/'Price D Coupon'!O$5</f>
        <v>4.0625</v>
      </c>
      <c r="P24" s="35">
        <f>Price!P24/'Price D Coupon'!P$5</f>
        <v>3.0674999999999999</v>
      </c>
      <c r="Q24" s="35">
        <f>Price!Q24/'Price D Coupon'!Q$5</f>
        <v>3.4725000000000001</v>
      </c>
      <c r="R24" s="35">
        <f>Price!R24/'Price D Coupon'!R$5</f>
        <v>4.0244444444444447</v>
      </c>
      <c r="S24" s="35">
        <f>Price!S24/'Price D Coupon'!S$5</f>
        <v>3.3711111111111109</v>
      </c>
      <c r="T24" s="35">
        <f>Price!T24/'Price D Coupon'!T$5</f>
        <v>0</v>
      </c>
      <c r="U24" s="35">
        <f>Price!U24/'Price D Coupon'!U$5</f>
        <v>0</v>
      </c>
      <c r="V24" s="35">
        <f>Price!V24/'Price D Coupon'!V$5</f>
        <v>0</v>
      </c>
      <c r="W24" s="35">
        <f>Price!W24/'Price D Coupon'!W$5</f>
        <v>0</v>
      </c>
      <c r="X24" s="35">
        <f>Price!X24/'Price D Coupon'!X$5</f>
        <v>0</v>
      </c>
      <c r="Y24" s="35">
        <f>Price!Y24/'Price D Coupon'!Y$5</f>
        <v>0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4.9833333333333334</v>
      </c>
      <c r="H25" s="35">
        <f>Price!H25/'Price D Coupon'!H$5</f>
        <v>5.5033333333333339</v>
      </c>
      <c r="I25" s="35">
        <f>Price!I25/'Price D Coupon'!I$5</f>
        <v>4.5171428571428569</v>
      </c>
      <c r="J25" s="35">
        <f>Price!J25/'Price D Coupon'!J$5</f>
        <v>3.7828571428571429</v>
      </c>
      <c r="K25" s="35">
        <f>Price!K25/'Price D Coupon'!K$5</f>
        <v>5.2971428571428572</v>
      </c>
      <c r="L25" s="35">
        <f>Price!L25/'Price D Coupon'!L$5</f>
        <v>4.7228571428571433</v>
      </c>
      <c r="M25" s="35">
        <f>Price!M25/'Price D Coupon'!M$5</f>
        <v>3.5150000000000001</v>
      </c>
      <c r="N25" s="35">
        <f>Price!N25/'Price D Coupon'!N$5</f>
        <v>4.96</v>
      </c>
      <c r="O25" s="35">
        <f>Price!O25/'Price D Coupon'!O$5</f>
        <v>4.3775000000000004</v>
      </c>
      <c r="P25" s="35">
        <f>Price!P25/'Price D Coupon'!P$5</f>
        <v>3.19</v>
      </c>
      <c r="Q25" s="35">
        <f>Price!Q25/'Price D Coupon'!Q$5</f>
        <v>3.6150000000000002</v>
      </c>
      <c r="R25" s="35">
        <f>Price!R25/'Price D Coupon'!R$5</f>
        <v>4.0666666666666664</v>
      </c>
      <c r="S25" s="35">
        <f>Price!S25/'Price D Coupon'!S$5</f>
        <v>3.5644444444444443</v>
      </c>
      <c r="T25" s="35">
        <f>Price!T25/'Price D Coupon'!T$5</f>
        <v>0</v>
      </c>
      <c r="U25" s="35">
        <f>Price!U25/'Price D Coupon'!U$5</f>
        <v>0</v>
      </c>
      <c r="V25" s="35">
        <f>Price!V25/'Price D Coupon'!V$5</f>
        <v>0</v>
      </c>
      <c r="W25" s="35">
        <f>Price!W25/'Price D Coupon'!W$5</f>
        <v>0</v>
      </c>
      <c r="X25" s="35">
        <f>Price!X25/'Price D Coupon'!X$5</f>
        <v>0</v>
      </c>
      <c r="Y25" s="35">
        <f>Price!Y25/'Price D Coupon'!Y$5</f>
        <v>0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3.91</v>
      </c>
      <c r="H26" s="35">
        <f>Price!H26/'Price D Coupon'!H$5</f>
        <v>4.59</v>
      </c>
      <c r="I26" s="35">
        <f>Price!I26/'Price D Coupon'!I$5</f>
        <v>3.7571428571428571</v>
      </c>
      <c r="J26" s="35">
        <f>Price!J26/'Price D Coupon'!J$5</f>
        <v>3.2085714285714286</v>
      </c>
      <c r="K26" s="35">
        <f>Price!K26/'Price D Coupon'!K$5</f>
        <v>4.5771428571428574</v>
      </c>
      <c r="L26" s="35">
        <f>Price!L26/'Price D Coupon'!L$5</f>
        <v>4.1114285714285712</v>
      </c>
      <c r="M26" s="35">
        <f>Price!M26/'Price D Coupon'!M$5</f>
        <v>3.1074999999999999</v>
      </c>
      <c r="N26" s="35">
        <f>Price!N26/'Price D Coupon'!N$5</f>
        <v>4.7175000000000002</v>
      </c>
      <c r="O26" s="35">
        <f>Price!O26/'Price D Coupon'!O$5</f>
        <v>4.1749999999999998</v>
      </c>
      <c r="P26" s="35">
        <f>Price!P26/'Price D Coupon'!P$5</f>
        <v>2.9350000000000001</v>
      </c>
      <c r="Q26" s="35">
        <f>Price!Q26/'Price D Coupon'!Q$5</f>
        <v>3.4775</v>
      </c>
      <c r="R26" s="35">
        <f>Price!R26/'Price D Coupon'!R$5</f>
        <v>3.9244444444444446</v>
      </c>
      <c r="S26" s="35">
        <f>Price!S26/'Price D Coupon'!S$5</f>
        <v>3.177777777777778</v>
      </c>
      <c r="T26" s="35">
        <f>Price!T26/'Price D Coupon'!T$5</f>
        <v>0</v>
      </c>
      <c r="U26" s="35">
        <f>Price!U26/'Price D Coupon'!U$5</f>
        <v>0</v>
      </c>
      <c r="V26" s="35">
        <f>Price!V26/'Price D Coupon'!V$5</f>
        <v>0</v>
      </c>
      <c r="W26" s="35">
        <f>Price!W26/'Price D Coupon'!W$5</f>
        <v>0</v>
      </c>
      <c r="X26" s="35">
        <f>Price!X26/'Price D Coupon'!X$5</f>
        <v>0</v>
      </c>
      <c r="Y26" s="35">
        <f>Price!Y26/'Price D Coupon'!Y$5</f>
        <v>0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3.9533333333333331</v>
      </c>
      <c r="H27" s="35">
        <f>Price!H27/'Price D Coupon'!H$5</f>
        <v>4.6333333333333337</v>
      </c>
      <c r="I27" s="35">
        <f>Price!I27/'Price D Coupon'!I$5</f>
        <v>3.8285714285714287</v>
      </c>
      <c r="J27" s="35">
        <f>Price!J27/'Price D Coupon'!J$5</f>
        <v>3.2114285714285713</v>
      </c>
      <c r="K27" s="35">
        <f>Price!K27/'Price D Coupon'!K$5</f>
        <v>4.7428571428571429</v>
      </c>
      <c r="L27" s="35">
        <f>Price!L27/'Price D Coupon'!L$5</f>
        <v>4.3085714285714287</v>
      </c>
      <c r="M27" s="35">
        <f>Price!M27/'Price D Coupon'!M$5</f>
        <v>3.2075</v>
      </c>
      <c r="N27" s="35">
        <f>Price!N27/'Price D Coupon'!N$5</f>
        <v>4.68</v>
      </c>
      <c r="O27" s="35">
        <f>Price!O27/'Price D Coupon'!O$5</f>
        <v>4.1875</v>
      </c>
      <c r="P27" s="35">
        <f>Price!P27/'Price D Coupon'!P$5</f>
        <v>3.0874999999999999</v>
      </c>
      <c r="Q27" s="35">
        <f>Price!Q27/'Price D Coupon'!Q$5</f>
        <v>3.645</v>
      </c>
      <c r="R27" s="35">
        <f>Price!R27/'Price D Coupon'!R$5</f>
        <v>3.98</v>
      </c>
      <c r="S27" s="35">
        <f>Price!S27/'Price D Coupon'!S$5</f>
        <v>3.2444444444444445</v>
      </c>
      <c r="T27" s="35">
        <f>Price!T27/'Price D Coupon'!T$5</f>
        <v>0</v>
      </c>
      <c r="U27" s="35">
        <f>Price!U27/'Price D Coupon'!U$5</f>
        <v>0</v>
      </c>
      <c r="V27" s="35">
        <f>Price!V27/'Price D Coupon'!V$5</f>
        <v>0</v>
      </c>
      <c r="W27" s="35">
        <f>Price!W27/'Price D Coupon'!W$5</f>
        <v>0</v>
      </c>
      <c r="X27" s="35">
        <f>Price!X27/'Price D Coupon'!X$5</f>
        <v>0</v>
      </c>
      <c r="Y27" s="35">
        <f>Price!Y27/'Price D Coupon'!Y$5</f>
        <v>0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4.01</v>
      </c>
      <c r="H28" s="35">
        <f>Price!H28/'Price D Coupon'!H$5</f>
        <v>4.62</v>
      </c>
      <c r="I28" s="35">
        <f>Price!I28/'Price D Coupon'!I$5</f>
        <v>3.7485714285714282</v>
      </c>
      <c r="J28" s="35">
        <f>Price!J28/'Price D Coupon'!J$5</f>
        <v>3.097142857142857</v>
      </c>
      <c r="K28" s="35">
        <f>Price!K28/'Price D Coupon'!K$5</f>
        <v>4.4142857142857137</v>
      </c>
      <c r="L28" s="35">
        <f>Price!L28/'Price D Coupon'!L$5</f>
        <v>4.1228571428571428</v>
      </c>
      <c r="M28" s="35">
        <f>Price!M28/'Price D Coupon'!M$5</f>
        <v>3.0150000000000001</v>
      </c>
      <c r="N28" s="35">
        <f>Price!N28/'Price D Coupon'!N$5</f>
        <v>4.3624999999999998</v>
      </c>
      <c r="O28" s="35">
        <f>Price!O28/'Price D Coupon'!O$5</f>
        <v>3.83</v>
      </c>
      <c r="P28" s="35">
        <f>Price!P28/'Price D Coupon'!P$5</f>
        <v>2.8250000000000002</v>
      </c>
      <c r="Q28" s="35">
        <f>Price!Q28/'Price D Coupon'!Q$5</f>
        <v>3.4075000000000002</v>
      </c>
      <c r="R28" s="35">
        <f>Price!R28/'Price D Coupon'!R$5</f>
        <v>3.7377777777777776</v>
      </c>
      <c r="S28" s="35">
        <f>Price!S28/'Price D Coupon'!S$5</f>
        <v>3.08</v>
      </c>
      <c r="T28" s="35">
        <f>Price!T28/'Price D Coupon'!T$5</f>
        <v>0</v>
      </c>
      <c r="U28" s="35">
        <f>Price!U28/'Price D Coupon'!U$5</f>
        <v>0</v>
      </c>
      <c r="V28" s="35">
        <f>Price!V28/'Price D Coupon'!V$5</f>
        <v>0</v>
      </c>
      <c r="W28" s="35">
        <f>Price!W28/'Price D Coupon'!W$5</f>
        <v>0</v>
      </c>
      <c r="X28" s="35">
        <f>Price!X28/'Price D Coupon'!X$5</f>
        <v>0</v>
      </c>
      <c r="Y28" s="35">
        <f>Price!Y28/'Price D Coupon'!Y$5</f>
        <v>0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4.08</v>
      </c>
      <c r="H29" s="35">
        <f>Price!H29/'Price D Coupon'!H$5</f>
        <v>4.746666666666667</v>
      </c>
      <c r="I29" s="35">
        <f>Price!I29/'Price D Coupon'!I$5</f>
        <v>3.8000000000000003</v>
      </c>
      <c r="J29" s="35">
        <f>Price!J29/'Price D Coupon'!J$5</f>
        <v>3.2342857142857144</v>
      </c>
      <c r="K29" s="35">
        <f>Price!K29/'Price D Coupon'!K$5</f>
        <v>4.597142857142857</v>
      </c>
      <c r="L29" s="35">
        <f>Price!L29/'Price D Coupon'!L$5</f>
        <v>4.2628571428571425</v>
      </c>
      <c r="M29" s="35">
        <f>Price!M29/'Price D Coupon'!M$5</f>
        <v>3.21</v>
      </c>
      <c r="N29" s="35">
        <f>Price!N29/'Price D Coupon'!N$5</f>
        <v>4.4550000000000001</v>
      </c>
      <c r="O29" s="35">
        <f>Price!O29/'Price D Coupon'!O$5</f>
        <v>3.9125000000000001</v>
      </c>
      <c r="P29" s="35">
        <f>Price!P29/'Price D Coupon'!P$5</f>
        <v>2.9975000000000001</v>
      </c>
      <c r="Q29" s="35">
        <f>Price!Q29/'Price D Coupon'!Q$5</f>
        <v>3.5750000000000002</v>
      </c>
      <c r="R29" s="35">
        <f>Price!R29/'Price D Coupon'!R$5</f>
        <v>3.8511111111111109</v>
      </c>
      <c r="S29" s="35">
        <f>Price!S29/'Price D Coupon'!S$5</f>
        <v>3.1866666666666665</v>
      </c>
      <c r="T29" s="35">
        <f>Price!T29/'Price D Coupon'!T$5</f>
        <v>0</v>
      </c>
      <c r="U29" s="35">
        <f>Price!U29/'Price D Coupon'!U$5</f>
        <v>0</v>
      </c>
      <c r="V29" s="35">
        <f>Price!V29/'Price D Coupon'!V$5</f>
        <v>0</v>
      </c>
      <c r="W29" s="35">
        <f>Price!W29/'Price D Coupon'!W$5</f>
        <v>0</v>
      </c>
      <c r="X29" s="35">
        <f>Price!X29/'Price D Coupon'!X$5</f>
        <v>0</v>
      </c>
      <c r="Y29" s="35">
        <f>Price!Y29/'Price D Coupon'!Y$5</f>
        <v>0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4.9366666666666665</v>
      </c>
      <c r="H30" s="35">
        <f>Price!H30/'Price D Coupon'!H$5</f>
        <v>5.46</v>
      </c>
      <c r="I30" s="35">
        <f>Price!I30/'Price D Coupon'!I$5</f>
        <v>4.3914285714285715</v>
      </c>
      <c r="J30" s="35">
        <f>Price!J30/'Price D Coupon'!J$5</f>
        <v>3.7342857142857144</v>
      </c>
      <c r="K30" s="35">
        <f>Price!K30/'Price D Coupon'!K$5</f>
        <v>4.9914285714285711</v>
      </c>
      <c r="L30" s="35">
        <f>Price!L30/'Price D Coupon'!L$5</f>
        <v>4.6257142857142863</v>
      </c>
      <c r="M30" s="35">
        <f>Price!M30/'Price D Coupon'!M$5</f>
        <v>3.41</v>
      </c>
      <c r="N30" s="35">
        <f>Price!N30/'Price D Coupon'!N$5</f>
        <v>4.53</v>
      </c>
      <c r="O30" s="35">
        <f>Price!O30/'Price D Coupon'!O$5</f>
        <v>3.98</v>
      </c>
      <c r="P30" s="35">
        <f>Price!P30/'Price D Coupon'!P$5</f>
        <v>3.0225</v>
      </c>
      <c r="Q30" s="35">
        <f>Price!Q30/'Price D Coupon'!Q$5</f>
        <v>3.4725000000000001</v>
      </c>
      <c r="R30" s="35">
        <f>Price!R30/'Price D Coupon'!R$5</f>
        <v>3.7088888888888891</v>
      </c>
      <c r="S30" s="35">
        <f>Price!S30/'Price D Coupon'!S$5</f>
        <v>3.4000000000000004</v>
      </c>
      <c r="T30" s="35">
        <f>Price!T30/'Price D Coupon'!T$5</f>
        <v>0</v>
      </c>
      <c r="U30" s="35">
        <f>Price!U30/'Price D Coupon'!U$5</f>
        <v>0</v>
      </c>
      <c r="V30" s="35">
        <f>Price!V30/'Price D Coupon'!V$5</f>
        <v>0</v>
      </c>
      <c r="W30" s="35">
        <f>Price!W30/'Price D Coupon'!W$5</f>
        <v>0</v>
      </c>
      <c r="X30" s="35">
        <f>Price!X30/'Price D Coupon'!X$5</f>
        <v>0</v>
      </c>
      <c r="Y30" s="35">
        <f>Price!Y30/'Price D Coupon'!Y$5</f>
        <v>0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5.04</v>
      </c>
      <c r="H31" s="35">
        <f>Price!H31/'Price D Coupon'!H$5</f>
        <v>5.3566666666666665</v>
      </c>
      <c r="I31" s="35">
        <f>Price!I31/'Price D Coupon'!I$5</f>
        <v>4.3428571428571425</v>
      </c>
      <c r="J31" s="35">
        <f>Price!J31/'Price D Coupon'!J$5</f>
        <v>3.7342857142857144</v>
      </c>
      <c r="K31" s="35">
        <f>Price!K31/'Price D Coupon'!K$5</f>
        <v>4.9485714285714284</v>
      </c>
      <c r="L31" s="35">
        <f>Price!L31/'Price D Coupon'!L$5</f>
        <v>4.6000000000000005</v>
      </c>
      <c r="M31" s="35">
        <f>Price!M31/'Price D Coupon'!M$5</f>
        <v>3.4075000000000002</v>
      </c>
      <c r="N31" s="35">
        <f>Price!N31/'Price D Coupon'!N$5</f>
        <v>4.4749999999999996</v>
      </c>
      <c r="O31" s="35">
        <f>Price!O31/'Price D Coupon'!O$5</f>
        <v>4.0149999999999997</v>
      </c>
      <c r="P31" s="35">
        <f>Price!P31/'Price D Coupon'!P$5</f>
        <v>3.085</v>
      </c>
      <c r="Q31" s="35">
        <f>Price!Q31/'Price D Coupon'!Q$5</f>
        <v>3.4725000000000001</v>
      </c>
      <c r="R31" s="35">
        <f>Price!R31/'Price D Coupon'!R$5</f>
        <v>3.6288888888888886</v>
      </c>
      <c r="S31" s="35">
        <f>Price!S31/'Price D Coupon'!S$5</f>
        <v>3.3888888888888888</v>
      </c>
      <c r="T31" s="35">
        <f>Price!T31/'Price D Coupon'!T$5</f>
        <v>0</v>
      </c>
      <c r="U31" s="35">
        <f>Price!U31/'Price D Coupon'!U$5</f>
        <v>0</v>
      </c>
      <c r="V31" s="35">
        <f>Price!V31/'Price D Coupon'!V$5</f>
        <v>0</v>
      </c>
      <c r="W31" s="35">
        <f>Price!W31/'Price D Coupon'!W$5</f>
        <v>0</v>
      </c>
      <c r="X31" s="35">
        <f>Price!X31/'Price D Coupon'!X$5</f>
        <v>0</v>
      </c>
      <c r="Y31" s="35">
        <f>Price!Y31/'Price D Coupon'!Y$5</f>
        <v>0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6.3433333333333337</v>
      </c>
      <c r="H32" s="35">
        <f>Price!H32/'Price D Coupon'!H$5</f>
        <v>6.4200000000000008</v>
      </c>
      <c r="I32" s="35">
        <f>Price!I32/'Price D Coupon'!I$5</f>
        <v>4.7057142857142855</v>
      </c>
      <c r="J32" s="35">
        <f>Price!J32/'Price D Coupon'!J$5</f>
        <v>4.8999999999999995</v>
      </c>
      <c r="K32" s="35">
        <f>Price!K32/'Price D Coupon'!K$5</f>
        <v>4.637142857142857</v>
      </c>
      <c r="L32" s="35">
        <f>Price!L32/'Price D Coupon'!L$5</f>
        <v>4.0057142857142853</v>
      </c>
      <c r="M32" s="35">
        <f>Price!M32/'Price D Coupon'!M$5</f>
        <v>4.4649999999999999</v>
      </c>
      <c r="N32" s="35">
        <f>Price!N32/'Price D Coupon'!N$5</f>
        <v>4.2</v>
      </c>
      <c r="O32" s="35">
        <f>Price!O32/'Price D Coupon'!O$5</f>
        <v>3.59</v>
      </c>
      <c r="P32" s="35">
        <f>Price!P32/'Price D Coupon'!P$5</f>
        <v>4.5824999999999996</v>
      </c>
      <c r="Q32" s="35">
        <f>Price!Q32/'Price D Coupon'!Q$5</f>
        <v>4.16</v>
      </c>
      <c r="R32" s="35">
        <f>Price!R32/'Price D Coupon'!R$5</f>
        <v>2.8155555555555556</v>
      </c>
      <c r="S32" s="35">
        <f>Price!S32/'Price D Coupon'!S$5</f>
        <v>3.1666666666666665</v>
      </c>
      <c r="T32" s="35">
        <f>Price!T32/'Price D Coupon'!T$5</f>
        <v>3.5733333333333328</v>
      </c>
      <c r="U32" s="35">
        <f>Price!U32/'Price D Coupon'!U$5</f>
        <v>3.274</v>
      </c>
      <c r="V32" s="35">
        <f>Price!V32/'Price D Coupon'!V$5</f>
        <v>0</v>
      </c>
      <c r="W32" s="35">
        <f>Price!W32/'Price D Coupon'!W$5</f>
        <v>0</v>
      </c>
      <c r="X32" s="35">
        <f>Price!X32/'Price D Coupon'!X$5</f>
        <v>0</v>
      </c>
      <c r="Y32" s="35">
        <f>Price!Y32/'Price D Coupon'!Y$5</f>
        <v>0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5.8599999999999994</v>
      </c>
      <c r="H33" s="35">
        <f>Price!H33/'Price D Coupon'!H$5</f>
        <v>5.5966666666666667</v>
      </c>
      <c r="I33" s="35">
        <f>Price!I33/'Price D Coupon'!I$5</f>
        <v>3.9200000000000004</v>
      </c>
      <c r="J33" s="35">
        <f>Price!J33/'Price D Coupon'!J$5</f>
        <v>4.3142857142857141</v>
      </c>
      <c r="K33" s="35">
        <f>Price!K33/'Price D Coupon'!K$5</f>
        <v>3.9628571428571426</v>
      </c>
      <c r="L33" s="35">
        <f>Price!L33/'Price D Coupon'!L$5</f>
        <v>3.2171428571428571</v>
      </c>
      <c r="M33" s="35">
        <f>Price!M33/'Price D Coupon'!M$5</f>
        <v>3.91</v>
      </c>
      <c r="N33" s="35">
        <f>Price!N33/'Price D Coupon'!N$5</f>
        <v>3.5049999999999999</v>
      </c>
      <c r="O33" s="35">
        <f>Price!O33/'Price D Coupon'!O$5</f>
        <v>2.9375</v>
      </c>
      <c r="P33" s="35">
        <f>Price!P33/'Price D Coupon'!P$5</f>
        <v>3.9874999999999998</v>
      </c>
      <c r="Q33" s="35">
        <f>Price!Q33/'Price D Coupon'!Q$5</f>
        <v>3.6625000000000001</v>
      </c>
      <c r="R33" s="35">
        <f>Price!R33/'Price D Coupon'!R$5</f>
        <v>2.4533333333333331</v>
      </c>
      <c r="S33" s="35">
        <f>Price!S33/'Price D Coupon'!S$5</f>
        <v>2.8133333333333335</v>
      </c>
      <c r="T33" s="35">
        <f>Price!T33/'Price D Coupon'!T$5</f>
        <v>3.2111111111111108</v>
      </c>
      <c r="U33" s="35">
        <f>Price!U33/'Price D Coupon'!U$5</f>
        <v>2.8359999999999999</v>
      </c>
      <c r="V33" s="35">
        <f>Price!V33/'Price D Coupon'!V$5</f>
        <v>0</v>
      </c>
      <c r="W33" s="35">
        <f>Price!W33/'Price D Coupon'!W$5</f>
        <v>0</v>
      </c>
      <c r="X33" s="35">
        <f>Price!X33/'Price D Coupon'!X$5</f>
        <v>0</v>
      </c>
      <c r="Y33" s="35">
        <f>Price!Y33/'Price D Coupon'!Y$5</f>
        <v>0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6.7833333333333341</v>
      </c>
      <c r="H34" s="35">
        <f>Price!H34/'Price D Coupon'!H$5</f>
        <v>6.7966666666666669</v>
      </c>
      <c r="I34" s="35">
        <f>Price!I34/'Price D Coupon'!I$5</f>
        <v>5.1971428571428575</v>
      </c>
      <c r="J34" s="35">
        <f>Price!J34/'Price D Coupon'!J$5</f>
        <v>5.4685714285714289</v>
      </c>
      <c r="K34" s="35">
        <f>Price!K34/'Price D Coupon'!K$5</f>
        <v>5.0571428571428569</v>
      </c>
      <c r="L34" s="35">
        <f>Price!L34/'Price D Coupon'!L$5</f>
        <v>4.5257142857142858</v>
      </c>
      <c r="M34" s="35">
        <f>Price!M34/'Price D Coupon'!M$5</f>
        <v>4.625</v>
      </c>
      <c r="N34" s="35">
        <f>Price!N34/'Price D Coupon'!N$5</f>
        <v>4.1675000000000004</v>
      </c>
      <c r="O34" s="35">
        <f>Price!O34/'Price D Coupon'!O$5</f>
        <v>3.7524999999999999</v>
      </c>
      <c r="P34" s="35">
        <f>Price!P34/'Price D Coupon'!P$5</f>
        <v>4.0425000000000004</v>
      </c>
      <c r="Q34" s="35">
        <f>Price!Q34/'Price D Coupon'!Q$5</f>
        <v>3.7050000000000001</v>
      </c>
      <c r="R34" s="35">
        <f>Price!R34/'Price D Coupon'!R$5</f>
        <v>2.5999999999999996</v>
      </c>
      <c r="S34" s="35">
        <f>Price!S34/'Price D Coupon'!S$5</f>
        <v>2.7</v>
      </c>
      <c r="T34" s="35">
        <f>Price!T34/'Price D Coupon'!T$5</f>
        <v>3.1044444444444448</v>
      </c>
      <c r="U34" s="35">
        <f>Price!U34/'Price D Coupon'!U$5</f>
        <v>3.2939999999999996</v>
      </c>
      <c r="V34" s="35">
        <f>Price!V34/'Price D Coupon'!V$5</f>
        <v>0</v>
      </c>
      <c r="W34" s="35">
        <f>Price!W34/'Price D Coupon'!W$5</f>
        <v>0</v>
      </c>
      <c r="X34" s="35">
        <f>Price!X34/'Price D Coupon'!X$5</f>
        <v>0</v>
      </c>
      <c r="Y34" s="35">
        <f>Price!Y34/'Price D Coupon'!Y$5</f>
        <v>0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6.9433333333333325</v>
      </c>
      <c r="H35" s="35">
        <f>Price!H35/'Price D Coupon'!H$5</f>
        <v>7.06</v>
      </c>
      <c r="I35" s="35">
        <f>Price!I35/'Price D Coupon'!I$5</f>
        <v>5.6114285714285712</v>
      </c>
      <c r="J35" s="35">
        <f>Price!J35/'Price D Coupon'!J$5</f>
        <v>6.0028571428571436</v>
      </c>
      <c r="K35" s="35">
        <f>Price!K35/'Price D Coupon'!K$5</f>
        <v>5.72</v>
      </c>
      <c r="L35" s="35">
        <f>Price!L35/'Price D Coupon'!L$5</f>
        <v>5.32</v>
      </c>
      <c r="M35" s="35">
        <f>Price!M35/'Price D Coupon'!M$5</f>
        <v>5.1924999999999999</v>
      </c>
      <c r="N35" s="35">
        <f>Price!N35/'Price D Coupon'!N$5</f>
        <v>4.9225000000000003</v>
      </c>
      <c r="O35" s="35">
        <f>Price!O35/'Price D Coupon'!O$5</f>
        <v>4.5599999999999996</v>
      </c>
      <c r="P35" s="35">
        <f>Price!P35/'Price D Coupon'!P$5</f>
        <v>4.6725000000000003</v>
      </c>
      <c r="Q35" s="35">
        <f>Price!Q35/'Price D Coupon'!Q$5</f>
        <v>4.3475000000000001</v>
      </c>
      <c r="R35" s="35">
        <f>Price!R35/'Price D Coupon'!R$5</f>
        <v>2.9488888888888889</v>
      </c>
      <c r="S35" s="35">
        <f>Price!S35/'Price D Coupon'!S$5</f>
        <v>3.0244444444444443</v>
      </c>
      <c r="T35" s="35">
        <f>Price!T35/'Price D Coupon'!T$5</f>
        <v>3.3044444444444441</v>
      </c>
      <c r="U35" s="35">
        <f>Price!U35/'Price D Coupon'!U$5</f>
        <v>3.6840000000000002</v>
      </c>
      <c r="V35" s="35">
        <f>Price!V35/'Price D Coupon'!V$5</f>
        <v>0</v>
      </c>
      <c r="W35" s="35">
        <f>Price!W35/'Price D Coupon'!W$5</f>
        <v>0</v>
      </c>
      <c r="X35" s="35">
        <f>Price!X35/'Price D Coupon'!X$5</f>
        <v>0</v>
      </c>
      <c r="Y35" s="35">
        <f>Price!Y35/'Price D Coupon'!Y$5</f>
        <v>0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7.2033333333333331</v>
      </c>
      <c r="H36" s="35">
        <f>Price!H36/'Price D Coupon'!H$5</f>
        <v>7.5666666666666664</v>
      </c>
      <c r="I36" s="35">
        <f>Price!I36/'Price D Coupon'!I$5</f>
        <v>6.1114285714285712</v>
      </c>
      <c r="J36" s="35">
        <f>Price!J36/'Price D Coupon'!J$5</f>
        <v>6.5285714285714294</v>
      </c>
      <c r="K36" s="35">
        <f>Price!K36/'Price D Coupon'!K$5</f>
        <v>6.1714285714285717</v>
      </c>
      <c r="L36" s="35">
        <f>Price!L36/'Price D Coupon'!L$5</f>
        <v>5.8285714285714283</v>
      </c>
      <c r="M36" s="35">
        <f>Price!M36/'Price D Coupon'!M$5</f>
        <v>5.4550000000000001</v>
      </c>
      <c r="N36" s="35">
        <f>Price!N36/'Price D Coupon'!N$5</f>
        <v>5.1150000000000002</v>
      </c>
      <c r="O36" s="35">
        <f>Price!O36/'Price D Coupon'!O$5</f>
        <v>4.75</v>
      </c>
      <c r="P36" s="35">
        <f>Price!P36/'Price D Coupon'!P$5</f>
        <v>4.8975</v>
      </c>
      <c r="Q36" s="35">
        <f>Price!Q36/'Price D Coupon'!Q$5</f>
        <v>4.55</v>
      </c>
      <c r="R36" s="35">
        <f>Price!R36/'Price D Coupon'!R$5</f>
        <v>3.2822222222222219</v>
      </c>
      <c r="S36" s="35">
        <f>Price!S36/'Price D Coupon'!S$5</f>
        <v>3.2822222222222219</v>
      </c>
      <c r="T36" s="35">
        <f>Price!T36/'Price D Coupon'!T$5</f>
        <v>3.5266666666666664</v>
      </c>
      <c r="U36" s="35">
        <f>Price!U36/'Price D Coupon'!U$5</f>
        <v>3.9299999999999997</v>
      </c>
      <c r="V36" s="35">
        <f>Price!V36/'Price D Coupon'!V$5</f>
        <v>0</v>
      </c>
      <c r="W36" s="35">
        <f>Price!W36/'Price D Coupon'!W$5</f>
        <v>0</v>
      </c>
      <c r="X36" s="35">
        <f>Price!X36/'Price D Coupon'!X$5</f>
        <v>0</v>
      </c>
      <c r="Y36" s="35">
        <f>Price!Y36/'Price D Coupon'!Y$5</f>
        <v>0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7.2566666666666668</v>
      </c>
      <c r="H37" s="35">
        <f>Price!H37/'Price D Coupon'!H$5</f>
        <v>7.62</v>
      </c>
      <c r="I37" s="35">
        <f>Price!I37/'Price D Coupon'!I$5</f>
        <v>6.1571428571428575</v>
      </c>
      <c r="J37" s="35">
        <f>Price!J37/'Price D Coupon'!J$5</f>
        <v>6.7285714285714286</v>
      </c>
      <c r="K37" s="35">
        <f>Price!K37/'Price D Coupon'!K$5</f>
        <v>6.42</v>
      </c>
      <c r="L37" s="35">
        <f>Price!L37/'Price D Coupon'!L$5</f>
        <v>6.08</v>
      </c>
      <c r="M37" s="35">
        <f>Price!M37/'Price D Coupon'!M$5</f>
        <v>5.83</v>
      </c>
      <c r="N37" s="35">
        <f>Price!N37/'Price D Coupon'!N$5</f>
        <v>5.4524999999999997</v>
      </c>
      <c r="O37" s="35">
        <f>Price!O37/'Price D Coupon'!O$5</f>
        <v>5.0999999999999996</v>
      </c>
      <c r="P37" s="35">
        <f>Price!P37/'Price D Coupon'!P$5</f>
        <v>5.3724999999999996</v>
      </c>
      <c r="Q37" s="35">
        <f>Price!Q37/'Price D Coupon'!Q$5</f>
        <v>4.9524999999999997</v>
      </c>
      <c r="R37" s="35">
        <f>Price!R37/'Price D Coupon'!R$5</f>
        <v>3.5844444444444443</v>
      </c>
      <c r="S37" s="35">
        <f>Price!S37/'Price D Coupon'!S$5</f>
        <v>3.5577777777777779</v>
      </c>
      <c r="T37" s="35">
        <f>Price!T37/'Price D Coupon'!T$5</f>
        <v>3.7622222222222224</v>
      </c>
      <c r="U37" s="35">
        <f>Price!U37/'Price D Coupon'!U$5</f>
        <v>4.1340000000000003</v>
      </c>
      <c r="V37" s="35">
        <f>Price!V37/'Price D Coupon'!V$5</f>
        <v>0</v>
      </c>
      <c r="W37" s="35">
        <f>Price!W37/'Price D Coupon'!W$5</f>
        <v>0</v>
      </c>
      <c r="X37" s="35">
        <f>Price!X37/'Price D Coupon'!X$5</f>
        <v>0</v>
      </c>
      <c r="Y37" s="35">
        <f>Price!Y37/'Price D Coupon'!Y$5</f>
        <v>0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7.376666666666666</v>
      </c>
      <c r="H38" s="35">
        <f>Price!H38/'Price D Coupon'!H$5</f>
        <v>7.7866666666666662</v>
      </c>
      <c r="I38" s="35">
        <f>Price!I38/'Price D Coupon'!I$5</f>
        <v>6.2</v>
      </c>
      <c r="J38" s="35">
        <f>Price!J38/'Price D Coupon'!J$5</f>
        <v>6.6142857142857139</v>
      </c>
      <c r="K38" s="35">
        <f>Price!K38/'Price D Coupon'!K$5</f>
        <v>6.32</v>
      </c>
      <c r="L38" s="35">
        <f>Price!L38/'Price D Coupon'!L$5</f>
        <v>5.9142857142857137</v>
      </c>
      <c r="M38" s="35">
        <f>Price!M38/'Price D Coupon'!M$5</f>
        <v>5.7774999999999999</v>
      </c>
      <c r="N38" s="35">
        <f>Price!N38/'Price D Coupon'!N$5</f>
        <v>5.3674999999999997</v>
      </c>
      <c r="O38" s="35">
        <f>Price!O38/'Price D Coupon'!O$5</f>
        <v>4.97</v>
      </c>
      <c r="P38" s="35">
        <f>Price!P38/'Price D Coupon'!P$5</f>
        <v>5.2525000000000004</v>
      </c>
      <c r="Q38" s="35">
        <f>Price!Q38/'Price D Coupon'!Q$5</f>
        <v>4.8</v>
      </c>
      <c r="R38" s="35">
        <f>Price!R38/'Price D Coupon'!R$5</f>
        <v>3.4533333333333331</v>
      </c>
      <c r="S38" s="35">
        <f>Price!S38/'Price D Coupon'!S$5</f>
        <v>3.5177777777777779</v>
      </c>
      <c r="T38" s="35">
        <f>Price!T38/'Price D Coupon'!T$5</f>
        <v>3.8533333333333335</v>
      </c>
      <c r="U38" s="35">
        <f>Price!U38/'Price D Coupon'!U$5</f>
        <v>4.0939999999999994</v>
      </c>
      <c r="V38" s="35">
        <f>Price!V38/'Price D Coupon'!V$5</f>
        <v>0</v>
      </c>
      <c r="W38" s="35">
        <f>Price!W38/'Price D Coupon'!W$5</f>
        <v>0</v>
      </c>
      <c r="X38" s="35">
        <f>Price!X38/'Price D Coupon'!X$5</f>
        <v>0</v>
      </c>
      <c r="Y38" s="35">
        <f>Price!Y38/'Price D Coupon'!Y$5</f>
        <v>0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7.27</v>
      </c>
      <c r="H39" s="35">
        <f>Price!H39/'Price D Coupon'!H$5</f>
        <v>7.6133333333333333</v>
      </c>
      <c r="I39" s="35">
        <f>Price!I39/'Price D Coupon'!I$5</f>
        <v>6.0428571428571427</v>
      </c>
      <c r="J39" s="35">
        <f>Price!J39/'Price D Coupon'!J$5</f>
        <v>6.4399999999999995</v>
      </c>
      <c r="K39" s="35">
        <f>Price!K39/'Price D Coupon'!K$5</f>
        <v>6.1542857142857139</v>
      </c>
      <c r="L39" s="35">
        <f>Price!L39/'Price D Coupon'!L$5</f>
        <v>5.6085714285714285</v>
      </c>
      <c r="M39" s="35">
        <f>Price!M39/'Price D Coupon'!M$5</f>
        <v>5.68</v>
      </c>
      <c r="N39" s="35">
        <f>Price!N39/'Price D Coupon'!N$5</f>
        <v>5.2050000000000001</v>
      </c>
      <c r="O39" s="35">
        <f>Price!O39/'Price D Coupon'!O$5</f>
        <v>4.7074999999999996</v>
      </c>
      <c r="P39" s="35">
        <f>Price!P39/'Price D Coupon'!P$5</f>
        <v>5.07</v>
      </c>
      <c r="Q39" s="35">
        <f>Price!Q39/'Price D Coupon'!Q$5</f>
        <v>4.5374999999999996</v>
      </c>
      <c r="R39" s="35">
        <f>Price!R39/'Price D Coupon'!R$5</f>
        <v>3.3844444444444446</v>
      </c>
      <c r="S39" s="35">
        <f>Price!S39/'Price D Coupon'!S$5</f>
        <v>3.5</v>
      </c>
      <c r="T39" s="35">
        <f>Price!T39/'Price D Coupon'!T$5</f>
        <v>3.9644444444444442</v>
      </c>
      <c r="U39" s="35">
        <f>Price!U39/'Price D Coupon'!U$5</f>
        <v>3.9880000000000004</v>
      </c>
      <c r="V39" s="35">
        <f>Price!V39/'Price D Coupon'!V$5</f>
        <v>0</v>
      </c>
      <c r="W39" s="35">
        <f>Price!W39/'Price D Coupon'!W$5</f>
        <v>0</v>
      </c>
      <c r="X39" s="35">
        <f>Price!X39/'Price D Coupon'!X$5</f>
        <v>0</v>
      </c>
      <c r="Y39" s="35">
        <f>Price!Y39/'Price D Coupon'!Y$5</f>
        <v>0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7.54</v>
      </c>
      <c r="H40" s="35">
        <f>Price!H40/'Price D Coupon'!H$5</f>
        <v>8.1</v>
      </c>
      <c r="I40" s="35">
        <f>Price!I40/'Price D Coupon'!I$5</f>
        <v>6.5514285714285716</v>
      </c>
      <c r="J40" s="35">
        <f>Price!J40/'Price D Coupon'!J$5</f>
        <v>7.0142857142857142</v>
      </c>
      <c r="K40" s="35">
        <f>Price!K40/'Price D Coupon'!K$5</f>
        <v>6.7228571428571433</v>
      </c>
      <c r="L40" s="35">
        <f>Price!L40/'Price D Coupon'!L$5</f>
        <v>6.2142857142857144</v>
      </c>
      <c r="M40" s="35">
        <f>Price!M40/'Price D Coupon'!M$5</f>
        <v>6.1675000000000004</v>
      </c>
      <c r="N40" s="35">
        <f>Price!N40/'Price D Coupon'!N$5</f>
        <v>5.6524999999999999</v>
      </c>
      <c r="O40" s="35">
        <f>Price!O40/'Price D Coupon'!O$5</f>
        <v>5.1725000000000003</v>
      </c>
      <c r="P40" s="35">
        <f>Price!P40/'Price D Coupon'!P$5</f>
        <v>5.4024999999999999</v>
      </c>
      <c r="Q40" s="35">
        <f>Price!Q40/'Price D Coupon'!Q$5</f>
        <v>4.9024999999999999</v>
      </c>
      <c r="R40" s="35">
        <f>Price!R40/'Price D Coupon'!R$5</f>
        <v>3.7755555555555551</v>
      </c>
      <c r="S40" s="35">
        <f>Price!S40/'Price D Coupon'!S$5</f>
        <v>3.862222222222222</v>
      </c>
      <c r="T40" s="35">
        <f>Price!T40/'Price D Coupon'!T$5</f>
        <v>4.2844444444444445</v>
      </c>
      <c r="U40" s="35">
        <f>Price!U40/'Price D Coupon'!U$5</f>
        <v>4.3220000000000001</v>
      </c>
      <c r="V40" s="35">
        <f>Price!V40/'Price D Coupon'!V$5</f>
        <v>0</v>
      </c>
      <c r="W40" s="35">
        <f>Price!W40/'Price D Coupon'!W$5</f>
        <v>0</v>
      </c>
      <c r="X40" s="35">
        <f>Price!X40/'Price D Coupon'!X$5</f>
        <v>0</v>
      </c>
      <c r="Y40" s="35">
        <f>Price!Y40/'Price D Coupon'!Y$5</f>
        <v>0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7.63</v>
      </c>
      <c r="H41" s="35">
        <f>Price!H41/'Price D Coupon'!H$5</f>
        <v>8.2999999999999989</v>
      </c>
      <c r="I41" s="35">
        <f>Price!I41/'Price D Coupon'!I$5</f>
        <v>6.717142857142858</v>
      </c>
      <c r="J41" s="35">
        <f>Price!J41/'Price D Coupon'!J$5</f>
        <v>7.3714285714285719</v>
      </c>
      <c r="K41" s="35">
        <f>Price!K41/'Price D Coupon'!K$5</f>
        <v>7.1257142857142863</v>
      </c>
      <c r="L41" s="35">
        <f>Price!L41/'Price D Coupon'!L$5</f>
        <v>6.694285714285714</v>
      </c>
      <c r="M41" s="35">
        <f>Price!M41/'Price D Coupon'!M$5</f>
        <v>6.5750000000000002</v>
      </c>
      <c r="N41" s="35">
        <f>Price!N41/'Price D Coupon'!N$5</f>
        <v>6.1825000000000001</v>
      </c>
      <c r="O41" s="35">
        <f>Price!O41/'Price D Coupon'!O$5</f>
        <v>5.8825000000000003</v>
      </c>
      <c r="P41" s="35">
        <f>Price!P41/'Price D Coupon'!P$5</f>
        <v>5.9950000000000001</v>
      </c>
      <c r="Q41" s="35">
        <f>Price!Q41/'Price D Coupon'!Q$5</f>
        <v>5.5350000000000001</v>
      </c>
      <c r="R41" s="35">
        <f>Price!R41/'Price D Coupon'!R$5</f>
        <v>4.2111111111111112</v>
      </c>
      <c r="S41" s="35">
        <f>Price!S41/'Price D Coupon'!S$5</f>
        <v>4.3111111111111109</v>
      </c>
      <c r="T41" s="35">
        <f>Price!T41/'Price D Coupon'!T$5</f>
        <v>4.677777777777778</v>
      </c>
      <c r="U41" s="35">
        <f>Price!U41/'Price D Coupon'!U$5</f>
        <v>4.6500000000000004</v>
      </c>
      <c r="V41" s="35">
        <f>Price!V41/'Price D Coupon'!V$5</f>
        <v>0</v>
      </c>
      <c r="W41" s="35">
        <f>Price!W41/'Price D Coupon'!W$5</f>
        <v>0</v>
      </c>
      <c r="X41" s="35">
        <f>Price!X41/'Price D Coupon'!X$5</f>
        <v>0</v>
      </c>
      <c r="Y41" s="35">
        <f>Price!Y41/'Price D Coupon'!Y$5</f>
        <v>0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7.5066666666666668</v>
      </c>
      <c r="H42" s="35">
        <f>Price!H42/'Price D Coupon'!H$5</f>
        <v>8.1300000000000008</v>
      </c>
      <c r="I42" s="35">
        <f>Price!I42/'Price D Coupon'!I$5</f>
        <v>6.5</v>
      </c>
      <c r="J42" s="35">
        <f>Price!J42/'Price D Coupon'!J$5</f>
        <v>7.0628571428571423</v>
      </c>
      <c r="K42" s="35">
        <f>Price!K42/'Price D Coupon'!K$5</f>
        <v>6.7857142857142856</v>
      </c>
      <c r="L42" s="35">
        <f>Price!L42/'Price D Coupon'!L$5</f>
        <v>6.3914285714285715</v>
      </c>
      <c r="M42" s="35">
        <f>Price!M42/'Price D Coupon'!M$5</f>
        <v>6.2324999999999999</v>
      </c>
      <c r="N42" s="35">
        <f>Price!N42/'Price D Coupon'!N$5</f>
        <v>5.8674999999999997</v>
      </c>
      <c r="O42" s="35">
        <f>Price!O42/'Price D Coupon'!O$5</f>
        <v>5.5075000000000003</v>
      </c>
      <c r="P42" s="35">
        <f>Price!P42/'Price D Coupon'!P$5</f>
        <v>5.7050000000000001</v>
      </c>
      <c r="Q42" s="35">
        <f>Price!Q42/'Price D Coupon'!Q$5</f>
        <v>5.335</v>
      </c>
      <c r="R42" s="35">
        <f>Price!R42/'Price D Coupon'!R$5</f>
        <v>4.293333333333333</v>
      </c>
      <c r="S42" s="35">
        <f>Price!S42/'Price D Coupon'!S$5</f>
        <v>4.32</v>
      </c>
      <c r="T42" s="35">
        <f>Price!T42/'Price D Coupon'!T$5</f>
        <v>4.6577777777777776</v>
      </c>
      <c r="U42" s="35">
        <f>Price!U42/'Price D Coupon'!U$5</f>
        <v>4.4979999999999993</v>
      </c>
      <c r="V42" s="35">
        <f>Price!V42/'Price D Coupon'!V$5</f>
        <v>0</v>
      </c>
      <c r="W42" s="35">
        <f>Price!W42/'Price D Coupon'!W$5</f>
        <v>0</v>
      </c>
      <c r="X42" s="35">
        <f>Price!X42/'Price D Coupon'!X$5</f>
        <v>0</v>
      </c>
      <c r="Y42" s="35">
        <f>Price!Y42/'Price D Coupon'!Y$5</f>
        <v>0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7.5233333333333334</v>
      </c>
      <c r="H43" s="35">
        <f>Price!H43/'Price D Coupon'!H$5</f>
        <v>8.1933333333333334</v>
      </c>
      <c r="I43" s="35">
        <f>Price!I43/'Price D Coupon'!I$5</f>
        <v>6.5771428571428574</v>
      </c>
      <c r="J43" s="35">
        <f>Price!J43/'Price D Coupon'!J$5</f>
        <v>7.177142857142857</v>
      </c>
      <c r="K43" s="35">
        <f>Price!K43/'Price D Coupon'!K$5</f>
        <v>6.9057142857142866</v>
      </c>
      <c r="L43" s="35">
        <f>Price!L43/'Price D Coupon'!L$5</f>
        <v>6.5257142857142858</v>
      </c>
      <c r="M43" s="35">
        <f>Price!M43/'Price D Coupon'!M$5</f>
        <v>6.3125</v>
      </c>
      <c r="N43" s="35">
        <f>Price!N43/'Price D Coupon'!N$5</f>
        <v>5.9824999999999999</v>
      </c>
      <c r="O43" s="35">
        <f>Price!O43/'Price D Coupon'!O$5</f>
        <v>5.6524999999999999</v>
      </c>
      <c r="P43" s="35">
        <f>Price!P43/'Price D Coupon'!P$5</f>
        <v>6.0075000000000003</v>
      </c>
      <c r="Q43" s="35">
        <f>Price!Q43/'Price D Coupon'!Q$5</f>
        <v>5.6224999999999996</v>
      </c>
      <c r="R43" s="35">
        <f>Price!R43/'Price D Coupon'!R$5</f>
        <v>4.4466666666666672</v>
      </c>
      <c r="S43" s="35">
        <f>Price!S43/'Price D Coupon'!S$5</f>
        <v>4.4977777777777774</v>
      </c>
      <c r="T43" s="35">
        <f>Price!T43/'Price D Coupon'!T$5</f>
        <v>4.833333333333333</v>
      </c>
      <c r="U43" s="35">
        <f>Price!U43/'Price D Coupon'!U$5</f>
        <v>4.6079999999999997</v>
      </c>
      <c r="V43" s="35">
        <f>Price!V43/'Price D Coupon'!V$5</f>
        <v>0</v>
      </c>
      <c r="W43" s="35">
        <f>Price!W43/'Price D Coupon'!W$5</f>
        <v>0</v>
      </c>
      <c r="X43" s="35">
        <f>Price!X43/'Price D Coupon'!X$5</f>
        <v>0</v>
      </c>
      <c r="Y43" s="35">
        <f>Price!Y43/'Price D Coupon'!Y$5</f>
        <v>0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7.3342857142857145</v>
      </c>
      <c r="J44" s="35">
        <f>Price!J44/'Price D Coupon'!J$5</f>
        <v>7.0942857142857134</v>
      </c>
      <c r="K44" s="35">
        <f>Price!K44/'Price D Coupon'!K$5</f>
        <v>6.6857142857142851</v>
      </c>
      <c r="L44" s="35">
        <f>Price!L44/'Price D Coupon'!L$5</f>
        <v>7.3342857142857145</v>
      </c>
      <c r="M44" s="35">
        <f>Price!M44/'Price D Coupon'!M$5</f>
        <v>6.3775000000000004</v>
      </c>
      <c r="N44" s="35">
        <f>Price!N44/'Price D Coupon'!N$5</f>
        <v>6.1550000000000002</v>
      </c>
      <c r="O44" s="35">
        <f>Price!O44/'Price D Coupon'!O$5</f>
        <v>5.8650000000000002</v>
      </c>
      <c r="P44" s="35">
        <f>Price!P44/'Price D Coupon'!P$5</f>
        <v>6.4625000000000004</v>
      </c>
      <c r="Q44" s="35">
        <f>Price!Q44/'Price D Coupon'!Q$5</f>
        <v>6.2050000000000001</v>
      </c>
      <c r="R44" s="35">
        <f>Price!R44/'Price D Coupon'!R$5</f>
        <v>5.2133333333333338</v>
      </c>
      <c r="S44" s="35">
        <f>Price!S44/'Price D Coupon'!S$5</f>
        <v>5.5244444444444447</v>
      </c>
      <c r="T44" s="35">
        <f>Price!T44/'Price D Coupon'!T$5</f>
        <v>5.2088888888888896</v>
      </c>
      <c r="U44" s="35">
        <f>Price!U44/'Price D Coupon'!U$5</f>
        <v>4.1579999999999995</v>
      </c>
      <c r="V44" s="35">
        <f>Price!V44/'Price D Coupon'!V$5</f>
        <v>4.1539999999999999</v>
      </c>
      <c r="W44" s="35">
        <f>Price!W44/'Price D Coupon'!W$5</f>
        <v>3.9636363636363638</v>
      </c>
      <c r="X44" s="35">
        <f>Price!X44/'Price D Coupon'!X$5</f>
        <v>3.97</v>
      </c>
      <c r="Y44" s="35">
        <f>Price!Y44/'Price D Coupon'!Y$5</f>
        <v>0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7.2714285714285714</v>
      </c>
      <c r="J45" s="35">
        <f>Price!J45/'Price D Coupon'!J$5</f>
        <v>7.0085714285714289</v>
      </c>
      <c r="K45" s="35">
        <f>Price!K45/'Price D Coupon'!K$5</f>
        <v>6.5828571428571427</v>
      </c>
      <c r="L45" s="35">
        <f>Price!L45/'Price D Coupon'!L$5</f>
        <v>7.2714285714285714</v>
      </c>
      <c r="M45" s="35">
        <f>Price!M45/'Price D Coupon'!M$5</f>
        <v>6.3</v>
      </c>
      <c r="N45" s="35">
        <f>Price!N45/'Price D Coupon'!N$5</f>
        <v>6.0674999999999999</v>
      </c>
      <c r="O45" s="35">
        <f>Price!O45/'Price D Coupon'!O$5</f>
        <v>5.7824999999999998</v>
      </c>
      <c r="P45" s="35">
        <f>Price!P45/'Price D Coupon'!P$5</f>
        <v>6.3174999999999999</v>
      </c>
      <c r="Q45" s="35">
        <f>Price!Q45/'Price D Coupon'!Q$5</f>
        <v>6.07</v>
      </c>
      <c r="R45" s="35">
        <f>Price!R45/'Price D Coupon'!R$5</f>
        <v>5.08</v>
      </c>
      <c r="S45" s="35">
        <f>Price!S45/'Price D Coupon'!S$5</f>
        <v>5.4133333333333331</v>
      </c>
      <c r="T45" s="35">
        <f>Price!T45/'Price D Coupon'!T$5</f>
        <v>5.097777777777778</v>
      </c>
      <c r="U45" s="35">
        <f>Price!U45/'Price D Coupon'!U$5</f>
        <v>4.0979999999999999</v>
      </c>
      <c r="V45" s="35">
        <f>Price!V45/'Price D Coupon'!V$5</f>
        <v>4.1440000000000001</v>
      </c>
      <c r="W45" s="35">
        <f>Price!W45/'Price D Coupon'!W$5</f>
        <v>4.0163636363636366</v>
      </c>
      <c r="X45" s="35">
        <f>Price!X45/'Price D Coupon'!X$5</f>
        <v>3.9233333333333333</v>
      </c>
      <c r="Y45" s="35">
        <f>Price!Y45/'Price D Coupon'!Y$5</f>
        <v>0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7.0742857142857147</v>
      </c>
      <c r="J46" s="35">
        <f>Price!J46/'Price D Coupon'!J$5</f>
        <v>6.8400000000000007</v>
      </c>
      <c r="K46" s="35">
        <f>Price!K46/'Price D Coupon'!K$5</f>
        <v>6.3857142857142861</v>
      </c>
      <c r="L46" s="35">
        <f>Price!L46/'Price D Coupon'!L$5</f>
        <v>7.0742857142857147</v>
      </c>
      <c r="M46" s="35">
        <f>Price!M46/'Price D Coupon'!M$5</f>
        <v>6.08</v>
      </c>
      <c r="N46" s="35">
        <f>Price!N46/'Price D Coupon'!N$5</f>
        <v>5.8375000000000004</v>
      </c>
      <c r="O46" s="35">
        <f>Price!O46/'Price D Coupon'!O$5</f>
        <v>5.5125000000000002</v>
      </c>
      <c r="P46" s="35">
        <f>Price!P46/'Price D Coupon'!P$5</f>
        <v>6.0075000000000003</v>
      </c>
      <c r="Q46" s="35">
        <f>Price!Q46/'Price D Coupon'!Q$5</f>
        <v>5.72</v>
      </c>
      <c r="R46" s="35">
        <f>Price!R46/'Price D Coupon'!R$5</f>
        <v>4.7177777777777781</v>
      </c>
      <c r="S46" s="35">
        <f>Price!S46/'Price D Coupon'!S$5</f>
        <v>5.0511111111111111</v>
      </c>
      <c r="T46" s="35">
        <f>Price!T46/'Price D Coupon'!T$5</f>
        <v>4.7377777777777776</v>
      </c>
      <c r="U46" s="35">
        <f>Price!U46/'Price D Coupon'!U$5</f>
        <v>3.9180000000000001</v>
      </c>
      <c r="V46" s="35">
        <f>Price!V46/'Price D Coupon'!V$5</f>
        <v>4.1020000000000003</v>
      </c>
      <c r="W46" s="35">
        <f>Price!W46/'Price D Coupon'!W$5</f>
        <v>4.0199999999999996</v>
      </c>
      <c r="X46" s="35">
        <f>Price!X46/'Price D Coupon'!X$5</f>
        <v>3.7783333333333338</v>
      </c>
      <c r="Y46" s="35">
        <f>Price!Y46/'Price D Coupon'!Y$5</f>
        <v>0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7.1657142857142855</v>
      </c>
      <c r="J47" s="35">
        <f>Price!J47/'Price D Coupon'!J$5</f>
        <v>6.9371428571428577</v>
      </c>
      <c r="K47" s="35">
        <f>Price!K47/'Price D Coupon'!K$5</f>
        <v>6.4857142857142858</v>
      </c>
      <c r="L47" s="35">
        <f>Price!L47/'Price D Coupon'!L$5</f>
        <v>7.1657142857142855</v>
      </c>
      <c r="M47" s="35">
        <f>Price!M47/'Price D Coupon'!M$5</f>
        <v>6.2275</v>
      </c>
      <c r="N47" s="35">
        <f>Price!N47/'Price D Coupon'!N$5</f>
        <v>6.0575000000000001</v>
      </c>
      <c r="O47" s="35">
        <f>Price!O47/'Price D Coupon'!O$5</f>
        <v>5.7</v>
      </c>
      <c r="P47" s="35">
        <f>Price!P47/'Price D Coupon'!P$5</f>
        <v>6.2750000000000004</v>
      </c>
      <c r="Q47" s="35">
        <f>Price!Q47/'Price D Coupon'!Q$5</f>
        <v>6.0350000000000001</v>
      </c>
      <c r="R47" s="35">
        <f>Price!R47/'Price D Coupon'!R$5</f>
        <v>4.9800000000000004</v>
      </c>
      <c r="S47" s="35">
        <f>Price!S47/'Price D Coupon'!S$5</f>
        <v>5.402222222222222</v>
      </c>
      <c r="T47" s="35">
        <f>Price!T47/'Price D Coupon'!T$5</f>
        <v>5.08</v>
      </c>
      <c r="U47" s="35">
        <f>Price!U47/'Price D Coupon'!U$5</f>
        <v>4.0020000000000007</v>
      </c>
      <c r="V47" s="35">
        <f>Price!V47/'Price D Coupon'!V$5</f>
        <v>4.2479999999999993</v>
      </c>
      <c r="W47" s="35">
        <f>Price!W47/'Price D Coupon'!W$5</f>
        <v>4.12</v>
      </c>
      <c r="X47" s="35">
        <f>Price!X47/'Price D Coupon'!X$5</f>
        <v>3.8966666666666665</v>
      </c>
      <c r="Y47" s="35">
        <f>Price!Y47/'Price D Coupon'!Y$5</f>
        <v>0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7.12</v>
      </c>
      <c r="J48" s="35">
        <f>Price!J48/'Price D Coupon'!J$5</f>
        <v>6.9142857142857137</v>
      </c>
      <c r="K48" s="35">
        <f>Price!K48/'Price D Coupon'!K$5</f>
        <v>6.5228571428571422</v>
      </c>
      <c r="L48" s="35">
        <f>Price!L48/'Price D Coupon'!L$5</f>
        <v>7.12</v>
      </c>
      <c r="M48" s="35">
        <f>Price!M48/'Price D Coupon'!M$5</f>
        <v>6.2525000000000004</v>
      </c>
      <c r="N48" s="35">
        <f>Price!N48/'Price D Coupon'!N$5</f>
        <v>6.0949999999999998</v>
      </c>
      <c r="O48" s="35">
        <f>Price!O48/'Price D Coupon'!O$5</f>
        <v>5.7549999999999999</v>
      </c>
      <c r="P48" s="35">
        <f>Price!P48/'Price D Coupon'!P$5</f>
        <v>6.3650000000000002</v>
      </c>
      <c r="Q48" s="35">
        <f>Price!Q48/'Price D Coupon'!Q$5</f>
        <v>6.1574999999999998</v>
      </c>
      <c r="R48" s="35">
        <f>Price!R48/'Price D Coupon'!R$5</f>
        <v>5.1355555555555554</v>
      </c>
      <c r="S48" s="35">
        <f>Price!S48/'Price D Coupon'!S$5</f>
        <v>5.5755555555555558</v>
      </c>
      <c r="T48" s="35">
        <f>Price!T48/'Price D Coupon'!T$5</f>
        <v>5.2977777777777781</v>
      </c>
      <c r="U48" s="35">
        <f>Price!U48/'Price D Coupon'!U$5</f>
        <v>4.2119999999999997</v>
      </c>
      <c r="V48" s="35">
        <f>Price!V48/'Price D Coupon'!V$5</f>
        <v>4.4380000000000006</v>
      </c>
      <c r="W48" s="35">
        <f>Price!W48/'Price D Coupon'!W$5</f>
        <v>4.2818181818181822</v>
      </c>
      <c r="X48" s="35">
        <f>Price!X48/'Price D Coupon'!X$5</f>
        <v>3.9583333333333335</v>
      </c>
      <c r="Y48" s="35">
        <f>Price!Y48/'Price D Coupon'!Y$5</f>
        <v>0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6.822857142857143</v>
      </c>
      <c r="J49" s="35">
        <f>Price!J49/'Price D Coupon'!J$5</f>
        <v>6.6314285714285717</v>
      </c>
      <c r="K49" s="35">
        <f>Price!K49/'Price D Coupon'!K$5</f>
        <v>6.1885714285714286</v>
      </c>
      <c r="L49" s="35">
        <f>Price!L49/'Price D Coupon'!L$5</f>
        <v>6.822857142857143</v>
      </c>
      <c r="M49" s="35">
        <f>Price!M49/'Price D Coupon'!M$5</f>
        <v>5.8574999999999999</v>
      </c>
      <c r="N49" s="35">
        <f>Price!N49/'Price D Coupon'!N$5</f>
        <v>5.7575000000000003</v>
      </c>
      <c r="O49" s="35">
        <f>Price!O49/'Price D Coupon'!O$5</f>
        <v>5.3949999999999996</v>
      </c>
      <c r="P49" s="35">
        <f>Price!P49/'Price D Coupon'!P$5</f>
        <v>5.9524999999999997</v>
      </c>
      <c r="Q49" s="35">
        <f>Price!Q49/'Price D Coupon'!Q$5</f>
        <v>5.71</v>
      </c>
      <c r="R49" s="35">
        <f>Price!R49/'Price D Coupon'!R$5</f>
        <v>4.7266666666666666</v>
      </c>
      <c r="S49" s="35">
        <f>Price!S49/'Price D Coupon'!S$5</f>
        <v>5.2288888888888891</v>
      </c>
      <c r="T49" s="35">
        <f>Price!T49/'Price D Coupon'!T$5</f>
        <v>4.96</v>
      </c>
      <c r="U49" s="35">
        <f>Price!U49/'Price D Coupon'!U$5</f>
        <v>4.0540000000000003</v>
      </c>
      <c r="V49" s="35">
        <f>Price!V49/'Price D Coupon'!V$5</f>
        <v>4.3079999999999998</v>
      </c>
      <c r="W49" s="35">
        <f>Price!W49/'Price D Coupon'!W$5</f>
        <v>4.2381818181818183</v>
      </c>
      <c r="X49" s="35">
        <f>Price!X49/'Price D Coupon'!X$5</f>
        <v>3.7633333333333332</v>
      </c>
      <c r="Y49" s="35">
        <f>Price!Y49/'Price D Coupon'!Y$5</f>
        <v>0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6.9942857142857147</v>
      </c>
      <c r="J50" s="35">
        <f>Price!J50/'Price D Coupon'!J$5</f>
        <v>6.8428571428571425</v>
      </c>
      <c r="K50" s="35">
        <f>Price!K50/'Price D Coupon'!K$5</f>
        <v>6.4285714285714288</v>
      </c>
      <c r="L50" s="35">
        <f>Price!L50/'Price D Coupon'!L$5</f>
        <v>6.9942857142857147</v>
      </c>
      <c r="M50" s="35">
        <f>Price!M50/'Price D Coupon'!M$5</f>
        <v>6.1025</v>
      </c>
      <c r="N50" s="35">
        <f>Price!N50/'Price D Coupon'!N$5</f>
        <v>5.9749999999999996</v>
      </c>
      <c r="O50" s="35">
        <f>Price!O50/'Price D Coupon'!O$5</f>
        <v>5.6574999999999998</v>
      </c>
      <c r="P50" s="35">
        <f>Price!P50/'Price D Coupon'!P$5</f>
        <v>6.3650000000000002</v>
      </c>
      <c r="Q50" s="35">
        <f>Price!Q50/'Price D Coupon'!Q$5</f>
        <v>6.125</v>
      </c>
      <c r="R50" s="35">
        <f>Price!R50/'Price D Coupon'!R$5</f>
        <v>5.1266666666666669</v>
      </c>
      <c r="S50" s="35">
        <f>Price!S50/'Price D Coupon'!S$5</f>
        <v>5.6355555555555554</v>
      </c>
      <c r="T50" s="35">
        <f>Price!T50/'Price D Coupon'!T$5</f>
        <v>5.3644444444444446</v>
      </c>
      <c r="U50" s="35">
        <f>Price!U50/'Price D Coupon'!U$5</f>
        <v>4.242</v>
      </c>
      <c r="V50" s="35">
        <f>Price!V50/'Price D Coupon'!V$5</f>
        <v>4.4859999999999998</v>
      </c>
      <c r="W50" s="35">
        <f>Price!W50/'Price D Coupon'!W$5</f>
        <v>4.3745454545454541</v>
      </c>
      <c r="X50" s="35">
        <f>Price!X50/'Price D Coupon'!X$5</f>
        <v>3.938333333333333</v>
      </c>
      <c r="Y50" s="35">
        <f>Price!Y50/'Price D Coupon'!Y$5</f>
        <v>0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6.7514285714285709</v>
      </c>
      <c r="J51" s="35">
        <f>Price!J51/'Price D Coupon'!J$5</f>
        <v>6.6085714285714285</v>
      </c>
      <c r="K51" s="35">
        <f>Price!K51/'Price D Coupon'!K$5</f>
        <v>6.1571428571428575</v>
      </c>
      <c r="L51" s="35">
        <f>Price!L51/'Price D Coupon'!L$5</f>
        <v>6.7514285714285709</v>
      </c>
      <c r="M51" s="35">
        <f>Price!M51/'Price D Coupon'!M$5</f>
        <v>5.8075000000000001</v>
      </c>
      <c r="N51" s="35">
        <f>Price!N51/'Price D Coupon'!N$5</f>
        <v>5.6875</v>
      </c>
      <c r="O51" s="35">
        <f>Price!O51/'Price D Coupon'!O$5</f>
        <v>5.29</v>
      </c>
      <c r="P51" s="35">
        <f>Price!P51/'Price D Coupon'!P$5</f>
        <v>6.0225</v>
      </c>
      <c r="Q51" s="35">
        <f>Price!Q51/'Price D Coupon'!Q$5</f>
        <v>5.7649999999999997</v>
      </c>
      <c r="R51" s="35">
        <f>Price!R51/'Price D Coupon'!R$5</f>
        <v>4.7844444444444445</v>
      </c>
      <c r="S51" s="35">
        <f>Price!S51/'Price D Coupon'!S$5</f>
        <v>5.2355555555555551</v>
      </c>
      <c r="T51" s="35">
        <f>Price!T51/'Price D Coupon'!T$5</f>
        <v>4.9777777777777779</v>
      </c>
      <c r="U51" s="35">
        <f>Price!U51/'Price D Coupon'!U$5</f>
        <v>4.024</v>
      </c>
      <c r="V51" s="35">
        <f>Price!V51/'Price D Coupon'!V$5</f>
        <v>4.2880000000000003</v>
      </c>
      <c r="W51" s="35">
        <f>Price!W51/'Price D Coupon'!W$5</f>
        <v>4.26</v>
      </c>
      <c r="X51" s="35">
        <f>Price!X51/'Price D Coupon'!X$5</f>
        <v>3.7550000000000003</v>
      </c>
      <c r="Y51" s="35">
        <f>Price!Y51/'Price D Coupon'!Y$5</f>
        <v>0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6.5228571428571422</v>
      </c>
      <c r="J52" s="35">
        <f>Price!J52/'Price D Coupon'!J$5</f>
        <v>6.3914285714285715</v>
      </c>
      <c r="K52" s="35">
        <f>Price!K52/'Price D Coupon'!K$5</f>
        <v>5.8971428571428577</v>
      </c>
      <c r="L52" s="35">
        <f>Price!L52/'Price D Coupon'!L$5</f>
        <v>6.5228571428571422</v>
      </c>
      <c r="M52" s="35">
        <f>Price!M52/'Price D Coupon'!M$5</f>
        <v>5.5374999999999996</v>
      </c>
      <c r="N52" s="35">
        <f>Price!N52/'Price D Coupon'!N$5</f>
        <v>5.42</v>
      </c>
      <c r="O52" s="35">
        <f>Price!O52/'Price D Coupon'!O$5</f>
        <v>4.97</v>
      </c>
      <c r="P52" s="35">
        <f>Price!P52/'Price D Coupon'!P$5</f>
        <v>5.7750000000000004</v>
      </c>
      <c r="Q52" s="35">
        <f>Price!Q52/'Price D Coupon'!Q$5</f>
        <v>5.5175000000000001</v>
      </c>
      <c r="R52" s="35">
        <f>Price!R52/'Price D Coupon'!R$5</f>
        <v>4.528888888888889</v>
      </c>
      <c r="S52" s="35">
        <f>Price!S52/'Price D Coupon'!S$5</f>
        <v>5.0555555555555554</v>
      </c>
      <c r="T52" s="35">
        <f>Price!T52/'Price D Coupon'!T$5</f>
        <v>4.7888888888888888</v>
      </c>
      <c r="U52" s="35">
        <f>Price!U52/'Price D Coupon'!U$5</f>
        <v>3.9079999999999999</v>
      </c>
      <c r="V52" s="35">
        <f>Price!V52/'Price D Coupon'!V$5</f>
        <v>4.2039999999999997</v>
      </c>
      <c r="W52" s="35">
        <f>Price!W52/'Price D Coupon'!W$5</f>
        <v>4.2072727272727271</v>
      </c>
      <c r="X52" s="35">
        <f>Price!X52/'Price D Coupon'!X$5</f>
        <v>3.6216666666666666</v>
      </c>
      <c r="Y52" s="35">
        <f>Price!Y52/'Price D Coupon'!Y$5</f>
        <v>0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6.1885714285714286</v>
      </c>
      <c r="J53" s="35">
        <f>Price!J53/'Price D Coupon'!J$5</f>
        <v>6.2914285714285709</v>
      </c>
      <c r="K53" s="35">
        <f>Price!K53/'Price D Coupon'!K$5</f>
        <v>5.7514285714285709</v>
      </c>
      <c r="L53" s="35">
        <f>Price!L53/'Price D Coupon'!L$5</f>
        <v>6.1885714285714286</v>
      </c>
      <c r="M53" s="35">
        <f>Price!M53/'Price D Coupon'!M$5</f>
        <v>5.4375</v>
      </c>
      <c r="N53" s="35">
        <f>Price!N53/'Price D Coupon'!N$5</f>
        <v>5.3174999999999999</v>
      </c>
      <c r="O53" s="35">
        <f>Price!O53/'Price D Coupon'!O$5</f>
        <v>4.8574999999999999</v>
      </c>
      <c r="P53" s="35">
        <f>Price!P53/'Price D Coupon'!P$5</f>
        <v>5.7</v>
      </c>
      <c r="Q53" s="35">
        <f>Price!Q53/'Price D Coupon'!Q$5</f>
        <v>5.46</v>
      </c>
      <c r="R53" s="35">
        <f>Price!R53/'Price D Coupon'!R$5</f>
        <v>4.4688888888888885</v>
      </c>
      <c r="S53" s="35">
        <f>Price!S53/'Price D Coupon'!S$5</f>
        <v>5.0088888888888885</v>
      </c>
      <c r="T53" s="35">
        <f>Price!T53/'Price D Coupon'!T$5</f>
        <v>4.7311111111111108</v>
      </c>
      <c r="U53" s="35">
        <f>Price!U53/'Price D Coupon'!U$5</f>
        <v>3.8920000000000003</v>
      </c>
      <c r="V53" s="35">
        <f>Price!V53/'Price D Coupon'!V$5</f>
        <v>4.194</v>
      </c>
      <c r="W53" s="35">
        <f>Price!W53/'Price D Coupon'!W$5</f>
        <v>4.2072727272727271</v>
      </c>
      <c r="X53" s="35">
        <f>Price!X53/'Price D Coupon'!X$5</f>
        <v>3.5483333333333333</v>
      </c>
      <c r="Y53" s="35">
        <f>Price!Y53/'Price D Coupon'!Y$5</f>
        <v>0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5.5571428571428569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5.862857142857143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6.717142857142858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6.3342857142857145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6.3114285714285714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5.9857142857142858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>
        <v>42307</v>
      </c>
      <c r="G63" s="35">
        <f>Price!G63/'Price D Coupon'!G$5</f>
        <v>6.8055555566666674</v>
      </c>
      <c r="H63" s="35">
        <f>Price!H63/'Price D Coupon'!H$5</f>
        <v>6.6440992233333338</v>
      </c>
      <c r="I63" s="35">
        <f>Price!I63/'Price D Coupon'!I$5</f>
        <v>5.6493072685714285</v>
      </c>
      <c r="J63" s="35">
        <f>Price!J63/'Price D Coupon'!J$5</f>
        <v>6.0823412685714286</v>
      </c>
      <c r="K63" s="35">
        <f>Price!K63/'Price D Coupon'!K$5</f>
        <v>6.0153786971428573</v>
      </c>
      <c r="L63" s="35">
        <f>Price!L63/'Price D Coupon'!L$5</f>
        <v>5.5734126971428575</v>
      </c>
      <c r="M63" s="35">
        <f>Price!M63/'Price D Coupon'!M$5</f>
        <v>5.2274305549999998</v>
      </c>
      <c r="N63" s="35">
        <f>Price!N63/'Price D Coupon'!N$5</f>
        <v>5.3220486100000004</v>
      </c>
      <c r="O63" s="35">
        <f>Price!O63/'Price D Coupon'!O$5</f>
        <v>5.3485258049999995</v>
      </c>
      <c r="P63" s="35">
        <f>Price!P63/'Price D Coupon'!P$5</f>
        <v>5.2118055549999998</v>
      </c>
      <c r="Q63" s="35">
        <f>Price!Q63/'Price D Coupon'!Q$5</f>
        <v>4.8289930549999998</v>
      </c>
      <c r="R63" s="35">
        <f>Price!R63/'Price D Coupon'!R$5</f>
        <v>4.9548624444444442</v>
      </c>
      <c r="S63" s="35">
        <f>Price!S63/'Price D Coupon'!S$5</f>
        <v>4.7222222222222223</v>
      </c>
      <c r="T63" s="35">
        <f>Price!T63/'Price D Coupon'!T$5</f>
        <v>4.416666666666667</v>
      </c>
      <c r="U63" s="35">
        <f>Price!U63/'Price D Coupon'!U$5</f>
        <v>4.4274317559999998</v>
      </c>
      <c r="V63" s="35">
        <f>Price!V63/'Price D Coupon'!V$5</f>
        <v>4.2586817559999997</v>
      </c>
      <c r="W63" s="35">
        <f>Price!W63/'Price D Coupon'!W$5</f>
        <v>3.9277157381818175</v>
      </c>
      <c r="X63" s="35">
        <f>Price!X63/'Price D Coupon'!X$5</f>
        <v>3.9071190549999995</v>
      </c>
      <c r="Y63" s="35">
        <f>Price!Y63/'Price D Coupon'!Y$5</f>
        <v>4.094017093846154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32"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>SUM(AJ63:BB63)</f>
        <v>1</v>
      </c>
    </row>
    <row r="64" spans="6:58" x14ac:dyDescent="0.2">
      <c r="F64" s="32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2"/>
      <c r="AB64" s="42"/>
      <c r="AC64" s="53"/>
      <c r="AF64" s="33"/>
    </row>
    <row r="66" spans="35:55" ht="15" x14ac:dyDescent="0.25">
      <c r="AI66" s="27" t="s">
        <v>30</v>
      </c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49"/>
    </row>
    <row r="67" spans="35:55" ht="39" x14ac:dyDescent="0.25">
      <c r="AI67" s="13" t="s">
        <v>0</v>
      </c>
      <c r="AJ67" s="13" t="s">
        <v>1</v>
      </c>
      <c r="AK67" s="14" t="s">
        <v>4</v>
      </c>
      <c r="AL67" s="14" t="s">
        <v>28</v>
      </c>
      <c r="AM67" s="14" t="s">
        <v>2</v>
      </c>
      <c r="AN67" s="14" t="s">
        <v>5</v>
      </c>
      <c r="AO67" s="14" t="s">
        <v>8</v>
      </c>
      <c r="AP67" s="14" t="s">
        <v>29</v>
      </c>
      <c r="AQ67" s="14" t="s">
        <v>3</v>
      </c>
      <c r="AR67" s="14" t="s">
        <v>6</v>
      </c>
      <c r="AS67" s="14" t="s">
        <v>9</v>
      </c>
      <c r="AT67" s="14" t="s">
        <v>12</v>
      </c>
      <c r="AU67" s="14" t="s">
        <v>7</v>
      </c>
      <c r="AV67" s="14" t="s">
        <v>10</v>
      </c>
      <c r="AW67" s="14" t="s">
        <v>13</v>
      </c>
      <c r="AX67" s="14" t="s">
        <v>11</v>
      </c>
      <c r="AY67" s="14" t="s">
        <v>14</v>
      </c>
      <c r="AZ67" s="14" t="s">
        <v>15</v>
      </c>
      <c r="BA67" s="13" t="s">
        <v>16</v>
      </c>
      <c r="BB67" s="14" t="s">
        <v>17</v>
      </c>
      <c r="BC67" s="50" t="s">
        <v>24</v>
      </c>
    </row>
    <row r="68" spans="35:55" x14ac:dyDescent="0.2">
      <c r="AI68" s="4">
        <f t="shared" ref="AI68:AI99" si="7">F8</f>
        <v>40633</v>
      </c>
      <c r="AJ68" s="24">
        <f>G8*AJ8</f>
        <v>0</v>
      </c>
      <c r="AK68" s="24">
        <f t="shared" ref="AK68:BB68" si="8">H8*AK8</f>
        <v>0</v>
      </c>
      <c r="AL68" s="24">
        <f t="shared" si="8"/>
        <v>0</v>
      </c>
      <c r="AM68" s="24">
        <f t="shared" si="8"/>
        <v>0</v>
      </c>
      <c r="AN68" s="24">
        <f t="shared" si="8"/>
        <v>0</v>
      </c>
      <c r="AO68" s="24">
        <f t="shared" si="8"/>
        <v>0.20335481656186208</v>
      </c>
      <c r="AP68" s="24">
        <f t="shared" si="8"/>
        <v>0</v>
      </c>
      <c r="AQ68" s="24">
        <f t="shared" si="8"/>
        <v>0</v>
      </c>
      <c r="AR68" s="24">
        <f t="shared" si="8"/>
        <v>0</v>
      </c>
      <c r="AS68" s="24">
        <f t="shared" si="8"/>
        <v>0.74903753665032746</v>
      </c>
      <c r="AT68" s="24">
        <f t="shared" si="8"/>
        <v>0.77010752250364367</v>
      </c>
      <c r="AU68" s="24">
        <f t="shared" si="8"/>
        <v>0</v>
      </c>
      <c r="AV68" s="24">
        <f t="shared" si="8"/>
        <v>0</v>
      </c>
      <c r="AW68" s="24">
        <f t="shared" si="8"/>
        <v>0</v>
      </c>
      <c r="AX68" s="24">
        <f t="shared" si="8"/>
        <v>0</v>
      </c>
      <c r="AY68" s="24">
        <f t="shared" si="8"/>
        <v>0</v>
      </c>
      <c r="AZ68" s="24">
        <f t="shared" si="8"/>
        <v>0</v>
      </c>
      <c r="BA68" s="24">
        <f t="shared" si="8"/>
        <v>0</v>
      </c>
      <c r="BB68" s="24">
        <f t="shared" si="8"/>
        <v>0</v>
      </c>
      <c r="BC68" s="52">
        <f>SUM(AJ68:BB68)</f>
        <v>1.7224998757158332</v>
      </c>
    </row>
    <row r="69" spans="35:55" x14ac:dyDescent="0.2">
      <c r="AI69" s="4">
        <f t="shared" si="7"/>
        <v>40662</v>
      </c>
      <c r="AJ69" s="24">
        <f>G9*AJ9</f>
        <v>0</v>
      </c>
      <c r="AK69" s="24">
        <f>H9*AK9</f>
        <v>0</v>
      </c>
      <c r="AL69" s="24">
        <f>I9*AL9</f>
        <v>0</v>
      </c>
      <c r="AM69" s="24">
        <f>J9*AM9</f>
        <v>0</v>
      </c>
      <c r="AN69" s="24">
        <f>K9*AN9</f>
        <v>0</v>
      </c>
      <c r="AO69" s="24">
        <f>L9*AO9</f>
        <v>0.20918111898017863</v>
      </c>
      <c r="AP69" s="24">
        <f>M9*AP9</f>
        <v>0</v>
      </c>
      <c r="AQ69" s="24">
        <f>N9*AQ9</f>
        <v>0</v>
      </c>
      <c r="AR69" s="24">
        <f>O9*AR9</f>
        <v>0</v>
      </c>
      <c r="AS69" s="24">
        <f>P9*AS9</f>
        <v>0.75809454494434458</v>
      </c>
      <c r="AT69" s="24">
        <f>Q9*AT9</f>
        <v>0.78246794522796825</v>
      </c>
      <c r="AU69" s="24">
        <f>R9*AU9</f>
        <v>0</v>
      </c>
      <c r="AV69" s="24">
        <f>S9*AV9</f>
        <v>0</v>
      </c>
      <c r="AW69" s="24">
        <f>T9*AW9</f>
        <v>0</v>
      </c>
      <c r="AX69" s="24">
        <f>U9*AX9</f>
        <v>0</v>
      </c>
      <c r="AY69" s="24">
        <f>V9*AY9</f>
        <v>0</v>
      </c>
      <c r="AZ69" s="24">
        <f>W9*AZ9</f>
        <v>0</v>
      </c>
      <c r="BA69" s="24">
        <f>X9*BA9</f>
        <v>0</v>
      </c>
      <c r="BB69" s="24">
        <f>Y9*BB9</f>
        <v>0</v>
      </c>
      <c r="BC69" s="52">
        <f t="shared" ref="BC69:BC117" si="9">SUM(AJ69:BB69)</f>
        <v>1.7497436091524916</v>
      </c>
    </row>
    <row r="70" spans="35:55" x14ac:dyDescent="0.2">
      <c r="AI70" s="4">
        <f t="shared" si="7"/>
        <v>40694</v>
      </c>
      <c r="AJ70" s="24">
        <f>G10*AJ10</f>
        <v>0</v>
      </c>
      <c r="AK70" s="24">
        <f>H10*AK10</f>
        <v>0</v>
      </c>
      <c r="AL70" s="24">
        <f>I10*AL10</f>
        <v>0</v>
      </c>
      <c r="AM70" s="24">
        <f>J10*AM10</f>
        <v>0</v>
      </c>
      <c r="AN70" s="24">
        <f>K10*AN10</f>
        <v>0</v>
      </c>
      <c r="AO70" s="24">
        <f>L10*AO10</f>
        <v>0.21123088061991027</v>
      </c>
      <c r="AP70" s="24">
        <f>M10*AP10</f>
        <v>0</v>
      </c>
      <c r="AQ70" s="24">
        <f>N10*AQ10</f>
        <v>0</v>
      </c>
      <c r="AR70" s="24">
        <f>O10*AR10</f>
        <v>0</v>
      </c>
      <c r="AS70" s="24">
        <f>P10*AS10</f>
        <v>0.78688069073645062</v>
      </c>
      <c r="AT70" s="24">
        <f>Q10*AT10</f>
        <v>0.78883068251965471</v>
      </c>
      <c r="AU70" s="24">
        <f>R10*AU10</f>
        <v>0</v>
      </c>
      <c r="AV70" s="24">
        <f>S10*AV10</f>
        <v>0</v>
      </c>
      <c r="AW70" s="24">
        <f>T10*AW10</f>
        <v>0</v>
      </c>
      <c r="AX70" s="24">
        <f>U10*AX10</f>
        <v>0</v>
      </c>
      <c r="AY70" s="24">
        <f>V10*AY10</f>
        <v>0</v>
      </c>
      <c r="AZ70" s="24">
        <f>W10*AZ10</f>
        <v>0</v>
      </c>
      <c r="BA70" s="24">
        <f>X10*BA10</f>
        <v>0</v>
      </c>
      <c r="BB70" s="24">
        <f>Y10*BB10</f>
        <v>0</v>
      </c>
      <c r="BC70" s="52">
        <f t="shared" si="9"/>
        <v>1.7869422538760156</v>
      </c>
    </row>
    <row r="71" spans="35:55" x14ac:dyDescent="0.2">
      <c r="AI71" s="4">
        <f t="shared" si="7"/>
        <v>40724</v>
      </c>
      <c r="AJ71" s="24">
        <f>G11*AJ11</f>
        <v>0</v>
      </c>
      <c r="AK71" s="24">
        <f>H11*AK11</f>
        <v>0</v>
      </c>
      <c r="AL71" s="24">
        <f>I11*AL11</f>
        <v>0</v>
      </c>
      <c r="AM71" s="24">
        <f>J11*AM11</f>
        <v>0</v>
      </c>
      <c r="AN71" s="24">
        <f>K11*AN11</f>
        <v>0</v>
      </c>
      <c r="AO71" s="24">
        <f>L11*AO11</f>
        <v>0.21806608528737711</v>
      </c>
      <c r="AP71" s="24">
        <f>M11*AP11</f>
        <v>0</v>
      </c>
      <c r="AQ71" s="24">
        <f>N11*AQ11</f>
        <v>0</v>
      </c>
      <c r="AR71" s="24">
        <f>O11*AR11</f>
        <v>0</v>
      </c>
      <c r="AS71" s="24">
        <f>P11*AS11</f>
        <v>0.80267769750943574</v>
      </c>
      <c r="AT71" s="24">
        <f>Q11*AT11</f>
        <v>0.79954339666912022</v>
      </c>
      <c r="AU71" s="24">
        <f>R11*AU11</f>
        <v>0</v>
      </c>
      <c r="AV71" s="24">
        <f>S11*AV11</f>
        <v>0</v>
      </c>
      <c r="AW71" s="24">
        <f>T11*AW11</f>
        <v>0</v>
      </c>
      <c r="AX71" s="24">
        <f>U11*AX11</f>
        <v>0</v>
      </c>
      <c r="AY71" s="24">
        <f>V11*AY11</f>
        <v>0</v>
      </c>
      <c r="AZ71" s="24">
        <f>W11*AZ11</f>
        <v>0</v>
      </c>
      <c r="BA71" s="24">
        <f>X11*BA11</f>
        <v>0</v>
      </c>
      <c r="BB71" s="24">
        <f>Y11*BB11</f>
        <v>0</v>
      </c>
      <c r="BC71" s="52">
        <f t="shared" si="9"/>
        <v>1.8202871794659332</v>
      </c>
    </row>
    <row r="72" spans="35:55" x14ac:dyDescent="0.2">
      <c r="AI72" s="4">
        <f t="shared" si="7"/>
        <v>40753</v>
      </c>
      <c r="AJ72" s="24">
        <f>G12*AJ12</f>
        <v>0</v>
      </c>
      <c r="AK72" s="24">
        <f>H12*AK12</f>
        <v>0</v>
      </c>
      <c r="AL72" s="24">
        <f>I12*AL12</f>
        <v>0</v>
      </c>
      <c r="AM72" s="24">
        <f>J12*AM12</f>
        <v>0</v>
      </c>
      <c r="AN72" s="24">
        <f>K12*AN12</f>
        <v>0</v>
      </c>
      <c r="AO72" s="24">
        <f>L12*AO12</f>
        <v>0.20367097535768791</v>
      </c>
      <c r="AP72" s="24">
        <f>M12*AP12</f>
        <v>0</v>
      </c>
      <c r="AQ72" s="24">
        <f>N12*AQ12</f>
        <v>0</v>
      </c>
      <c r="AR72" s="24">
        <f>O12*AR12</f>
        <v>0</v>
      </c>
      <c r="AS72" s="24">
        <f>P12*AS12</f>
        <v>0.78436744421943005</v>
      </c>
      <c r="AT72" s="24">
        <f>Q12*AT12</f>
        <v>0.75810718768797725</v>
      </c>
      <c r="AU72" s="24">
        <f>R12*AU12</f>
        <v>0</v>
      </c>
      <c r="AV72" s="24">
        <f>S12*AV12</f>
        <v>0</v>
      </c>
      <c r="AW72" s="24">
        <f>T12*AW12</f>
        <v>0</v>
      </c>
      <c r="AX72" s="24">
        <f>U12*AX12</f>
        <v>0</v>
      </c>
      <c r="AY72" s="24">
        <f>V12*AY12</f>
        <v>0</v>
      </c>
      <c r="AZ72" s="24">
        <f>W12*AZ12</f>
        <v>0</v>
      </c>
      <c r="BA72" s="24">
        <f>X12*BA12</f>
        <v>0</v>
      </c>
      <c r="BB72" s="24">
        <f>Y12*BB12</f>
        <v>0</v>
      </c>
      <c r="BC72" s="52">
        <f t="shared" si="9"/>
        <v>1.7461456072650952</v>
      </c>
    </row>
    <row r="73" spans="35:55" x14ac:dyDescent="0.2">
      <c r="AI73" s="4">
        <f t="shared" si="7"/>
        <v>40786</v>
      </c>
      <c r="AJ73" s="24">
        <f>G13*AJ13</f>
        <v>0</v>
      </c>
      <c r="AK73" s="24">
        <f>H13*AK13</f>
        <v>0</v>
      </c>
      <c r="AL73" s="24">
        <f>I13*AL13</f>
        <v>0</v>
      </c>
      <c r="AM73" s="24">
        <f>J13*AM13</f>
        <v>0</v>
      </c>
      <c r="AN73" s="24">
        <f>K13*AN13</f>
        <v>0</v>
      </c>
      <c r="AO73" s="24">
        <f>L13*AO13</f>
        <v>0.15814389967883344</v>
      </c>
      <c r="AP73" s="24">
        <f>M13*AP13</f>
        <v>0</v>
      </c>
      <c r="AQ73" s="24">
        <f>N13*AQ13</f>
        <v>0</v>
      </c>
      <c r="AR73" s="24">
        <f>O13*AR13</f>
        <v>0</v>
      </c>
      <c r="AS73" s="24">
        <f>P13*AS13</f>
        <v>0.72137149009983625</v>
      </c>
      <c r="AT73" s="24">
        <f>Q13*AT13</f>
        <v>0.6205432316531948</v>
      </c>
      <c r="AU73" s="24">
        <f>R13*AU13</f>
        <v>0</v>
      </c>
      <c r="AV73" s="24">
        <f>S13*AV13</f>
        <v>0</v>
      </c>
      <c r="AW73" s="24">
        <f>T13*AW13</f>
        <v>0</v>
      </c>
      <c r="AX73" s="24">
        <f>U13*AX13</f>
        <v>0</v>
      </c>
      <c r="AY73" s="24">
        <f>V13*AY13</f>
        <v>0</v>
      </c>
      <c r="AZ73" s="24">
        <f>W13*AZ13</f>
        <v>0</v>
      </c>
      <c r="BA73" s="24">
        <f>X13*BA13</f>
        <v>0</v>
      </c>
      <c r="BB73" s="24">
        <f>Y13*BB13</f>
        <v>0</v>
      </c>
      <c r="BC73" s="52">
        <f t="shared" si="9"/>
        <v>1.5000586214318645</v>
      </c>
    </row>
    <row r="74" spans="35:55" x14ac:dyDescent="0.2">
      <c r="AI74" s="4">
        <f t="shared" si="7"/>
        <v>40816</v>
      </c>
      <c r="AJ74" s="24">
        <f>G14*AJ14</f>
        <v>0</v>
      </c>
      <c r="AK74" s="24">
        <f>H14*AK14</f>
        <v>0</v>
      </c>
      <c r="AL74" s="24">
        <f>I14*AL14</f>
        <v>0</v>
      </c>
      <c r="AM74" s="24">
        <f>J14*AM14</f>
        <v>0</v>
      </c>
      <c r="AN74" s="24">
        <f>K14*AN14</f>
        <v>0</v>
      </c>
      <c r="AO74" s="24">
        <f>L14*AO14</f>
        <v>0.13578618059319073</v>
      </c>
      <c r="AP74" s="24">
        <f>M14*AP14</f>
        <v>0</v>
      </c>
      <c r="AQ74" s="24">
        <f>N14*AQ14</f>
        <v>0</v>
      </c>
      <c r="AR74" s="24">
        <f>O14*AR14</f>
        <v>0</v>
      </c>
      <c r="AS74" s="24">
        <f>P14*AS14</f>
        <v>0.63387178176755832</v>
      </c>
      <c r="AT74" s="24">
        <f>Q14*AT14</f>
        <v>0.51151881464611137</v>
      </c>
      <c r="AU74" s="24">
        <f>R14*AU14</f>
        <v>0</v>
      </c>
      <c r="AV74" s="24">
        <f>S14*AV14</f>
        <v>0</v>
      </c>
      <c r="AW74" s="24">
        <f>T14*AW14</f>
        <v>0</v>
      </c>
      <c r="AX74" s="24">
        <f>U14*AX14</f>
        <v>0</v>
      </c>
      <c r="AY74" s="24">
        <f>V14*AY14</f>
        <v>0</v>
      </c>
      <c r="AZ74" s="24">
        <f>W14*AZ14</f>
        <v>0</v>
      </c>
      <c r="BA74" s="24">
        <f>X14*BA14</f>
        <v>0</v>
      </c>
      <c r="BB74" s="24">
        <f>Y14*BB14</f>
        <v>0</v>
      </c>
      <c r="BC74" s="52">
        <f t="shared" si="9"/>
        <v>1.2811767770068605</v>
      </c>
    </row>
    <row r="75" spans="35:55" x14ac:dyDescent="0.2">
      <c r="AI75" s="4">
        <f t="shared" si="7"/>
        <v>40847</v>
      </c>
      <c r="AJ75" s="24">
        <f>G15*AJ15</f>
        <v>0</v>
      </c>
      <c r="AK75" s="24">
        <f>H15*AK15</f>
        <v>0</v>
      </c>
      <c r="AL75" s="24">
        <f>I15*AL15</f>
        <v>0</v>
      </c>
      <c r="AM75" s="24">
        <f>J15*AM15</f>
        <v>0</v>
      </c>
      <c r="AN75" s="24">
        <f>K15*AN15</f>
        <v>0</v>
      </c>
      <c r="AO75" s="24">
        <f>L15*AO15</f>
        <v>0.15807191139300469</v>
      </c>
      <c r="AP75" s="24">
        <f>M15*AP15</f>
        <v>0</v>
      </c>
      <c r="AQ75" s="24">
        <f>N15*AQ15</f>
        <v>0</v>
      </c>
      <c r="AR75" s="24">
        <f>O15*AR15</f>
        <v>0</v>
      </c>
      <c r="AS75" s="24">
        <f>P15*AS15</f>
        <v>0.61694718220983447</v>
      </c>
      <c r="AT75" s="24">
        <f>Q15*AT15</f>
        <v>0.53374784099485584</v>
      </c>
      <c r="AU75" s="24">
        <f>R15*AU15</f>
        <v>0</v>
      </c>
      <c r="AV75" s="24">
        <f>S15*AV15</f>
        <v>0</v>
      </c>
      <c r="AW75" s="24">
        <f>T15*AW15</f>
        <v>0</v>
      </c>
      <c r="AX75" s="24">
        <f>U15*AX15</f>
        <v>0</v>
      </c>
      <c r="AY75" s="24">
        <f>V15*AY15</f>
        <v>0</v>
      </c>
      <c r="AZ75" s="24">
        <f>W15*AZ15</f>
        <v>0</v>
      </c>
      <c r="BA75" s="24">
        <f>X15*BA15</f>
        <v>0</v>
      </c>
      <c r="BB75" s="24">
        <f>Y15*BB15</f>
        <v>0</v>
      </c>
      <c r="BC75" s="52">
        <f t="shared" si="9"/>
        <v>1.3087669345976951</v>
      </c>
    </row>
    <row r="76" spans="35:55" x14ac:dyDescent="0.2">
      <c r="AI76" s="4">
        <f t="shared" si="7"/>
        <v>40877</v>
      </c>
      <c r="AJ76" s="24">
        <f>G16*AJ16</f>
        <v>0</v>
      </c>
      <c r="AK76" s="24">
        <f>H16*AK16</f>
        <v>0</v>
      </c>
      <c r="AL76" s="24">
        <f>I16*AL16</f>
        <v>0</v>
      </c>
      <c r="AM76" s="24">
        <f>J16*AM16</f>
        <v>0</v>
      </c>
      <c r="AN76" s="24">
        <f>K16*AN16</f>
        <v>0</v>
      </c>
      <c r="AO76" s="24">
        <f>L16*AO16</f>
        <v>0.16569726966083753</v>
      </c>
      <c r="AP76" s="24">
        <f>M16*AP16</f>
        <v>0</v>
      </c>
      <c r="AQ76" s="24">
        <f>N16*AQ16</f>
        <v>0</v>
      </c>
      <c r="AR76" s="24">
        <f>O16*AR16</f>
        <v>0</v>
      </c>
      <c r="AS76" s="24">
        <f>P16*AS16</f>
        <v>0.651175039791413</v>
      </c>
      <c r="AT76" s="24">
        <f>Q16*AT16</f>
        <v>0.53945029421559509</v>
      </c>
      <c r="AU76" s="24">
        <f>R16*AU16</f>
        <v>0</v>
      </c>
      <c r="AV76" s="24">
        <f>S16*AV16</f>
        <v>0</v>
      </c>
      <c r="AW76" s="24">
        <f>T16*AW16</f>
        <v>0</v>
      </c>
      <c r="AX76" s="24">
        <f>U16*AX16</f>
        <v>0</v>
      </c>
      <c r="AY76" s="24">
        <f>V16*AY16</f>
        <v>0</v>
      </c>
      <c r="AZ76" s="24">
        <f>W16*AZ16</f>
        <v>0</v>
      </c>
      <c r="BA76" s="24">
        <f>X16*BA16</f>
        <v>0</v>
      </c>
      <c r="BB76" s="24">
        <f>Y16*BB16</f>
        <v>0</v>
      </c>
      <c r="BC76" s="52">
        <f t="shared" si="9"/>
        <v>1.3563226036678455</v>
      </c>
    </row>
    <row r="77" spans="35:55" x14ac:dyDescent="0.2">
      <c r="AI77" s="4">
        <f t="shared" si="7"/>
        <v>40907</v>
      </c>
      <c r="AJ77" s="24">
        <f>G17*AJ17</f>
        <v>0</v>
      </c>
      <c r="AK77" s="24">
        <f>H17*AK17</f>
        <v>0</v>
      </c>
      <c r="AL77" s="24">
        <f>I17*AL17</f>
        <v>0</v>
      </c>
      <c r="AM77" s="24">
        <f>J17*AM17</f>
        <v>0</v>
      </c>
      <c r="AN77" s="24">
        <f>K17*AN17</f>
        <v>0</v>
      </c>
      <c r="AO77" s="24">
        <f>L17*AO17</f>
        <v>0.1674603235846083</v>
      </c>
      <c r="AP77" s="24">
        <f>M17*AP17</f>
        <v>0</v>
      </c>
      <c r="AQ77" s="24">
        <f>N17*AQ17</f>
        <v>0</v>
      </c>
      <c r="AR77" s="24">
        <f>O17*AR17</f>
        <v>0</v>
      </c>
      <c r="AS77" s="24">
        <f>P17*AS17</f>
        <v>0.63907451924175651</v>
      </c>
      <c r="AT77" s="24">
        <f>Q17*AT17</f>
        <v>0.52559973735676269</v>
      </c>
      <c r="AU77" s="24">
        <f>R17*AU17</f>
        <v>0</v>
      </c>
      <c r="AV77" s="24">
        <f>S17*AV17</f>
        <v>0</v>
      </c>
      <c r="AW77" s="24">
        <f>T17*AW17</f>
        <v>0</v>
      </c>
      <c r="AX77" s="24">
        <f>U17*AX17</f>
        <v>0</v>
      </c>
      <c r="AY77" s="24">
        <f>V17*AY17</f>
        <v>0</v>
      </c>
      <c r="AZ77" s="24">
        <f>W17*AZ17</f>
        <v>0</v>
      </c>
      <c r="BA77" s="24">
        <f>X17*BA17</f>
        <v>0</v>
      </c>
      <c r="BB77" s="24">
        <f>Y17*BB17</f>
        <v>0</v>
      </c>
      <c r="BC77" s="52">
        <f t="shared" si="9"/>
        <v>1.3321345801831275</v>
      </c>
    </row>
    <row r="78" spans="35:55" x14ac:dyDescent="0.2">
      <c r="AI78" s="4">
        <f t="shared" si="7"/>
        <v>40939</v>
      </c>
      <c r="AJ78" s="24">
        <f>G18*AJ18</f>
        <v>0</v>
      </c>
      <c r="AK78" s="24">
        <f>H18*AK18</f>
        <v>0</v>
      </c>
      <c r="AL78" s="24">
        <f>I18*AL18</f>
        <v>0</v>
      </c>
      <c r="AM78" s="24">
        <f>J18*AM18</f>
        <v>0</v>
      </c>
      <c r="AN78" s="24">
        <f>K18*AN18</f>
        <v>0</v>
      </c>
      <c r="AO78" s="24">
        <f>L18*AO18</f>
        <v>0.15356172607840443</v>
      </c>
      <c r="AP78" s="24">
        <f>M18*AP18</f>
        <v>0</v>
      </c>
      <c r="AQ78" s="24">
        <f>N18*AQ18</f>
        <v>0</v>
      </c>
      <c r="AR78" s="24">
        <f>O18*AR18</f>
        <v>0</v>
      </c>
      <c r="AS78" s="24">
        <f>P18*AS18</f>
        <v>0.62232855066077286</v>
      </c>
      <c r="AT78" s="24">
        <f>Q18*AT18</f>
        <v>0.48349763992701927</v>
      </c>
      <c r="AU78" s="24">
        <f>R18*AU18</f>
        <v>0</v>
      </c>
      <c r="AV78" s="24">
        <f>S18*AV18</f>
        <v>0</v>
      </c>
      <c r="AW78" s="24">
        <f>T18*AW18</f>
        <v>0</v>
      </c>
      <c r="AX78" s="24">
        <f>U18*AX18</f>
        <v>0</v>
      </c>
      <c r="AY78" s="24">
        <f>V18*AY18</f>
        <v>0</v>
      </c>
      <c r="AZ78" s="24">
        <f>W18*AZ18</f>
        <v>0</v>
      </c>
      <c r="BA78" s="24">
        <f>X18*BA18</f>
        <v>0</v>
      </c>
      <c r="BB78" s="24">
        <f>Y18*BB18</f>
        <v>0</v>
      </c>
      <c r="BC78" s="52">
        <f t="shared" si="9"/>
        <v>1.2593879166661965</v>
      </c>
    </row>
    <row r="79" spans="35:55" x14ac:dyDescent="0.2">
      <c r="AI79" s="4">
        <f t="shared" si="7"/>
        <v>40968</v>
      </c>
      <c r="AJ79" s="24">
        <f>G19*AJ19</f>
        <v>0</v>
      </c>
      <c r="AK79" s="24">
        <f>H19*AK19</f>
        <v>0</v>
      </c>
      <c r="AL79" s="24">
        <f>I19*AL19</f>
        <v>0</v>
      </c>
      <c r="AM79" s="24">
        <f>J19*AM19</f>
        <v>0</v>
      </c>
      <c r="AN79" s="24">
        <f>K19*AN19</f>
        <v>0</v>
      </c>
      <c r="AO79" s="24">
        <f>L19*AO19</f>
        <v>0.17176185720231263</v>
      </c>
      <c r="AP79" s="24">
        <f>M19*AP19</f>
        <v>0</v>
      </c>
      <c r="AQ79" s="24">
        <f>N19*AQ19</f>
        <v>0</v>
      </c>
      <c r="AR79" s="24">
        <f>O19*AR19</f>
        <v>0</v>
      </c>
      <c r="AS79" s="24">
        <f>P19*AS19</f>
        <v>0.66184991775505131</v>
      </c>
      <c r="AT79" s="24">
        <f>Q19*AT19</f>
        <v>0.53466142111368253</v>
      </c>
      <c r="AU79" s="24">
        <f>R19*AU19</f>
        <v>0</v>
      </c>
      <c r="AV79" s="24">
        <f>S19*AV19</f>
        <v>0</v>
      </c>
      <c r="AW79" s="24">
        <f>T19*AW19</f>
        <v>0</v>
      </c>
      <c r="AX79" s="24">
        <f>U19*AX19</f>
        <v>0</v>
      </c>
      <c r="AY79" s="24">
        <f>V19*AY19</f>
        <v>0</v>
      </c>
      <c r="AZ79" s="24">
        <f>W19*AZ19</f>
        <v>0</v>
      </c>
      <c r="BA79" s="24">
        <f>X19*BA19</f>
        <v>0</v>
      </c>
      <c r="BB79" s="24">
        <f>Y19*BB19</f>
        <v>0</v>
      </c>
      <c r="BC79" s="52">
        <f t="shared" si="9"/>
        <v>1.3682731960710464</v>
      </c>
    </row>
    <row r="80" spans="35:55" x14ac:dyDescent="0.2">
      <c r="AI80" s="4">
        <f t="shared" si="7"/>
        <v>40998</v>
      </c>
      <c r="AJ80" s="24">
        <f>G20*AJ20</f>
        <v>0</v>
      </c>
      <c r="AK80" s="24">
        <f>H20*AK20</f>
        <v>0</v>
      </c>
      <c r="AL80" s="24">
        <f>I20*AL20</f>
        <v>0</v>
      </c>
      <c r="AM80" s="24">
        <f>J20*AM20</f>
        <v>0</v>
      </c>
      <c r="AN80" s="24">
        <f>K20*AN20</f>
        <v>0</v>
      </c>
      <c r="AO80" s="24">
        <f>L20*AO20</f>
        <v>0.13288444533828123</v>
      </c>
      <c r="AP80" s="24">
        <f>M20*AP20</f>
        <v>0</v>
      </c>
      <c r="AQ80" s="24">
        <f>N20*AQ20</f>
        <v>0</v>
      </c>
      <c r="AR80" s="24">
        <f>O20*AR20</f>
        <v>0.44107563453579685</v>
      </c>
      <c r="AS80" s="24">
        <f>P20*AS20</f>
        <v>0.42519906338641961</v>
      </c>
      <c r="AT80" s="24">
        <f>Q20*AT20</f>
        <v>0.43096557396309959</v>
      </c>
      <c r="AU80" s="24">
        <f>R20*AU20</f>
        <v>0.41549039626136991</v>
      </c>
      <c r="AV80" s="24">
        <f>S20*AV20</f>
        <v>0.4406552783679033</v>
      </c>
      <c r="AW80" s="24">
        <f>T20*AW20</f>
        <v>0</v>
      </c>
      <c r="AX80" s="24">
        <f>U20*AX20</f>
        <v>0</v>
      </c>
      <c r="AY80" s="24">
        <f>V20*AY20</f>
        <v>0</v>
      </c>
      <c r="AZ80" s="24">
        <f>W20*AZ20</f>
        <v>0</v>
      </c>
      <c r="BA80" s="24">
        <f>X20*BA20</f>
        <v>0</v>
      </c>
      <c r="BB80" s="24">
        <f>Y20*BB20</f>
        <v>0</v>
      </c>
      <c r="BC80" s="52">
        <f t="shared" si="9"/>
        <v>2.2862703918528702</v>
      </c>
    </row>
    <row r="81" spans="35:55" x14ac:dyDescent="0.2">
      <c r="AI81" s="4">
        <f t="shared" si="7"/>
        <v>41029</v>
      </c>
      <c r="AJ81" s="24">
        <f>G21*AJ21</f>
        <v>0</v>
      </c>
      <c r="AK81" s="24">
        <f>H21*AK21</f>
        <v>0</v>
      </c>
      <c r="AL81" s="24">
        <f>I21*AL21</f>
        <v>0</v>
      </c>
      <c r="AM81" s="24">
        <f>J21*AM21</f>
        <v>0</v>
      </c>
      <c r="AN81" s="24">
        <f>K21*AN21</f>
        <v>0</v>
      </c>
      <c r="AO81" s="24">
        <f>L21*AO21</f>
        <v>0.12451920776222487</v>
      </c>
      <c r="AP81" s="24">
        <f>M21*AP21</f>
        <v>0</v>
      </c>
      <c r="AQ81" s="24">
        <f>N21*AQ21</f>
        <v>0</v>
      </c>
      <c r="AR81" s="24">
        <f>O21*AR21</f>
        <v>0.42976559884766519</v>
      </c>
      <c r="AS81" s="24">
        <f>P21*AS21</f>
        <v>0.40945258015607228</v>
      </c>
      <c r="AT81" s="24">
        <f>Q21*AT21</f>
        <v>0.41126842940893221</v>
      </c>
      <c r="AU81" s="24">
        <f>R21*AU21</f>
        <v>0.43072690473517816</v>
      </c>
      <c r="AV81" s="24">
        <f>S21*AV21</f>
        <v>0.41872584967333598</v>
      </c>
      <c r="AW81" s="24">
        <f>T21*AW21</f>
        <v>0</v>
      </c>
      <c r="AX81" s="24">
        <f>U21*AX21</f>
        <v>0</v>
      </c>
      <c r="AY81" s="24">
        <f>V21*AY21</f>
        <v>0</v>
      </c>
      <c r="AZ81" s="24">
        <f>W21*AZ21</f>
        <v>0</v>
      </c>
      <c r="BA81" s="24">
        <f>X21*BA21</f>
        <v>0</v>
      </c>
      <c r="BB81" s="24">
        <f>Y21*BB21</f>
        <v>0</v>
      </c>
      <c r="BC81" s="52">
        <f t="shared" si="9"/>
        <v>2.2244585705834088</v>
      </c>
    </row>
    <row r="82" spans="35:55" x14ac:dyDescent="0.2">
      <c r="AI82" s="4">
        <f t="shared" si="7"/>
        <v>41060</v>
      </c>
      <c r="AJ82" s="24">
        <f>G22*AJ22</f>
        <v>0</v>
      </c>
      <c r="AK82" s="24">
        <f>H22*AK22</f>
        <v>0</v>
      </c>
      <c r="AL82" s="24">
        <f>I22*AL22</f>
        <v>0</v>
      </c>
      <c r="AM82" s="24">
        <f>J22*AM22</f>
        <v>0</v>
      </c>
      <c r="AN82" s="24">
        <f>K22*AN22</f>
        <v>0</v>
      </c>
      <c r="AO82" s="24">
        <f>L22*AO22</f>
        <v>0.11026431200735795</v>
      </c>
      <c r="AP82" s="24">
        <f>M22*AP22</f>
        <v>0</v>
      </c>
      <c r="AQ82" s="24">
        <f>N22*AQ22</f>
        <v>0</v>
      </c>
      <c r="AR82" s="24">
        <f>O22*AR22</f>
        <v>0.38855920752698675</v>
      </c>
      <c r="AS82" s="24">
        <f>P22*AS22</f>
        <v>0.37009581028368216</v>
      </c>
      <c r="AT82" s="24">
        <f>Q22*AT22</f>
        <v>0.37048794035273153</v>
      </c>
      <c r="AU82" s="24">
        <f>R22*AU22</f>
        <v>0.41665788406146231</v>
      </c>
      <c r="AV82" s="24">
        <f>S22*AV22</f>
        <v>0.3708855707024295</v>
      </c>
      <c r="AW82" s="24">
        <f>T22*AW22</f>
        <v>0</v>
      </c>
      <c r="AX82" s="24">
        <f>U22*AX22</f>
        <v>0</v>
      </c>
      <c r="AY82" s="24">
        <f>V22*AY22</f>
        <v>0</v>
      </c>
      <c r="AZ82" s="24">
        <f>W22*AZ22</f>
        <v>0</v>
      </c>
      <c r="BA82" s="24">
        <f>X22*BA22</f>
        <v>0</v>
      </c>
      <c r="BB82" s="24">
        <f>Y22*BB22</f>
        <v>0</v>
      </c>
      <c r="BC82" s="52">
        <f t="shared" si="9"/>
        <v>2.0269507249346503</v>
      </c>
    </row>
    <row r="83" spans="35:55" x14ac:dyDescent="0.2">
      <c r="AI83" s="4">
        <f t="shared" si="7"/>
        <v>41089</v>
      </c>
      <c r="AJ83" s="24">
        <f>G23*AJ23</f>
        <v>0</v>
      </c>
      <c r="AK83" s="24">
        <f>H23*AK23</f>
        <v>0</v>
      </c>
      <c r="AL83" s="24">
        <f>I23*AL23</f>
        <v>0</v>
      </c>
      <c r="AM83" s="24">
        <f>J23*AM23</f>
        <v>0</v>
      </c>
      <c r="AN83" s="24">
        <f>K23*AN23</f>
        <v>0</v>
      </c>
      <c r="AO83" s="24">
        <f>L23*AO23</f>
        <v>0.11526605413997698</v>
      </c>
      <c r="AP83" s="24">
        <f>M23*AP23</f>
        <v>0</v>
      </c>
      <c r="AQ83" s="24">
        <f>N23*AQ23</f>
        <v>0</v>
      </c>
      <c r="AR83" s="24">
        <f>O23*AR23</f>
        <v>0.40343211963246717</v>
      </c>
      <c r="AS83" s="24">
        <f>P23*AS23</f>
        <v>0.37659422029833534</v>
      </c>
      <c r="AT83" s="24">
        <f>Q23*AT23</f>
        <v>0.36555858544443998</v>
      </c>
      <c r="AU83" s="24">
        <f>R23*AU23</f>
        <v>0.40987411636443438</v>
      </c>
      <c r="AV83" s="24">
        <f>S23*AV23</f>
        <v>0.37742975819566343</v>
      </c>
      <c r="AW83" s="24">
        <f>T23*AW23</f>
        <v>0</v>
      </c>
      <c r="AX83" s="24">
        <f>U23*AX23</f>
        <v>0</v>
      </c>
      <c r="AY83" s="24">
        <f>V23*AY23</f>
        <v>0</v>
      </c>
      <c r="AZ83" s="24">
        <f>W23*AZ23</f>
        <v>0</v>
      </c>
      <c r="BA83" s="24">
        <f>X23*BA23</f>
        <v>0</v>
      </c>
      <c r="BB83" s="24">
        <f>Y23*BB23</f>
        <v>0</v>
      </c>
      <c r="BC83" s="52">
        <f t="shared" si="9"/>
        <v>2.0481548540753174</v>
      </c>
    </row>
    <row r="84" spans="35:55" x14ac:dyDescent="0.2">
      <c r="AI84" s="4">
        <f t="shared" si="7"/>
        <v>41121</v>
      </c>
      <c r="AJ84" s="24">
        <f>G24*AJ24</f>
        <v>0</v>
      </c>
      <c r="AK84" s="24">
        <f>H24*AK24</f>
        <v>0</v>
      </c>
      <c r="AL84" s="24">
        <f>I24*AL24</f>
        <v>0</v>
      </c>
      <c r="AM84" s="24">
        <f>J24*AM24</f>
        <v>0</v>
      </c>
      <c r="AN84" s="24">
        <f>K24*AN24</f>
        <v>0</v>
      </c>
      <c r="AO84" s="24">
        <f>L24*AO24</f>
        <v>0.11700815806868999</v>
      </c>
      <c r="AP84" s="24">
        <f>M24*AP24</f>
        <v>0</v>
      </c>
      <c r="AQ84" s="24">
        <f>N24*AQ24</f>
        <v>0</v>
      </c>
      <c r="AR84" s="24">
        <f>O24*AR24</f>
        <v>0.40463904758339664</v>
      </c>
      <c r="AS84" s="24">
        <f>P24*AS24</f>
        <v>0.37826983195219166</v>
      </c>
      <c r="AT84" s="24">
        <f>Q24*AT24</f>
        <v>0.35966759151911837</v>
      </c>
      <c r="AU84" s="24">
        <f>R24*AU24</f>
        <v>0.41971207213931172</v>
      </c>
      <c r="AV84" s="24">
        <f>S24*AV24</f>
        <v>0.37065589320778669</v>
      </c>
      <c r="AW84" s="24">
        <f>T24*AW24</f>
        <v>0</v>
      </c>
      <c r="AX84" s="24">
        <f>U24*AX24</f>
        <v>0</v>
      </c>
      <c r="AY84" s="24">
        <f>V24*AY24</f>
        <v>0</v>
      </c>
      <c r="AZ84" s="24">
        <f>W24*AZ24</f>
        <v>0</v>
      </c>
      <c r="BA84" s="24">
        <f>X24*BA24</f>
        <v>0</v>
      </c>
      <c r="BB84" s="24">
        <f>Y24*BB24</f>
        <v>0</v>
      </c>
      <c r="BC84" s="52">
        <f t="shared" si="9"/>
        <v>2.0499525944704953</v>
      </c>
    </row>
    <row r="85" spans="35:55" x14ac:dyDescent="0.2">
      <c r="AI85" s="4">
        <f t="shared" si="7"/>
        <v>41152</v>
      </c>
      <c r="AJ85" s="24">
        <f>G25*AJ25</f>
        <v>0</v>
      </c>
      <c r="AK85" s="24">
        <f>H25*AK25</f>
        <v>0</v>
      </c>
      <c r="AL85" s="24">
        <f>I25*AL25</f>
        <v>0</v>
      </c>
      <c r="AM85" s="24">
        <f>J25*AM25</f>
        <v>0</v>
      </c>
      <c r="AN85" s="24">
        <f>K25*AN25</f>
        <v>0</v>
      </c>
      <c r="AO85" s="24">
        <f>L25*AO25</f>
        <v>0.12327906401266692</v>
      </c>
      <c r="AP85" s="24">
        <f>M25*AP25</f>
        <v>0</v>
      </c>
      <c r="AQ85" s="24">
        <f>N25*AQ25</f>
        <v>0</v>
      </c>
      <c r="AR85" s="24">
        <f>O25*AR25</f>
        <v>0.43949150742345633</v>
      </c>
      <c r="AS85" s="24">
        <f>P25*AS25</f>
        <v>0.39552812532789955</v>
      </c>
      <c r="AT85" s="24">
        <f>Q25*AT25</f>
        <v>0.37272780712723252</v>
      </c>
      <c r="AU85" s="24">
        <f>R25*AU25</f>
        <v>0.42824980829131032</v>
      </c>
      <c r="AV85" s="24">
        <f>S25*AV25</f>
        <v>0.39353375093760701</v>
      </c>
      <c r="AW85" s="24">
        <f>T25*AW25</f>
        <v>0</v>
      </c>
      <c r="AX85" s="24">
        <f>U25*AX25</f>
        <v>0</v>
      </c>
      <c r="AY85" s="24">
        <f>V25*AY25</f>
        <v>0</v>
      </c>
      <c r="AZ85" s="24">
        <f>W25*AZ25</f>
        <v>0</v>
      </c>
      <c r="BA85" s="24">
        <f>X25*BA25</f>
        <v>0</v>
      </c>
      <c r="BB85" s="24">
        <f>Y25*BB25</f>
        <v>0</v>
      </c>
      <c r="BC85" s="52">
        <f t="shared" si="9"/>
        <v>2.1528100631201728</v>
      </c>
    </row>
    <row r="86" spans="35:55" x14ac:dyDescent="0.2">
      <c r="AI86" s="4">
        <f t="shared" si="7"/>
        <v>41180</v>
      </c>
      <c r="AJ86" s="24">
        <f>G26*AJ26</f>
        <v>0</v>
      </c>
      <c r="AK86" s="24">
        <f>H26*AK26</f>
        <v>0</v>
      </c>
      <c r="AL86" s="24">
        <f>I26*AL26</f>
        <v>0</v>
      </c>
      <c r="AM86" s="24">
        <f>J26*AM26</f>
        <v>0</v>
      </c>
      <c r="AN86" s="24">
        <f>K26*AN26</f>
        <v>0</v>
      </c>
      <c r="AO86" s="24">
        <f>L26*AO26</f>
        <v>0.10777300920805505</v>
      </c>
      <c r="AP86" s="24">
        <f>M26*AP26</f>
        <v>0</v>
      </c>
      <c r="AQ86" s="24">
        <f>N26*AQ26</f>
        <v>0</v>
      </c>
      <c r="AR86" s="24">
        <f>O26*AR26</f>
        <v>0.42128337704804986</v>
      </c>
      <c r="AS86" s="24">
        <f>P26*AS26</f>
        <v>0.36504702137712292</v>
      </c>
      <c r="AT86" s="24">
        <f>Q26*AT26</f>
        <v>0.35602165756674298</v>
      </c>
      <c r="AU86" s="24">
        <f>R26*AU26</f>
        <v>0.41775109015518735</v>
      </c>
      <c r="AV86" s="24">
        <f>S26*AV26</f>
        <v>0.35250856510899153</v>
      </c>
      <c r="AW86" s="24">
        <f>T26*AW26</f>
        <v>0</v>
      </c>
      <c r="AX86" s="24">
        <f>U26*AX26</f>
        <v>0</v>
      </c>
      <c r="AY86" s="24">
        <f>V26*AY26</f>
        <v>0</v>
      </c>
      <c r="AZ86" s="24">
        <f>W26*AZ26</f>
        <v>0</v>
      </c>
      <c r="BA86" s="24">
        <f>X26*BA26</f>
        <v>0</v>
      </c>
      <c r="BB86" s="24">
        <f>Y26*BB26</f>
        <v>0</v>
      </c>
      <c r="BC86" s="52">
        <f t="shared" si="9"/>
        <v>2.0203847204641496</v>
      </c>
    </row>
    <row r="87" spans="35:55" x14ac:dyDescent="0.2">
      <c r="AI87" s="4">
        <f t="shared" si="7"/>
        <v>41213</v>
      </c>
      <c r="AJ87" s="24">
        <f>G27*AJ27</f>
        <v>0</v>
      </c>
      <c r="AK87" s="24">
        <f>H27*AK27</f>
        <v>0</v>
      </c>
      <c r="AL87" s="24">
        <f>I27*AL27</f>
        <v>0</v>
      </c>
      <c r="AM87" s="24">
        <f>J27*AM27</f>
        <v>0</v>
      </c>
      <c r="AN87" s="24">
        <f>K27*AN27</f>
        <v>0</v>
      </c>
      <c r="AO87" s="24">
        <f>L27*AO27</f>
        <v>0.11304193271818259</v>
      </c>
      <c r="AP87" s="24">
        <f>M27*AP27</f>
        <v>0</v>
      </c>
      <c r="AQ87" s="24">
        <f>N27*AQ27</f>
        <v>0</v>
      </c>
      <c r="AR87" s="24">
        <f>O27*AR27</f>
        <v>0.42469631313328449</v>
      </c>
      <c r="AS87" s="24">
        <f>P27*AS27</f>
        <v>0.38398781690679984</v>
      </c>
      <c r="AT87" s="24">
        <f>Q27*AT27</f>
        <v>0.36931579932524639</v>
      </c>
      <c r="AU87" s="24">
        <f>R27*AU27</f>
        <v>0.42885342281793842</v>
      </c>
      <c r="AV87" s="24">
        <f>S27*AV27</f>
        <v>0.36184338120300041</v>
      </c>
      <c r="AW87" s="24">
        <f>T27*AW27</f>
        <v>0</v>
      </c>
      <c r="AX87" s="24">
        <f>U27*AX27</f>
        <v>0</v>
      </c>
      <c r="AY87" s="24">
        <f>V27*AY27</f>
        <v>0</v>
      </c>
      <c r="AZ87" s="24">
        <f>W27*AZ27</f>
        <v>0</v>
      </c>
      <c r="BA87" s="24">
        <f>X27*BA27</f>
        <v>0</v>
      </c>
      <c r="BB87" s="24">
        <f>Y27*BB27</f>
        <v>0</v>
      </c>
      <c r="BC87" s="52">
        <f t="shared" si="9"/>
        <v>2.0817386661044521</v>
      </c>
    </row>
    <row r="88" spans="35:55" x14ac:dyDescent="0.2">
      <c r="AI88" s="4">
        <f t="shared" si="7"/>
        <v>41243</v>
      </c>
      <c r="AJ88" s="24">
        <f>G28*AJ28</f>
        <v>0</v>
      </c>
      <c r="AK88" s="24">
        <f>H28*AK28</f>
        <v>0</v>
      </c>
      <c r="AL88" s="24">
        <f>I28*AL28</f>
        <v>0</v>
      </c>
      <c r="AM88" s="24">
        <f>J28*AM28</f>
        <v>0</v>
      </c>
      <c r="AN88" s="24">
        <f>K28*AN28</f>
        <v>0</v>
      </c>
      <c r="AO88" s="24">
        <f>L28*AO28</f>
        <v>0.10836334151486783</v>
      </c>
      <c r="AP88" s="24">
        <f>M28*AP28</f>
        <v>0</v>
      </c>
      <c r="AQ88" s="24">
        <f>N28*AQ28</f>
        <v>0</v>
      </c>
      <c r="AR88" s="24">
        <f>O28*AR28</f>
        <v>0.39049881533815928</v>
      </c>
      <c r="AS88" s="24">
        <f>P28*AS28</f>
        <v>0.35136834220346308</v>
      </c>
      <c r="AT88" s="24">
        <f>Q28*AT28</f>
        <v>0.341476520037026</v>
      </c>
      <c r="AU88" s="24">
        <f>R28*AU28</f>
        <v>0.40708898424272871</v>
      </c>
      <c r="AV88" s="24">
        <f>S28*AV28</f>
        <v>0.3450424058069505</v>
      </c>
      <c r="AW88" s="24">
        <f>T28*AW28</f>
        <v>0</v>
      </c>
      <c r="AX88" s="24">
        <f>U28*AX28</f>
        <v>0</v>
      </c>
      <c r="AY88" s="24">
        <f>V28*AY28</f>
        <v>0</v>
      </c>
      <c r="AZ88" s="24">
        <f>W28*AZ28</f>
        <v>0</v>
      </c>
      <c r="BA88" s="24">
        <f>X28*BA28</f>
        <v>0</v>
      </c>
      <c r="BB88" s="24">
        <f>Y28*BB28</f>
        <v>0</v>
      </c>
      <c r="BC88" s="52">
        <f t="shared" si="9"/>
        <v>1.9438384091431955</v>
      </c>
    </row>
    <row r="89" spans="35:55" x14ac:dyDescent="0.2">
      <c r="AI89" s="4">
        <f t="shared" si="7"/>
        <v>41274</v>
      </c>
      <c r="AJ89" s="24">
        <f>G29*AJ29</f>
        <v>0</v>
      </c>
      <c r="AK89" s="24">
        <f>H29*AK29</f>
        <v>0</v>
      </c>
      <c r="AL89" s="24">
        <f>I29*AL29</f>
        <v>0</v>
      </c>
      <c r="AM89" s="24">
        <f>J29*AM29</f>
        <v>0</v>
      </c>
      <c r="AN89" s="24">
        <f>K29*AN29</f>
        <v>0</v>
      </c>
      <c r="AO89" s="24">
        <f>L29*AO29</f>
        <v>0.11247526691743767</v>
      </c>
      <c r="AP89" s="24">
        <f>M29*AP29</f>
        <v>0</v>
      </c>
      <c r="AQ89" s="24">
        <f>N29*AQ29</f>
        <v>0</v>
      </c>
      <c r="AR89" s="24">
        <f>O29*AR29</f>
        <v>0.40170923460557673</v>
      </c>
      <c r="AS89" s="24">
        <f>P29*AS29</f>
        <v>0.37330091966932311</v>
      </c>
      <c r="AT89" s="24">
        <f>Q29*AT29</f>
        <v>0.35457711820341153</v>
      </c>
      <c r="AU89" s="24">
        <f>R29*AU29</f>
        <v>0.42457402967630975</v>
      </c>
      <c r="AV89" s="24">
        <f>S29*AV29</f>
        <v>0.35883554343965407</v>
      </c>
      <c r="AW89" s="24">
        <f>T29*AW29</f>
        <v>0</v>
      </c>
      <c r="AX89" s="24">
        <f>U29*AX29</f>
        <v>0</v>
      </c>
      <c r="AY89" s="24">
        <f>V29*AY29</f>
        <v>0</v>
      </c>
      <c r="AZ89" s="24">
        <f>W29*AZ29</f>
        <v>0</v>
      </c>
      <c r="BA89" s="24">
        <f>X29*BA29</f>
        <v>0</v>
      </c>
      <c r="BB89" s="24">
        <f>Y29*BB29</f>
        <v>0</v>
      </c>
      <c r="BC89" s="52">
        <f t="shared" si="9"/>
        <v>2.025472112511713</v>
      </c>
    </row>
    <row r="90" spans="35:55" x14ac:dyDescent="0.2">
      <c r="AI90" s="4">
        <f t="shared" si="7"/>
        <v>41305</v>
      </c>
      <c r="AJ90" s="24">
        <f>G30*AJ30</f>
        <v>0</v>
      </c>
      <c r="AK90" s="24">
        <f>H30*AK30</f>
        <v>0</v>
      </c>
      <c r="AL90" s="24">
        <f>I30*AL30</f>
        <v>0</v>
      </c>
      <c r="AM90" s="24">
        <f>J30*AM30</f>
        <v>0</v>
      </c>
      <c r="AN90" s="24">
        <f>K30*AN30</f>
        <v>0</v>
      </c>
      <c r="AO90" s="24">
        <f>L30*AO30</f>
        <v>0.12186527302398018</v>
      </c>
      <c r="AP90" s="24">
        <f>M30*AP30</f>
        <v>0</v>
      </c>
      <c r="AQ90" s="24">
        <f>N30*AQ30</f>
        <v>0</v>
      </c>
      <c r="AR90" s="24">
        <f>O30*AR30</f>
        <v>0.41032230669668096</v>
      </c>
      <c r="AS90" s="24">
        <f>P30*AS30</f>
        <v>0.37598887329659242</v>
      </c>
      <c r="AT90" s="24">
        <f>Q30*AT30</f>
        <v>0.34082535004292008</v>
      </c>
      <c r="AU90" s="24">
        <f>R30*AU30</f>
        <v>0.41357574205301167</v>
      </c>
      <c r="AV90" s="24">
        <f>S30*AV30</f>
        <v>0.38497631392002246</v>
      </c>
      <c r="AW90" s="24">
        <f>T30*AW30</f>
        <v>0</v>
      </c>
      <c r="AX90" s="24">
        <f>U30*AX30</f>
        <v>0</v>
      </c>
      <c r="AY90" s="24">
        <f>V30*AY30</f>
        <v>0</v>
      </c>
      <c r="AZ90" s="24">
        <f>W30*AZ30</f>
        <v>0</v>
      </c>
      <c r="BA90" s="24">
        <f>X30*BA30</f>
        <v>0</v>
      </c>
      <c r="BB90" s="24">
        <f>Y30*BB30</f>
        <v>0</v>
      </c>
      <c r="BC90" s="52">
        <f t="shared" si="9"/>
        <v>2.0475538590332079</v>
      </c>
    </row>
    <row r="91" spans="35:55" x14ac:dyDescent="0.2">
      <c r="AI91" s="4">
        <f t="shared" si="7"/>
        <v>41333</v>
      </c>
      <c r="AJ91" s="24">
        <f>G31*AJ31</f>
        <v>0</v>
      </c>
      <c r="AK91" s="24">
        <f>H31*AK31</f>
        <v>0</v>
      </c>
      <c r="AL91" s="24">
        <f>I31*AL31</f>
        <v>0</v>
      </c>
      <c r="AM91" s="24">
        <f>J31*AM31</f>
        <v>0</v>
      </c>
      <c r="AN91" s="24">
        <f>K31*AN31</f>
        <v>0</v>
      </c>
      <c r="AO91" s="24">
        <f>L31*AO31</f>
        <v>0.12108767170368868</v>
      </c>
      <c r="AP91" s="24">
        <f>M31*AP31</f>
        <v>0</v>
      </c>
      <c r="AQ91" s="24">
        <f>N31*AQ31</f>
        <v>0</v>
      </c>
      <c r="AR91" s="24">
        <f>O31*AR31</f>
        <v>0.41594778170172114</v>
      </c>
      <c r="AS91" s="24">
        <f>P31*AS31</f>
        <v>0.38366662930206374</v>
      </c>
      <c r="AT91" s="24">
        <f>Q31*AT31</f>
        <v>0.33687847788084663</v>
      </c>
      <c r="AU91" s="24">
        <f>R31*AU31</f>
        <v>0.40957992863534393</v>
      </c>
      <c r="AV91" s="24">
        <f>S31*AV31</f>
        <v>0.38576918240894598</v>
      </c>
      <c r="AW91" s="24">
        <f>T31*AW31</f>
        <v>0</v>
      </c>
      <c r="AX91" s="24">
        <f>U31*AX31</f>
        <v>0</v>
      </c>
      <c r="AY91" s="24">
        <f>V31*AY31</f>
        <v>0</v>
      </c>
      <c r="AZ91" s="24">
        <f>W31*AZ31</f>
        <v>0</v>
      </c>
      <c r="BA91" s="24">
        <f>X31*BA31</f>
        <v>0</v>
      </c>
      <c r="BB91" s="24">
        <f>Y31*BB31</f>
        <v>0</v>
      </c>
      <c r="BC91" s="52">
        <f t="shared" si="9"/>
        <v>2.0529296716326098</v>
      </c>
    </row>
    <row r="92" spans="35:55" x14ac:dyDescent="0.2">
      <c r="AI92" s="4">
        <f t="shared" si="7"/>
        <v>41361</v>
      </c>
      <c r="AJ92" s="24">
        <f>G32*AJ32</f>
        <v>0</v>
      </c>
      <c r="AK92" s="24">
        <f>H32*AK32</f>
        <v>1.066011813864346</v>
      </c>
      <c r="AL92" s="24">
        <f>I32*AL32</f>
        <v>0</v>
      </c>
      <c r="AM92" s="24">
        <f>J32*AM32</f>
        <v>0</v>
      </c>
      <c r="AN92" s="24">
        <f>K32*AN32</f>
        <v>0.99787635745558623</v>
      </c>
      <c r="AO92" s="24">
        <f>L32*AO32</f>
        <v>6.5504495695135417E-2</v>
      </c>
      <c r="AP92" s="24">
        <f>M32*AP32</f>
        <v>0</v>
      </c>
      <c r="AQ92" s="24">
        <f>N32*AQ32</f>
        <v>0</v>
      </c>
      <c r="AR92" s="24">
        <f>O32*AR32</f>
        <v>0.23122765146989468</v>
      </c>
      <c r="AS92" s="24">
        <f>P32*AS32</f>
        <v>0.35314026364490669</v>
      </c>
      <c r="AT92" s="24">
        <f>Q32*AT32</f>
        <v>0.24707620836039626</v>
      </c>
      <c r="AU92" s="24">
        <f>R32*AU32</f>
        <v>0.19873799993339189</v>
      </c>
      <c r="AV92" s="24">
        <f>S32*AV32</f>
        <v>0.22410593658094832</v>
      </c>
      <c r="AW92" s="24">
        <f>T32*AW32</f>
        <v>0.45294942292144236</v>
      </c>
      <c r="AX92" s="24">
        <f>U32*AX32</f>
        <v>0.12353959424515068</v>
      </c>
      <c r="AY92" s="24">
        <f>V32*AY32</f>
        <v>0</v>
      </c>
      <c r="AZ92" s="24">
        <f>W32*AZ32</f>
        <v>0</v>
      </c>
      <c r="BA92" s="24">
        <f>X32*BA32</f>
        <v>0</v>
      </c>
      <c r="BB92" s="24">
        <f>Y32*BB32</f>
        <v>0</v>
      </c>
      <c r="BC92" s="52">
        <f t="shared" si="9"/>
        <v>3.9601697441711976</v>
      </c>
    </row>
    <row r="93" spans="35:55" x14ac:dyDescent="0.2">
      <c r="AI93" s="4">
        <f t="shared" si="7"/>
        <v>41394</v>
      </c>
      <c r="AJ93" s="24">
        <f>G33*AJ33</f>
        <v>0</v>
      </c>
      <c r="AK93" s="24">
        <f>H33*AK33</f>
        <v>0.94712713325854658</v>
      </c>
      <c r="AL93" s="24">
        <f>I33*AL33</f>
        <v>0</v>
      </c>
      <c r="AM93" s="24">
        <f>J33*AM33</f>
        <v>0</v>
      </c>
      <c r="AN93" s="24">
        <f>K33*AN33</f>
        <v>0.86256015512640827</v>
      </c>
      <c r="AO93" s="24">
        <f>L33*AO33</f>
        <v>5.2426864933878277E-2</v>
      </c>
      <c r="AP93" s="24">
        <f>M33*AP33</f>
        <v>0</v>
      </c>
      <c r="AQ93" s="24">
        <f>N33*AQ33</f>
        <v>0</v>
      </c>
      <c r="AR93" s="24">
        <f>O33*AR33</f>
        <v>0.18891602401737614</v>
      </c>
      <c r="AS93" s="24">
        <f>P33*AS33</f>
        <v>0.30514782439799831</v>
      </c>
      <c r="AT93" s="24">
        <f>Q33*AT33</f>
        <v>0.21309634564611249</v>
      </c>
      <c r="AU93" s="24">
        <f>R33*AU33</f>
        <v>0.1732958307993657</v>
      </c>
      <c r="AV93" s="24">
        <f>S33*AV33</f>
        <v>0.1979508727355471</v>
      </c>
      <c r="AW93" s="24">
        <f>T33*AW33</f>
        <v>0.40051817588488658</v>
      </c>
      <c r="AX93" s="24">
        <f>U33*AX33</f>
        <v>0.10715487663445768</v>
      </c>
      <c r="AY93" s="24">
        <f>V33*AY33</f>
        <v>0</v>
      </c>
      <c r="AZ93" s="24">
        <f>W33*AZ33</f>
        <v>0</v>
      </c>
      <c r="BA93" s="24">
        <f>X33*BA33</f>
        <v>0</v>
      </c>
      <c r="BB93" s="24">
        <f>Y33*BB33</f>
        <v>0</v>
      </c>
      <c r="BC93" s="52">
        <f t="shared" si="9"/>
        <v>3.4481941034345769</v>
      </c>
    </row>
    <row r="94" spans="35:55" x14ac:dyDescent="0.2">
      <c r="AI94" s="4">
        <f t="shared" si="7"/>
        <v>41425</v>
      </c>
      <c r="AJ94" s="24">
        <f>G34*AJ34</f>
        <v>0</v>
      </c>
      <c r="AK94" s="24">
        <f>H34*AK34</f>
        <v>1.1727655593338442</v>
      </c>
      <c r="AL94" s="24">
        <f>I34*AL34</f>
        <v>0</v>
      </c>
      <c r="AM94" s="24">
        <f>J34*AM34</f>
        <v>0</v>
      </c>
      <c r="AN94" s="24">
        <f>K34*AN34</f>
        <v>1.1155491268487499</v>
      </c>
      <c r="AO94" s="24">
        <f>L34*AO34</f>
        <v>7.3717883682767174E-2</v>
      </c>
      <c r="AP94" s="24">
        <f>M34*AP34</f>
        <v>0</v>
      </c>
      <c r="AQ94" s="24">
        <f>N34*AQ34</f>
        <v>0</v>
      </c>
      <c r="AR94" s="24">
        <f>O34*AR34</f>
        <v>0.24113275996070799</v>
      </c>
      <c r="AS94" s="24">
        <f>P34*AS34</f>
        <v>0.3075766827789192</v>
      </c>
      <c r="AT94" s="24">
        <f>Q34*AT34</f>
        <v>0.21167501020474014</v>
      </c>
      <c r="AU94" s="24">
        <f>R34*AU34</f>
        <v>0.18327816987114282</v>
      </c>
      <c r="AV94" s="24">
        <f>S34*AV34</f>
        <v>0.1884797856425873</v>
      </c>
      <c r="AW94" s="24">
        <f>T34*AW34</f>
        <v>0.38026668862095553</v>
      </c>
      <c r="AX94" s="24">
        <f>U34*AX34</f>
        <v>0.12443050630448638</v>
      </c>
      <c r="AY94" s="24">
        <f>V34*AY34</f>
        <v>0</v>
      </c>
      <c r="AZ94" s="24">
        <f>W34*AZ34</f>
        <v>0</v>
      </c>
      <c r="BA94" s="24">
        <f>X34*BA34</f>
        <v>0</v>
      </c>
      <c r="BB94" s="24">
        <f>Y34*BB34</f>
        <v>0</v>
      </c>
      <c r="BC94" s="52">
        <f t="shared" si="9"/>
        <v>3.998872173248901</v>
      </c>
    </row>
    <row r="95" spans="35:55" x14ac:dyDescent="0.2">
      <c r="AI95" s="4">
        <f t="shared" si="7"/>
        <v>41453</v>
      </c>
      <c r="AJ95" s="24">
        <f>G35*AJ35</f>
        <v>0</v>
      </c>
      <c r="AK95" s="24">
        <f>H35*AK35</f>
        <v>1.24134406420528</v>
      </c>
      <c r="AL95" s="24">
        <f>I35*AL35</f>
        <v>0</v>
      </c>
      <c r="AM95" s="24">
        <f>J35*AM35</f>
        <v>0</v>
      </c>
      <c r="AN95" s="24">
        <f>K35*AN35</f>
        <v>1.2792288416689146</v>
      </c>
      <c r="AO95" s="24">
        <f>L35*AO35</f>
        <v>8.6814245488127675E-2</v>
      </c>
      <c r="AP95" s="24">
        <f>M35*AP35</f>
        <v>0</v>
      </c>
      <c r="AQ95" s="24">
        <f>N35*AQ35</f>
        <v>0</v>
      </c>
      <c r="AR95" s="24">
        <f>O35*AR35</f>
        <v>0.29302668434885915</v>
      </c>
      <c r="AS95" s="24">
        <f>P35*AS35</f>
        <v>0.35413803855220133</v>
      </c>
      <c r="AT95" s="24">
        <f>Q35*AT35</f>
        <v>0.24439969695452904</v>
      </c>
      <c r="AU95" s="24">
        <f>R35*AU35</f>
        <v>0.20729944491217922</v>
      </c>
      <c r="AV95" s="24">
        <f>S35*AV35</f>
        <v>0.20927823924180614</v>
      </c>
      <c r="AW95" s="24">
        <f>T35*AW35</f>
        <v>0.39749349279469415</v>
      </c>
      <c r="AX95" s="24">
        <f>U35*AX35</f>
        <v>0.13874471970687238</v>
      </c>
      <c r="AY95" s="24">
        <f>V35*AY35</f>
        <v>0</v>
      </c>
      <c r="AZ95" s="24">
        <f>W35*AZ35</f>
        <v>0</v>
      </c>
      <c r="BA95" s="24">
        <f>X35*BA35</f>
        <v>0</v>
      </c>
      <c r="BB95" s="24">
        <f>Y35*BB35</f>
        <v>0</v>
      </c>
      <c r="BC95" s="52">
        <f t="shared" si="9"/>
        <v>4.4517674678734638</v>
      </c>
    </row>
    <row r="96" spans="35:55" x14ac:dyDescent="0.2">
      <c r="AI96" s="4">
        <f t="shared" si="7"/>
        <v>41486</v>
      </c>
      <c r="AJ96" s="24">
        <f>G36*AJ36</f>
        <v>0</v>
      </c>
      <c r="AK96" s="24">
        <f>H36*AK36</f>
        <v>1.3553813504452488</v>
      </c>
      <c r="AL96" s="24">
        <f>I36*AL36</f>
        <v>0</v>
      </c>
      <c r="AM96" s="24">
        <f>J36*AM36</f>
        <v>0</v>
      </c>
      <c r="AN96" s="24">
        <f>K36*AN36</f>
        <v>1.3968579437676183</v>
      </c>
      <c r="AO96" s="24">
        <f>L36*AO36</f>
        <v>9.5089769201353744E-2</v>
      </c>
      <c r="AP96" s="24">
        <f>M36*AP36</f>
        <v>0</v>
      </c>
      <c r="AQ96" s="24">
        <f>N36*AQ36</f>
        <v>0</v>
      </c>
      <c r="AR96" s="24">
        <f>O36*AR36</f>
        <v>0.30519030154628435</v>
      </c>
      <c r="AS96" s="24">
        <f>P36*AS36</f>
        <v>0.3694393611904328</v>
      </c>
      <c r="AT96" s="24">
        <f>Q36*AT36</f>
        <v>0.25178137630090885</v>
      </c>
      <c r="AU96" s="24">
        <f>R36*AU36</f>
        <v>0.23042709629428323</v>
      </c>
      <c r="AV96" s="24">
        <f>S36*AV36</f>
        <v>0.22555330629022236</v>
      </c>
      <c r="AW96" s="24">
        <f>T36*AW36</f>
        <v>0.41706115893943585</v>
      </c>
      <c r="AX96" s="24">
        <f>U36*AX36</f>
        <v>0.14766443084128986</v>
      </c>
      <c r="AY96" s="24">
        <f>V36*AY36</f>
        <v>0</v>
      </c>
      <c r="AZ96" s="24">
        <f>W36*AZ36</f>
        <v>0</v>
      </c>
      <c r="BA96" s="24">
        <f>X36*BA36</f>
        <v>0</v>
      </c>
      <c r="BB96" s="24">
        <f>Y36*BB36</f>
        <v>0</v>
      </c>
      <c r="BC96" s="52">
        <f t="shared" si="9"/>
        <v>4.7944460948170784</v>
      </c>
    </row>
    <row r="97" spans="35:55" x14ac:dyDescent="0.2">
      <c r="AI97" s="4">
        <f t="shared" si="7"/>
        <v>41516</v>
      </c>
      <c r="AJ97" s="24">
        <f>G37*AJ37</f>
        <v>0</v>
      </c>
      <c r="AK97" s="24">
        <f>H37*AK37</f>
        <v>1.3887007869712056</v>
      </c>
      <c r="AL97" s="24">
        <f>I37*AL37</f>
        <v>0</v>
      </c>
      <c r="AM97" s="24">
        <f>J37*AM37</f>
        <v>0</v>
      </c>
      <c r="AN97" s="24">
        <f>K37*AN37</f>
        <v>1.4698374282462106</v>
      </c>
      <c r="AO97" s="24">
        <f>L37*AO37</f>
        <v>9.929440828374457E-2</v>
      </c>
      <c r="AP97" s="24">
        <f>M37*AP37</f>
        <v>0</v>
      </c>
      <c r="AQ97" s="24">
        <f>N37*AQ37</f>
        <v>0</v>
      </c>
      <c r="AR97" s="24">
        <f>O37*AR37</f>
        <v>0.32758221146078847</v>
      </c>
      <c r="AS97" s="24">
        <f>P37*AS37</f>
        <v>0.40327088765357155</v>
      </c>
      <c r="AT97" s="24">
        <f>Q37*AT37</f>
        <v>0.27008090182165762</v>
      </c>
      <c r="AU97" s="24">
        <f>R37*AU37</f>
        <v>0.25120067844210187</v>
      </c>
      <c r="AV97" s="24">
        <f>S37*AV37</f>
        <v>0.2428906184524173</v>
      </c>
      <c r="AW97" s="24">
        <f>T37*AW37</f>
        <v>0.43756340351510109</v>
      </c>
      <c r="AX97" s="24">
        <f>U37*AX37</f>
        <v>0.15496528170820015</v>
      </c>
      <c r="AY97" s="24">
        <f>V37*AY37</f>
        <v>0</v>
      </c>
      <c r="AZ97" s="24">
        <f>W37*AZ37</f>
        <v>0</v>
      </c>
      <c r="BA97" s="24">
        <f>X37*BA37</f>
        <v>0</v>
      </c>
      <c r="BB97" s="24">
        <f>Y37*BB37</f>
        <v>0</v>
      </c>
      <c r="BC97" s="52">
        <f t="shared" si="9"/>
        <v>5.0453866065549988</v>
      </c>
    </row>
    <row r="98" spans="35:55" x14ac:dyDescent="0.2">
      <c r="AI98" s="4">
        <f t="shared" si="7"/>
        <v>41547</v>
      </c>
      <c r="AJ98" s="24">
        <f>G38*AJ38</f>
        <v>0</v>
      </c>
      <c r="AK98" s="24">
        <f>H38*AK38</f>
        <v>1.4410720722386265</v>
      </c>
      <c r="AL98" s="24">
        <f>I38*AL38</f>
        <v>0</v>
      </c>
      <c r="AM98" s="24">
        <f>J38*AM38</f>
        <v>0</v>
      </c>
      <c r="AN98" s="24">
        <f>K38*AN38</f>
        <v>1.4639069136853664</v>
      </c>
      <c r="AO98" s="24">
        <f>L38*AO38</f>
        <v>9.6863119878217399E-2</v>
      </c>
      <c r="AP98" s="24">
        <f>M38*AP38</f>
        <v>0</v>
      </c>
      <c r="AQ98" s="24">
        <f>N38*AQ38</f>
        <v>0</v>
      </c>
      <c r="AR98" s="24">
        <f>O38*AR38</f>
        <v>0.3197819394924451</v>
      </c>
      <c r="AS98" s="24">
        <f>P38*AS38</f>
        <v>0.39341276631828453</v>
      </c>
      <c r="AT98" s="24">
        <f>Q38*AT38</f>
        <v>0.25910753468467929</v>
      </c>
      <c r="AU98" s="24">
        <f>R38*AU38</f>
        <v>0.24143439069280942</v>
      </c>
      <c r="AV98" s="24">
        <f>S38*AV38</f>
        <v>0.23836849515940658</v>
      </c>
      <c r="AW98" s="24">
        <f>T38*AW38</f>
        <v>0.44138052635267983</v>
      </c>
      <c r="AX98" s="24">
        <f>U38*AX38</f>
        <v>0.15238818814869154</v>
      </c>
      <c r="AY98" s="24">
        <f>V38*AY38</f>
        <v>0</v>
      </c>
      <c r="AZ98" s="24">
        <f>W38*AZ38</f>
        <v>0</v>
      </c>
      <c r="BA98" s="24">
        <f>X38*BA38</f>
        <v>0</v>
      </c>
      <c r="BB98" s="24">
        <f>Y38*BB38</f>
        <v>0</v>
      </c>
      <c r="BC98" s="52">
        <f t="shared" si="9"/>
        <v>5.0477159466512065</v>
      </c>
    </row>
    <row r="99" spans="35:55" x14ac:dyDescent="0.2">
      <c r="AI99" s="4">
        <f t="shared" si="7"/>
        <v>41578</v>
      </c>
      <c r="AJ99" s="24">
        <f>G39*AJ39</f>
        <v>0</v>
      </c>
      <c r="AK99" s="24">
        <f>H39*AK39</f>
        <v>1.4239451638668432</v>
      </c>
      <c r="AL99" s="24">
        <f>I39*AL39</f>
        <v>0</v>
      </c>
      <c r="AM99" s="24">
        <f>J39*AM39</f>
        <v>0</v>
      </c>
      <c r="AN99" s="24">
        <f>K39*AN39</f>
        <v>1.437666063166509</v>
      </c>
      <c r="AO99" s="24">
        <f>L39*AO39</f>
        <v>9.2218096000573221E-2</v>
      </c>
      <c r="AP99" s="24">
        <f>M39*AP39</f>
        <v>0</v>
      </c>
      <c r="AQ99" s="24">
        <f>N39*AQ39</f>
        <v>0</v>
      </c>
      <c r="AR99" s="24">
        <f>O39*AR39</f>
        <v>0.30368871406204295</v>
      </c>
      <c r="AS99" s="24">
        <f>P39*AS39</f>
        <v>0.37968342034497277</v>
      </c>
      <c r="AT99" s="24">
        <f>Q39*AT39</f>
        <v>0.24386639812918459</v>
      </c>
      <c r="AU99" s="24">
        <f>R39*AU39</f>
        <v>0.23633478111899844</v>
      </c>
      <c r="AV99" s="24">
        <f>S39*AV39</f>
        <v>0.23596070679383793</v>
      </c>
      <c r="AW99" s="24">
        <f>T39*AW39</f>
        <v>0.44990907857427576</v>
      </c>
      <c r="AX99" s="24">
        <f>U39*AX39</f>
        <v>0.1474972408800625</v>
      </c>
      <c r="AY99" s="24">
        <f>V39*AY39</f>
        <v>0</v>
      </c>
      <c r="AZ99" s="24">
        <f>W39*AZ39</f>
        <v>0</v>
      </c>
      <c r="BA99" s="24">
        <f>X39*BA39</f>
        <v>0</v>
      </c>
      <c r="BB99" s="24">
        <f>Y39*BB39</f>
        <v>0</v>
      </c>
      <c r="BC99" s="52">
        <f t="shared" si="9"/>
        <v>4.9507696629372999</v>
      </c>
    </row>
    <row r="100" spans="35:55" x14ac:dyDescent="0.2">
      <c r="AI100" s="4">
        <f>F40</f>
        <v>41607</v>
      </c>
      <c r="AJ100" s="24">
        <f>G40*AJ40</f>
        <v>0</v>
      </c>
      <c r="AK100" s="24">
        <f>H40*AK40</f>
        <v>1.5256300924584321</v>
      </c>
      <c r="AL100" s="24">
        <f>I40*AL40</f>
        <v>0</v>
      </c>
      <c r="AM100" s="24">
        <f>J40*AM40</f>
        <v>0</v>
      </c>
      <c r="AN100" s="24">
        <f>K40*AN40</f>
        <v>1.5793326669527652</v>
      </c>
      <c r="AO100" s="24">
        <f>L40*AO40</f>
        <v>0.10248904211393003</v>
      </c>
      <c r="AP100" s="24">
        <f>M40*AP40</f>
        <v>0</v>
      </c>
      <c r="AQ100" s="24">
        <f>N40*AQ40</f>
        <v>0</v>
      </c>
      <c r="AR100" s="24">
        <f>O40*AR40</f>
        <v>0.33454151471495164</v>
      </c>
      <c r="AS100" s="24">
        <f>P40*AS40</f>
        <v>0.40484183047701994</v>
      </c>
      <c r="AT100" s="24">
        <f>Q40*AT40</f>
        <v>0.26306110667311922</v>
      </c>
      <c r="AU100" s="24">
        <f>R40*AU40</f>
        <v>0.2634217874542833</v>
      </c>
      <c r="AV100" s="24">
        <f>S40*AV40</f>
        <v>0.25964632701360413</v>
      </c>
      <c r="AW100" s="24">
        <f>T40*AW40</f>
        <v>0.48372459770236753</v>
      </c>
      <c r="AX100" s="24">
        <f>U40*AX40</f>
        <v>0.158920131363851</v>
      </c>
      <c r="AY100" s="24">
        <f>V40*AY40</f>
        <v>0</v>
      </c>
      <c r="AZ100" s="24">
        <f>W40*AZ40</f>
        <v>0</v>
      </c>
      <c r="BA100" s="24">
        <f>X40*BA40</f>
        <v>0</v>
      </c>
      <c r="BB100" s="24">
        <f>Y40*BB40</f>
        <v>0</v>
      </c>
      <c r="BC100" s="52">
        <f t="shared" si="9"/>
        <v>5.3756090969243226</v>
      </c>
    </row>
    <row r="101" spans="35:55" x14ac:dyDescent="0.2">
      <c r="AI101" s="4">
        <f>F41</f>
        <v>41639</v>
      </c>
      <c r="AJ101" s="24">
        <f>G41*AJ41</f>
        <v>0</v>
      </c>
      <c r="AK101" s="24">
        <f>H41*AK41</f>
        <v>1.5730457061620433</v>
      </c>
      <c r="AL101" s="24">
        <f>I41*AL41</f>
        <v>0</v>
      </c>
      <c r="AM101" s="24">
        <f>J41*AM41</f>
        <v>0</v>
      </c>
      <c r="AN101" s="24">
        <f>K41*AN41</f>
        <v>1.6821257241941396</v>
      </c>
      <c r="AO101" s="24">
        <f>L41*AO41</f>
        <v>0.11066858606431292</v>
      </c>
      <c r="AP101" s="24">
        <f>M41*AP41</f>
        <v>0</v>
      </c>
      <c r="AQ101" s="24">
        <f>N41*AQ41</f>
        <v>0</v>
      </c>
      <c r="AR101" s="24">
        <f>O41*AR41</f>
        <v>0.38097523953499773</v>
      </c>
      <c r="AS101" s="24">
        <f>P41*AS41</f>
        <v>0.44969296548663529</v>
      </c>
      <c r="AT101" s="24">
        <f>Q41*AT41</f>
        <v>0.29688271121305759</v>
      </c>
      <c r="AU101" s="24">
        <f>R41*AU41</f>
        <v>0.29358165995102975</v>
      </c>
      <c r="AV101" s="24">
        <f>S41*AV41</f>
        <v>0.28911359833535466</v>
      </c>
      <c r="AW101" s="24">
        <f>T41*AW41</f>
        <v>0.52596091677652468</v>
      </c>
      <c r="AX101" s="24">
        <f>U41*AX41</f>
        <v>0.17010981838197348</v>
      </c>
      <c r="AY101" s="24">
        <f>V41*AY41</f>
        <v>0</v>
      </c>
      <c r="AZ101" s="24">
        <f>W41*AZ41</f>
        <v>0</v>
      </c>
      <c r="BA101" s="24">
        <f>X41*BA41</f>
        <v>0</v>
      </c>
      <c r="BB101" s="24">
        <f>Y41*BB41</f>
        <v>0</v>
      </c>
      <c r="BC101" s="52">
        <f t="shared" si="9"/>
        <v>5.7721569261000694</v>
      </c>
    </row>
    <row r="102" spans="35:55" x14ac:dyDescent="0.2">
      <c r="AI102" s="4">
        <f>F42</f>
        <v>41670</v>
      </c>
      <c r="AJ102" s="24">
        <f>G42*AJ42</f>
        <v>0</v>
      </c>
      <c r="AK102" s="24">
        <f>H42*AK42</f>
        <v>1.5498894114608956</v>
      </c>
      <c r="AL102" s="24">
        <f>I42*AL42</f>
        <v>0</v>
      </c>
      <c r="AM102" s="24">
        <f>J42*AM42</f>
        <v>0</v>
      </c>
      <c r="AN102" s="24">
        <f>K42*AN42</f>
        <v>1.6089451618055637</v>
      </c>
      <c r="AO102" s="24">
        <f>L42*AO42</f>
        <v>0.10590032203890565</v>
      </c>
      <c r="AP102" s="24">
        <f>M42*AP42</f>
        <v>0</v>
      </c>
      <c r="AQ102" s="24">
        <f>N42*AQ42</f>
        <v>0</v>
      </c>
      <c r="AR102" s="24">
        <f>O42*AR42</f>
        <v>0.3572492362780022</v>
      </c>
      <c r="AS102" s="24">
        <f>P42*AS42</f>
        <v>0.42831517097756278</v>
      </c>
      <c r="AT102" s="24">
        <f>Q42*AT42</f>
        <v>0.2860372206686736</v>
      </c>
      <c r="AU102" s="24">
        <f>R42*AU42</f>
        <v>0.29898549236460908</v>
      </c>
      <c r="AV102" s="24">
        <f>S42*AV42</f>
        <v>0.28889335925585957</v>
      </c>
      <c r="AW102" s="24">
        <f>T42*AW42</f>
        <v>0.52140931577999328</v>
      </c>
      <c r="AX102" s="24">
        <f>U42*AX42</f>
        <v>0.16370701323498915</v>
      </c>
      <c r="AY102" s="24">
        <f>V42*AY42</f>
        <v>0</v>
      </c>
      <c r="AZ102" s="24">
        <f>W42*AZ42</f>
        <v>0</v>
      </c>
      <c r="BA102" s="24">
        <f>X42*BA42</f>
        <v>0</v>
      </c>
      <c r="BB102" s="24">
        <f>Y42*BB42</f>
        <v>0</v>
      </c>
      <c r="BC102" s="52">
        <f t="shared" si="9"/>
        <v>5.6093317038650543</v>
      </c>
    </row>
    <row r="103" spans="35:55" x14ac:dyDescent="0.2">
      <c r="AI103" s="4">
        <f>F43</f>
        <v>41698</v>
      </c>
      <c r="AJ103" s="24">
        <f>G43*AJ43</f>
        <v>0</v>
      </c>
      <c r="AK103" s="24">
        <f>H43*AK43</f>
        <v>1.5718389990275505</v>
      </c>
      <c r="AL103" s="24">
        <f>I43*AL43</f>
        <v>0</v>
      </c>
      <c r="AM103" s="24">
        <f>J43*AM43</f>
        <v>0</v>
      </c>
      <c r="AN103" s="24">
        <f>K43*AN43</f>
        <v>1.6453476093212747</v>
      </c>
      <c r="AO103" s="24">
        <f>L43*AO43</f>
        <v>0.10842011403813739</v>
      </c>
      <c r="AP103" s="24">
        <f>M43*AP43</f>
        <v>0</v>
      </c>
      <c r="AQ103" s="24">
        <f>N43*AQ43</f>
        <v>0</v>
      </c>
      <c r="AR103" s="24">
        <f>O43*AR43</f>
        <v>0.36733122626215614</v>
      </c>
      <c r="AS103" s="24">
        <f>P43*AS43</f>
        <v>0.45143635251813791</v>
      </c>
      <c r="AT103" s="24">
        <f>Q43*AT43</f>
        <v>0.30121273672399385</v>
      </c>
      <c r="AU103" s="24">
        <f>R43*AU43</f>
        <v>0.30921186537225614</v>
      </c>
      <c r="AV103" s="24">
        <f>S43*AV43</f>
        <v>0.29993935175255437</v>
      </c>
      <c r="AW103" s="24">
        <f>T43*AW43</f>
        <v>0.53800672981958086</v>
      </c>
      <c r="AX103" s="24">
        <f>U43*AX43</f>
        <v>0.16662792403812762</v>
      </c>
      <c r="AY103" s="24">
        <f>V43*AY43</f>
        <v>0</v>
      </c>
      <c r="AZ103" s="24">
        <f>W43*AZ43</f>
        <v>0</v>
      </c>
      <c r="BA103" s="24">
        <f>X43*BA43</f>
        <v>0</v>
      </c>
      <c r="BB103" s="24">
        <f>Y43*BB43</f>
        <v>0</v>
      </c>
      <c r="BC103" s="52">
        <f t="shared" si="9"/>
        <v>5.75937290887377</v>
      </c>
    </row>
    <row r="104" spans="35:55" x14ac:dyDescent="0.2">
      <c r="AI104" s="4">
        <f>F44</f>
        <v>41729</v>
      </c>
      <c r="AJ104" s="24">
        <f>G44*AJ44</f>
        <v>1.09137554753745</v>
      </c>
      <c r="AK104" s="24">
        <f>H44*AK44</f>
        <v>0.97393934995113673</v>
      </c>
      <c r="AL104" s="24">
        <f>I44*AL44</f>
        <v>0</v>
      </c>
      <c r="AM104" s="24">
        <f>J44*AM44</f>
        <v>0.69776733749509967</v>
      </c>
      <c r="AN104" s="24">
        <f>K44*AN44</f>
        <v>1.0681307381955636</v>
      </c>
      <c r="AO104" s="24">
        <f>L44*AO44</f>
        <v>8.1579070993106226E-2</v>
      </c>
      <c r="AP104" s="24">
        <f>M44*AP44</f>
        <v>0</v>
      </c>
      <c r="AQ104" s="24">
        <f>N44*AQ44</f>
        <v>0.57436048331536615</v>
      </c>
      <c r="AR104" s="24">
        <f>O44*AR44</f>
        <v>0.25496187520835073</v>
      </c>
      <c r="AS104" s="24">
        <f>P44*AS44</f>
        <v>0.32472280956436939</v>
      </c>
      <c r="AT104" s="24">
        <f>Q44*AT44</f>
        <v>0.22197240006541274</v>
      </c>
      <c r="AU104" s="24">
        <f>R44*AU44</f>
        <v>0.24207035950037906</v>
      </c>
      <c r="AV104" s="24">
        <f>S44*AV44</f>
        <v>0.24565906108148533</v>
      </c>
      <c r="AW104" s="24">
        <f>T44*AW44</f>
        <v>0.38605308077216893</v>
      </c>
      <c r="AX104" s="24">
        <f>U44*AX44</f>
        <v>0.10013351787813078</v>
      </c>
      <c r="AY104" s="24">
        <f>V44*AY44</f>
        <v>8.6298186062949075E-2</v>
      </c>
      <c r="AZ104" s="24">
        <f>W44*AZ44</f>
        <v>4.5996537803182511E-2</v>
      </c>
      <c r="BA104" s="24">
        <f>X44*BA44</f>
        <v>2.6611569515973744E-2</v>
      </c>
      <c r="BB104" s="24">
        <f>Y44*BB44</f>
        <v>0</v>
      </c>
      <c r="BC104" s="52">
        <f t="shared" si="9"/>
        <v>6.421631924940125</v>
      </c>
    </row>
    <row r="105" spans="35:55" x14ac:dyDescent="0.2">
      <c r="AI105" s="4">
        <f>F45</f>
        <v>41759</v>
      </c>
      <c r="AJ105" s="24">
        <f>G45*AJ45</f>
        <v>1.0935639674838487</v>
      </c>
      <c r="AK105" s="24">
        <f>H45*AK45</f>
        <v>0.97739899268163277</v>
      </c>
      <c r="AL105" s="24">
        <f>I45*AL45</f>
        <v>0</v>
      </c>
      <c r="AM105" s="24">
        <f>J45*AM45</f>
        <v>0.69135247179696813</v>
      </c>
      <c r="AN105" s="24">
        <f>K45*AN45</f>
        <v>1.0533452829993502</v>
      </c>
      <c r="AO105" s="24">
        <f>L45*AO45</f>
        <v>8.08756534577251E-2</v>
      </c>
      <c r="AP105" s="24">
        <f>M45*AP45</f>
        <v>0</v>
      </c>
      <c r="AQ105" s="24">
        <f>N45*AQ45</f>
        <v>0.56745371469135841</v>
      </c>
      <c r="AR105" s="24">
        <f>O45*AR45</f>
        <v>0.25133151340440657</v>
      </c>
      <c r="AS105" s="24">
        <f>P45*AS45</f>
        <v>0.31725164677136786</v>
      </c>
      <c r="AT105" s="24">
        <f>Q45*AT45</f>
        <v>0.2167601966385409</v>
      </c>
      <c r="AU105" s="24">
        <f>R45*AU45</f>
        <v>0.23537197490733353</v>
      </c>
      <c r="AV105" s="24">
        <f>S45*AV45</f>
        <v>0.24004193351365546</v>
      </c>
      <c r="AW105" s="24">
        <f>T45*AW45</f>
        <v>0.37610493393361744</v>
      </c>
      <c r="AX105" s="24">
        <f>U45*AX45</f>
        <v>9.8145699008380369E-2</v>
      </c>
      <c r="AY105" s="24">
        <f>V45*AY45</f>
        <v>8.546796639321784E-2</v>
      </c>
      <c r="AZ105" s="24">
        <f>W45*AZ45</f>
        <v>4.56696487063077E-2</v>
      </c>
      <c r="BA105" s="24">
        <f>X45*BA45</f>
        <v>2.573925044333215E-2</v>
      </c>
      <c r="BB105" s="24">
        <f>Y45*BB45</f>
        <v>0</v>
      </c>
      <c r="BC105" s="52">
        <f t="shared" si="9"/>
        <v>6.3558748468310426</v>
      </c>
    </row>
    <row r="106" spans="35:55" x14ac:dyDescent="0.2">
      <c r="AI106" s="4">
        <f>F46</f>
        <v>41789</v>
      </c>
      <c r="AJ106" s="24">
        <f>G46*AJ46</f>
        <v>1.0836896347628679</v>
      </c>
      <c r="AK106" s="24">
        <f>H46*AK46</f>
        <v>0.97064615454607173</v>
      </c>
      <c r="AL106" s="24">
        <f>I46*AL46</f>
        <v>0</v>
      </c>
      <c r="AM106" s="24">
        <f>J46*AM46</f>
        <v>0.67710642362913043</v>
      </c>
      <c r="AN106" s="24">
        <f>K46*AN46</f>
        <v>1.023917895419413</v>
      </c>
      <c r="AO106" s="24">
        <f>L46*AO46</f>
        <v>7.8704715811933293E-2</v>
      </c>
      <c r="AP106" s="24">
        <f>M46*AP46</f>
        <v>0</v>
      </c>
      <c r="AQ106" s="24">
        <f>N46*AQ46</f>
        <v>0.54667608360056774</v>
      </c>
      <c r="AR106" s="24">
        <f>O46*AR46</f>
        <v>0.23959392913143801</v>
      </c>
      <c r="AS106" s="24">
        <f>P46*AS46</f>
        <v>0.30142375889532114</v>
      </c>
      <c r="AT106" s="24">
        <f>Q46*AT46</f>
        <v>0.20374313698457916</v>
      </c>
      <c r="AU106" s="24">
        <f>R46*AU46</f>
        <v>0.21796900074805844</v>
      </c>
      <c r="AV106" s="24">
        <f>S46*AV46</f>
        <v>0.22314716647137692</v>
      </c>
      <c r="AW106" s="24">
        <f>T46*AW46</f>
        <v>0.34739271402286859</v>
      </c>
      <c r="AX106" s="24">
        <f>U46*AX46</f>
        <v>9.330033822518051E-2</v>
      </c>
      <c r="AY106" s="24">
        <f>V46*AY46</f>
        <v>8.3912802721699625E-2</v>
      </c>
      <c r="AZ106" s="24">
        <f>W46*AZ46</f>
        <v>4.4822043911753734E-2</v>
      </c>
      <c r="BA106" s="24">
        <f>X46*BA46</f>
        <v>2.4211676720888555E-2</v>
      </c>
      <c r="BB106" s="24">
        <f>Y46*BB46</f>
        <v>0</v>
      </c>
      <c r="BC106" s="52">
        <f t="shared" si="9"/>
        <v>6.1602574756031503</v>
      </c>
    </row>
    <row r="107" spans="35:55" x14ac:dyDescent="0.2">
      <c r="AI107" s="4">
        <f>F47</f>
        <v>41820</v>
      </c>
      <c r="AJ107" s="24">
        <f>G47*AJ47</f>
        <v>1.0917019757993469</v>
      </c>
      <c r="AK107" s="24">
        <f>H47*AK47</f>
        <v>0.97567221935164949</v>
      </c>
      <c r="AL107" s="24">
        <f>I47*AL47</f>
        <v>0</v>
      </c>
      <c r="AM107" s="24">
        <f>J47*AM47</f>
        <v>0.68900879133911219</v>
      </c>
      <c r="AN107" s="24">
        <f>K47*AN47</f>
        <v>1.0418118704852894</v>
      </c>
      <c r="AO107" s="24">
        <f>L47*AO47</f>
        <v>7.9770586500797824E-2</v>
      </c>
      <c r="AP107" s="24">
        <f>M47*AP47</f>
        <v>0</v>
      </c>
      <c r="AQ107" s="24">
        <f>N47*AQ47</f>
        <v>0.56844931260067133</v>
      </c>
      <c r="AR107" s="24">
        <f>O47*AR47</f>
        <v>0.24764812903959479</v>
      </c>
      <c r="AS107" s="24">
        <f>P47*AS47</f>
        <v>0.31449744650203387</v>
      </c>
      <c r="AT107" s="24">
        <f>Q47*AT47</f>
        <v>0.214345897606501</v>
      </c>
      <c r="AU107" s="24">
        <f>R47*AU47</f>
        <v>0.22953054809235843</v>
      </c>
      <c r="AV107" s="24">
        <f>S47*AV47</f>
        <v>0.23773934505655273</v>
      </c>
      <c r="AW107" s="24">
        <f>T47*AW47</f>
        <v>0.37001698744714434</v>
      </c>
      <c r="AX107" s="24">
        <f>U47*AX47</f>
        <v>9.4797963480706043E-2</v>
      </c>
      <c r="AY107" s="24">
        <f>V47*AY47</f>
        <v>8.6134760000814603E-2</v>
      </c>
      <c r="AZ107" s="24">
        <f>W47*AZ47</f>
        <v>4.5026613256853892E-2</v>
      </c>
      <c r="BA107" s="24">
        <f>X47*BA47</f>
        <v>2.446317392432891E-2</v>
      </c>
      <c r="BB107" s="24">
        <f>Y47*BB47</f>
        <v>0</v>
      </c>
      <c r="BC107" s="52">
        <f t="shared" si="9"/>
        <v>6.3106156204837562</v>
      </c>
    </row>
    <row r="108" spans="35:55" x14ac:dyDescent="0.2">
      <c r="AI108" s="4">
        <f>F48</f>
        <v>41851</v>
      </c>
      <c r="AJ108" s="24">
        <f>G48*AJ48</f>
        <v>1.093381779190512</v>
      </c>
      <c r="AK108" s="24">
        <f>H48*AK48</f>
        <v>0.97457761530723108</v>
      </c>
      <c r="AL108" s="24">
        <f>I48*AL48</f>
        <v>0</v>
      </c>
      <c r="AM108" s="24">
        <f>J48*AM48</f>
        <v>0.68904075443235324</v>
      </c>
      <c r="AN108" s="24">
        <f>K48*AN48</f>
        <v>1.0496322640974107</v>
      </c>
      <c r="AO108" s="24">
        <f>L48*AO48</f>
        <v>7.9272859599195167E-2</v>
      </c>
      <c r="AP108" s="24">
        <f>M48*AP48</f>
        <v>0</v>
      </c>
      <c r="AQ108" s="24">
        <f>N48*AQ48</f>
        <v>0.57305988096359439</v>
      </c>
      <c r="AR108" s="24">
        <f>O48*AR48</f>
        <v>0.24983295941978742</v>
      </c>
      <c r="AS108" s="24">
        <f>P48*AS48</f>
        <v>0.31867357958482928</v>
      </c>
      <c r="AT108" s="24">
        <f>Q48*AT48</f>
        <v>0.2180355301115042</v>
      </c>
      <c r="AU108" s="24">
        <f>R48*AU48</f>
        <v>0.23591746896729471</v>
      </c>
      <c r="AV108" s="24">
        <f>S48*AV48</f>
        <v>0.24439318643648761</v>
      </c>
      <c r="AW108" s="24">
        <f>T48*AW48</f>
        <v>0.38333160766300328</v>
      </c>
      <c r="AX108" s="24">
        <f>U48*AX48</f>
        <v>9.9264653242432291E-2</v>
      </c>
      <c r="AY108" s="24">
        <f>V48*AY48</f>
        <v>8.9205929287569319E-2</v>
      </c>
      <c r="AZ108" s="24">
        <f>W48*AZ48</f>
        <v>4.5959038633689317E-2</v>
      </c>
      <c r="BA108" s="24">
        <f>X48*BA48</f>
        <v>2.4370714021849926E-2</v>
      </c>
      <c r="BB108" s="24">
        <f>Y48*BB48</f>
        <v>0</v>
      </c>
      <c r="BC108" s="52">
        <f t="shared" si="9"/>
        <v>6.367949820958744</v>
      </c>
    </row>
    <row r="109" spans="35:55" x14ac:dyDescent="0.2">
      <c r="AI109" s="4">
        <f>F49</f>
        <v>41880</v>
      </c>
      <c r="AJ109" s="24">
        <f>G49*AJ49</f>
        <v>1.0690867267848156</v>
      </c>
      <c r="AK109" s="24">
        <f>H49*AK49</f>
        <v>0.95466478311464953</v>
      </c>
      <c r="AL109" s="24">
        <f>I49*AL49</f>
        <v>0</v>
      </c>
      <c r="AM109" s="24">
        <f>J49*AM49</f>
        <v>0.66354089930493332</v>
      </c>
      <c r="AN109" s="24">
        <f>K49*AN49</f>
        <v>0.99804010462976167</v>
      </c>
      <c r="AO109" s="24">
        <f>L49*AO49</f>
        <v>7.5951083653686371E-2</v>
      </c>
      <c r="AP109" s="24">
        <f>M49*AP49</f>
        <v>0</v>
      </c>
      <c r="AQ109" s="24">
        <f>N49*AQ49</f>
        <v>0.54093292767668355</v>
      </c>
      <c r="AR109" s="24">
        <f>O49*AR49</f>
        <v>0.23399613310140646</v>
      </c>
      <c r="AS109" s="24">
        <f>P49*AS49</f>
        <v>0.29752418701556727</v>
      </c>
      <c r="AT109" s="24">
        <f>Q49*AT49</f>
        <v>0.20147219204158162</v>
      </c>
      <c r="AU109" s="24">
        <f>R49*AU49</f>
        <v>0.21638944649927797</v>
      </c>
      <c r="AV109" s="24">
        <f>S49*AV49</f>
        <v>0.22822570586320354</v>
      </c>
      <c r="AW109" s="24">
        <f>T49*AW49</f>
        <v>0.35630095810987017</v>
      </c>
      <c r="AX109" s="24">
        <f>U49*AX49</f>
        <v>9.4978487229732358E-2</v>
      </c>
      <c r="AY109" s="24">
        <f>V49*AY49</f>
        <v>8.5861187035091019E-2</v>
      </c>
      <c r="AZ109" s="24">
        <f>W49*AZ49</f>
        <v>4.4621008065077634E-2</v>
      </c>
      <c r="BA109" s="24">
        <f>X49*BA49</f>
        <v>2.2745459292606227E-2</v>
      </c>
      <c r="BB109" s="24">
        <f>Y49*BB49</f>
        <v>0</v>
      </c>
      <c r="BC109" s="52">
        <f t="shared" si="9"/>
        <v>6.0843312894179444</v>
      </c>
    </row>
    <row r="110" spans="35:55" x14ac:dyDescent="0.2">
      <c r="AI110" s="4">
        <f>F50</f>
        <v>41912</v>
      </c>
      <c r="AJ110" s="24">
        <f>G50*AJ50</f>
        <v>1.093820266566583</v>
      </c>
      <c r="AK110" s="24">
        <f>H50*AK50</f>
        <v>0.97818237034498468</v>
      </c>
      <c r="AL110" s="24">
        <f>I50*AL50</f>
        <v>0</v>
      </c>
      <c r="AM110" s="24">
        <f>J50*AM50</f>
        <v>0.68733525336582046</v>
      </c>
      <c r="AN110" s="24">
        <f>K50*AN50</f>
        <v>1.0394623412831721</v>
      </c>
      <c r="AO110" s="24">
        <f>L50*AO50</f>
        <v>7.7927021201090865E-2</v>
      </c>
      <c r="AP110" s="24">
        <f>M50*AP50</f>
        <v>0</v>
      </c>
      <c r="AQ110" s="24">
        <f>N50*AQ50</f>
        <v>0.56058076965534498</v>
      </c>
      <c r="AR110" s="24">
        <f>O50*AR50</f>
        <v>0.2449719660298687</v>
      </c>
      <c r="AS110" s="24">
        <f>P50*AS50</f>
        <v>0.31760253293959473</v>
      </c>
      <c r="AT110" s="24">
        <f>Q50*AT50</f>
        <v>0.21520613073523057</v>
      </c>
      <c r="AU110" s="24">
        <f>R50*AU50</f>
        <v>0.23391429689079798</v>
      </c>
      <c r="AV110" s="24">
        <f>S50*AV50</f>
        <v>0.24477847665497995</v>
      </c>
      <c r="AW110" s="24">
        <f>T50*AW50</f>
        <v>0.38220285436654894</v>
      </c>
      <c r="AX110" s="24">
        <f>U50*AX50</f>
        <v>9.8734485728127083E-2</v>
      </c>
      <c r="AY110" s="24">
        <f>V50*AY50</f>
        <v>8.8614208137049608E-2</v>
      </c>
      <c r="AZ110" s="24">
        <f>W50*AZ50</f>
        <v>4.5344440806704703E-2</v>
      </c>
      <c r="BA110" s="24">
        <f>X50*BA50</f>
        <v>2.3428552422491478E-2</v>
      </c>
      <c r="BB110" s="24">
        <f>Y50*BB50</f>
        <v>0</v>
      </c>
      <c r="BC110" s="52">
        <f t="shared" si="9"/>
        <v>6.3321059671283901</v>
      </c>
    </row>
    <row r="111" spans="35:55" x14ac:dyDescent="0.2">
      <c r="AI111" s="4">
        <f>F51</f>
        <v>41943</v>
      </c>
      <c r="AJ111" s="24">
        <f>G51*AJ51</f>
        <v>1.081360389806465</v>
      </c>
      <c r="AK111" s="24">
        <f>H51*AK51</f>
        <v>0.96365894829864884</v>
      </c>
      <c r="AL111" s="24">
        <f>I51*AL51</f>
        <v>0</v>
      </c>
      <c r="AM111" s="24">
        <f>J51*AM51</f>
        <v>0.66611035750983827</v>
      </c>
      <c r="AN111" s="24">
        <f>K51*AN51</f>
        <v>0.99768765763767564</v>
      </c>
      <c r="AO111" s="24">
        <f>L51*AO51</f>
        <v>7.5178826876171986E-2</v>
      </c>
      <c r="AP111" s="24">
        <f>M51*AP51</f>
        <v>0</v>
      </c>
      <c r="AQ111" s="24">
        <f>N51*AQ51</f>
        <v>0.53350882047023485</v>
      </c>
      <c r="AR111" s="24">
        <f>O51*AR51</f>
        <v>0.22889537354961043</v>
      </c>
      <c r="AS111" s="24">
        <f>P51*AS51</f>
        <v>0.29999859722511546</v>
      </c>
      <c r="AT111" s="24">
        <f>Q51*AT51</f>
        <v>0.20180361834034896</v>
      </c>
      <c r="AU111" s="24">
        <f>R51*AU51</f>
        <v>0.21754348192917547</v>
      </c>
      <c r="AV111" s="24">
        <f>S51*AV51</f>
        <v>0.22627151365162596</v>
      </c>
      <c r="AW111" s="24">
        <f>T51*AW51</f>
        <v>0.35201415986583201</v>
      </c>
      <c r="AX111" s="24">
        <f>U51*AX51</f>
        <v>9.3092540363245407E-2</v>
      </c>
      <c r="AY111" s="24">
        <f>V51*AY51</f>
        <v>8.3911709647878252E-2</v>
      </c>
      <c r="AZ111" s="24">
        <f>W51*AZ51</f>
        <v>4.3385926417630082E-2</v>
      </c>
      <c r="BA111" s="24">
        <f>X51*BA51</f>
        <v>2.1954463136665818E-2</v>
      </c>
      <c r="BB111" s="24">
        <f>Y51*BB51</f>
        <v>0</v>
      </c>
      <c r="BC111" s="52">
        <f t="shared" si="9"/>
        <v>6.0863763847261625</v>
      </c>
    </row>
    <row r="112" spans="35:55" x14ac:dyDescent="0.2">
      <c r="AI112" s="4">
        <f>F52</f>
        <v>41971</v>
      </c>
      <c r="AJ112" s="24">
        <f>G52*AJ52</f>
        <v>1.0654599325894425</v>
      </c>
      <c r="AK112" s="24">
        <f>H52*AK52</f>
        <v>0.9502192838709308</v>
      </c>
      <c r="AL112" s="24">
        <f>I52*AL52</f>
        <v>0</v>
      </c>
      <c r="AM112" s="24">
        <f>J52*AM52</f>
        <v>0.64661812146621445</v>
      </c>
      <c r="AN112" s="24">
        <f>K52*AN52</f>
        <v>0.95795927212612464</v>
      </c>
      <c r="AO112" s="24">
        <f>L52*AO52</f>
        <v>7.2676046087290558E-2</v>
      </c>
      <c r="AP112" s="24">
        <f>M52*AP52</f>
        <v>0</v>
      </c>
      <c r="AQ112" s="24">
        <f>N52*AQ52</f>
        <v>0.50764228387912269</v>
      </c>
      <c r="AR112" s="24">
        <f>O52*AR52</f>
        <v>0.21479470691047861</v>
      </c>
      <c r="AS112" s="24">
        <f>P52*AS52</f>
        <v>0.28716401443581846</v>
      </c>
      <c r="AT112" s="24">
        <f>Q52*AT52</f>
        <v>0.19246892565663365</v>
      </c>
      <c r="AU112" s="24">
        <f>R52*AU52</f>
        <v>0.2052044117428507</v>
      </c>
      <c r="AV112" s="24">
        <f>S52*AV52</f>
        <v>0.21738410022266494</v>
      </c>
      <c r="AW112" s="24">
        <f>T52*AW52</f>
        <v>0.33606659103050618</v>
      </c>
      <c r="AX112" s="24">
        <f>U52*AX52</f>
        <v>8.9716200294338744E-2</v>
      </c>
      <c r="AY112" s="24">
        <f>V52*AY52</f>
        <v>8.1497509923389735E-2</v>
      </c>
      <c r="AZ112" s="24">
        <f>W52*AZ52</f>
        <v>4.2140280798964334E-2</v>
      </c>
      <c r="BA112" s="24">
        <f>X52*BA52</f>
        <v>2.0819168582549653E-2</v>
      </c>
      <c r="BB112" s="24">
        <f>Y52*BB52</f>
        <v>0</v>
      </c>
      <c r="BC112" s="52">
        <f t="shared" si="9"/>
        <v>5.8878308496173206</v>
      </c>
    </row>
    <row r="113" spans="35:55" x14ac:dyDescent="0.2">
      <c r="AI113" s="4">
        <f>F53</f>
        <v>42004</v>
      </c>
      <c r="AJ113" s="24">
        <f>G53*AJ53</f>
        <v>1.0233265311513413</v>
      </c>
      <c r="AK113" s="24">
        <f>H53*AK53</f>
        <v>0.92594040681961731</v>
      </c>
      <c r="AL113" s="24">
        <f>I53*AL53</f>
        <v>0</v>
      </c>
      <c r="AM113" s="24">
        <f>J53*AM53</f>
        <v>0.63868517504735756</v>
      </c>
      <c r="AN113" s="24">
        <f>K53*AN53</f>
        <v>0.93652691343821359</v>
      </c>
      <c r="AO113" s="24">
        <f>L53*AO53</f>
        <v>6.8937414760336255E-2</v>
      </c>
      <c r="AP113" s="24">
        <f>M53*AP53</f>
        <v>0</v>
      </c>
      <c r="AQ113" s="24">
        <f>N53*AQ53</f>
        <v>0.49727900725445345</v>
      </c>
      <c r="AR113" s="24">
        <f>O53*AR53</f>
        <v>0.2097529753261449</v>
      </c>
      <c r="AS113" s="24">
        <f>P53*AS53</f>
        <v>0.2829302821108472</v>
      </c>
      <c r="AT113" s="24">
        <f>Q53*AT53</f>
        <v>0.1898683565625334</v>
      </c>
      <c r="AU113" s="24">
        <f>R53*AU53</f>
        <v>0.20178906735076907</v>
      </c>
      <c r="AV113" s="24">
        <f>S53*AV53</f>
        <v>0.21431647423713426</v>
      </c>
      <c r="AW113" s="24">
        <f>T53*AW53</f>
        <v>0.32947292762833535</v>
      </c>
      <c r="AX113" s="24">
        <f>U53*AX53</f>
        <v>8.8671594218732636E-2</v>
      </c>
      <c r="AY113" s="24">
        <f>V53*AY53</f>
        <v>8.0494056475521533E-2</v>
      </c>
      <c r="AZ113" s="24">
        <f>W53*AZ53</f>
        <v>4.1399543848750012E-2</v>
      </c>
      <c r="BA113" s="24">
        <f>X53*BA53</f>
        <v>2.0006282739605259E-2</v>
      </c>
      <c r="BB113" s="24">
        <f>Y53*BB53</f>
        <v>0</v>
      </c>
      <c r="BC113" s="52">
        <f t="shared" si="9"/>
        <v>5.7493970089696935</v>
      </c>
    </row>
    <row r="114" spans="35:55" x14ac:dyDescent="0.2">
      <c r="AI114" s="4">
        <f>F54</f>
        <v>42034</v>
      </c>
      <c r="AJ114" s="24">
        <f>G54*AJ54</f>
        <v>0.86460446036331606</v>
      </c>
      <c r="AK114" s="24">
        <f>H54*AK54</f>
        <v>0.78361733319160309</v>
      </c>
      <c r="AL114" s="24">
        <f>I54*AL54</f>
        <v>0</v>
      </c>
      <c r="AM114" s="24">
        <f>J54*AM54</f>
        <v>0.49808150427622233</v>
      </c>
      <c r="AN114" s="24">
        <f>K54*AN54</f>
        <v>0.82869984458852897</v>
      </c>
      <c r="AO114" s="24">
        <f>L54*AO54</f>
        <v>5.0717568696741488E-2</v>
      </c>
      <c r="AP114" s="24">
        <f>M54*AP54</f>
        <v>0</v>
      </c>
      <c r="AQ114" s="24">
        <f>N54*AQ54</f>
        <v>0.39771690292978878</v>
      </c>
      <c r="AR114" s="24">
        <f>O54*AR54</f>
        <v>0.18522055147950789</v>
      </c>
      <c r="AS114" s="24">
        <f>P54*AS54</f>
        <v>0.20821935904596825</v>
      </c>
      <c r="AT114" s="24">
        <f>Q54*AT54</f>
        <v>0.1310931171737818</v>
      </c>
      <c r="AU114" s="24">
        <f>R54*AU54</f>
        <v>0.18596055448990187</v>
      </c>
      <c r="AV114" s="24">
        <f>S54*AV54</f>
        <v>0.16625735542156156</v>
      </c>
      <c r="AW114" s="24">
        <f>T54*AW54</f>
        <v>0.24674751933131511</v>
      </c>
      <c r="AX114" s="24">
        <f>U54*AX54</f>
        <v>8.5287331243743089E-2</v>
      </c>
      <c r="AY114" s="24">
        <f>V54*AY54</f>
        <v>6.7523185980130171E-2</v>
      </c>
      <c r="AZ114" s="24">
        <f>W54*AZ54</f>
        <v>3.2151697691837386E-2</v>
      </c>
      <c r="BA114" s="24">
        <f>X54*BA54</f>
        <v>1.8508564266724863E-2</v>
      </c>
      <c r="BB114" s="24">
        <f>Y54*BB54</f>
        <v>3.1542829466433817E-2</v>
      </c>
      <c r="BC114" s="52">
        <f t="shared" si="9"/>
        <v>4.7819496796371066</v>
      </c>
    </row>
    <row r="115" spans="35:55" x14ac:dyDescent="0.2">
      <c r="AI115" s="5">
        <f>F55</f>
        <v>42062</v>
      </c>
      <c r="AJ115" s="24">
        <f>G55*AJ55</f>
        <v>0.97155674913235623</v>
      </c>
      <c r="AK115" s="24">
        <f>H55*AK55</f>
        <v>0.87839809991927709</v>
      </c>
      <c r="AL115" s="24">
        <f>I55*AL55</f>
        <v>0</v>
      </c>
      <c r="AM115" s="24">
        <f>J55*AM55</f>
        <v>0.58490611747033272</v>
      </c>
      <c r="AN115" s="24">
        <f>K55*AN55</f>
        <v>0.95573225450539667</v>
      </c>
      <c r="AO115" s="24">
        <f>L55*AO55</f>
        <v>5.9948155174718847E-2</v>
      </c>
      <c r="AP115" s="24">
        <f>M55*AP55</f>
        <v>0</v>
      </c>
      <c r="AQ115" s="24">
        <f>N55*AQ55</f>
        <v>0.46200704203487175</v>
      </c>
      <c r="AR115" s="24">
        <f>O55*AR55</f>
        <v>0.21952012110173599</v>
      </c>
      <c r="AS115" s="24">
        <f>P55*AS55</f>
        <v>0.24610144168939743</v>
      </c>
      <c r="AT115" s="24">
        <f>Q55*AT55</f>
        <v>0.15855253879634856</v>
      </c>
      <c r="AU115" s="24">
        <f>R55*AU55</f>
        <v>0.21495682448321096</v>
      </c>
      <c r="AV115" s="24">
        <f>S55*AV55</f>
        <v>0.19486542491193107</v>
      </c>
      <c r="AW115" s="24">
        <f>T55*AW55</f>
        <v>0.2927560015309148</v>
      </c>
      <c r="AX115" s="24">
        <f>U55*AX55</f>
        <v>9.7745904478649143E-2</v>
      </c>
      <c r="AY115" s="24">
        <f>V55*AY55</f>
        <v>7.8062499881272715E-2</v>
      </c>
      <c r="AZ115" s="24">
        <f>W55*AZ55</f>
        <v>3.6123334004719419E-2</v>
      </c>
      <c r="BA115" s="24">
        <f>X55*BA55</f>
        <v>2.0589429393844949E-2</v>
      </c>
      <c r="BB115" s="24">
        <f>Y55*BB55</f>
        <v>3.4191539784820028E-2</v>
      </c>
      <c r="BC115" s="52">
        <f t="shared" si="9"/>
        <v>5.5060134782937995</v>
      </c>
    </row>
    <row r="116" spans="35:55" x14ac:dyDescent="0.2">
      <c r="AI116" s="5">
        <f>F56</f>
        <v>42094</v>
      </c>
      <c r="AJ116" s="24">
        <f>G56*AJ56</f>
        <v>0.95381025517863038</v>
      </c>
      <c r="AK116" s="24">
        <f>H56*AK56</f>
        <v>0.86304547789051511</v>
      </c>
      <c r="AL116" s="24">
        <f>I56*AL56</f>
        <v>0</v>
      </c>
      <c r="AM116" s="24">
        <f>J56*AM56</f>
        <v>0.56771212068180421</v>
      </c>
      <c r="AN116" s="24">
        <f>K56*AN56</f>
        <v>0.93303985631210051</v>
      </c>
      <c r="AO116" s="24">
        <f>L56*AO56</f>
        <v>5.8540333868320651E-2</v>
      </c>
      <c r="AP116" s="24">
        <f>M56*AP56</f>
        <v>0</v>
      </c>
      <c r="AQ116" s="24">
        <f>N56*AQ56</f>
        <v>0.44469372016523423</v>
      </c>
      <c r="AR116" s="24">
        <f>O56*AR56</f>
        <v>0.2124256946844833</v>
      </c>
      <c r="AS116" s="24">
        <f>P56*AS56</f>
        <v>0.23756317524000062</v>
      </c>
      <c r="AT116" s="24">
        <f>Q56*AT56</f>
        <v>0.15221767062876781</v>
      </c>
      <c r="AU116" s="24">
        <f>R56*AU56</f>
        <v>0.20995745120340847</v>
      </c>
      <c r="AV116" s="24">
        <f>S56*AV56</f>
        <v>0.18844887974655555</v>
      </c>
      <c r="AW116" s="24">
        <f>T56*AW56</f>
        <v>0.2820922454458919</v>
      </c>
      <c r="AX116" s="24">
        <f>U56*AX56</f>
        <v>9.5017616705986505E-2</v>
      </c>
      <c r="AY116" s="24">
        <f>V56*AY56</f>
        <v>7.6032073281959461E-2</v>
      </c>
      <c r="AZ116" s="24">
        <f>W56*AZ56</f>
        <v>3.7276421188594581E-2</v>
      </c>
      <c r="BA116" s="24">
        <f>X56*BA56</f>
        <v>2.1578398000560599E-2</v>
      </c>
      <c r="BB116" s="24">
        <f>Y56*BB56</f>
        <v>3.5570510666351599E-2</v>
      </c>
      <c r="BC116" s="52">
        <f t="shared" si="9"/>
        <v>5.3690219008891651</v>
      </c>
    </row>
    <row r="117" spans="35:55" x14ac:dyDescent="0.2">
      <c r="AI117" s="5">
        <f>F57</f>
        <v>42124</v>
      </c>
      <c r="AJ117" s="24">
        <f>G57*AJ57</f>
        <v>0.83364818599339785</v>
      </c>
      <c r="AK117" s="24">
        <f>H57*AK57</f>
        <v>0.75138250827792219</v>
      </c>
      <c r="AL117" s="24">
        <f>I57*AL57</f>
        <v>0.36201183134798293</v>
      </c>
      <c r="AM117" s="24">
        <f>J57*AM57</f>
        <v>0.5009691338101212</v>
      </c>
      <c r="AN117" s="24">
        <f>K57*AN57</f>
        <v>0.82075720598934765</v>
      </c>
      <c r="AO117" s="24">
        <f>L57*AO57</f>
        <v>5.1474511814455601E-2</v>
      </c>
      <c r="AP117" s="24">
        <f>M57*AP57</f>
        <v>0.51139713474749704</v>
      </c>
      <c r="AQ117" s="24">
        <f>N57*AQ57</f>
        <v>0.38680395517297272</v>
      </c>
      <c r="AR117" s="24">
        <f>O57*AR57</f>
        <v>0.18593298856339974</v>
      </c>
      <c r="AS117" s="24">
        <f>P57*AS57</f>
        <v>0.2077917876410206</v>
      </c>
      <c r="AT117" s="24">
        <f>Q57*AT57</f>
        <v>0.13291574644895554</v>
      </c>
      <c r="AU117" s="24">
        <f>R57*AU57</f>
        <v>0.18191843871915581</v>
      </c>
      <c r="AV117" s="24">
        <f>S57*AV57</f>
        <v>0.16330500822836549</v>
      </c>
      <c r="AW117" s="24">
        <f>T57*AW57</f>
        <v>0.24487450860326299</v>
      </c>
      <c r="AX117" s="24">
        <f>U57*AX57</f>
        <v>8.2296870378968753E-2</v>
      </c>
      <c r="AY117" s="24">
        <f>V57*AY57</f>
        <v>6.6093183415258494E-2</v>
      </c>
      <c r="AZ117" s="24">
        <f>W57*AZ57</f>
        <v>3.2189272341556739E-2</v>
      </c>
      <c r="BA117" s="24">
        <f>X57*BA57</f>
        <v>1.8529393287977213E-2</v>
      </c>
      <c r="BB117" s="24">
        <f>Y57*BB57</f>
        <v>3.0307875262450667E-2</v>
      </c>
      <c r="BC117" s="52">
        <f t="shared" si="9"/>
        <v>5.5645995400440684</v>
      </c>
    </row>
    <row r="118" spans="35:55" x14ac:dyDescent="0.2">
      <c r="AI118" s="5">
        <f>F58</f>
        <v>42153</v>
      </c>
      <c r="AJ118" s="24">
        <f t="shared" ref="AJ118" si="10">G58*AJ58</f>
        <v>0.84612865661621406</v>
      </c>
      <c r="AK118" s="24">
        <f t="shared" ref="AK118" si="11">H58*AK58</f>
        <v>0.75544688290847162</v>
      </c>
      <c r="AL118" s="24">
        <f t="shared" ref="AL118" si="12">I58*AL58</f>
        <v>0.38044841198120216</v>
      </c>
      <c r="AM118" s="24">
        <f t="shared" ref="AM118" si="13">J58*AM58</f>
        <v>0.51548972757171341</v>
      </c>
      <c r="AN118" s="24">
        <f t="shared" ref="AN118" si="14">K58*AN58</f>
        <v>0.82991149217897742</v>
      </c>
      <c r="AO118" s="24">
        <f t="shared" ref="AO118" si="15">L58*AO58</f>
        <v>5.1979778713413069E-2</v>
      </c>
      <c r="AP118" s="24">
        <f t="shared" ref="AP118" si="16">M58*AP58</f>
        <v>0.53623124237391318</v>
      </c>
      <c r="AQ118" s="24">
        <f t="shared" ref="AQ118" si="17">N58*AQ58</f>
        <v>0.3909743635086852</v>
      </c>
      <c r="AR118" s="24">
        <f t="shared" ref="AR118" si="18">O58*AR58</f>
        <v>0.18961290385892696</v>
      </c>
      <c r="AS118" s="24">
        <f t="shared" ref="AS118" si="19">P58*AS58</f>
        <v>0.2115618239979043</v>
      </c>
      <c r="AT118" s="24">
        <f t="shared" ref="AT118" si="20">Q58*AT58</f>
        <v>0.1349322469166421</v>
      </c>
      <c r="AU118" s="24">
        <f t="shared" ref="AU118" si="21">R58*AU58</f>
        <v>0.18310884229678098</v>
      </c>
      <c r="AV118" s="24">
        <f t="shared" ref="AV118" si="22">S58*AV58</f>
        <v>0.1636991566872292</v>
      </c>
      <c r="AW118" s="24">
        <f t="shared" ref="AW118" si="23">T58*AW58</f>
        <v>0.24515107161885427</v>
      </c>
      <c r="AX118" s="24">
        <f t="shared" ref="AX118" si="24">U58*AX58</f>
        <v>8.3032209848064809E-2</v>
      </c>
      <c r="AY118" s="24">
        <f t="shared" ref="AY118" si="25">V58*AY58</f>
        <v>6.6605367591036566E-2</v>
      </c>
      <c r="AZ118" s="24">
        <f t="shared" ref="AZ118" si="26">W58*AZ58</f>
        <v>3.0590759337791089E-2</v>
      </c>
      <c r="BA118" s="24">
        <f t="shared" ref="BA118" si="27">X58*BA58</f>
        <v>1.7974993264076256E-2</v>
      </c>
      <c r="BB118" s="24">
        <f t="shared" ref="BB118" si="28">Y58*BB58</f>
        <v>2.9729252866042489E-2</v>
      </c>
      <c r="BC118" s="52">
        <f t="shared" ref="BC118" si="29">SUM(AJ118:BB118)</f>
        <v>5.6626091841359365</v>
      </c>
    </row>
    <row r="119" spans="35:55" x14ac:dyDescent="0.2">
      <c r="AI119" s="5">
        <f>F59</f>
        <v>42185</v>
      </c>
      <c r="AJ119" s="24">
        <f t="shared" ref="AJ119" si="30">G59*AJ59</f>
        <v>0.89934208784988778</v>
      </c>
      <c r="AK119" s="24">
        <f t="shared" ref="AK119" si="31">H59*AK59</f>
        <v>0.80149443151055588</v>
      </c>
      <c r="AL119" s="24">
        <f t="shared" ref="AL119" si="32">I59*AL59</f>
        <v>0.43612419172161715</v>
      </c>
      <c r="AM119" s="24">
        <f t="shared" ref="AM119" si="33">J59*AM59</f>
        <v>0.56747446081332698</v>
      </c>
      <c r="AN119" s="24">
        <f t="shared" ref="AN119" si="34">K59*AN59</f>
        <v>0.9002075178106278</v>
      </c>
      <c r="AO119" s="24">
        <f t="shared" ref="AO119" si="35">L59*AO59</f>
        <v>5.6840438176773554E-2</v>
      </c>
      <c r="AP119" s="24">
        <f t="shared" ref="AP119" si="36">M59*AP59</f>
        <v>0.61305158573525265</v>
      </c>
      <c r="AQ119" s="24">
        <f t="shared" ref="AQ119" si="37">N59*AQ59</f>
        <v>0.42556128107968988</v>
      </c>
      <c r="AR119" s="24">
        <f t="shared" ref="AR119" si="38">O59*AR59</f>
        <v>0.20671321896638378</v>
      </c>
      <c r="AS119" s="24">
        <f t="shared" ref="AS119" si="39">P59*AS59</f>
        <v>0.23061115505650684</v>
      </c>
      <c r="AT119" s="24">
        <f t="shared" ref="AT119" si="40">Q59*AT59</f>
        <v>0.14745392997645071</v>
      </c>
      <c r="AU119" s="24">
        <f t="shared" ref="AU119" si="41">R59*AU59</f>
        <v>0.19672541492522685</v>
      </c>
      <c r="AV119" s="24">
        <f t="shared" ref="AV119" si="42">S59*AV59</f>
        <v>0.17663095861025199</v>
      </c>
      <c r="AW119" s="24">
        <f t="shared" ref="AW119" si="43">T59*AW59</f>
        <v>0.26520176464941358</v>
      </c>
      <c r="AX119" s="24">
        <f t="shared" ref="AX119" si="44">U59*AX59</f>
        <v>8.8379105271073843E-2</v>
      </c>
      <c r="AY119" s="24">
        <f t="shared" ref="AY119" si="45">V59*AY59</f>
        <v>7.1409580842195536E-2</v>
      </c>
      <c r="AZ119" s="24">
        <f t="shared" ref="AZ119" si="46">W59*AZ59</f>
        <v>3.1521022460981436E-2</v>
      </c>
      <c r="BA119" s="24">
        <f t="shared" ref="BA119" si="47">X59*BA59</f>
        <v>1.8523934096956719E-2</v>
      </c>
      <c r="BB119" s="24">
        <f t="shared" ref="BB119" si="48">Y59*BB59</f>
        <v>3.0481328685281514E-2</v>
      </c>
      <c r="BC119" s="52">
        <f>SUM(AJ119:BB119)</f>
        <v>6.1637474082384536</v>
      </c>
    </row>
    <row r="120" spans="35:55" x14ac:dyDescent="0.2">
      <c r="AI120" s="5">
        <f>F60</f>
        <v>42216</v>
      </c>
      <c r="AJ120" s="24">
        <f t="shared" ref="AJ120" si="49">G60*AJ60</f>
        <v>0.88213993494705556</v>
      </c>
      <c r="AK120" s="24">
        <f t="shared" ref="AK120" si="50">H60*AK60</f>
        <v>0.7823381274279021</v>
      </c>
      <c r="AL120" s="24">
        <f t="shared" ref="AL120" si="51">I60*AL60</f>
        <v>0.41147303362322468</v>
      </c>
      <c r="AM120" s="24">
        <f t="shared" ref="AM120" si="52">J60*AM60</f>
        <v>0.54792001838664339</v>
      </c>
      <c r="AN120" s="24">
        <f t="shared" ref="AN120" si="53">K60*AN60</f>
        <v>0.86845940816564215</v>
      </c>
      <c r="AO120" s="24">
        <f t="shared" ref="AO120" si="54">L60*AO60</f>
        <v>5.4240697363869043E-2</v>
      </c>
      <c r="AP120" s="24">
        <f t="shared" ref="AP120" si="55">M60*AP60</f>
        <v>0.577428058315965</v>
      </c>
      <c r="AQ120" s="24">
        <f t="shared" ref="AQ120" si="56">N60*AQ60</f>
        <v>0.40726842140990965</v>
      </c>
      <c r="AR120" s="24">
        <f t="shared" ref="AR120" si="57">O60*AR60</f>
        <v>0.19730964128403522</v>
      </c>
      <c r="AS120" s="24">
        <f t="shared" ref="AS120" si="58">P60*AS60</f>
        <v>0.2200116667197497</v>
      </c>
      <c r="AT120" s="24">
        <f t="shared" ref="AT120" si="59">Q60*AT60</f>
        <v>0.13942725407231193</v>
      </c>
      <c r="AU120" s="24">
        <f t="shared" ref="AU120" si="60">R60*AU60</f>
        <v>0.18953478196270132</v>
      </c>
      <c r="AV120" s="24">
        <f t="shared" ref="AV120" si="61">S60*AV60</f>
        <v>0.16898909040822621</v>
      </c>
      <c r="AW120" s="24">
        <f t="shared" ref="AW120" si="62">T60*AW60</f>
        <v>0.25132841390282618</v>
      </c>
      <c r="AX120" s="24">
        <f t="shared" ref="AX120" si="63">U60*AX60</f>
        <v>8.4964881884197055E-2</v>
      </c>
      <c r="AY120" s="24">
        <f t="shared" ref="AY120" si="64">V60*AY60</f>
        <v>6.8199837407215316E-2</v>
      </c>
      <c r="AZ120" s="24">
        <f t="shared" ref="AZ120" si="65">W60*AZ60</f>
        <v>3.0202430035659297E-2</v>
      </c>
      <c r="BA120" s="24">
        <f t="shared" ref="BA120" si="66">X60*BA60</f>
        <v>1.814972810760531E-2</v>
      </c>
      <c r="BB120" s="24">
        <f t="shared" ref="BB120" si="67">Y60*BB60</f>
        <v>3.0194792748582378E-2</v>
      </c>
      <c r="BC120" s="52">
        <f>SUM(AJ120:BB120)</f>
        <v>5.9295802181733217</v>
      </c>
    </row>
    <row r="121" spans="35:55" x14ac:dyDescent="0.2">
      <c r="AI121" s="5">
        <f t="shared" ref="AI121" si="68">F61</f>
        <v>42247</v>
      </c>
      <c r="AJ121" s="24">
        <f t="shared" ref="AJ121" si="69">G61*AJ61</f>
        <v>0.88767459670106708</v>
      </c>
      <c r="AK121" s="24">
        <f t="shared" ref="AK121" si="70">H61*AK61</f>
        <v>0.78504785869558902</v>
      </c>
      <c r="AL121" s="24">
        <f t="shared" ref="AL121" si="71">I61*AL61</f>
        <v>0.40998824144055174</v>
      </c>
      <c r="AM121" s="24">
        <f t="shared" ref="AM121" si="72">J61*AM61</f>
        <v>0.54473443688439549</v>
      </c>
      <c r="AN121" s="24">
        <f t="shared" ref="AN121" si="73">K61*AN61</f>
        <v>0.86528984828182598</v>
      </c>
      <c r="AO121" s="24">
        <f t="shared" ref="AO121" si="74">L61*AO61</f>
        <v>5.3870273089188958E-2</v>
      </c>
      <c r="AP121" s="24">
        <f t="shared" ref="AP121" si="75">M61*AP61</f>
        <v>0.57534442075776571</v>
      </c>
      <c r="AQ121" s="24">
        <f t="shared" ref="AQ121" si="76">N61*AQ61</f>
        <v>0.40490058175054972</v>
      </c>
      <c r="AR121" s="24">
        <f t="shared" ref="AR121" si="77">O61*AR61</f>
        <v>0.19651439418526392</v>
      </c>
      <c r="AS121" s="24">
        <f t="shared" ref="AS121" si="78">P61*AS61</f>
        <v>0.21930520723945693</v>
      </c>
      <c r="AT121" s="24">
        <f t="shared" ref="AT121" si="79">Q61*AT61</f>
        <v>0.13894670716019664</v>
      </c>
      <c r="AU121" s="24">
        <f t="shared" ref="AU121" si="80">R61*AU61</f>
        <v>0.19002222675128952</v>
      </c>
      <c r="AV121" s="24">
        <f t="shared" ref="AV121" si="81">S61*AV61</f>
        <v>0.16982454209114325</v>
      </c>
      <c r="AW121" s="24">
        <f t="shared" ref="AW121" si="82">T61*AW61</f>
        <v>0.25180873576408341</v>
      </c>
      <c r="AX121" s="24">
        <f t="shared" ref="AX121" si="83">U61*AX61</f>
        <v>8.5219594592201076E-2</v>
      </c>
      <c r="AY121" s="24">
        <f t="shared" ref="AY121" si="84">V61*AY61</f>
        <v>6.859370585958928E-2</v>
      </c>
      <c r="AZ121" s="24">
        <f t="shared" ref="AZ121" si="85">W61*AZ61</f>
        <v>2.9762121260651964E-2</v>
      </c>
      <c r="BA121" s="24">
        <f t="shared" ref="BA121" si="86">X61*BA61</f>
        <v>1.7713960325910105E-2</v>
      </c>
      <c r="BB121" s="24">
        <f t="shared" ref="BB121" si="87">Y61*BB61</f>
        <v>3.0127965468430596E-2</v>
      </c>
      <c r="BC121" s="52">
        <f>SUM(AJ121:BB121)</f>
        <v>5.924689418299149</v>
      </c>
    </row>
    <row r="122" spans="35:55" x14ac:dyDescent="0.2">
      <c r="AI122" s="5">
        <f t="shared" ref="AI122" si="88">F62</f>
        <v>42277</v>
      </c>
      <c r="AJ122" s="24">
        <f t="shared" ref="AJ122" si="89">G62*AJ62</f>
        <v>0.87552014446333326</v>
      </c>
      <c r="AK122" s="24">
        <f t="shared" ref="AK122" si="90">H62*AK62</f>
        <v>0.77397435623333333</v>
      </c>
      <c r="AL122" s="24">
        <f t="shared" ref="AL122" si="91">I62*AL62</f>
        <v>0.39242767244285709</v>
      </c>
      <c r="AM122" s="24">
        <f t="shared" ref="AM122" si="92">J62*AM62</f>
        <v>0.52799047848000003</v>
      </c>
      <c r="AN122" s="24">
        <f t="shared" ref="AN122" si="93">K62*AN62</f>
        <v>0.83759830194857132</v>
      </c>
      <c r="AO122" s="24">
        <f t="shared" ref="AO122" si="94">L62*AO62</f>
        <v>5.1383117974285714E-2</v>
      </c>
      <c r="AP122" s="24">
        <f t="shared" ref="AP122" si="95">M62*AP62</f>
        <v>0.54637580097500005</v>
      </c>
      <c r="AQ122" s="24">
        <f t="shared" ref="AQ122" si="96">N62*AQ62</f>
        <v>0.38737595547000003</v>
      </c>
      <c r="AR122" s="24">
        <f t="shared" ref="AR122" si="97">O62*AR62</f>
        <v>0.18709095235999998</v>
      </c>
      <c r="AS122" s="24">
        <f t="shared" ref="AS122" si="98">P62*AS62</f>
        <v>0.207578130675</v>
      </c>
      <c r="AT122" s="24">
        <f t="shared" ref="AT122" si="99">Q62*AT62</f>
        <v>0.12969922277999998</v>
      </c>
      <c r="AU122" s="24">
        <f t="shared" ref="AU122" si="100">R62*AU62</f>
        <v>0.17899441235999999</v>
      </c>
      <c r="AV122" s="24">
        <f t="shared" ref="AV122" si="101">S62*AV62</f>
        <v>0.15818374302222218</v>
      </c>
      <c r="AW122" s="24">
        <f t="shared" ref="AW122" si="102">T62*AW62</f>
        <v>0.23220345362666669</v>
      </c>
      <c r="AX122" s="24">
        <f t="shared" ref="AX122" si="103">U62*AX62</f>
        <v>7.9054172339999992E-2</v>
      </c>
      <c r="AY122" s="24">
        <f t="shared" ref="AY122" si="104">V62*AY62</f>
        <v>6.3257161324E-2</v>
      </c>
      <c r="AZ122" s="24">
        <f t="shared" ref="AZ122" si="105">W62*AZ62</f>
        <v>2.8269969147272728E-2</v>
      </c>
      <c r="BA122" s="24">
        <f t="shared" ref="BA122" si="106">X62*BA62</f>
        <v>1.6434281339999999E-2</v>
      </c>
      <c r="BB122" s="24">
        <f t="shared" ref="BB122" si="107">Y62*BB62</f>
        <v>2.8865119923076922E-2</v>
      </c>
      <c r="BC122" s="52">
        <f>SUM(AJ122:BB122)</f>
        <v>5.7022764468856204</v>
      </c>
    </row>
    <row r="123" spans="35:55" x14ac:dyDescent="0.2">
      <c r="AI123" s="5">
        <f t="shared" ref="AI123" si="108">F63</f>
        <v>42307</v>
      </c>
      <c r="AJ123" s="24">
        <f t="shared" ref="AJ123" si="109">G63*AJ63</f>
        <v>0.88310798119868728</v>
      </c>
      <c r="AK123" s="24">
        <f t="shared" ref="AK123" si="110">H63*AK63</f>
        <v>0.78310678475634132</v>
      </c>
      <c r="AL123" s="24">
        <f t="shared" ref="AL123" si="111">I63*AL63</f>
        <v>0.37211395721611729</v>
      </c>
      <c r="AM123" s="24">
        <f t="shared" ref="AM123" si="112">J63*AM63</f>
        <v>0.52592547716389682</v>
      </c>
      <c r="AN123" s="24">
        <f t="shared" ref="AN123" si="113">K63*AN63</f>
        <v>0.83856083919526581</v>
      </c>
      <c r="AO123" s="24">
        <f t="shared" ref="AO123" si="114">L63*AO63</f>
        <v>5.1595559838160401E-2</v>
      </c>
      <c r="AP123" s="24">
        <f t="shared" ref="AP123" si="115">M63*AP63</f>
        <v>0.54555806381653182</v>
      </c>
      <c r="AQ123" s="24">
        <f t="shared" ref="AQ123" si="116">N63*AQ63</f>
        <v>0.38405408982878469</v>
      </c>
      <c r="AR123" s="24">
        <f t="shared" ref="AR123" si="117">O63*AR63</f>
        <v>0.18733708431374746</v>
      </c>
      <c r="AS123" s="24">
        <f t="shared" ref="AS123" si="118">P63*AS63</f>
        <v>0.20810164859584807</v>
      </c>
      <c r="AT123" s="24">
        <f t="shared" ref="AT123" si="119">Q63*AT63</f>
        <v>0.13021285805937949</v>
      </c>
      <c r="AU123" s="24">
        <f t="shared" ref="AU123" si="120">R63*AU63</f>
        <v>0.17838599708014211</v>
      </c>
      <c r="AV123" s="24">
        <f t="shared" ref="AV123" si="121">S63*AV63</f>
        <v>0.15788174224514909</v>
      </c>
      <c r="AW123" s="24">
        <f t="shared" ref="AW123" si="122">T63*AW63</f>
        <v>0.23182894860938377</v>
      </c>
      <c r="AX123" s="24">
        <f t="shared" ref="AX123" si="123">U63*AX63</f>
        <v>7.8537170384072416E-2</v>
      </c>
      <c r="AY123" s="24">
        <f t="shared" ref="AY123" si="124">V63*AY63</f>
        <v>6.2728317837433656E-2</v>
      </c>
      <c r="AZ123" s="24">
        <f t="shared" ref="AZ123" si="125">W63*AZ63</f>
        <v>2.8524579740795624E-2</v>
      </c>
      <c r="BA123" s="24">
        <f t="shared" ref="BA123" si="126">X63*BA63</f>
        <v>1.6451901350050244E-2</v>
      </c>
      <c r="BB123" s="24">
        <f t="shared" ref="BB123" si="127">Y63*BB63</f>
        <v>2.8909639087882914E-2</v>
      </c>
      <c r="BC123" s="52">
        <f>SUM(AJ123:BB123)</f>
        <v>5.6929226403176711</v>
      </c>
    </row>
  </sheetData>
  <mergeCells count="1">
    <mergeCell ref="F6:AC6"/>
  </mergeCells>
  <conditionalFormatting sqref="G8:AB8 G9:Z60 G64:Z64">
    <cfRule type="cellIs" dxfId="9" priority="11" operator="equal">
      <formula>0</formula>
    </cfRule>
  </conditionalFormatting>
  <conditionalFormatting sqref="AJ8:BC54">
    <cfRule type="cellIs" dxfId="8" priority="10" operator="equal">
      <formula>0</formula>
    </cfRule>
  </conditionalFormatting>
  <conditionalFormatting sqref="AJ68:BC120">
    <cfRule type="cellIs" dxfId="7" priority="9" operator="equal">
      <formula>0</formula>
    </cfRule>
  </conditionalFormatting>
  <conditionalFormatting sqref="AJ55:BC60">
    <cfRule type="cellIs" dxfId="6" priority="7" operator="equal">
      <formula>0</formula>
    </cfRule>
  </conditionalFormatting>
  <conditionalFormatting sqref="G61:Z61">
    <cfRule type="cellIs" dxfId="5" priority="6" operator="equal">
      <formula>0</formula>
    </cfRule>
  </conditionalFormatting>
  <conditionalFormatting sqref="AJ61:BC61">
    <cfRule type="cellIs" dxfId="4" priority="5" operator="equal">
      <formula>0</formula>
    </cfRule>
  </conditionalFormatting>
  <conditionalFormatting sqref="AJ121:BC121">
    <cfRule type="cellIs" dxfId="3" priority="4" operator="equal">
      <formula>0</formula>
    </cfRule>
  </conditionalFormatting>
  <conditionalFormatting sqref="G62:Z63">
    <cfRule type="cellIs" dxfId="2" priority="3" operator="equal">
      <formula>0</formula>
    </cfRule>
  </conditionalFormatting>
  <conditionalFormatting sqref="AJ62:BC63">
    <cfRule type="cellIs" dxfId="1" priority="2" operator="equal">
      <formula>0</formula>
    </cfRule>
  </conditionalFormatting>
  <conditionalFormatting sqref="AJ122:BC1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3"/>
  <sheetViews>
    <sheetView topLeftCell="A10" workbookViewId="0">
      <selection activeCell="I67" sqref="I67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6" t="s">
        <v>27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>
        <v>24.81</v>
      </c>
      <c r="H8" s="36">
        <v>26</v>
      </c>
      <c r="I8" s="29">
        <v>24.19</v>
      </c>
      <c r="J8" s="30">
        <v>26.18</v>
      </c>
      <c r="K8" s="30">
        <v>24.45</v>
      </c>
      <c r="L8" s="36">
        <v>25.97</v>
      </c>
      <c r="M8" s="29">
        <v>24.16</v>
      </c>
      <c r="N8" s="30">
        <v>20.55</v>
      </c>
      <c r="O8" s="30">
        <v>20.22</v>
      </c>
      <c r="P8" s="30">
        <v>21.33</v>
      </c>
      <c r="Q8" s="36">
        <v>23.79</v>
      </c>
      <c r="R8" s="29"/>
      <c r="S8" s="30"/>
      <c r="T8" s="36"/>
      <c r="U8" s="29"/>
      <c r="V8" s="36"/>
      <c r="W8" s="37"/>
      <c r="X8" s="37"/>
      <c r="Y8" s="37"/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>
        <v>24.93</v>
      </c>
      <c r="H9" s="36">
        <v>26.26</v>
      </c>
      <c r="I9" s="29">
        <v>24.35</v>
      </c>
      <c r="J9" s="30">
        <v>26.35</v>
      </c>
      <c r="K9" s="30">
        <v>24.71</v>
      </c>
      <c r="L9" s="36">
        <v>26.53</v>
      </c>
      <c r="M9" s="29">
        <v>24.98</v>
      </c>
      <c r="N9" s="30">
        <v>20.87</v>
      </c>
      <c r="O9" s="30">
        <v>20.38</v>
      </c>
      <c r="P9" s="30">
        <v>21.45</v>
      </c>
      <c r="Q9" s="36">
        <v>24.08</v>
      </c>
      <c r="R9" s="29"/>
      <c r="S9" s="30"/>
      <c r="T9" s="36"/>
      <c r="U9" s="29"/>
      <c r="V9" s="36"/>
      <c r="W9" s="37"/>
      <c r="X9" s="37"/>
      <c r="Y9" s="37"/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>
        <v>25.42</v>
      </c>
      <c r="H10" s="36">
        <v>26.62</v>
      </c>
      <c r="I10" s="29">
        <v>24.67</v>
      </c>
      <c r="J10" s="30">
        <v>26.54</v>
      </c>
      <c r="K10" s="30">
        <v>24.57</v>
      </c>
      <c r="L10" s="36">
        <v>26.62</v>
      </c>
      <c r="M10" s="29">
        <v>24.6</v>
      </c>
      <c r="N10" s="30">
        <v>20.22</v>
      </c>
      <c r="O10" s="30">
        <v>20.48</v>
      </c>
      <c r="P10" s="30">
        <v>22.13</v>
      </c>
      <c r="Q10" s="36">
        <v>24.19</v>
      </c>
      <c r="R10" s="29"/>
      <c r="S10" s="30"/>
      <c r="T10" s="36"/>
      <c r="U10" s="29"/>
      <c r="V10" s="36"/>
      <c r="W10" s="37"/>
      <c r="X10" s="37"/>
      <c r="Y10" s="37"/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>
        <v>25.65</v>
      </c>
      <c r="H11" s="36">
        <v>26.89</v>
      </c>
      <c r="I11" s="29">
        <v>24.61</v>
      </c>
      <c r="J11" s="30">
        <v>26.92</v>
      </c>
      <c r="K11" s="30">
        <v>24.58</v>
      </c>
      <c r="L11" s="36">
        <v>27.33</v>
      </c>
      <c r="M11" s="29">
        <v>24.93</v>
      </c>
      <c r="N11" s="30">
        <v>20.29</v>
      </c>
      <c r="O11" s="30">
        <v>20.84</v>
      </c>
      <c r="P11" s="30">
        <v>22.46</v>
      </c>
      <c r="Q11" s="36">
        <v>24.45</v>
      </c>
      <c r="R11" s="29"/>
      <c r="S11" s="30"/>
      <c r="T11" s="36"/>
      <c r="U11" s="29"/>
      <c r="V11" s="36"/>
      <c r="W11" s="37"/>
      <c r="X11" s="37"/>
      <c r="Y11" s="37"/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>
        <v>24.93</v>
      </c>
      <c r="H12" s="36">
        <v>25.73</v>
      </c>
      <c r="I12" s="29">
        <v>23.32</v>
      </c>
      <c r="J12" s="30">
        <v>25.07</v>
      </c>
      <c r="K12" s="30">
        <v>22.68</v>
      </c>
      <c r="L12" s="36">
        <v>25.39</v>
      </c>
      <c r="M12" s="29">
        <v>22.86</v>
      </c>
      <c r="N12" s="30">
        <v>19.350000000000001</v>
      </c>
      <c r="O12" s="30">
        <v>20</v>
      </c>
      <c r="P12" s="30">
        <v>21.84</v>
      </c>
      <c r="Q12" s="36">
        <v>23.12</v>
      </c>
      <c r="R12" s="29"/>
      <c r="S12" s="30"/>
      <c r="T12" s="36"/>
      <c r="U12" s="29"/>
      <c r="V12" s="36"/>
      <c r="W12" s="37"/>
      <c r="X12" s="37"/>
      <c r="Y12" s="37"/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>
        <v>22.06</v>
      </c>
      <c r="H13" s="36">
        <v>21.27</v>
      </c>
      <c r="I13" s="29">
        <v>19.34</v>
      </c>
      <c r="J13" s="30">
        <v>18.55</v>
      </c>
      <c r="K13" s="30">
        <v>16.86</v>
      </c>
      <c r="L13" s="36">
        <v>19.579999999999998</v>
      </c>
      <c r="M13" s="29">
        <v>17.420000000000002</v>
      </c>
      <c r="N13" s="30">
        <v>16.07</v>
      </c>
      <c r="O13" s="30">
        <v>17.440000000000001</v>
      </c>
      <c r="P13" s="30">
        <v>19.97</v>
      </c>
      <c r="Q13" s="36">
        <v>18.86</v>
      </c>
      <c r="R13" s="29"/>
      <c r="S13" s="30"/>
      <c r="T13" s="36"/>
      <c r="U13" s="29"/>
      <c r="V13" s="36"/>
      <c r="W13" s="37"/>
      <c r="X13" s="37"/>
      <c r="Y13" s="37"/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>
        <v>18.420000000000002</v>
      </c>
      <c r="H14" s="36">
        <v>16.920000000000002</v>
      </c>
      <c r="I14" s="29">
        <v>14.94</v>
      </c>
      <c r="J14" s="30">
        <v>15.17</v>
      </c>
      <c r="K14" s="30">
        <v>13.31</v>
      </c>
      <c r="L14" s="36">
        <v>16.68</v>
      </c>
      <c r="M14" s="29">
        <v>14.34</v>
      </c>
      <c r="N14" s="30">
        <v>13.07</v>
      </c>
      <c r="O14" s="30">
        <v>14.69</v>
      </c>
      <c r="P14" s="30">
        <v>17.440000000000001</v>
      </c>
      <c r="Q14" s="36">
        <v>15.5</v>
      </c>
      <c r="R14" s="29"/>
      <c r="S14" s="30"/>
      <c r="T14" s="36"/>
      <c r="U14" s="29"/>
      <c r="V14" s="36"/>
      <c r="W14" s="37"/>
      <c r="X14" s="37"/>
      <c r="Y14" s="37"/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>
        <v>18.11</v>
      </c>
      <c r="H15" s="36">
        <v>16.7</v>
      </c>
      <c r="I15" s="29">
        <v>15.27</v>
      </c>
      <c r="J15" s="30">
        <v>16.36</v>
      </c>
      <c r="K15" s="30">
        <v>14.14</v>
      </c>
      <c r="L15" s="36">
        <v>19.260000000000002</v>
      </c>
      <c r="M15" s="29">
        <v>17.04</v>
      </c>
      <c r="N15" s="30">
        <v>12.99</v>
      </c>
      <c r="O15" s="30">
        <v>14.44</v>
      </c>
      <c r="P15" s="30">
        <v>16.87</v>
      </c>
      <c r="Q15" s="36">
        <v>16.12</v>
      </c>
      <c r="R15" s="29"/>
      <c r="S15" s="30"/>
      <c r="T15" s="36"/>
      <c r="U15" s="29"/>
      <c r="V15" s="36"/>
      <c r="W15" s="37"/>
      <c r="X15" s="37"/>
      <c r="Y15" s="37"/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>
        <v>17.68</v>
      </c>
      <c r="H16" s="36">
        <v>16.23</v>
      </c>
      <c r="I16" s="29">
        <v>14.32</v>
      </c>
      <c r="J16" s="30">
        <v>16.739999999999998</v>
      </c>
      <c r="K16" s="30">
        <v>13.83</v>
      </c>
      <c r="L16" s="36">
        <v>19.920000000000002</v>
      </c>
      <c r="M16" s="29">
        <v>17.37</v>
      </c>
      <c r="N16" s="30">
        <v>13.63</v>
      </c>
      <c r="O16" s="30">
        <v>15.47</v>
      </c>
      <c r="P16" s="30">
        <v>17.75</v>
      </c>
      <c r="Q16" s="36">
        <v>16.29</v>
      </c>
      <c r="R16" s="29"/>
      <c r="S16" s="30"/>
      <c r="T16" s="36"/>
      <c r="U16" s="29"/>
      <c r="V16" s="36"/>
      <c r="W16" s="37"/>
      <c r="X16" s="37"/>
      <c r="Y16" s="37"/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>
        <v>17.190000000000001</v>
      </c>
      <c r="H17" s="36">
        <v>15.84</v>
      </c>
      <c r="I17" s="29">
        <v>13.64</v>
      </c>
      <c r="J17" s="30">
        <v>16.73</v>
      </c>
      <c r="K17" s="30">
        <v>13.53</v>
      </c>
      <c r="L17" s="36">
        <v>19.850000000000001</v>
      </c>
      <c r="M17" s="29">
        <v>16.93</v>
      </c>
      <c r="N17" s="30">
        <v>12.88</v>
      </c>
      <c r="O17" s="30">
        <v>15.01</v>
      </c>
      <c r="P17" s="30">
        <v>17.36</v>
      </c>
      <c r="Q17" s="36">
        <v>15.9</v>
      </c>
      <c r="R17" s="29"/>
      <c r="S17" s="30"/>
      <c r="T17" s="36"/>
      <c r="U17" s="29"/>
      <c r="V17" s="36"/>
      <c r="W17" s="37"/>
      <c r="X17" s="37"/>
      <c r="Y17" s="37"/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>
        <v>16.059999999999999</v>
      </c>
      <c r="H18" s="36">
        <v>14.54</v>
      </c>
      <c r="I18" s="29">
        <v>12.02</v>
      </c>
      <c r="J18" s="30">
        <v>15.24</v>
      </c>
      <c r="K18" s="30">
        <v>12.16</v>
      </c>
      <c r="L18" s="36">
        <v>17.95</v>
      </c>
      <c r="M18" s="29">
        <v>15.11</v>
      </c>
      <c r="N18" s="30">
        <v>12.51</v>
      </c>
      <c r="O18" s="30">
        <v>14.3</v>
      </c>
      <c r="P18" s="30">
        <v>16.84</v>
      </c>
      <c r="Q18" s="36">
        <v>14.67</v>
      </c>
      <c r="R18" s="29"/>
      <c r="S18" s="30"/>
      <c r="T18" s="36"/>
      <c r="U18" s="29"/>
      <c r="V18" s="36"/>
      <c r="W18" s="37"/>
      <c r="X18" s="37"/>
      <c r="Y18" s="37"/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>
        <v>17.899999999999999</v>
      </c>
      <c r="H19" s="36">
        <v>16.84</v>
      </c>
      <c r="I19" s="29">
        <v>13.63</v>
      </c>
      <c r="J19" s="30">
        <v>17.21</v>
      </c>
      <c r="K19" s="30">
        <v>13.75</v>
      </c>
      <c r="L19" s="36">
        <v>19.78</v>
      </c>
      <c r="M19" s="29">
        <v>16.649999999999999</v>
      </c>
      <c r="N19" s="30">
        <v>13.42</v>
      </c>
      <c r="O19" s="30">
        <v>15.46</v>
      </c>
      <c r="P19" s="30">
        <v>17.77</v>
      </c>
      <c r="Q19" s="36">
        <v>16.239999999999998</v>
      </c>
      <c r="R19" s="29"/>
      <c r="S19" s="30"/>
      <c r="T19" s="36"/>
      <c r="U19" s="29"/>
      <c r="V19" s="36"/>
      <c r="W19" s="37"/>
      <c r="X19" s="37"/>
      <c r="Y19" s="37"/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>
        <v>19.66</v>
      </c>
      <c r="H20" s="36">
        <v>20.38</v>
      </c>
      <c r="I20" s="29">
        <v>18.829999999999998</v>
      </c>
      <c r="J20" s="30">
        <v>15.72</v>
      </c>
      <c r="K20" s="30">
        <v>20.73</v>
      </c>
      <c r="L20" s="36">
        <v>18.809999999999999</v>
      </c>
      <c r="M20" s="29">
        <v>15.33</v>
      </c>
      <c r="N20" s="30">
        <v>21.42</v>
      </c>
      <c r="O20" s="30">
        <v>18.510000000000002</v>
      </c>
      <c r="P20" s="30">
        <v>14.12</v>
      </c>
      <c r="Q20" s="36">
        <v>16.3</v>
      </c>
      <c r="R20" s="29">
        <v>18.579999999999998</v>
      </c>
      <c r="S20" s="30">
        <v>18.2</v>
      </c>
      <c r="T20" s="36"/>
      <c r="U20" s="29"/>
      <c r="V20" s="36"/>
      <c r="W20" s="37"/>
      <c r="X20" s="37"/>
      <c r="Y20" s="37"/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>
        <v>18.309999999999999</v>
      </c>
      <c r="H21" s="36">
        <v>19.07</v>
      </c>
      <c r="I21" s="29">
        <v>17.54</v>
      </c>
      <c r="J21" s="30">
        <v>14.51</v>
      </c>
      <c r="K21" s="30">
        <v>19.39</v>
      </c>
      <c r="L21" s="36">
        <v>17.440000000000001</v>
      </c>
      <c r="M21" s="29">
        <v>14.08</v>
      </c>
      <c r="N21" s="30">
        <v>20.72</v>
      </c>
      <c r="O21" s="30">
        <v>17.86</v>
      </c>
      <c r="P21" s="30">
        <v>13.54</v>
      </c>
      <c r="Q21" s="36">
        <v>15.63</v>
      </c>
      <c r="R21" s="29">
        <v>19.11</v>
      </c>
      <c r="S21" s="30">
        <v>17.27</v>
      </c>
      <c r="T21" s="36"/>
      <c r="U21" s="29"/>
      <c r="V21" s="36"/>
      <c r="W21" s="37"/>
      <c r="X21" s="37"/>
      <c r="Y21" s="37"/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>
        <v>15.42</v>
      </c>
      <c r="H22" s="36">
        <v>16.71</v>
      </c>
      <c r="I22" s="29">
        <v>15.02</v>
      </c>
      <c r="J22" s="30">
        <v>11.9</v>
      </c>
      <c r="K22" s="30">
        <v>17.239999999999998</v>
      </c>
      <c r="L22" s="36">
        <v>15.27</v>
      </c>
      <c r="M22" s="29">
        <v>12.13</v>
      </c>
      <c r="N22" s="30">
        <v>18.75</v>
      </c>
      <c r="O22" s="30">
        <v>15.98</v>
      </c>
      <c r="P22" s="30">
        <v>12.18</v>
      </c>
      <c r="Q22" s="36">
        <v>14.19</v>
      </c>
      <c r="R22" s="29">
        <v>18.309999999999999</v>
      </c>
      <c r="S22" s="30">
        <v>15.26</v>
      </c>
      <c r="T22" s="36"/>
      <c r="U22" s="29"/>
      <c r="V22" s="36"/>
      <c r="W22" s="37"/>
      <c r="X22" s="37"/>
      <c r="Y22" s="37"/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>
        <v>15.84</v>
      </c>
      <c r="H23" s="36">
        <v>16.41</v>
      </c>
      <c r="I23" s="29">
        <v>15.43</v>
      </c>
      <c r="J23" s="30">
        <v>12.52</v>
      </c>
      <c r="K23" s="30">
        <v>17.329999999999998</v>
      </c>
      <c r="L23" s="36">
        <v>15.77</v>
      </c>
      <c r="M23" s="29">
        <v>12.97</v>
      </c>
      <c r="N23" s="30">
        <v>19.04</v>
      </c>
      <c r="O23" s="30">
        <v>16.39</v>
      </c>
      <c r="P23" s="30">
        <v>12.31</v>
      </c>
      <c r="Q23" s="36">
        <v>14.07</v>
      </c>
      <c r="R23" s="29">
        <v>17.850000000000001</v>
      </c>
      <c r="S23" s="30">
        <v>15.49</v>
      </c>
      <c r="T23" s="36"/>
      <c r="U23" s="29"/>
      <c r="V23" s="36"/>
      <c r="W23" s="37"/>
      <c r="X23" s="37"/>
      <c r="Y23" s="37"/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>
        <v>13.83</v>
      </c>
      <c r="H24" s="36">
        <v>15.23</v>
      </c>
      <c r="I24" s="29">
        <v>14.71</v>
      </c>
      <c r="J24" s="30">
        <v>12.21</v>
      </c>
      <c r="K24" s="30">
        <v>17.61</v>
      </c>
      <c r="L24" s="36">
        <v>15.82</v>
      </c>
      <c r="M24" s="29">
        <v>13.13</v>
      </c>
      <c r="N24" s="30">
        <v>18.940000000000001</v>
      </c>
      <c r="O24" s="30">
        <v>16.25</v>
      </c>
      <c r="P24" s="30">
        <v>12.27</v>
      </c>
      <c r="Q24" s="36">
        <v>13.89</v>
      </c>
      <c r="R24" s="29">
        <v>18.11</v>
      </c>
      <c r="S24" s="30">
        <v>15.17</v>
      </c>
      <c r="T24" s="36"/>
      <c r="U24" s="29"/>
      <c r="V24" s="36"/>
      <c r="W24" s="37"/>
      <c r="X24" s="37"/>
      <c r="Y24" s="37"/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>
        <v>14.95</v>
      </c>
      <c r="H25" s="36">
        <v>16.510000000000002</v>
      </c>
      <c r="I25" s="29">
        <v>15.81</v>
      </c>
      <c r="J25" s="30">
        <v>13.24</v>
      </c>
      <c r="K25" s="30">
        <v>18.54</v>
      </c>
      <c r="L25" s="36">
        <v>16.53</v>
      </c>
      <c r="M25" s="29">
        <v>14.06</v>
      </c>
      <c r="N25" s="30">
        <v>19.84</v>
      </c>
      <c r="O25" s="30">
        <v>17.510000000000002</v>
      </c>
      <c r="P25" s="30">
        <v>12.76</v>
      </c>
      <c r="Q25" s="36">
        <v>14.46</v>
      </c>
      <c r="R25" s="29">
        <v>18.3</v>
      </c>
      <c r="S25" s="30">
        <v>16.04</v>
      </c>
      <c r="T25" s="36"/>
      <c r="U25" s="29"/>
      <c r="V25" s="36"/>
      <c r="W25" s="37"/>
      <c r="X25" s="37"/>
      <c r="Y25" s="37"/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>
        <v>11.73</v>
      </c>
      <c r="H26" s="36">
        <v>13.77</v>
      </c>
      <c r="I26" s="29">
        <v>13.15</v>
      </c>
      <c r="J26" s="30">
        <v>11.23</v>
      </c>
      <c r="K26" s="30">
        <v>16.02</v>
      </c>
      <c r="L26" s="36">
        <v>14.39</v>
      </c>
      <c r="M26" s="29">
        <v>12.43</v>
      </c>
      <c r="N26" s="30">
        <v>18.87</v>
      </c>
      <c r="O26" s="30">
        <v>16.7</v>
      </c>
      <c r="P26" s="30">
        <v>11.74</v>
      </c>
      <c r="Q26" s="36">
        <v>13.91</v>
      </c>
      <c r="R26" s="29">
        <v>17.66</v>
      </c>
      <c r="S26" s="30">
        <v>14.3</v>
      </c>
      <c r="T26" s="36"/>
      <c r="U26" s="29"/>
      <c r="V26" s="36"/>
      <c r="W26" s="37"/>
      <c r="X26" s="37"/>
      <c r="Y26" s="37"/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>
        <v>11.86</v>
      </c>
      <c r="H27" s="36">
        <v>13.9</v>
      </c>
      <c r="I27" s="29">
        <v>13.4</v>
      </c>
      <c r="J27" s="30">
        <v>11.24</v>
      </c>
      <c r="K27" s="30">
        <v>16.600000000000001</v>
      </c>
      <c r="L27" s="36">
        <v>15.08</v>
      </c>
      <c r="M27" s="29">
        <v>12.83</v>
      </c>
      <c r="N27" s="30">
        <v>18.72</v>
      </c>
      <c r="O27" s="30">
        <v>16.75</v>
      </c>
      <c r="P27" s="30">
        <v>12.35</v>
      </c>
      <c r="Q27" s="36">
        <v>14.58</v>
      </c>
      <c r="R27" s="29">
        <v>17.91</v>
      </c>
      <c r="S27" s="30">
        <v>14.6</v>
      </c>
      <c r="T27" s="36"/>
      <c r="U27" s="29"/>
      <c r="V27" s="36"/>
      <c r="W27" s="37"/>
      <c r="X27" s="37"/>
      <c r="Y27" s="37"/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>
        <v>12.03</v>
      </c>
      <c r="H28" s="36">
        <v>13.86</v>
      </c>
      <c r="I28" s="29">
        <v>13.12</v>
      </c>
      <c r="J28" s="30">
        <v>10.84</v>
      </c>
      <c r="K28" s="30">
        <v>15.45</v>
      </c>
      <c r="L28" s="36">
        <v>14.43</v>
      </c>
      <c r="M28" s="29">
        <v>12.06</v>
      </c>
      <c r="N28" s="30">
        <v>17.45</v>
      </c>
      <c r="O28" s="30">
        <v>15.32</v>
      </c>
      <c r="P28" s="30">
        <v>11.3</v>
      </c>
      <c r="Q28" s="36">
        <v>13.63</v>
      </c>
      <c r="R28" s="29">
        <v>16.82</v>
      </c>
      <c r="S28" s="30">
        <v>13.86</v>
      </c>
      <c r="T28" s="36"/>
      <c r="U28" s="29"/>
      <c r="V28" s="36"/>
      <c r="W28" s="37"/>
      <c r="X28" s="37"/>
      <c r="Y28" s="37"/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>
        <v>12.24</v>
      </c>
      <c r="H29" s="36">
        <v>14.24</v>
      </c>
      <c r="I29" s="29">
        <v>13.3</v>
      </c>
      <c r="J29" s="30">
        <v>11.32</v>
      </c>
      <c r="K29" s="30">
        <v>16.09</v>
      </c>
      <c r="L29" s="36">
        <v>14.92</v>
      </c>
      <c r="M29" s="29">
        <v>12.84</v>
      </c>
      <c r="N29" s="30">
        <v>17.82</v>
      </c>
      <c r="O29" s="30">
        <v>15.65</v>
      </c>
      <c r="P29" s="30">
        <v>11.99</v>
      </c>
      <c r="Q29" s="36">
        <v>14.3</v>
      </c>
      <c r="R29" s="29">
        <v>17.329999999999998</v>
      </c>
      <c r="S29" s="30">
        <v>14.34</v>
      </c>
      <c r="T29" s="36"/>
      <c r="U29" s="29"/>
      <c r="V29" s="36"/>
      <c r="W29" s="37"/>
      <c r="X29" s="37"/>
      <c r="Y29" s="37"/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>
        <v>14.81</v>
      </c>
      <c r="H30" s="36">
        <v>16.38</v>
      </c>
      <c r="I30" s="29">
        <v>15.37</v>
      </c>
      <c r="J30" s="30">
        <v>13.07</v>
      </c>
      <c r="K30" s="30">
        <v>17.47</v>
      </c>
      <c r="L30" s="36">
        <v>16.190000000000001</v>
      </c>
      <c r="M30" s="29">
        <v>13.64</v>
      </c>
      <c r="N30" s="30">
        <v>18.12</v>
      </c>
      <c r="O30" s="30">
        <v>15.92</v>
      </c>
      <c r="P30" s="30">
        <v>12.09</v>
      </c>
      <c r="Q30" s="36">
        <v>13.89</v>
      </c>
      <c r="R30" s="29">
        <v>16.690000000000001</v>
      </c>
      <c r="S30" s="30">
        <v>15.3</v>
      </c>
      <c r="T30" s="36"/>
      <c r="U30" s="29"/>
      <c r="V30" s="36"/>
      <c r="W30" s="37"/>
      <c r="X30" s="37"/>
      <c r="Y30" s="37"/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>
        <v>15.12</v>
      </c>
      <c r="H31" s="36">
        <v>16.07</v>
      </c>
      <c r="I31" s="29">
        <v>15.2</v>
      </c>
      <c r="J31" s="30">
        <v>13.07</v>
      </c>
      <c r="K31" s="30">
        <v>17.32</v>
      </c>
      <c r="L31" s="36">
        <v>16.100000000000001</v>
      </c>
      <c r="M31" s="29">
        <v>13.63</v>
      </c>
      <c r="N31" s="30">
        <v>17.899999999999999</v>
      </c>
      <c r="O31" s="30">
        <v>16.059999999999999</v>
      </c>
      <c r="P31" s="30">
        <v>12.34</v>
      </c>
      <c r="Q31" s="36">
        <v>13.89</v>
      </c>
      <c r="R31" s="29">
        <v>16.329999999999998</v>
      </c>
      <c r="S31" s="30">
        <v>15.25</v>
      </c>
      <c r="T31" s="36"/>
      <c r="U31" s="29"/>
      <c r="V31" s="36"/>
      <c r="W31" s="37"/>
      <c r="X31" s="37"/>
      <c r="Y31" s="37"/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>
        <v>19.03</v>
      </c>
      <c r="H32" s="36">
        <v>19.260000000000002</v>
      </c>
      <c r="I32" s="44">
        <v>16.47</v>
      </c>
      <c r="J32" s="45">
        <v>17.149999999999999</v>
      </c>
      <c r="K32" s="30">
        <v>16.23</v>
      </c>
      <c r="L32" s="36">
        <v>14.02</v>
      </c>
      <c r="M32" s="44">
        <v>17.86</v>
      </c>
      <c r="N32" s="45">
        <v>16.8</v>
      </c>
      <c r="O32" s="30">
        <v>14.36</v>
      </c>
      <c r="P32" s="30">
        <v>18.329999999999998</v>
      </c>
      <c r="Q32" s="36">
        <v>16.64</v>
      </c>
      <c r="R32" s="29">
        <v>12.67</v>
      </c>
      <c r="S32" s="30">
        <v>14.25</v>
      </c>
      <c r="T32" s="36">
        <v>16.079999999999998</v>
      </c>
      <c r="U32" s="29">
        <v>16.37</v>
      </c>
      <c r="V32" s="36"/>
      <c r="W32" s="37"/>
      <c r="X32" s="37"/>
      <c r="Y32" s="37"/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>
        <v>17.579999999999998</v>
      </c>
      <c r="H33" s="36">
        <v>16.79</v>
      </c>
      <c r="I33" s="44">
        <v>13.72</v>
      </c>
      <c r="J33" s="45">
        <v>15.1</v>
      </c>
      <c r="K33" s="30">
        <v>13.87</v>
      </c>
      <c r="L33" s="36">
        <v>11.26</v>
      </c>
      <c r="M33" s="44">
        <v>15.64</v>
      </c>
      <c r="N33" s="45">
        <v>14.02</v>
      </c>
      <c r="O33" s="30">
        <v>11.75</v>
      </c>
      <c r="P33" s="30">
        <v>15.95</v>
      </c>
      <c r="Q33" s="36">
        <v>14.65</v>
      </c>
      <c r="R33" s="29">
        <v>11.04</v>
      </c>
      <c r="S33" s="30">
        <v>12.66</v>
      </c>
      <c r="T33" s="36">
        <v>14.45</v>
      </c>
      <c r="U33" s="29">
        <v>14.18</v>
      </c>
      <c r="V33" s="36"/>
      <c r="W33" s="37"/>
      <c r="X33" s="37"/>
      <c r="Y33" s="37"/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>
        <v>20.350000000000001</v>
      </c>
      <c r="H34" s="36">
        <v>20.39</v>
      </c>
      <c r="I34" s="44">
        <v>18.190000000000001</v>
      </c>
      <c r="J34" s="45">
        <v>19.14</v>
      </c>
      <c r="K34" s="30">
        <v>17.7</v>
      </c>
      <c r="L34" s="36">
        <v>15.84</v>
      </c>
      <c r="M34" s="44">
        <v>18.5</v>
      </c>
      <c r="N34" s="45">
        <v>16.670000000000002</v>
      </c>
      <c r="O34" s="30">
        <v>15.01</v>
      </c>
      <c r="P34" s="30">
        <v>16.170000000000002</v>
      </c>
      <c r="Q34" s="36">
        <v>14.82</v>
      </c>
      <c r="R34" s="29">
        <v>11.7</v>
      </c>
      <c r="S34" s="30">
        <v>12.15</v>
      </c>
      <c r="T34" s="36">
        <v>13.97</v>
      </c>
      <c r="U34" s="29">
        <v>16.47</v>
      </c>
      <c r="V34" s="36"/>
      <c r="W34" s="37"/>
      <c r="X34" s="37"/>
      <c r="Y34" s="37"/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>
        <v>20.83</v>
      </c>
      <c r="H35" s="36">
        <v>21.18</v>
      </c>
      <c r="I35" s="44">
        <v>19.64</v>
      </c>
      <c r="J35" s="45">
        <v>21.01</v>
      </c>
      <c r="K35" s="30">
        <v>20.02</v>
      </c>
      <c r="L35" s="36">
        <v>18.62</v>
      </c>
      <c r="M35" s="44">
        <v>20.77</v>
      </c>
      <c r="N35" s="45">
        <v>19.690000000000001</v>
      </c>
      <c r="O35" s="30">
        <v>18.239999999999998</v>
      </c>
      <c r="P35" s="30">
        <v>18.690000000000001</v>
      </c>
      <c r="Q35" s="36">
        <v>17.39</v>
      </c>
      <c r="R35" s="29">
        <v>13.27</v>
      </c>
      <c r="S35" s="30">
        <v>13.61</v>
      </c>
      <c r="T35" s="36">
        <v>14.87</v>
      </c>
      <c r="U35" s="29">
        <v>18.420000000000002</v>
      </c>
      <c r="V35" s="36"/>
      <c r="W35" s="37"/>
      <c r="X35" s="37"/>
      <c r="Y35" s="37"/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>
        <v>21.61</v>
      </c>
      <c r="H36" s="36">
        <v>22.7</v>
      </c>
      <c r="I36" s="44">
        <v>21.39</v>
      </c>
      <c r="J36" s="45">
        <v>22.85</v>
      </c>
      <c r="K36" s="30">
        <v>21.6</v>
      </c>
      <c r="L36" s="36">
        <v>20.399999999999999</v>
      </c>
      <c r="M36" s="44">
        <v>21.82</v>
      </c>
      <c r="N36" s="45">
        <v>20.46</v>
      </c>
      <c r="O36" s="30">
        <v>19</v>
      </c>
      <c r="P36" s="30">
        <v>19.59</v>
      </c>
      <c r="Q36" s="36">
        <v>18.2</v>
      </c>
      <c r="R36" s="29">
        <v>14.77</v>
      </c>
      <c r="S36" s="30">
        <v>14.77</v>
      </c>
      <c r="T36" s="36">
        <v>15.87</v>
      </c>
      <c r="U36" s="29">
        <v>19.649999999999999</v>
      </c>
      <c r="V36" s="36"/>
      <c r="W36" s="37"/>
      <c r="X36" s="37"/>
      <c r="Y36" s="37"/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>
        <v>21.77</v>
      </c>
      <c r="H37" s="36">
        <v>22.86</v>
      </c>
      <c r="I37" s="44">
        <v>21.55</v>
      </c>
      <c r="J37" s="45">
        <v>23.55</v>
      </c>
      <c r="K37" s="30">
        <v>22.47</v>
      </c>
      <c r="L37" s="36">
        <v>21.28</v>
      </c>
      <c r="M37" s="44">
        <v>23.32</v>
      </c>
      <c r="N37" s="45">
        <v>21.81</v>
      </c>
      <c r="O37" s="30">
        <v>20.399999999999999</v>
      </c>
      <c r="P37" s="30">
        <v>21.49</v>
      </c>
      <c r="Q37" s="36">
        <v>19.809999999999999</v>
      </c>
      <c r="R37" s="29">
        <v>16.13</v>
      </c>
      <c r="S37" s="30">
        <v>16.010000000000002</v>
      </c>
      <c r="T37" s="36">
        <v>16.93</v>
      </c>
      <c r="U37" s="29">
        <v>20.67</v>
      </c>
      <c r="V37" s="36"/>
      <c r="W37" s="37"/>
      <c r="X37" s="37"/>
      <c r="Y37" s="37"/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>
        <v>22.13</v>
      </c>
      <c r="H38" s="36">
        <v>23.36</v>
      </c>
      <c r="I38" s="44">
        <v>21.7</v>
      </c>
      <c r="J38" s="45">
        <v>23.15</v>
      </c>
      <c r="K38" s="30">
        <v>22.12</v>
      </c>
      <c r="L38" s="36">
        <v>20.7</v>
      </c>
      <c r="M38" s="44">
        <v>23.11</v>
      </c>
      <c r="N38" s="45">
        <v>21.47</v>
      </c>
      <c r="O38" s="30">
        <v>19.88</v>
      </c>
      <c r="P38" s="30">
        <v>21.01</v>
      </c>
      <c r="Q38" s="36">
        <v>19.2</v>
      </c>
      <c r="R38" s="29">
        <v>15.54</v>
      </c>
      <c r="S38" s="30">
        <v>15.83</v>
      </c>
      <c r="T38" s="36">
        <v>17.34</v>
      </c>
      <c r="U38" s="29">
        <v>20.47</v>
      </c>
      <c r="V38" s="36"/>
      <c r="W38" s="37"/>
      <c r="X38" s="37"/>
      <c r="Y38" s="37"/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>
        <v>21.81</v>
      </c>
      <c r="H39" s="36">
        <v>22.84</v>
      </c>
      <c r="I39" s="44">
        <v>21.15</v>
      </c>
      <c r="J39" s="45">
        <v>22.54</v>
      </c>
      <c r="K39" s="30">
        <v>21.54</v>
      </c>
      <c r="L39" s="36">
        <v>19.63</v>
      </c>
      <c r="M39" s="44">
        <v>22.72</v>
      </c>
      <c r="N39" s="45">
        <v>20.82</v>
      </c>
      <c r="O39" s="30">
        <v>18.829999999999998</v>
      </c>
      <c r="P39" s="30">
        <v>20.28</v>
      </c>
      <c r="Q39" s="36">
        <v>18.149999999999999</v>
      </c>
      <c r="R39" s="29">
        <v>15.23</v>
      </c>
      <c r="S39" s="30">
        <v>15.75</v>
      </c>
      <c r="T39" s="36">
        <v>17.84</v>
      </c>
      <c r="U39" s="29">
        <v>19.940000000000001</v>
      </c>
      <c r="V39" s="36"/>
      <c r="W39" s="37"/>
      <c r="X39" s="37"/>
      <c r="Y39" s="37"/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>
        <v>22.62</v>
      </c>
      <c r="H40" s="36">
        <v>24.3</v>
      </c>
      <c r="I40" s="44">
        <v>22.93</v>
      </c>
      <c r="J40" s="45">
        <v>24.55</v>
      </c>
      <c r="K40" s="30">
        <v>23.53</v>
      </c>
      <c r="L40" s="36">
        <v>21.75</v>
      </c>
      <c r="M40" s="44">
        <v>24.67</v>
      </c>
      <c r="N40" s="45">
        <v>22.61</v>
      </c>
      <c r="O40" s="30">
        <v>20.69</v>
      </c>
      <c r="P40" s="30">
        <v>21.61</v>
      </c>
      <c r="Q40" s="36">
        <v>19.61</v>
      </c>
      <c r="R40" s="29">
        <v>16.989999999999998</v>
      </c>
      <c r="S40" s="30">
        <v>17.38</v>
      </c>
      <c r="T40" s="36">
        <v>19.28</v>
      </c>
      <c r="U40" s="29">
        <v>21.61</v>
      </c>
      <c r="V40" s="36"/>
      <c r="W40" s="37"/>
      <c r="X40" s="37"/>
      <c r="Y40" s="37"/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>
        <v>22.89</v>
      </c>
      <c r="H41" s="36">
        <v>24.9</v>
      </c>
      <c r="I41" s="44">
        <v>23.51</v>
      </c>
      <c r="J41" s="45">
        <v>25.8</v>
      </c>
      <c r="K41" s="30">
        <v>24.94</v>
      </c>
      <c r="L41" s="36">
        <v>23.43</v>
      </c>
      <c r="M41" s="44">
        <v>26.3</v>
      </c>
      <c r="N41" s="45">
        <v>24.73</v>
      </c>
      <c r="O41" s="30">
        <v>23.53</v>
      </c>
      <c r="P41" s="30">
        <v>23.98</v>
      </c>
      <c r="Q41" s="36">
        <v>22.14</v>
      </c>
      <c r="R41" s="29">
        <v>18.95</v>
      </c>
      <c r="S41" s="30">
        <v>19.399999999999999</v>
      </c>
      <c r="T41" s="36">
        <v>21.05</v>
      </c>
      <c r="U41" s="29">
        <v>23.25</v>
      </c>
      <c r="V41" s="36"/>
      <c r="W41" s="37"/>
      <c r="X41" s="37"/>
      <c r="Y41" s="37"/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>
        <v>22.52</v>
      </c>
      <c r="H42" s="36">
        <v>24.39</v>
      </c>
      <c r="I42" s="44">
        <v>22.75</v>
      </c>
      <c r="J42" s="45">
        <v>24.72</v>
      </c>
      <c r="K42" s="30">
        <v>23.75</v>
      </c>
      <c r="L42" s="36">
        <v>22.37</v>
      </c>
      <c r="M42" s="44">
        <v>24.93</v>
      </c>
      <c r="N42" s="45">
        <v>23.47</v>
      </c>
      <c r="O42" s="30">
        <v>22.03</v>
      </c>
      <c r="P42" s="30">
        <v>22.82</v>
      </c>
      <c r="Q42" s="36">
        <v>21.34</v>
      </c>
      <c r="R42" s="29">
        <v>19.32</v>
      </c>
      <c r="S42" s="30">
        <v>19.440000000000001</v>
      </c>
      <c r="T42" s="36">
        <v>20.96</v>
      </c>
      <c r="U42" s="29">
        <v>22.49</v>
      </c>
      <c r="V42" s="36"/>
      <c r="W42" s="37"/>
      <c r="X42" s="37"/>
      <c r="Y42" s="37"/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>
        <v>22.57</v>
      </c>
      <c r="H43" s="36">
        <v>24.58</v>
      </c>
      <c r="I43" s="41">
        <v>23.02</v>
      </c>
      <c r="J43" s="45">
        <v>25.12</v>
      </c>
      <c r="K43" s="30">
        <v>24.17</v>
      </c>
      <c r="L43" s="36">
        <v>22.84</v>
      </c>
      <c r="M43" s="41">
        <v>25.25</v>
      </c>
      <c r="N43" s="45">
        <v>23.93</v>
      </c>
      <c r="O43" s="30">
        <v>22.61</v>
      </c>
      <c r="P43" s="30">
        <v>24.03</v>
      </c>
      <c r="Q43" s="36">
        <v>22.49</v>
      </c>
      <c r="R43" s="29">
        <v>20.010000000000002</v>
      </c>
      <c r="S43" s="30">
        <v>20.239999999999998</v>
      </c>
      <c r="T43" s="36">
        <v>21.75</v>
      </c>
      <c r="U43" s="29">
        <v>23.04</v>
      </c>
      <c r="V43" s="36"/>
      <c r="W43" s="37"/>
      <c r="X43" s="37"/>
      <c r="Y43" s="37"/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>
        <v>25.67</v>
      </c>
      <c r="J44" s="45">
        <v>24.83</v>
      </c>
      <c r="K44" s="30">
        <v>23.4</v>
      </c>
      <c r="L44" s="36">
        <v>25.67</v>
      </c>
      <c r="M44" s="44">
        <v>25.51</v>
      </c>
      <c r="N44" s="45">
        <v>24.62</v>
      </c>
      <c r="O44" s="30">
        <v>23.46</v>
      </c>
      <c r="P44" s="30">
        <v>25.85</v>
      </c>
      <c r="Q44" s="36">
        <v>24.82</v>
      </c>
      <c r="R44" s="29">
        <v>23.46</v>
      </c>
      <c r="S44" s="30">
        <v>24.86</v>
      </c>
      <c r="T44" s="36">
        <v>23.44</v>
      </c>
      <c r="U44" s="29">
        <v>20.79</v>
      </c>
      <c r="V44" s="36">
        <v>20.77</v>
      </c>
      <c r="W44" s="37">
        <v>21.8</v>
      </c>
      <c r="X44" s="37">
        <v>23.82</v>
      </c>
      <c r="Y44" s="37"/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>
        <v>25.45</v>
      </c>
      <c r="J45" s="45">
        <v>24.53</v>
      </c>
      <c r="K45" s="30">
        <v>23.04</v>
      </c>
      <c r="L45" s="36">
        <v>25.45</v>
      </c>
      <c r="M45" s="44">
        <v>25.2</v>
      </c>
      <c r="N45" s="45">
        <v>24.27</v>
      </c>
      <c r="O45" s="30">
        <v>23.13</v>
      </c>
      <c r="P45" s="30">
        <v>25.27</v>
      </c>
      <c r="Q45" s="36">
        <v>24.28</v>
      </c>
      <c r="R45" s="29">
        <v>22.86</v>
      </c>
      <c r="S45" s="30">
        <v>24.36</v>
      </c>
      <c r="T45" s="36">
        <v>22.94</v>
      </c>
      <c r="U45" s="29">
        <v>20.49</v>
      </c>
      <c r="V45" s="36">
        <v>20.72</v>
      </c>
      <c r="W45" s="37">
        <v>22.09</v>
      </c>
      <c r="X45" s="37">
        <v>23.54</v>
      </c>
      <c r="Y45" s="37"/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>
        <v>24.76</v>
      </c>
      <c r="J46" s="45">
        <v>23.94</v>
      </c>
      <c r="K46" s="30">
        <v>22.35</v>
      </c>
      <c r="L46" s="36">
        <v>24.76</v>
      </c>
      <c r="M46" s="44">
        <v>24.32</v>
      </c>
      <c r="N46" s="45">
        <v>23.35</v>
      </c>
      <c r="O46" s="30">
        <v>22.05</v>
      </c>
      <c r="P46" s="30">
        <v>24.03</v>
      </c>
      <c r="Q46" s="36">
        <v>22.88</v>
      </c>
      <c r="R46" s="29">
        <v>21.23</v>
      </c>
      <c r="S46" s="30">
        <v>22.73</v>
      </c>
      <c r="T46" s="36">
        <v>21.32</v>
      </c>
      <c r="U46" s="29">
        <v>19.59</v>
      </c>
      <c r="V46" s="36">
        <v>20.51</v>
      </c>
      <c r="W46" s="37">
        <v>22.11</v>
      </c>
      <c r="X46" s="37">
        <v>22.67</v>
      </c>
      <c r="Y46" s="37"/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>
        <v>25.08</v>
      </c>
      <c r="J47" s="45">
        <v>24.28</v>
      </c>
      <c r="K47" s="30">
        <v>22.7</v>
      </c>
      <c r="L47" s="36">
        <v>25.08</v>
      </c>
      <c r="M47" s="44">
        <v>24.91</v>
      </c>
      <c r="N47" s="45">
        <v>24.23</v>
      </c>
      <c r="O47" s="30">
        <v>22.8</v>
      </c>
      <c r="P47" s="30">
        <v>25.1</v>
      </c>
      <c r="Q47" s="36">
        <v>24.14</v>
      </c>
      <c r="R47" s="29">
        <v>22.41</v>
      </c>
      <c r="S47" s="30">
        <v>24.31</v>
      </c>
      <c r="T47" s="36">
        <v>22.86</v>
      </c>
      <c r="U47" s="29">
        <v>20.010000000000002</v>
      </c>
      <c r="V47" s="36">
        <v>21.24</v>
      </c>
      <c r="W47" s="37">
        <v>22.66</v>
      </c>
      <c r="X47" s="37">
        <v>23.38</v>
      </c>
      <c r="Y47" s="37"/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>
        <v>24.92</v>
      </c>
      <c r="J48" s="45">
        <v>24.2</v>
      </c>
      <c r="K48" s="30">
        <v>22.83</v>
      </c>
      <c r="L48" s="36">
        <v>24.92</v>
      </c>
      <c r="M48" s="44">
        <v>25.01</v>
      </c>
      <c r="N48" s="45">
        <v>24.38</v>
      </c>
      <c r="O48" s="30">
        <v>23.02</v>
      </c>
      <c r="P48" s="30">
        <v>25.46</v>
      </c>
      <c r="Q48" s="36">
        <v>24.63</v>
      </c>
      <c r="R48" s="29">
        <v>23.11</v>
      </c>
      <c r="S48" s="30">
        <v>25.09</v>
      </c>
      <c r="T48" s="36">
        <v>23.84</v>
      </c>
      <c r="U48" s="29">
        <v>21.06</v>
      </c>
      <c r="V48" s="36">
        <v>22.19</v>
      </c>
      <c r="W48" s="37">
        <v>23.55</v>
      </c>
      <c r="X48" s="37">
        <v>23.75</v>
      </c>
      <c r="Y48" s="37"/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>
        <v>23.88</v>
      </c>
      <c r="J49" s="45">
        <v>23.21</v>
      </c>
      <c r="K49" s="30">
        <v>21.66</v>
      </c>
      <c r="L49" s="36">
        <v>23.88</v>
      </c>
      <c r="M49" s="44">
        <v>23.43</v>
      </c>
      <c r="N49" s="45">
        <v>23.03</v>
      </c>
      <c r="O49" s="30">
        <v>21.58</v>
      </c>
      <c r="P49" s="30">
        <v>23.81</v>
      </c>
      <c r="Q49" s="36">
        <v>22.84</v>
      </c>
      <c r="R49" s="29">
        <v>21.27</v>
      </c>
      <c r="S49" s="30">
        <v>23.53</v>
      </c>
      <c r="T49" s="36">
        <v>22.32</v>
      </c>
      <c r="U49" s="29">
        <v>20.27</v>
      </c>
      <c r="V49" s="36">
        <v>21.54</v>
      </c>
      <c r="W49" s="37">
        <v>23.31</v>
      </c>
      <c r="X49" s="37">
        <v>22.58</v>
      </c>
      <c r="Y49" s="37"/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>
        <v>24.48</v>
      </c>
      <c r="J50" s="45">
        <v>23.95</v>
      </c>
      <c r="K50" s="30">
        <v>22.5</v>
      </c>
      <c r="L50" s="36">
        <v>24.48</v>
      </c>
      <c r="M50" s="44">
        <v>24.41</v>
      </c>
      <c r="N50" s="45">
        <v>23.9</v>
      </c>
      <c r="O50" s="30">
        <v>22.63</v>
      </c>
      <c r="P50" s="30">
        <v>25.46</v>
      </c>
      <c r="Q50" s="36">
        <v>24.5</v>
      </c>
      <c r="R50" s="29">
        <v>23.07</v>
      </c>
      <c r="S50" s="30">
        <v>25.36</v>
      </c>
      <c r="T50" s="36">
        <v>24.14</v>
      </c>
      <c r="U50" s="29">
        <v>21.21</v>
      </c>
      <c r="V50" s="36">
        <v>22.43</v>
      </c>
      <c r="W50" s="37">
        <v>24.06</v>
      </c>
      <c r="X50" s="37">
        <v>23.63</v>
      </c>
      <c r="Y50" s="37"/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>
        <v>23.63</v>
      </c>
      <c r="J51" s="45">
        <v>23.13</v>
      </c>
      <c r="K51" s="30">
        <v>21.55</v>
      </c>
      <c r="L51" s="36">
        <v>23.63</v>
      </c>
      <c r="M51" s="44">
        <v>23.23</v>
      </c>
      <c r="N51" s="45">
        <v>22.75</v>
      </c>
      <c r="O51" s="30">
        <v>21.16</v>
      </c>
      <c r="P51" s="30">
        <v>24.09</v>
      </c>
      <c r="Q51" s="36">
        <v>23.06</v>
      </c>
      <c r="R51" s="29">
        <v>21.53</v>
      </c>
      <c r="S51" s="30">
        <v>23.56</v>
      </c>
      <c r="T51" s="36">
        <v>22.4</v>
      </c>
      <c r="U51" s="29">
        <v>20.12</v>
      </c>
      <c r="V51" s="36">
        <v>21.44</v>
      </c>
      <c r="W51" s="37">
        <v>23.43</v>
      </c>
      <c r="X51" s="37">
        <v>22.53</v>
      </c>
      <c r="Y51" s="37"/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>
        <v>22.83</v>
      </c>
      <c r="J52" s="45">
        <v>22.37</v>
      </c>
      <c r="K52" s="30">
        <v>20.64</v>
      </c>
      <c r="L52" s="36">
        <v>22.83</v>
      </c>
      <c r="M52" s="44">
        <v>22.15</v>
      </c>
      <c r="N52" s="45">
        <v>21.68</v>
      </c>
      <c r="O52" s="30">
        <v>19.88</v>
      </c>
      <c r="P52" s="30">
        <v>23.1</v>
      </c>
      <c r="Q52" s="36">
        <v>22.07</v>
      </c>
      <c r="R52" s="29">
        <v>20.38</v>
      </c>
      <c r="S52" s="30">
        <v>22.75</v>
      </c>
      <c r="T52" s="36">
        <v>21.55</v>
      </c>
      <c r="U52" s="29">
        <v>19.54</v>
      </c>
      <c r="V52" s="36">
        <v>21.02</v>
      </c>
      <c r="W52" s="37">
        <v>23.14</v>
      </c>
      <c r="X52" s="37">
        <v>21.73</v>
      </c>
      <c r="Y52" s="37"/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>
        <v>21.66</v>
      </c>
      <c r="J53" s="45">
        <v>22.02</v>
      </c>
      <c r="K53" s="30">
        <v>20.13</v>
      </c>
      <c r="L53" s="36">
        <v>21.66</v>
      </c>
      <c r="M53" s="44">
        <v>21.75</v>
      </c>
      <c r="N53" s="45">
        <v>21.27</v>
      </c>
      <c r="O53" s="30">
        <v>19.43</v>
      </c>
      <c r="P53" s="30">
        <v>22.8</v>
      </c>
      <c r="Q53" s="36">
        <v>21.84</v>
      </c>
      <c r="R53" s="29">
        <v>20.11</v>
      </c>
      <c r="S53" s="30">
        <v>22.54</v>
      </c>
      <c r="T53" s="36">
        <v>21.29</v>
      </c>
      <c r="U53" s="29">
        <v>19.46</v>
      </c>
      <c r="V53" s="36">
        <v>20.97</v>
      </c>
      <c r="W53" s="37">
        <v>23.14</v>
      </c>
      <c r="X53" s="37">
        <v>21.29</v>
      </c>
      <c r="Y53" s="37"/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19.45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20.52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23.51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22.17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22.09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20.95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20.416666670000001</v>
      </c>
      <c r="H63" s="36">
        <v>19.932297670000001</v>
      </c>
      <c r="I63" s="44">
        <v>19.772575440000001</v>
      </c>
      <c r="J63" s="45">
        <v>21.288194440000002</v>
      </c>
      <c r="K63" s="30">
        <v>21.053825440000001</v>
      </c>
      <c r="L63" s="36">
        <v>19.506944440000002</v>
      </c>
      <c r="M63" s="44">
        <v>20.909722219999999</v>
      </c>
      <c r="N63" s="45">
        <v>21.288194440000002</v>
      </c>
      <c r="O63" s="30">
        <v>21.394103219999998</v>
      </c>
      <c r="P63" s="30">
        <v>20.847222219999999</v>
      </c>
      <c r="Q63" s="36">
        <v>19.315972219999999</v>
      </c>
      <c r="R63" s="29">
        <v>22.296880999999999</v>
      </c>
      <c r="S63" s="30">
        <v>21.25</v>
      </c>
      <c r="T63" s="36">
        <v>19.875</v>
      </c>
      <c r="U63" s="29">
        <v>22.13715878</v>
      </c>
      <c r="V63" s="36">
        <v>21.29340878</v>
      </c>
      <c r="W63" s="37">
        <v>21.602436559999997</v>
      </c>
      <c r="X63" s="37">
        <v>23.442714329999998</v>
      </c>
      <c r="Y63" s="37">
        <v>26.61111111</v>
      </c>
      <c r="Z63" s="41"/>
      <c r="AA63" s="42"/>
      <c r="AB63" s="43"/>
      <c r="AC63" s="31">
        <v>21.275496262105264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B3" sqref="B3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2015-11-13T15:48:22Z</dcterms:modified>
</cp:coreProperties>
</file>