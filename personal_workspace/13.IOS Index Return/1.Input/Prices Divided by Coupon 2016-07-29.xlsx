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BA142" i="1" l="1"/>
  <c r="AZ142" i="1"/>
  <c r="AY142" i="1"/>
  <c r="AV142" i="1"/>
  <c r="AS142" i="1"/>
  <c r="AR142" i="1"/>
  <c r="AQ142" i="1"/>
  <c r="AN142" i="1"/>
  <c r="AK142" i="1"/>
  <c r="AJ142" i="1"/>
  <c r="AI142" i="1"/>
  <c r="BC72" i="1"/>
  <c r="AE72" i="1"/>
  <c r="Y72" i="1"/>
  <c r="BB142" i="1" s="1"/>
  <c r="X72" i="1"/>
  <c r="W72" i="1"/>
  <c r="V72" i="1"/>
  <c r="U72" i="1"/>
  <c r="AX142" i="1" s="1"/>
  <c r="T72" i="1"/>
  <c r="AW142" i="1" s="1"/>
  <c r="S72" i="1"/>
  <c r="R72" i="1"/>
  <c r="AU142" i="1" s="1"/>
  <c r="Q72" i="1"/>
  <c r="AT142" i="1" s="1"/>
  <c r="P72" i="1"/>
  <c r="O72" i="1"/>
  <c r="N72" i="1"/>
  <c r="M72" i="1"/>
  <c r="AP142" i="1" s="1"/>
  <c r="L72" i="1"/>
  <c r="AO142" i="1" s="1"/>
  <c r="K72" i="1"/>
  <c r="J72" i="1"/>
  <c r="AM142" i="1" s="1"/>
  <c r="I72" i="1"/>
  <c r="AL142" i="1" s="1"/>
  <c r="H72" i="1"/>
  <c r="G72" i="1"/>
  <c r="BC142" i="1" l="1"/>
  <c r="AL141" i="1" l="1"/>
  <c r="AI141" i="1"/>
  <c r="BC71" i="1"/>
  <c r="AE71" i="1"/>
  <c r="Y71" i="1"/>
  <c r="BB141" i="1" s="1"/>
  <c r="X71" i="1"/>
  <c r="BA141" i="1" s="1"/>
  <c r="W71" i="1"/>
  <c r="AZ141" i="1" s="1"/>
  <c r="V71" i="1"/>
  <c r="AY141" i="1" s="1"/>
  <c r="U71" i="1"/>
  <c r="AX141" i="1" s="1"/>
  <c r="T71" i="1"/>
  <c r="AW141" i="1" s="1"/>
  <c r="S71" i="1"/>
  <c r="AV141" i="1" s="1"/>
  <c r="R71" i="1"/>
  <c r="AU141" i="1" s="1"/>
  <c r="Q71" i="1"/>
  <c r="AT141" i="1" s="1"/>
  <c r="P71" i="1"/>
  <c r="AS141" i="1" s="1"/>
  <c r="O71" i="1"/>
  <c r="AR141" i="1" s="1"/>
  <c r="N71" i="1"/>
  <c r="AQ141" i="1" s="1"/>
  <c r="M71" i="1"/>
  <c r="AP141" i="1" s="1"/>
  <c r="L71" i="1"/>
  <c r="AO141" i="1" s="1"/>
  <c r="K71" i="1"/>
  <c r="AN141" i="1" s="1"/>
  <c r="J71" i="1"/>
  <c r="AM141" i="1" s="1"/>
  <c r="I71" i="1"/>
  <c r="H71" i="1"/>
  <c r="AK141" i="1" s="1"/>
  <c r="G71" i="1"/>
  <c r="AJ141" i="1" s="1"/>
  <c r="BC141" i="1" l="1"/>
  <c r="AI140" i="1"/>
  <c r="BC70" i="1"/>
  <c r="AE70" i="1"/>
  <c r="Y70" i="1"/>
  <c r="BB140" i="1" s="1"/>
  <c r="X70" i="1"/>
  <c r="BA140" i="1" s="1"/>
  <c r="W70" i="1"/>
  <c r="AZ140" i="1" s="1"/>
  <c r="V70" i="1"/>
  <c r="AY140" i="1" s="1"/>
  <c r="U70" i="1"/>
  <c r="AX140" i="1" s="1"/>
  <c r="T70" i="1"/>
  <c r="AW140" i="1" s="1"/>
  <c r="S70" i="1"/>
  <c r="AV140" i="1" s="1"/>
  <c r="R70" i="1"/>
  <c r="AU140" i="1" s="1"/>
  <c r="Q70" i="1"/>
  <c r="AT140" i="1" s="1"/>
  <c r="P70" i="1"/>
  <c r="AS140" i="1" s="1"/>
  <c r="O70" i="1"/>
  <c r="AR140" i="1" s="1"/>
  <c r="N70" i="1"/>
  <c r="AQ140" i="1" s="1"/>
  <c r="M70" i="1"/>
  <c r="AP140" i="1" s="1"/>
  <c r="L70" i="1"/>
  <c r="AO140" i="1" s="1"/>
  <c r="K70" i="1"/>
  <c r="AN140" i="1" s="1"/>
  <c r="J70" i="1"/>
  <c r="AM140" i="1" s="1"/>
  <c r="I70" i="1"/>
  <c r="AL140" i="1" s="1"/>
  <c r="H70" i="1"/>
  <c r="AK140" i="1" s="1"/>
  <c r="G70" i="1"/>
  <c r="AJ140" i="1" s="1"/>
  <c r="AI139" i="1"/>
  <c r="BC69" i="1"/>
  <c r="AE69" i="1"/>
  <c r="Y69" i="1"/>
  <c r="BB139" i="1" s="1"/>
  <c r="X69" i="1"/>
  <c r="BA139" i="1" s="1"/>
  <c r="W69" i="1"/>
  <c r="AZ139" i="1" s="1"/>
  <c r="V69" i="1"/>
  <c r="AY139" i="1" s="1"/>
  <c r="U69" i="1"/>
  <c r="AX139" i="1" s="1"/>
  <c r="T69" i="1"/>
  <c r="AW139" i="1"/>
  <c r="S69" i="1"/>
  <c r="AV139" i="1" s="1"/>
  <c r="R69" i="1"/>
  <c r="AU139" i="1"/>
  <c r="Q69" i="1"/>
  <c r="AT139" i="1" s="1"/>
  <c r="P69" i="1"/>
  <c r="AS139" i="1" s="1"/>
  <c r="O69" i="1"/>
  <c r="AR139" i="1" s="1"/>
  <c r="N69" i="1"/>
  <c r="AQ139" i="1" s="1"/>
  <c r="M69" i="1"/>
  <c r="AP139" i="1" s="1"/>
  <c r="L69" i="1"/>
  <c r="AO139" i="1"/>
  <c r="K69" i="1"/>
  <c r="AN139" i="1" s="1"/>
  <c r="J69" i="1"/>
  <c r="AM139" i="1" s="1"/>
  <c r="I69" i="1"/>
  <c r="AL139" i="1" s="1"/>
  <c r="H69" i="1"/>
  <c r="AK139" i="1" s="1"/>
  <c r="G69" i="1"/>
  <c r="AJ139" i="1" s="1"/>
  <c r="AI138" i="1"/>
  <c r="BC68" i="1"/>
  <c r="AE68" i="1"/>
  <c r="Y68" i="1"/>
  <c r="BB138" i="1" s="1"/>
  <c r="X68" i="1"/>
  <c r="BA138" i="1" s="1"/>
  <c r="W68" i="1"/>
  <c r="AZ138" i="1" s="1"/>
  <c r="V68" i="1"/>
  <c r="AY138" i="1" s="1"/>
  <c r="U68" i="1"/>
  <c r="AX138" i="1" s="1"/>
  <c r="T68" i="1"/>
  <c r="AW138" i="1" s="1"/>
  <c r="S68" i="1"/>
  <c r="AV138" i="1"/>
  <c r="R68" i="1"/>
  <c r="AU138" i="1" s="1"/>
  <c r="Q68" i="1"/>
  <c r="AT138" i="1" s="1"/>
  <c r="P68" i="1"/>
  <c r="AS138" i="1" s="1"/>
  <c r="O68" i="1"/>
  <c r="AR138" i="1" s="1"/>
  <c r="N68" i="1"/>
  <c r="AQ138" i="1" s="1"/>
  <c r="M68" i="1"/>
  <c r="AP138" i="1" s="1"/>
  <c r="L68" i="1"/>
  <c r="AO138" i="1" s="1"/>
  <c r="K68" i="1"/>
  <c r="AN138" i="1" s="1"/>
  <c r="J68" i="1"/>
  <c r="AM138" i="1" s="1"/>
  <c r="I68" i="1"/>
  <c r="AL138" i="1" s="1"/>
  <c r="H68" i="1"/>
  <c r="AK138" i="1" s="1"/>
  <c r="G68" i="1"/>
  <c r="AJ138" i="1" s="1"/>
  <c r="AI137" i="1"/>
  <c r="BC67" i="1"/>
  <c r="AE67" i="1"/>
  <c r="Y67" i="1"/>
  <c r="BB137" i="1" s="1"/>
  <c r="X67" i="1"/>
  <c r="BA137" i="1" s="1"/>
  <c r="W67" i="1"/>
  <c r="AZ137" i="1" s="1"/>
  <c r="V67" i="1"/>
  <c r="AY137" i="1" s="1"/>
  <c r="U67" i="1"/>
  <c r="AX137" i="1" s="1"/>
  <c r="T67" i="1"/>
  <c r="AW137" i="1" s="1"/>
  <c r="S67" i="1"/>
  <c r="AV137" i="1"/>
  <c r="R67" i="1"/>
  <c r="AU137" i="1" s="1"/>
  <c r="Q67" i="1"/>
  <c r="AT137" i="1" s="1"/>
  <c r="P67" i="1"/>
  <c r="AS137" i="1"/>
  <c r="O67" i="1"/>
  <c r="AR137" i="1"/>
  <c r="N67" i="1"/>
  <c r="AQ137" i="1" s="1"/>
  <c r="M67" i="1"/>
  <c r="AP137" i="1" s="1"/>
  <c r="L67" i="1"/>
  <c r="AO137" i="1" s="1"/>
  <c r="K67" i="1"/>
  <c r="AN137" i="1" s="1"/>
  <c r="J67" i="1"/>
  <c r="AM137" i="1" s="1"/>
  <c r="I67" i="1"/>
  <c r="AL137" i="1" s="1"/>
  <c r="H67" i="1"/>
  <c r="AK137" i="1" s="1"/>
  <c r="G67" i="1"/>
  <c r="AJ137" i="1" s="1"/>
  <c r="AI136" i="1"/>
  <c r="BC66" i="1"/>
  <c r="AE66" i="1"/>
  <c r="Y66" i="1"/>
  <c r="BB136" i="1" s="1"/>
  <c r="X66" i="1"/>
  <c r="BA136" i="1" s="1"/>
  <c r="W66" i="1"/>
  <c r="AZ136" i="1" s="1"/>
  <c r="V66" i="1"/>
  <c r="AY136" i="1" s="1"/>
  <c r="U66" i="1"/>
  <c r="AX136" i="1" s="1"/>
  <c r="T66" i="1"/>
  <c r="AW136" i="1" s="1"/>
  <c r="S66" i="1"/>
  <c r="AV136" i="1" s="1"/>
  <c r="R66" i="1"/>
  <c r="AU136" i="1" s="1"/>
  <c r="Q66" i="1"/>
  <c r="AT136" i="1" s="1"/>
  <c r="P66" i="1"/>
  <c r="AS136" i="1" s="1"/>
  <c r="O66" i="1"/>
  <c r="AR136" i="1" s="1"/>
  <c r="N66" i="1"/>
  <c r="AQ136" i="1" s="1"/>
  <c r="M66" i="1"/>
  <c r="AP136" i="1"/>
  <c r="L66" i="1"/>
  <c r="AO136" i="1" s="1"/>
  <c r="K66" i="1"/>
  <c r="AN136" i="1" s="1"/>
  <c r="J66" i="1"/>
  <c r="AM136" i="1" s="1"/>
  <c r="I66" i="1"/>
  <c r="AL136" i="1" s="1"/>
  <c r="H66" i="1"/>
  <c r="AK136" i="1" s="1"/>
  <c r="G66" i="1"/>
  <c r="AJ136" i="1" s="1"/>
  <c r="AI13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BC65" i="1"/>
  <c r="AE65" i="1"/>
  <c r="Y65" i="1"/>
  <c r="BB135" i="1" s="1"/>
  <c r="X65" i="1"/>
  <c r="BA135" i="1" s="1"/>
  <c r="W65" i="1"/>
  <c r="AZ135" i="1" s="1"/>
  <c r="V65" i="1"/>
  <c r="AY135" i="1" s="1"/>
  <c r="U65" i="1"/>
  <c r="AX135" i="1"/>
  <c r="T65" i="1"/>
  <c r="AW135" i="1" s="1"/>
  <c r="S65" i="1"/>
  <c r="AV135" i="1" s="1"/>
  <c r="R65" i="1"/>
  <c r="AU135" i="1" s="1"/>
  <c r="Q65" i="1"/>
  <c r="AT135" i="1" s="1"/>
  <c r="P65" i="1"/>
  <c r="AS135" i="1" s="1"/>
  <c r="O65" i="1"/>
  <c r="AR135" i="1" s="1"/>
  <c r="N65" i="1"/>
  <c r="AQ135" i="1" s="1"/>
  <c r="M65" i="1"/>
  <c r="AP135" i="1" s="1"/>
  <c r="L65" i="1"/>
  <c r="AO135" i="1" s="1"/>
  <c r="K65" i="1"/>
  <c r="AN135" i="1" s="1"/>
  <c r="J65" i="1"/>
  <c r="AM135" i="1" s="1"/>
  <c r="I65" i="1"/>
  <c r="AL135" i="1" s="1"/>
  <c r="H65" i="1"/>
  <c r="AK135" i="1" s="1"/>
  <c r="G65" i="1"/>
  <c r="AJ135" i="1" s="1"/>
  <c r="AI134" i="1"/>
  <c r="H64" i="1"/>
  <c r="AK134" i="1" s="1"/>
  <c r="I64" i="1"/>
  <c r="AL134" i="1" s="1"/>
  <c r="J64" i="1"/>
  <c r="AM134" i="1" s="1"/>
  <c r="P64" i="1"/>
  <c r="AS134" i="1" s="1"/>
  <c r="Q64" i="1"/>
  <c r="AT134" i="1" s="1"/>
  <c r="R64" i="1"/>
  <c r="AU134" i="1" s="1"/>
  <c r="X64" i="1"/>
  <c r="BA134" i="1"/>
  <c r="Y64" i="1"/>
  <c r="BB134" i="1" s="1"/>
  <c r="BC64" i="1"/>
  <c r="AE64" i="1"/>
  <c r="W64" i="1"/>
  <c r="AZ134" i="1" s="1"/>
  <c r="V64" i="1"/>
  <c r="AY134" i="1" s="1"/>
  <c r="U64" i="1"/>
  <c r="AX134" i="1" s="1"/>
  <c r="T64" i="1"/>
  <c r="AW134" i="1"/>
  <c r="S64" i="1"/>
  <c r="AV134" i="1" s="1"/>
  <c r="O64" i="1"/>
  <c r="AR134" i="1" s="1"/>
  <c r="N64" i="1"/>
  <c r="AQ134" i="1" s="1"/>
  <c r="M64" i="1"/>
  <c r="AP134" i="1" s="1"/>
  <c r="L64" i="1"/>
  <c r="AO134" i="1" s="1"/>
  <c r="K64" i="1"/>
  <c r="AN134" i="1"/>
  <c r="G64" i="1"/>
  <c r="AJ134" i="1" s="1"/>
  <c r="AI133" i="1"/>
  <c r="BC63" i="1"/>
  <c r="G63" i="1"/>
  <c r="AJ133" i="1" s="1"/>
  <c r="H63" i="1"/>
  <c r="AK133" i="1" s="1"/>
  <c r="I63" i="1"/>
  <c r="AL133" i="1" s="1"/>
  <c r="J63" i="1"/>
  <c r="AM133" i="1" s="1"/>
  <c r="K63" i="1"/>
  <c r="AN133" i="1" s="1"/>
  <c r="L63" i="1"/>
  <c r="AO133" i="1" s="1"/>
  <c r="M63" i="1"/>
  <c r="AP133" i="1" s="1"/>
  <c r="N63" i="1"/>
  <c r="AQ133" i="1" s="1"/>
  <c r="O63" i="1"/>
  <c r="AR133" i="1" s="1"/>
  <c r="P63" i="1"/>
  <c r="AS133" i="1" s="1"/>
  <c r="Q63" i="1"/>
  <c r="AT133" i="1" s="1"/>
  <c r="R63" i="1"/>
  <c r="AU133" i="1"/>
  <c r="S63" i="1"/>
  <c r="AV133" i="1" s="1"/>
  <c r="T63" i="1"/>
  <c r="AW133" i="1" s="1"/>
  <c r="U63" i="1"/>
  <c r="AX133" i="1" s="1"/>
  <c r="V63" i="1"/>
  <c r="AY133" i="1"/>
  <c r="W63" i="1"/>
  <c r="AZ133" i="1" s="1"/>
  <c r="X63" i="1"/>
  <c r="BA133" i="1" s="1"/>
  <c r="Y63" i="1"/>
  <c r="BB133" i="1" s="1"/>
  <c r="AE63" i="1"/>
  <c r="AI132" i="1"/>
  <c r="BC62" i="1"/>
  <c r="AE62" i="1"/>
  <c r="AF62" i="1" s="1"/>
  <c r="Y62" i="1"/>
  <c r="BB132" i="1" s="1"/>
  <c r="X62" i="1"/>
  <c r="BA132" i="1" s="1"/>
  <c r="W62" i="1"/>
  <c r="AZ132" i="1" s="1"/>
  <c r="V62" i="1"/>
  <c r="AY132" i="1" s="1"/>
  <c r="U62" i="1"/>
  <c r="AX132" i="1" s="1"/>
  <c r="T62" i="1"/>
  <c r="AW132" i="1" s="1"/>
  <c r="S62" i="1"/>
  <c r="AV132" i="1" s="1"/>
  <c r="R62" i="1"/>
  <c r="AU132" i="1" s="1"/>
  <c r="Q62" i="1"/>
  <c r="AT132" i="1" s="1"/>
  <c r="P62" i="1"/>
  <c r="AS132" i="1" s="1"/>
  <c r="O62" i="1"/>
  <c r="AR132" i="1" s="1"/>
  <c r="N62" i="1"/>
  <c r="AQ132" i="1" s="1"/>
  <c r="M62" i="1"/>
  <c r="AP132" i="1" s="1"/>
  <c r="L62" i="1"/>
  <c r="AO132" i="1" s="1"/>
  <c r="K62" i="1"/>
  <c r="AN132" i="1" s="1"/>
  <c r="J62" i="1"/>
  <c r="AM132" i="1" s="1"/>
  <c r="I62" i="1"/>
  <c r="AL132" i="1" s="1"/>
  <c r="H62" i="1"/>
  <c r="AK132" i="1" s="1"/>
  <c r="G62" i="1"/>
  <c r="AJ132" i="1" s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F60" i="1" s="1"/>
  <c r="AE59" i="1"/>
  <c r="AF59" i="1" s="1"/>
  <c r="AE58" i="1"/>
  <c r="AF58" i="1" s="1"/>
  <c r="AE57" i="1"/>
  <c r="AF57" i="1"/>
  <c r="AE56" i="1"/>
  <c r="AF56" i="1" s="1"/>
  <c r="AE55" i="1"/>
  <c r="AF55" i="1" s="1"/>
  <c r="AE54" i="1"/>
  <c r="AF54" i="1" s="1"/>
  <c r="AE53" i="1"/>
  <c r="AF53" i="1" s="1"/>
  <c r="AE52" i="1"/>
  <c r="AF52" i="1"/>
  <c r="AE51" i="1"/>
  <c r="AF51" i="1" s="1"/>
  <c r="AE50" i="1"/>
  <c r="AF50" i="1"/>
  <c r="AE49" i="1"/>
  <c r="AF49" i="1" s="1"/>
  <c r="AE48" i="1"/>
  <c r="AF48" i="1" s="1"/>
  <c r="AE47" i="1"/>
  <c r="AF47" i="1" s="1"/>
  <c r="AE46" i="1"/>
  <c r="AF46" i="1" s="1"/>
  <c r="AE45" i="1"/>
  <c r="AF45" i="1" s="1"/>
  <c r="AE44" i="1"/>
  <c r="AF44" i="1" s="1"/>
  <c r="AE43" i="1"/>
  <c r="AF43" i="1" s="1"/>
  <c r="AE42" i="1"/>
  <c r="AF42" i="1" s="1"/>
  <c r="AE41" i="1"/>
  <c r="AF41" i="1" s="1"/>
  <c r="AE40" i="1"/>
  <c r="AF40" i="1" s="1"/>
  <c r="AE39" i="1"/>
  <c r="AF39" i="1"/>
  <c r="AE38" i="1"/>
  <c r="AF38" i="1" s="1"/>
  <c r="AE37" i="1"/>
  <c r="AF37" i="1"/>
  <c r="AE36" i="1"/>
  <c r="AF36" i="1" s="1"/>
  <c r="AE35" i="1"/>
  <c r="AF35" i="1" s="1"/>
  <c r="AE34" i="1"/>
  <c r="AF34" i="1" s="1"/>
  <c r="AE33" i="1"/>
  <c r="AF33" i="1" s="1"/>
  <c r="AE32" i="1"/>
  <c r="AF32" i="1" s="1"/>
  <c r="AE31" i="1"/>
  <c r="AF31" i="1" s="1"/>
  <c r="AE30" i="1"/>
  <c r="AF30" i="1" s="1"/>
  <c r="AE29" i="1"/>
  <c r="AF29" i="1" s="1"/>
  <c r="AE28" i="1"/>
  <c r="AF28" i="1" s="1"/>
  <c r="AE27" i="1"/>
  <c r="AF27" i="1"/>
  <c r="AE26" i="1"/>
  <c r="AF26" i="1" s="1"/>
  <c r="AE25" i="1"/>
  <c r="AF25" i="1" s="1"/>
  <c r="AE24" i="1"/>
  <c r="AF24" i="1" s="1"/>
  <c r="AE23" i="1"/>
  <c r="AF23" i="1" s="1"/>
  <c r="AE22" i="1"/>
  <c r="AF22" i="1" s="1"/>
  <c r="AE21" i="1"/>
  <c r="AF21" i="1" s="1"/>
  <c r="AE20" i="1"/>
  <c r="AF20" i="1" s="1"/>
  <c r="AE19" i="1"/>
  <c r="AF19" i="1" s="1"/>
  <c r="AE18" i="1"/>
  <c r="AF18" i="1" s="1"/>
  <c r="AE17" i="1"/>
  <c r="AF17" i="1" s="1"/>
  <c r="AE16" i="1"/>
  <c r="AF16" i="1"/>
  <c r="AE15" i="1"/>
  <c r="AF15" i="1" s="1"/>
  <c r="AE14" i="1"/>
  <c r="AF1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BC61" i="1"/>
  <c r="Y61" i="1"/>
  <c r="BB131" i="1" s="1"/>
  <c r="X61" i="1"/>
  <c r="BA131" i="1" s="1"/>
  <c r="W61" i="1"/>
  <c r="AZ131" i="1" s="1"/>
  <c r="V61" i="1"/>
  <c r="AY131" i="1" s="1"/>
  <c r="U61" i="1"/>
  <c r="AX131" i="1"/>
  <c r="T61" i="1"/>
  <c r="AW131" i="1" s="1"/>
  <c r="S61" i="1"/>
  <c r="AV131" i="1" s="1"/>
  <c r="R61" i="1"/>
  <c r="AU131" i="1" s="1"/>
  <c r="Q61" i="1"/>
  <c r="AT131" i="1" s="1"/>
  <c r="P61" i="1"/>
  <c r="AS131" i="1" s="1"/>
  <c r="O61" i="1"/>
  <c r="AR131" i="1" s="1"/>
  <c r="N61" i="1"/>
  <c r="AQ131" i="1" s="1"/>
  <c r="M61" i="1"/>
  <c r="AP131" i="1" s="1"/>
  <c r="L61" i="1"/>
  <c r="AO131" i="1" s="1"/>
  <c r="K61" i="1"/>
  <c r="AN131" i="1" s="1"/>
  <c r="J61" i="1"/>
  <c r="AM131" i="1" s="1"/>
  <c r="I61" i="1"/>
  <c r="AL131" i="1" s="1"/>
  <c r="H61" i="1"/>
  <c r="AK131" i="1" s="1"/>
  <c r="G61" i="1"/>
  <c r="AJ131" i="1" s="1"/>
  <c r="BC60" i="1"/>
  <c r="G60" i="1"/>
  <c r="AJ130" i="1" s="1"/>
  <c r="H60" i="1"/>
  <c r="AK130" i="1" s="1"/>
  <c r="I60" i="1"/>
  <c r="AL130" i="1" s="1"/>
  <c r="J60" i="1"/>
  <c r="AM130" i="1" s="1"/>
  <c r="K60" i="1"/>
  <c r="AN130" i="1" s="1"/>
  <c r="L60" i="1"/>
  <c r="AO130" i="1" s="1"/>
  <c r="M60" i="1"/>
  <c r="AP130" i="1"/>
  <c r="N60" i="1"/>
  <c r="AQ130" i="1" s="1"/>
  <c r="O60" i="1"/>
  <c r="AR130" i="1" s="1"/>
  <c r="P60" i="1"/>
  <c r="AS130" i="1" s="1"/>
  <c r="Q60" i="1"/>
  <c r="AT130" i="1" s="1"/>
  <c r="R60" i="1"/>
  <c r="AU130" i="1" s="1"/>
  <c r="S60" i="1"/>
  <c r="AV130" i="1" s="1"/>
  <c r="T60" i="1"/>
  <c r="AW130" i="1" s="1"/>
  <c r="U60" i="1"/>
  <c r="AX130" i="1" s="1"/>
  <c r="V60" i="1"/>
  <c r="AY130" i="1" s="1"/>
  <c r="W60" i="1"/>
  <c r="AZ130" i="1" s="1"/>
  <c r="X60" i="1"/>
  <c r="BA130" i="1" s="1"/>
  <c r="Y60" i="1"/>
  <c r="BB130" i="1"/>
  <c r="BC59" i="1"/>
  <c r="G59" i="1"/>
  <c r="AJ129" i="1" s="1"/>
  <c r="H59" i="1"/>
  <c r="AK129" i="1" s="1"/>
  <c r="I59" i="1"/>
  <c r="AL129" i="1" s="1"/>
  <c r="J59" i="1"/>
  <c r="AM129" i="1" s="1"/>
  <c r="K59" i="1"/>
  <c r="AN129" i="1" s="1"/>
  <c r="L59" i="1"/>
  <c r="AO129" i="1" s="1"/>
  <c r="M59" i="1"/>
  <c r="AP129" i="1" s="1"/>
  <c r="N59" i="1"/>
  <c r="AQ129" i="1" s="1"/>
  <c r="O59" i="1"/>
  <c r="AR129" i="1" s="1"/>
  <c r="P59" i="1"/>
  <c r="AS129" i="1" s="1"/>
  <c r="Q59" i="1"/>
  <c r="AT129" i="1" s="1"/>
  <c r="R59" i="1"/>
  <c r="AU129" i="1" s="1"/>
  <c r="S59" i="1"/>
  <c r="AV129" i="1" s="1"/>
  <c r="T59" i="1"/>
  <c r="AW129" i="1"/>
  <c r="U59" i="1"/>
  <c r="AX129" i="1" s="1"/>
  <c r="V59" i="1"/>
  <c r="AY129" i="1" s="1"/>
  <c r="W59" i="1"/>
  <c r="AZ129" i="1" s="1"/>
  <c r="X59" i="1"/>
  <c r="BA129" i="1" s="1"/>
  <c r="Y59" i="1"/>
  <c r="BB129" i="1" s="1"/>
  <c r="BC58" i="1"/>
  <c r="Y58" i="1"/>
  <c r="BB128" i="1" s="1"/>
  <c r="X58" i="1"/>
  <c r="BA128" i="1" s="1"/>
  <c r="W58" i="1"/>
  <c r="AZ128" i="1" s="1"/>
  <c r="V58" i="1"/>
  <c r="AY128" i="1" s="1"/>
  <c r="U58" i="1"/>
  <c r="AX128" i="1" s="1"/>
  <c r="T58" i="1"/>
  <c r="AW128" i="1" s="1"/>
  <c r="S58" i="1"/>
  <c r="AV128" i="1"/>
  <c r="R58" i="1"/>
  <c r="AU128" i="1" s="1"/>
  <c r="Q58" i="1"/>
  <c r="AT128" i="1" s="1"/>
  <c r="P58" i="1"/>
  <c r="AS128" i="1" s="1"/>
  <c r="O58" i="1"/>
  <c r="AR128" i="1"/>
  <c r="N58" i="1"/>
  <c r="AQ128" i="1" s="1"/>
  <c r="M58" i="1"/>
  <c r="AP128" i="1" s="1"/>
  <c r="L58" i="1"/>
  <c r="AO128" i="1" s="1"/>
  <c r="K58" i="1"/>
  <c r="AN128" i="1" s="1"/>
  <c r="J58" i="1"/>
  <c r="AM128" i="1" s="1"/>
  <c r="I58" i="1"/>
  <c r="AL128" i="1" s="1"/>
  <c r="H58" i="1"/>
  <c r="AK128" i="1" s="1"/>
  <c r="G58" i="1"/>
  <c r="AJ128" i="1" s="1"/>
  <c r="G9" i="1"/>
  <c r="AJ79" i="1" s="1"/>
  <c r="H9" i="1"/>
  <c r="AK79" i="1" s="1"/>
  <c r="I9" i="1"/>
  <c r="AL79" i="1" s="1"/>
  <c r="J9" i="1"/>
  <c r="AM79" i="1" s="1"/>
  <c r="K9" i="1"/>
  <c r="AN79" i="1" s="1"/>
  <c r="L9" i="1"/>
  <c r="AO79" i="1" s="1"/>
  <c r="M9" i="1"/>
  <c r="AP79" i="1" s="1"/>
  <c r="N9" i="1"/>
  <c r="AQ79" i="1" s="1"/>
  <c r="O9" i="1"/>
  <c r="AR79" i="1"/>
  <c r="P9" i="1"/>
  <c r="AS79" i="1" s="1"/>
  <c r="Q9" i="1"/>
  <c r="AT79" i="1" s="1"/>
  <c r="R9" i="1"/>
  <c r="AU79" i="1" s="1"/>
  <c r="S9" i="1"/>
  <c r="AV79" i="1" s="1"/>
  <c r="T9" i="1"/>
  <c r="AW79" i="1" s="1"/>
  <c r="U9" i="1"/>
  <c r="AX79" i="1" s="1"/>
  <c r="V9" i="1"/>
  <c r="AY79" i="1" s="1"/>
  <c r="W9" i="1"/>
  <c r="AZ79" i="1"/>
  <c r="X9" i="1"/>
  <c r="BA79" i="1" s="1"/>
  <c r="Y9" i="1"/>
  <c r="BB79" i="1" s="1"/>
  <c r="G10" i="1"/>
  <c r="AJ80" i="1" s="1"/>
  <c r="H10" i="1"/>
  <c r="AK80" i="1"/>
  <c r="I10" i="1"/>
  <c r="AL80" i="1" s="1"/>
  <c r="J10" i="1"/>
  <c r="AM80" i="1" s="1"/>
  <c r="K10" i="1"/>
  <c r="AN80" i="1" s="1"/>
  <c r="L10" i="1"/>
  <c r="AO80" i="1" s="1"/>
  <c r="M10" i="1"/>
  <c r="AP80" i="1" s="1"/>
  <c r="N10" i="1"/>
  <c r="AQ80" i="1" s="1"/>
  <c r="O10" i="1"/>
  <c r="AR80" i="1" s="1"/>
  <c r="P10" i="1"/>
  <c r="AS80" i="1" s="1"/>
  <c r="Q10" i="1"/>
  <c r="AT80" i="1"/>
  <c r="R10" i="1"/>
  <c r="AU80" i="1" s="1"/>
  <c r="S10" i="1"/>
  <c r="AV80" i="1" s="1"/>
  <c r="T10" i="1"/>
  <c r="AW80" i="1" s="1"/>
  <c r="U10" i="1"/>
  <c r="AX80" i="1" s="1"/>
  <c r="V10" i="1"/>
  <c r="AY80" i="1" s="1"/>
  <c r="W10" i="1"/>
  <c r="AZ80" i="1"/>
  <c r="X10" i="1"/>
  <c r="BA80" i="1" s="1"/>
  <c r="Y10" i="1"/>
  <c r="BB80" i="1" s="1"/>
  <c r="G11" i="1"/>
  <c r="AJ81" i="1" s="1"/>
  <c r="H11" i="1"/>
  <c r="AK81" i="1" s="1"/>
  <c r="I11" i="1"/>
  <c r="AL81" i="1" s="1"/>
  <c r="J11" i="1"/>
  <c r="AM81" i="1" s="1"/>
  <c r="K11" i="1"/>
  <c r="AN81" i="1" s="1"/>
  <c r="L11" i="1"/>
  <c r="AO81" i="1" s="1"/>
  <c r="M11" i="1"/>
  <c r="AP81" i="1" s="1"/>
  <c r="N11" i="1"/>
  <c r="AQ81" i="1" s="1"/>
  <c r="O11" i="1"/>
  <c r="AR81" i="1" s="1"/>
  <c r="P11" i="1"/>
  <c r="AS81" i="1" s="1"/>
  <c r="Q11" i="1"/>
  <c r="AT81" i="1"/>
  <c r="R11" i="1"/>
  <c r="AU81" i="1" s="1"/>
  <c r="S11" i="1"/>
  <c r="AV81" i="1" s="1"/>
  <c r="T11" i="1"/>
  <c r="AW81" i="1" s="1"/>
  <c r="U11" i="1"/>
  <c r="AX81" i="1" s="1"/>
  <c r="V11" i="1"/>
  <c r="AY81" i="1"/>
  <c r="W11" i="1"/>
  <c r="AZ81" i="1" s="1"/>
  <c r="X11" i="1"/>
  <c r="BA81" i="1" s="1"/>
  <c r="Y11" i="1"/>
  <c r="BB81" i="1"/>
  <c r="G12" i="1"/>
  <c r="AJ82" i="1" s="1"/>
  <c r="H12" i="1"/>
  <c r="AK82" i="1" s="1"/>
  <c r="I12" i="1"/>
  <c r="AL82" i="1" s="1"/>
  <c r="J12" i="1"/>
  <c r="AM82" i="1"/>
  <c r="K12" i="1"/>
  <c r="AN82" i="1" s="1"/>
  <c r="L12" i="1"/>
  <c r="AO82" i="1" s="1"/>
  <c r="M12" i="1"/>
  <c r="AP82" i="1" s="1"/>
  <c r="N12" i="1"/>
  <c r="AQ82" i="1" s="1"/>
  <c r="O12" i="1"/>
  <c r="AR82" i="1" s="1"/>
  <c r="P12" i="1"/>
  <c r="AS82" i="1" s="1"/>
  <c r="Q12" i="1"/>
  <c r="AT82" i="1" s="1"/>
  <c r="R12" i="1"/>
  <c r="AU82" i="1" s="1"/>
  <c r="S12" i="1"/>
  <c r="AV82" i="1" s="1"/>
  <c r="T12" i="1"/>
  <c r="AW82" i="1" s="1"/>
  <c r="U12" i="1"/>
  <c r="AX82" i="1" s="1"/>
  <c r="V12" i="1"/>
  <c r="AY82" i="1" s="1"/>
  <c r="W12" i="1"/>
  <c r="AZ82" i="1" s="1"/>
  <c r="X12" i="1"/>
  <c r="BA82" i="1" s="1"/>
  <c r="Y12" i="1"/>
  <c r="BB82" i="1"/>
  <c r="G13" i="1"/>
  <c r="AJ83" i="1"/>
  <c r="H13" i="1"/>
  <c r="AK83" i="1" s="1"/>
  <c r="I13" i="1"/>
  <c r="AL83" i="1" s="1"/>
  <c r="J13" i="1"/>
  <c r="AM83" i="1" s="1"/>
  <c r="K13" i="1"/>
  <c r="AN83" i="1" s="1"/>
  <c r="L13" i="1"/>
  <c r="AO83" i="1"/>
  <c r="M13" i="1"/>
  <c r="AP83" i="1" s="1"/>
  <c r="N13" i="1"/>
  <c r="AQ83" i="1" s="1"/>
  <c r="O13" i="1"/>
  <c r="AR83" i="1" s="1"/>
  <c r="P13" i="1"/>
  <c r="AS83" i="1" s="1"/>
  <c r="Q13" i="1"/>
  <c r="AT83" i="1" s="1"/>
  <c r="R13" i="1"/>
  <c r="AU83" i="1" s="1"/>
  <c r="S13" i="1"/>
  <c r="AV83" i="1"/>
  <c r="T13" i="1"/>
  <c r="AW83" i="1" s="1"/>
  <c r="U13" i="1"/>
  <c r="AX83" i="1" s="1"/>
  <c r="V13" i="1"/>
  <c r="AY83" i="1" s="1"/>
  <c r="W13" i="1"/>
  <c r="AZ83" i="1" s="1"/>
  <c r="X13" i="1"/>
  <c r="BA83" i="1"/>
  <c r="Y13" i="1"/>
  <c r="BB83" i="1" s="1"/>
  <c r="G14" i="1"/>
  <c r="AJ84" i="1" s="1"/>
  <c r="H14" i="1"/>
  <c r="AK84" i="1" s="1"/>
  <c r="I14" i="1"/>
  <c r="AL84" i="1" s="1"/>
  <c r="J14" i="1"/>
  <c r="AM84" i="1" s="1"/>
  <c r="K14" i="1"/>
  <c r="AN84" i="1" s="1"/>
  <c r="L14" i="1"/>
  <c r="AO84" i="1"/>
  <c r="M14" i="1"/>
  <c r="AP84" i="1" s="1"/>
  <c r="N14" i="1"/>
  <c r="AQ84" i="1" s="1"/>
  <c r="O14" i="1"/>
  <c r="AR84" i="1" s="1"/>
  <c r="P14" i="1"/>
  <c r="AS84" i="1" s="1"/>
  <c r="Q14" i="1"/>
  <c r="AT84" i="1" s="1"/>
  <c r="R14" i="1"/>
  <c r="AU84" i="1" s="1"/>
  <c r="S14" i="1"/>
  <c r="AV84" i="1" s="1"/>
  <c r="T14" i="1"/>
  <c r="AW84" i="1"/>
  <c r="U14" i="1"/>
  <c r="AX84" i="1" s="1"/>
  <c r="V14" i="1"/>
  <c r="AY84" i="1" s="1"/>
  <c r="W14" i="1"/>
  <c r="AZ84" i="1" s="1"/>
  <c r="X14" i="1"/>
  <c r="BA84" i="1" s="1"/>
  <c r="Y14" i="1"/>
  <c r="BB84" i="1" s="1"/>
  <c r="G15" i="1"/>
  <c r="AJ85" i="1" s="1"/>
  <c r="H15" i="1"/>
  <c r="AK85" i="1"/>
  <c r="I15" i="1"/>
  <c r="AL85" i="1" s="1"/>
  <c r="J15" i="1"/>
  <c r="AM85" i="1" s="1"/>
  <c r="K15" i="1"/>
  <c r="AN85" i="1" s="1"/>
  <c r="L15" i="1"/>
  <c r="AO85" i="1"/>
  <c r="M15" i="1"/>
  <c r="AP85" i="1"/>
  <c r="N15" i="1"/>
  <c r="AQ85" i="1" s="1"/>
  <c r="O15" i="1"/>
  <c r="AR85" i="1" s="1"/>
  <c r="P15" i="1"/>
  <c r="AS85" i="1" s="1"/>
  <c r="Q15" i="1"/>
  <c r="AT85" i="1"/>
  <c r="R15" i="1"/>
  <c r="AU85" i="1" s="1"/>
  <c r="S15" i="1"/>
  <c r="AV85" i="1" s="1"/>
  <c r="T15" i="1"/>
  <c r="AW85" i="1" s="1"/>
  <c r="U15" i="1"/>
  <c r="AX85" i="1" s="1"/>
  <c r="V15" i="1"/>
  <c r="AY85" i="1" s="1"/>
  <c r="W15" i="1"/>
  <c r="AZ85" i="1" s="1"/>
  <c r="X15" i="1"/>
  <c r="BA85" i="1" s="1"/>
  <c r="Y15" i="1"/>
  <c r="BB85" i="1" s="1"/>
  <c r="G16" i="1"/>
  <c r="AJ86" i="1" s="1"/>
  <c r="H16" i="1"/>
  <c r="AK86" i="1" s="1"/>
  <c r="I16" i="1"/>
  <c r="AL86" i="1" s="1"/>
  <c r="J16" i="1"/>
  <c r="AM86" i="1"/>
  <c r="K16" i="1"/>
  <c r="AN86" i="1" s="1"/>
  <c r="L16" i="1"/>
  <c r="AO86" i="1" s="1"/>
  <c r="M16" i="1"/>
  <c r="AP86" i="1"/>
  <c r="N16" i="1"/>
  <c r="AQ86" i="1" s="1"/>
  <c r="O16" i="1"/>
  <c r="AR86" i="1" s="1"/>
  <c r="P16" i="1"/>
  <c r="AS86" i="1" s="1"/>
  <c r="Q16" i="1"/>
  <c r="AT86" i="1" s="1"/>
  <c r="R16" i="1"/>
  <c r="AU86" i="1" s="1"/>
  <c r="S16" i="1"/>
  <c r="AV86" i="1"/>
  <c r="T16" i="1"/>
  <c r="AW86" i="1" s="1"/>
  <c r="U16" i="1"/>
  <c r="AX86" i="1" s="1"/>
  <c r="V16" i="1"/>
  <c r="AY86" i="1" s="1"/>
  <c r="W16" i="1"/>
  <c r="AZ86" i="1" s="1"/>
  <c r="X16" i="1"/>
  <c r="BA86" i="1" s="1"/>
  <c r="Y16" i="1"/>
  <c r="BB86" i="1" s="1"/>
  <c r="G17" i="1"/>
  <c r="AJ87" i="1"/>
  <c r="H17" i="1"/>
  <c r="AK87" i="1" s="1"/>
  <c r="I17" i="1"/>
  <c r="AL87" i="1" s="1"/>
  <c r="J17" i="1"/>
  <c r="AM87" i="1" s="1"/>
  <c r="K17" i="1"/>
  <c r="AN87" i="1" s="1"/>
  <c r="L17" i="1"/>
  <c r="AO87" i="1"/>
  <c r="M17" i="1"/>
  <c r="AP87" i="1" s="1"/>
  <c r="N17" i="1"/>
  <c r="AQ87" i="1" s="1"/>
  <c r="O17" i="1"/>
  <c r="AR87" i="1" s="1"/>
  <c r="P17" i="1"/>
  <c r="AS87" i="1" s="1"/>
  <c r="Q17" i="1"/>
  <c r="AT87" i="1" s="1"/>
  <c r="R17" i="1"/>
  <c r="AU87" i="1" s="1"/>
  <c r="S17" i="1"/>
  <c r="AV87" i="1"/>
  <c r="T17" i="1"/>
  <c r="AW87" i="1" s="1"/>
  <c r="U17" i="1"/>
  <c r="AX87" i="1" s="1"/>
  <c r="V17" i="1"/>
  <c r="AY87" i="1" s="1"/>
  <c r="W17" i="1"/>
  <c r="AZ87" i="1" s="1"/>
  <c r="X17" i="1"/>
  <c r="BA87" i="1" s="1"/>
  <c r="Y17" i="1"/>
  <c r="BB87" i="1" s="1"/>
  <c r="G18" i="1"/>
  <c r="AJ88" i="1"/>
  <c r="H18" i="1"/>
  <c r="AK88" i="1"/>
  <c r="I18" i="1"/>
  <c r="AL88" i="1" s="1"/>
  <c r="J18" i="1"/>
  <c r="AM88" i="1" s="1"/>
  <c r="K18" i="1"/>
  <c r="AN88" i="1" s="1"/>
  <c r="L18" i="1"/>
  <c r="AO88" i="1"/>
  <c r="M18" i="1"/>
  <c r="AP88" i="1" s="1"/>
  <c r="N18" i="1"/>
  <c r="AQ88" i="1" s="1"/>
  <c r="O18" i="1"/>
  <c r="AR88" i="1" s="1"/>
  <c r="P18" i="1"/>
  <c r="AS88" i="1" s="1"/>
  <c r="Q18" i="1"/>
  <c r="AT88" i="1" s="1"/>
  <c r="R18" i="1"/>
  <c r="AU88" i="1" s="1"/>
  <c r="S18" i="1"/>
  <c r="AV88" i="1"/>
  <c r="T18" i="1"/>
  <c r="AW88" i="1" s="1"/>
  <c r="U18" i="1"/>
  <c r="AX88" i="1" s="1"/>
  <c r="V18" i="1"/>
  <c r="AY88" i="1" s="1"/>
  <c r="W18" i="1"/>
  <c r="AZ88" i="1" s="1"/>
  <c r="X18" i="1"/>
  <c r="BA88" i="1" s="1"/>
  <c r="Y18" i="1"/>
  <c r="BB88" i="1" s="1"/>
  <c r="G19" i="1"/>
  <c r="AJ89" i="1" s="1"/>
  <c r="H19" i="1"/>
  <c r="AK89" i="1" s="1"/>
  <c r="I19" i="1"/>
  <c r="AL89" i="1" s="1"/>
  <c r="J19" i="1"/>
  <c r="AM89" i="1" s="1"/>
  <c r="K19" i="1"/>
  <c r="AN89" i="1" s="1"/>
  <c r="L19" i="1"/>
  <c r="AO89" i="1" s="1"/>
  <c r="M19" i="1"/>
  <c r="AP89" i="1" s="1"/>
  <c r="N19" i="1"/>
  <c r="AQ89" i="1" s="1"/>
  <c r="O19" i="1"/>
  <c r="AR89" i="1" s="1"/>
  <c r="P19" i="1"/>
  <c r="AS89" i="1" s="1"/>
  <c r="Q19" i="1"/>
  <c r="AT89" i="1" s="1"/>
  <c r="R19" i="1"/>
  <c r="AU89" i="1" s="1"/>
  <c r="S19" i="1"/>
  <c r="AV89" i="1" s="1"/>
  <c r="T19" i="1"/>
  <c r="AW89" i="1" s="1"/>
  <c r="U19" i="1"/>
  <c r="AX89" i="1"/>
  <c r="V19" i="1"/>
  <c r="AY89" i="1" s="1"/>
  <c r="W19" i="1"/>
  <c r="AZ89" i="1" s="1"/>
  <c r="X19" i="1"/>
  <c r="BA89" i="1" s="1"/>
  <c r="Y19" i="1"/>
  <c r="BB89" i="1" s="1"/>
  <c r="G20" i="1"/>
  <c r="AJ90" i="1" s="1"/>
  <c r="H20" i="1"/>
  <c r="AK90" i="1" s="1"/>
  <c r="I20" i="1"/>
  <c r="AL90" i="1" s="1"/>
  <c r="J20" i="1"/>
  <c r="AM90" i="1"/>
  <c r="K20" i="1"/>
  <c r="AN90" i="1" s="1"/>
  <c r="L20" i="1"/>
  <c r="AO90" i="1" s="1"/>
  <c r="M20" i="1"/>
  <c r="AP90" i="1" s="1"/>
  <c r="N20" i="1"/>
  <c r="AQ90" i="1" s="1"/>
  <c r="O20" i="1"/>
  <c r="AR90" i="1" s="1"/>
  <c r="P20" i="1"/>
  <c r="AS90" i="1" s="1"/>
  <c r="Q20" i="1"/>
  <c r="AT90" i="1" s="1"/>
  <c r="R20" i="1"/>
  <c r="AU90" i="1" s="1"/>
  <c r="S20" i="1"/>
  <c r="AV90" i="1" s="1"/>
  <c r="T20" i="1"/>
  <c r="AW90" i="1" s="1"/>
  <c r="U20" i="1"/>
  <c r="AX90" i="1" s="1"/>
  <c r="V20" i="1"/>
  <c r="AY90" i="1" s="1"/>
  <c r="W20" i="1"/>
  <c r="AZ90" i="1" s="1"/>
  <c r="X20" i="1"/>
  <c r="BA90" i="1" s="1"/>
  <c r="Y20" i="1"/>
  <c r="BB90" i="1" s="1"/>
  <c r="G21" i="1"/>
  <c r="AJ91" i="1" s="1"/>
  <c r="H21" i="1"/>
  <c r="AK91" i="1"/>
  <c r="I21" i="1"/>
  <c r="AL91" i="1" s="1"/>
  <c r="J21" i="1"/>
  <c r="AM91" i="1" s="1"/>
  <c r="K21" i="1"/>
  <c r="AN91" i="1" s="1"/>
  <c r="L21" i="1"/>
  <c r="AO91" i="1" s="1"/>
  <c r="M21" i="1"/>
  <c r="AP91" i="1" s="1"/>
  <c r="N21" i="1"/>
  <c r="AQ91" i="1"/>
  <c r="O21" i="1"/>
  <c r="AR91" i="1" s="1"/>
  <c r="P21" i="1"/>
  <c r="AS91" i="1" s="1"/>
  <c r="Q21" i="1"/>
  <c r="AT91" i="1" s="1"/>
  <c r="R21" i="1"/>
  <c r="AU91" i="1" s="1"/>
  <c r="S21" i="1"/>
  <c r="AV91" i="1" s="1"/>
  <c r="T21" i="1"/>
  <c r="AW91" i="1" s="1"/>
  <c r="U21" i="1"/>
  <c r="AX91" i="1" s="1"/>
  <c r="V21" i="1"/>
  <c r="AY91" i="1" s="1"/>
  <c r="W21" i="1"/>
  <c r="AZ91" i="1" s="1"/>
  <c r="X21" i="1"/>
  <c r="BA91" i="1" s="1"/>
  <c r="Y21" i="1"/>
  <c r="BB91" i="1" s="1"/>
  <c r="G22" i="1"/>
  <c r="AJ92" i="1" s="1"/>
  <c r="H22" i="1"/>
  <c r="AK92" i="1" s="1"/>
  <c r="I22" i="1"/>
  <c r="AL92" i="1" s="1"/>
  <c r="J22" i="1"/>
  <c r="AM92" i="1" s="1"/>
  <c r="K22" i="1"/>
  <c r="AN92" i="1" s="1"/>
  <c r="L22" i="1"/>
  <c r="AO92" i="1" s="1"/>
  <c r="M22" i="1"/>
  <c r="AP92" i="1" s="1"/>
  <c r="N22" i="1"/>
  <c r="AQ92" i="1" s="1"/>
  <c r="O22" i="1"/>
  <c r="AR92" i="1" s="1"/>
  <c r="P22" i="1"/>
  <c r="AS92" i="1" s="1"/>
  <c r="Q22" i="1"/>
  <c r="AT92" i="1" s="1"/>
  <c r="R22" i="1"/>
  <c r="AU92" i="1" s="1"/>
  <c r="S22" i="1"/>
  <c r="AV92" i="1" s="1"/>
  <c r="T22" i="1"/>
  <c r="AW92" i="1" s="1"/>
  <c r="U22" i="1"/>
  <c r="AX92" i="1" s="1"/>
  <c r="V22" i="1"/>
  <c r="AY92" i="1"/>
  <c r="W22" i="1"/>
  <c r="AZ92" i="1" s="1"/>
  <c r="X22" i="1"/>
  <c r="BA92" i="1" s="1"/>
  <c r="Y22" i="1"/>
  <c r="BB92" i="1" s="1"/>
  <c r="G23" i="1"/>
  <c r="AJ93" i="1" s="1"/>
  <c r="H23" i="1"/>
  <c r="AK93" i="1" s="1"/>
  <c r="I23" i="1"/>
  <c r="AL93" i="1" s="1"/>
  <c r="J23" i="1"/>
  <c r="AM93" i="1" s="1"/>
  <c r="K23" i="1"/>
  <c r="AN93" i="1" s="1"/>
  <c r="L23" i="1"/>
  <c r="AO93" i="1" s="1"/>
  <c r="M23" i="1"/>
  <c r="AP93" i="1" s="1"/>
  <c r="N23" i="1"/>
  <c r="AQ93" i="1" s="1"/>
  <c r="O23" i="1"/>
  <c r="AR93" i="1" s="1"/>
  <c r="P23" i="1"/>
  <c r="AS93" i="1" s="1"/>
  <c r="Q23" i="1"/>
  <c r="AT93" i="1" s="1"/>
  <c r="R23" i="1"/>
  <c r="AU93" i="1"/>
  <c r="S23" i="1"/>
  <c r="AV93" i="1"/>
  <c r="T23" i="1"/>
  <c r="AW93" i="1" s="1"/>
  <c r="U23" i="1"/>
  <c r="AX93" i="1" s="1"/>
  <c r="V23" i="1"/>
  <c r="AY93" i="1" s="1"/>
  <c r="W23" i="1"/>
  <c r="AZ93" i="1" s="1"/>
  <c r="X23" i="1"/>
  <c r="BA93" i="1" s="1"/>
  <c r="Y23" i="1"/>
  <c r="BB93" i="1" s="1"/>
  <c r="G24" i="1"/>
  <c r="AJ94" i="1" s="1"/>
  <c r="H24" i="1"/>
  <c r="AK94" i="1" s="1"/>
  <c r="I24" i="1"/>
  <c r="AL94" i="1" s="1"/>
  <c r="J24" i="1"/>
  <c r="AM94" i="1" s="1"/>
  <c r="K24" i="1"/>
  <c r="AN94" i="1" s="1"/>
  <c r="L24" i="1"/>
  <c r="AO94" i="1" s="1"/>
  <c r="M24" i="1"/>
  <c r="AP94" i="1" s="1"/>
  <c r="N24" i="1"/>
  <c r="AQ94" i="1" s="1"/>
  <c r="O24" i="1"/>
  <c r="AR94" i="1"/>
  <c r="P24" i="1"/>
  <c r="AS94" i="1" s="1"/>
  <c r="Q24" i="1"/>
  <c r="AT94" i="1" s="1"/>
  <c r="R24" i="1"/>
  <c r="AU94" i="1" s="1"/>
  <c r="S24" i="1"/>
  <c r="AV94" i="1" s="1"/>
  <c r="T24" i="1"/>
  <c r="AW94" i="1" s="1"/>
  <c r="U24" i="1"/>
  <c r="AX94" i="1" s="1"/>
  <c r="V24" i="1"/>
  <c r="AY94" i="1" s="1"/>
  <c r="W24" i="1"/>
  <c r="AZ94" i="1" s="1"/>
  <c r="X24" i="1"/>
  <c r="BA94" i="1" s="1"/>
  <c r="Y24" i="1"/>
  <c r="BB94" i="1" s="1"/>
  <c r="G25" i="1"/>
  <c r="AJ95" i="1" s="1"/>
  <c r="H25" i="1"/>
  <c r="AK95" i="1" s="1"/>
  <c r="I25" i="1"/>
  <c r="AL95" i="1" s="1"/>
  <c r="J25" i="1"/>
  <c r="AM95" i="1" s="1"/>
  <c r="K25" i="1"/>
  <c r="AN95" i="1" s="1"/>
  <c r="L25" i="1"/>
  <c r="AO95" i="1" s="1"/>
  <c r="M25" i="1"/>
  <c r="AP95" i="1" s="1"/>
  <c r="N25" i="1"/>
  <c r="AQ95" i="1" s="1"/>
  <c r="O25" i="1"/>
  <c r="AR95" i="1" s="1"/>
  <c r="P25" i="1"/>
  <c r="AS95" i="1" s="1"/>
  <c r="Q25" i="1"/>
  <c r="AT95" i="1" s="1"/>
  <c r="R25" i="1"/>
  <c r="AU95" i="1" s="1"/>
  <c r="S25" i="1"/>
  <c r="AV95" i="1" s="1"/>
  <c r="T25" i="1"/>
  <c r="AW95" i="1" s="1"/>
  <c r="U25" i="1"/>
  <c r="AX95" i="1" s="1"/>
  <c r="V25" i="1"/>
  <c r="AY95" i="1" s="1"/>
  <c r="W25" i="1"/>
  <c r="AZ95" i="1" s="1"/>
  <c r="X25" i="1"/>
  <c r="BA95" i="1" s="1"/>
  <c r="Y25" i="1"/>
  <c r="BB95" i="1" s="1"/>
  <c r="G26" i="1"/>
  <c r="AJ96" i="1" s="1"/>
  <c r="H26" i="1"/>
  <c r="AK96" i="1" s="1"/>
  <c r="I26" i="1"/>
  <c r="AL96" i="1" s="1"/>
  <c r="J26" i="1"/>
  <c r="AM96" i="1"/>
  <c r="K26" i="1"/>
  <c r="AN96" i="1" s="1"/>
  <c r="L26" i="1"/>
  <c r="AO96" i="1" s="1"/>
  <c r="M26" i="1"/>
  <c r="AP96" i="1" s="1"/>
  <c r="N26" i="1"/>
  <c r="AQ96" i="1" s="1"/>
  <c r="O26" i="1"/>
  <c r="AR96" i="1" s="1"/>
  <c r="P26" i="1"/>
  <c r="AS96" i="1" s="1"/>
  <c r="Q26" i="1"/>
  <c r="AT96" i="1" s="1"/>
  <c r="R26" i="1"/>
  <c r="AU96" i="1" s="1"/>
  <c r="S26" i="1"/>
  <c r="AV96" i="1" s="1"/>
  <c r="T26" i="1"/>
  <c r="AW96" i="1" s="1"/>
  <c r="U26" i="1"/>
  <c r="AX96" i="1" s="1"/>
  <c r="V26" i="1"/>
  <c r="AY96" i="1" s="1"/>
  <c r="W26" i="1"/>
  <c r="AZ96" i="1" s="1"/>
  <c r="X26" i="1"/>
  <c r="BA96" i="1" s="1"/>
  <c r="Y26" i="1"/>
  <c r="BB96" i="1"/>
  <c r="G27" i="1"/>
  <c r="AJ97" i="1" s="1"/>
  <c r="H27" i="1"/>
  <c r="AK97" i="1" s="1"/>
  <c r="I27" i="1"/>
  <c r="AL97" i="1" s="1"/>
  <c r="J27" i="1"/>
  <c r="AM97" i="1" s="1"/>
  <c r="K27" i="1"/>
  <c r="AN97" i="1" s="1"/>
  <c r="L27" i="1"/>
  <c r="AO97" i="1" s="1"/>
  <c r="M27" i="1"/>
  <c r="AP97" i="1" s="1"/>
  <c r="N27" i="1"/>
  <c r="AQ97" i="1" s="1"/>
  <c r="O27" i="1"/>
  <c r="AR97" i="1" s="1"/>
  <c r="P27" i="1"/>
  <c r="AS97" i="1" s="1"/>
  <c r="Q27" i="1"/>
  <c r="AT97" i="1" s="1"/>
  <c r="R27" i="1"/>
  <c r="AU97" i="1" s="1"/>
  <c r="S27" i="1"/>
  <c r="AV97" i="1" s="1"/>
  <c r="T27" i="1"/>
  <c r="AW97" i="1" s="1"/>
  <c r="U27" i="1"/>
  <c r="AX97" i="1" s="1"/>
  <c r="V27" i="1"/>
  <c r="AY97" i="1" s="1"/>
  <c r="W27" i="1"/>
  <c r="AZ97" i="1"/>
  <c r="X27" i="1"/>
  <c r="BA97" i="1" s="1"/>
  <c r="Y27" i="1"/>
  <c r="BB97" i="1" s="1"/>
  <c r="G28" i="1"/>
  <c r="AJ98" i="1" s="1"/>
  <c r="H28" i="1"/>
  <c r="AK98" i="1" s="1"/>
  <c r="I28" i="1"/>
  <c r="AL98" i="1" s="1"/>
  <c r="J28" i="1"/>
  <c r="AM98" i="1" s="1"/>
  <c r="K28" i="1"/>
  <c r="AN98" i="1" s="1"/>
  <c r="L28" i="1"/>
  <c r="AO98" i="1" s="1"/>
  <c r="M28" i="1"/>
  <c r="AP98" i="1" s="1"/>
  <c r="N28" i="1"/>
  <c r="AQ98" i="1" s="1"/>
  <c r="O28" i="1"/>
  <c r="AR98" i="1" s="1"/>
  <c r="P28" i="1"/>
  <c r="AS98" i="1" s="1"/>
  <c r="Q28" i="1"/>
  <c r="AT98" i="1" s="1"/>
  <c r="R28" i="1"/>
  <c r="AU98" i="1" s="1"/>
  <c r="S28" i="1"/>
  <c r="AV98" i="1"/>
  <c r="T28" i="1"/>
  <c r="AW98" i="1" s="1"/>
  <c r="U28" i="1"/>
  <c r="AX98" i="1" s="1"/>
  <c r="V28" i="1"/>
  <c r="AY98" i="1" s="1"/>
  <c r="W28" i="1"/>
  <c r="AZ98" i="1" s="1"/>
  <c r="X28" i="1"/>
  <c r="BA98" i="1" s="1"/>
  <c r="Y28" i="1"/>
  <c r="BB98" i="1" s="1"/>
  <c r="G29" i="1"/>
  <c r="AJ99" i="1" s="1"/>
  <c r="H29" i="1"/>
  <c r="AK99" i="1" s="1"/>
  <c r="I29" i="1"/>
  <c r="AL99" i="1" s="1"/>
  <c r="J29" i="1"/>
  <c r="AM99" i="1" s="1"/>
  <c r="K29" i="1"/>
  <c r="AN99" i="1" s="1"/>
  <c r="L29" i="1"/>
  <c r="AO99" i="1" s="1"/>
  <c r="M29" i="1"/>
  <c r="AP99" i="1" s="1"/>
  <c r="N29" i="1"/>
  <c r="AQ99" i="1" s="1"/>
  <c r="O29" i="1"/>
  <c r="AR99" i="1" s="1"/>
  <c r="P29" i="1"/>
  <c r="AS99" i="1" s="1"/>
  <c r="Q29" i="1"/>
  <c r="AT99" i="1" s="1"/>
  <c r="R29" i="1"/>
  <c r="AU99" i="1" s="1"/>
  <c r="S29" i="1"/>
  <c r="AV99" i="1" s="1"/>
  <c r="T29" i="1"/>
  <c r="AW99" i="1" s="1"/>
  <c r="U29" i="1"/>
  <c r="AX99" i="1" s="1"/>
  <c r="V29" i="1"/>
  <c r="AY99" i="1" s="1"/>
  <c r="W29" i="1"/>
  <c r="AZ99" i="1" s="1"/>
  <c r="X29" i="1"/>
  <c r="BA99" i="1" s="1"/>
  <c r="Y29" i="1"/>
  <c r="BB99" i="1" s="1"/>
  <c r="G30" i="1"/>
  <c r="AJ100" i="1" s="1"/>
  <c r="H30" i="1"/>
  <c r="AK100" i="1" s="1"/>
  <c r="I30" i="1"/>
  <c r="AL100" i="1" s="1"/>
  <c r="J30" i="1"/>
  <c r="AM100" i="1" s="1"/>
  <c r="K30" i="1"/>
  <c r="AN100" i="1" s="1"/>
  <c r="L30" i="1"/>
  <c r="AO100" i="1" s="1"/>
  <c r="M30" i="1"/>
  <c r="AP100" i="1" s="1"/>
  <c r="N30" i="1"/>
  <c r="AQ100" i="1"/>
  <c r="O30" i="1"/>
  <c r="AR100" i="1" s="1"/>
  <c r="P30" i="1"/>
  <c r="AS100" i="1" s="1"/>
  <c r="Q30" i="1"/>
  <c r="AT100" i="1" s="1"/>
  <c r="R30" i="1"/>
  <c r="AU100" i="1" s="1"/>
  <c r="S30" i="1"/>
  <c r="AV100" i="1" s="1"/>
  <c r="T30" i="1"/>
  <c r="AW100" i="1" s="1"/>
  <c r="U30" i="1"/>
  <c r="AX100" i="1" s="1"/>
  <c r="V30" i="1"/>
  <c r="AY100" i="1" s="1"/>
  <c r="W30" i="1"/>
  <c r="AZ100" i="1" s="1"/>
  <c r="X30" i="1"/>
  <c r="BA100" i="1" s="1"/>
  <c r="Y30" i="1"/>
  <c r="BB100" i="1" s="1"/>
  <c r="G31" i="1"/>
  <c r="AJ101" i="1" s="1"/>
  <c r="H31" i="1"/>
  <c r="AK101" i="1" s="1"/>
  <c r="I31" i="1"/>
  <c r="AL101" i="1" s="1"/>
  <c r="J31" i="1"/>
  <c r="AM101" i="1"/>
  <c r="K31" i="1"/>
  <c r="AN101" i="1"/>
  <c r="L31" i="1"/>
  <c r="AO101" i="1" s="1"/>
  <c r="M31" i="1"/>
  <c r="AP101" i="1" s="1"/>
  <c r="N31" i="1"/>
  <c r="AQ101" i="1" s="1"/>
  <c r="O31" i="1"/>
  <c r="AR101" i="1" s="1"/>
  <c r="P31" i="1"/>
  <c r="AS101" i="1" s="1"/>
  <c r="Q31" i="1"/>
  <c r="AT101" i="1" s="1"/>
  <c r="R31" i="1"/>
  <c r="AU101" i="1" s="1"/>
  <c r="S31" i="1"/>
  <c r="AV101" i="1" s="1"/>
  <c r="T31" i="1"/>
  <c r="AW101" i="1" s="1"/>
  <c r="U31" i="1"/>
  <c r="AX101" i="1" s="1"/>
  <c r="V31" i="1"/>
  <c r="AY101" i="1" s="1"/>
  <c r="W31" i="1"/>
  <c r="AZ101" i="1" s="1"/>
  <c r="X31" i="1"/>
  <c r="BA101" i="1" s="1"/>
  <c r="Y31" i="1"/>
  <c r="BB101" i="1" s="1"/>
  <c r="G32" i="1"/>
  <c r="AJ102" i="1"/>
  <c r="H32" i="1"/>
  <c r="AK102" i="1" s="1"/>
  <c r="I32" i="1"/>
  <c r="AL102" i="1" s="1"/>
  <c r="J32" i="1"/>
  <c r="AM102" i="1" s="1"/>
  <c r="K32" i="1"/>
  <c r="AN102" i="1" s="1"/>
  <c r="L32" i="1"/>
  <c r="AO102" i="1" s="1"/>
  <c r="M32" i="1"/>
  <c r="AP102" i="1" s="1"/>
  <c r="N32" i="1"/>
  <c r="AQ102" i="1" s="1"/>
  <c r="O32" i="1"/>
  <c r="AR102" i="1" s="1"/>
  <c r="P32" i="1"/>
  <c r="AS102" i="1" s="1"/>
  <c r="Q32" i="1"/>
  <c r="AT102" i="1" s="1"/>
  <c r="R32" i="1"/>
  <c r="AU102" i="1" s="1"/>
  <c r="S32" i="1"/>
  <c r="AV102" i="1" s="1"/>
  <c r="T32" i="1"/>
  <c r="AW102" i="1" s="1"/>
  <c r="U32" i="1"/>
  <c r="AX102" i="1" s="1"/>
  <c r="V32" i="1"/>
  <c r="AY102" i="1" s="1"/>
  <c r="W32" i="1"/>
  <c r="AZ102" i="1" s="1"/>
  <c r="X32" i="1"/>
  <c r="BA102" i="1" s="1"/>
  <c r="Y32" i="1"/>
  <c r="BB102" i="1" s="1"/>
  <c r="G33" i="1"/>
  <c r="AJ103" i="1" s="1"/>
  <c r="H33" i="1"/>
  <c r="AK103" i="1" s="1"/>
  <c r="I33" i="1"/>
  <c r="AL103" i="1" s="1"/>
  <c r="J33" i="1"/>
  <c r="AM103" i="1" s="1"/>
  <c r="K33" i="1"/>
  <c r="AN103" i="1" s="1"/>
  <c r="L33" i="1"/>
  <c r="AO103" i="1" s="1"/>
  <c r="M33" i="1"/>
  <c r="AP103" i="1" s="1"/>
  <c r="N33" i="1"/>
  <c r="AQ103" i="1" s="1"/>
  <c r="O33" i="1"/>
  <c r="AR103" i="1" s="1"/>
  <c r="P33" i="1"/>
  <c r="AS103" i="1" s="1"/>
  <c r="Q33" i="1"/>
  <c r="AT103" i="1" s="1"/>
  <c r="R33" i="1"/>
  <c r="AU103" i="1"/>
  <c r="S33" i="1"/>
  <c r="AV103" i="1" s="1"/>
  <c r="T33" i="1"/>
  <c r="AW103" i="1" s="1"/>
  <c r="U33" i="1"/>
  <c r="AX103" i="1" s="1"/>
  <c r="V33" i="1"/>
  <c r="AY103" i="1" s="1"/>
  <c r="W33" i="1"/>
  <c r="AZ103" i="1"/>
  <c r="X33" i="1"/>
  <c r="BA103" i="1" s="1"/>
  <c r="Y33" i="1"/>
  <c r="BB103" i="1" s="1"/>
  <c r="G34" i="1"/>
  <c r="AJ104" i="1" s="1"/>
  <c r="H34" i="1"/>
  <c r="AK104" i="1" s="1"/>
  <c r="I34" i="1"/>
  <c r="AL104" i="1" s="1"/>
  <c r="J34" i="1"/>
  <c r="AM104" i="1"/>
  <c r="K34" i="1"/>
  <c r="AN104" i="1" s="1"/>
  <c r="L34" i="1"/>
  <c r="AO104" i="1" s="1"/>
  <c r="M34" i="1"/>
  <c r="AP104" i="1" s="1"/>
  <c r="N34" i="1"/>
  <c r="AQ104" i="1"/>
  <c r="O34" i="1"/>
  <c r="AR104" i="1"/>
  <c r="P34" i="1"/>
  <c r="AS104" i="1" s="1"/>
  <c r="Q34" i="1"/>
  <c r="AT104" i="1" s="1"/>
  <c r="R34" i="1"/>
  <c r="AU104" i="1" s="1"/>
  <c r="S34" i="1"/>
  <c r="AV104" i="1"/>
  <c r="T34" i="1"/>
  <c r="AW104" i="1"/>
  <c r="U34" i="1"/>
  <c r="AX104" i="1" s="1"/>
  <c r="V34" i="1"/>
  <c r="AY104" i="1"/>
  <c r="W34" i="1"/>
  <c r="AZ104" i="1" s="1"/>
  <c r="X34" i="1"/>
  <c r="BA104" i="1" s="1"/>
  <c r="Y34" i="1"/>
  <c r="BB104" i="1" s="1"/>
  <c r="G35" i="1"/>
  <c r="AJ105" i="1" s="1"/>
  <c r="H35" i="1"/>
  <c r="AK105" i="1" s="1"/>
  <c r="I35" i="1"/>
  <c r="AL105" i="1"/>
  <c r="J35" i="1"/>
  <c r="AM105" i="1" s="1"/>
  <c r="K35" i="1"/>
  <c r="AN105" i="1" s="1"/>
  <c r="L35" i="1"/>
  <c r="AO105" i="1"/>
  <c r="M35" i="1"/>
  <c r="AP105" i="1" s="1"/>
  <c r="N35" i="1"/>
  <c r="AQ105" i="1" s="1"/>
  <c r="O35" i="1"/>
  <c r="AR105" i="1"/>
  <c r="P35" i="1"/>
  <c r="AS105" i="1" s="1"/>
  <c r="Q35" i="1"/>
  <c r="AT105" i="1"/>
  <c r="R35" i="1"/>
  <c r="AU105" i="1" s="1"/>
  <c r="S35" i="1"/>
  <c r="AV105" i="1"/>
  <c r="T35" i="1"/>
  <c r="AW105" i="1" s="1"/>
  <c r="U35" i="1"/>
  <c r="AX105" i="1" s="1"/>
  <c r="V35" i="1"/>
  <c r="AY105" i="1" s="1"/>
  <c r="W35" i="1"/>
  <c r="AZ105" i="1"/>
  <c r="X35" i="1"/>
  <c r="BA105" i="1"/>
  <c r="Y35" i="1"/>
  <c r="BB105" i="1" s="1"/>
  <c r="G36" i="1"/>
  <c r="AJ106" i="1" s="1"/>
  <c r="H36" i="1"/>
  <c r="AK106" i="1" s="1"/>
  <c r="I36" i="1"/>
  <c r="AL106" i="1" s="1"/>
  <c r="J36" i="1"/>
  <c r="AM106" i="1"/>
  <c r="K36" i="1"/>
  <c r="AN106" i="1" s="1"/>
  <c r="L36" i="1"/>
  <c r="AO106" i="1" s="1"/>
  <c r="M36" i="1"/>
  <c r="AP106" i="1" s="1"/>
  <c r="N36" i="1"/>
  <c r="AQ106" i="1"/>
  <c r="O36" i="1"/>
  <c r="AR106" i="1" s="1"/>
  <c r="P36" i="1"/>
  <c r="AS106" i="1"/>
  <c r="Q36" i="1"/>
  <c r="AT106" i="1"/>
  <c r="R36" i="1"/>
  <c r="AU106" i="1" s="1"/>
  <c r="S36" i="1"/>
  <c r="AV106" i="1" s="1"/>
  <c r="T36" i="1"/>
  <c r="AW106" i="1" s="1"/>
  <c r="U36" i="1"/>
  <c r="AX106" i="1"/>
  <c r="V36" i="1"/>
  <c r="AY106" i="1"/>
  <c r="W36" i="1"/>
  <c r="AZ106" i="1" s="1"/>
  <c r="X36" i="1"/>
  <c r="BA106" i="1" s="1"/>
  <c r="Y36" i="1"/>
  <c r="BB106" i="1"/>
  <c r="G37" i="1"/>
  <c r="AJ107" i="1" s="1"/>
  <c r="H37" i="1"/>
  <c r="AK107" i="1" s="1"/>
  <c r="I37" i="1"/>
  <c r="AL107" i="1"/>
  <c r="J37" i="1"/>
  <c r="AM107" i="1" s="1"/>
  <c r="K37" i="1"/>
  <c r="AN107" i="1"/>
  <c r="L37" i="1"/>
  <c r="AO107" i="1" s="1"/>
  <c r="M37" i="1"/>
  <c r="AP107" i="1"/>
  <c r="N37" i="1"/>
  <c r="AQ107" i="1" s="1"/>
  <c r="O37" i="1"/>
  <c r="AR107" i="1" s="1"/>
  <c r="P37" i="1"/>
  <c r="AS107" i="1" s="1"/>
  <c r="Q37" i="1"/>
  <c r="AT107" i="1"/>
  <c r="R37" i="1"/>
  <c r="AU107" i="1" s="1"/>
  <c r="S37" i="1"/>
  <c r="AV107" i="1" s="1"/>
  <c r="T37" i="1"/>
  <c r="AW107" i="1" s="1"/>
  <c r="U37" i="1"/>
  <c r="AX107" i="1" s="1"/>
  <c r="V37" i="1"/>
  <c r="AY107" i="1" s="1"/>
  <c r="W37" i="1"/>
  <c r="AZ107" i="1"/>
  <c r="X37" i="1"/>
  <c r="BA107" i="1" s="1"/>
  <c r="Y37" i="1"/>
  <c r="BB107" i="1"/>
  <c r="G38" i="1"/>
  <c r="AJ108" i="1" s="1"/>
  <c r="H38" i="1"/>
  <c r="AK108" i="1" s="1"/>
  <c r="I38" i="1"/>
  <c r="AL108" i="1" s="1"/>
  <c r="J38" i="1"/>
  <c r="AM108" i="1"/>
  <c r="K38" i="1"/>
  <c r="AN108" i="1"/>
  <c r="L38" i="1"/>
  <c r="AO108" i="1" s="1"/>
  <c r="M38" i="1"/>
  <c r="AP108" i="1" s="1"/>
  <c r="N38" i="1"/>
  <c r="AQ108" i="1"/>
  <c r="O38" i="1"/>
  <c r="AR108" i="1"/>
  <c r="P38" i="1"/>
  <c r="AS108" i="1"/>
  <c r="Q38" i="1"/>
  <c r="AT108" i="1" s="1"/>
  <c r="R38" i="1"/>
  <c r="AU108" i="1" s="1"/>
  <c r="S38" i="1"/>
  <c r="AV108" i="1" s="1"/>
  <c r="T38" i="1"/>
  <c r="AW108" i="1" s="1"/>
  <c r="U38" i="1"/>
  <c r="AX108" i="1" s="1"/>
  <c r="V38" i="1"/>
  <c r="AY108" i="1"/>
  <c r="W38" i="1"/>
  <c r="AZ108" i="1" s="1"/>
  <c r="X38" i="1"/>
  <c r="BA108" i="1" s="1"/>
  <c r="Y38" i="1"/>
  <c r="BB108" i="1" s="1"/>
  <c r="G39" i="1"/>
  <c r="AJ109" i="1"/>
  <c r="H39" i="1"/>
  <c r="AK109" i="1" s="1"/>
  <c r="I39" i="1"/>
  <c r="AL109" i="1" s="1"/>
  <c r="J39" i="1"/>
  <c r="AM109" i="1" s="1"/>
  <c r="K39" i="1"/>
  <c r="AN109" i="1" s="1"/>
  <c r="L39" i="1"/>
  <c r="AO109" i="1" s="1"/>
  <c r="M39" i="1"/>
  <c r="AP109" i="1" s="1"/>
  <c r="N39" i="1"/>
  <c r="AQ109" i="1" s="1"/>
  <c r="O39" i="1"/>
  <c r="AR109" i="1" s="1"/>
  <c r="P39" i="1"/>
  <c r="AS109" i="1" s="1"/>
  <c r="Q39" i="1"/>
  <c r="AT109" i="1" s="1"/>
  <c r="R39" i="1"/>
  <c r="AU109" i="1" s="1"/>
  <c r="S39" i="1"/>
  <c r="AV109" i="1"/>
  <c r="T39" i="1"/>
  <c r="AW109" i="1"/>
  <c r="U39" i="1"/>
  <c r="AX109" i="1"/>
  <c r="V39" i="1"/>
  <c r="AY109" i="1" s="1"/>
  <c r="W39" i="1"/>
  <c r="AZ109" i="1" s="1"/>
  <c r="X39" i="1"/>
  <c r="BA109" i="1" s="1"/>
  <c r="Y39" i="1"/>
  <c r="BB109" i="1" s="1"/>
  <c r="G40" i="1"/>
  <c r="AJ110" i="1" s="1"/>
  <c r="H40" i="1"/>
  <c r="AK110" i="1" s="1"/>
  <c r="I40" i="1"/>
  <c r="AL110" i="1" s="1"/>
  <c r="J40" i="1"/>
  <c r="AM110" i="1" s="1"/>
  <c r="K40" i="1"/>
  <c r="AN110" i="1" s="1"/>
  <c r="L40" i="1"/>
  <c r="AO110" i="1" s="1"/>
  <c r="M40" i="1"/>
  <c r="AP110" i="1" s="1"/>
  <c r="N40" i="1"/>
  <c r="AQ110" i="1" s="1"/>
  <c r="O40" i="1"/>
  <c r="AR110" i="1" s="1"/>
  <c r="P40" i="1"/>
  <c r="AS110" i="1"/>
  <c r="Q40" i="1"/>
  <c r="AT110" i="1" s="1"/>
  <c r="R40" i="1"/>
  <c r="AU110" i="1" s="1"/>
  <c r="S40" i="1"/>
  <c r="AV110" i="1" s="1"/>
  <c r="T40" i="1"/>
  <c r="AW110" i="1" s="1"/>
  <c r="U40" i="1"/>
  <c r="AX110" i="1"/>
  <c r="V40" i="1"/>
  <c r="AY110" i="1" s="1"/>
  <c r="W40" i="1"/>
  <c r="AZ110" i="1" s="1"/>
  <c r="X40" i="1"/>
  <c r="BA110" i="1" s="1"/>
  <c r="Y40" i="1"/>
  <c r="BB110" i="1" s="1"/>
  <c r="G41" i="1"/>
  <c r="AJ111" i="1" s="1"/>
  <c r="H41" i="1"/>
  <c r="AK111" i="1" s="1"/>
  <c r="I41" i="1"/>
  <c r="AL111" i="1" s="1"/>
  <c r="J41" i="1"/>
  <c r="AM111" i="1" s="1"/>
  <c r="K41" i="1"/>
  <c r="AN111" i="1" s="1"/>
  <c r="L41" i="1"/>
  <c r="AO111" i="1" s="1"/>
  <c r="M41" i="1"/>
  <c r="AP111" i="1" s="1"/>
  <c r="N41" i="1"/>
  <c r="AQ111" i="1" s="1"/>
  <c r="O41" i="1"/>
  <c r="AR111" i="1" s="1"/>
  <c r="P41" i="1"/>
  <c r="AS111" i="1" s="1"/>
  <c r="Q41" i="1"/>
  <c r="AT111" i="1" s="1"/>
  <c r="R41" i="1"/>
  <c r="AU111" i="1" s="1"/>
  <c r="S41" i="1"/>
  <c r="AV111" i="1" s="1"/>
  <c r="T41" i="1"/>
  <c r="AW111" i="1" s="1"/>
  <c r="U41" i="1"/>
  <c r="AX111" i="1" s="1"/>
  <c r="V41" i="1"/>
  <c r="AY111" i="1" s="1"/>
  <c r="W41" i="1"/>
  <c r="AZ111" i="1" s="1"/>
  <c r="X41" i="1"/>
  <c r="BA111" i="1" s="1"/>
  <c r="Y41" i="1"/>
  <c r="BB111" i="1" s="1"/>
  <c r="G42" i="1"/>
  <c r="AJ112" i="1"/>
  <c r="H42" i="1"/>
  <c r="AK112" i="1" s="1"/>
  <c r="I42" i="1"/>
  <c r="AL112" i="1" s="1"/>
  <c r="J42" i="1"/>
  <c r="AM112" i="1" s="1"/>
  <c r="K42" i="1"/>
  <c r="AN112" i="1"/>
  <c r="L42" i="1"/>
  <c r="AO112" i="1" s="1"/>
  <c r="M42" i="1"/>
  <c r="AP112" i="1" s="1"/>
  <c r="N42" i="1"/>
  <c r="AQ112" i="1" s="1"/>
  <c r="O42" i="1"/>
  <c r="AR112" i="1"/>
  <c r="P42" i="1"/>
  <c r="AS112" i="1" s="1"/>
  <c r="Q42" i="1"/>
  <c r="AT112" i="1" s="1"/>
  <c r="R42" i="1"/>
  <c r="AU112" i="1" s="1"/>
  <c r="S42" i="1"/>
  <c r="AV112" i="1" s="1"/>
  <c r="T42" i="1"/>
  <c r="AW112" i="1" s="1"/>
  <c r="U42" i="1"/>
  <c r="AX112" i="1" s="1"/>
  <c r="V42" i="1"/>
  <c r="AY112" i="1" s="1"/>
  <c r="W42" i="1"/>
  <c r="AZ112" i="1" s="1"/>
  <c r="X42" i="1"/>
  <c r="BA112" i="1"/>
  <c r="Y42" i="1"/>
  <c r="BB112" i="1" s="1"/>
  <c r="G43" i="1"/>
  <c r="AJ113" i="1" s="1"/>
  <c r="H43" i="1"/>
  <c r="AK113" i="1"/>
  <c r="I43" i="1"/>
  <c r="AL113" i="1" s="1"/>
  <c r="J43" i="1"/>
  <c r="AM113" i="1" s="1"/>
  <c r="K43" i="1"/>
  <c r="AN113" i="1" s="1"/>
  <c r="L43" i="1"/>
  <c r="AO113" i="1" s="1"/>
  <c r="M43" i="1"/>
  <c r="AP113" i="1" s="1"/>
  <c r="N43" i="1"/>
  <c r="AQ113" i="1" s="1"/>
  <c r="O43" i="1"/>
  <c r="AR113" i="1" s="1"/>
  <c r="P43" i="1"/>
  <c r="AS113" i="1" s="1"/>
  <c r="Q43" i="1"/>
  <c r="AT113" i="1" s="1"/>
  <c r="R43" i="1"/>
  <c r="AU113" i="1" s="1"/>
  <c r="S43" i="1"/>
  <c r="AV113" i="1" s="1"/>
  <c r="T43" i="1"/>
  <c r="AW113" i="1" s="1"/>
  <c r="U43" i="1"/>
  <c r="AX113" i="1" s="1"/>
  <c r="V43" i="1"/>
  <c r="AY113" i="1" s="1"/>
  <c r="W43" i="1"/>
  <c r="AZ113" i="1" s="1"/>
  <c r="X43" i="1"/>
  <c r="BA113" i="1"/>
  <c r="Y43" i="1"/>
  <c r="BB113" i="1" s="1"/>
  <c r="G44" i="1"/>
  <c r="AJ114" i="1" s="1"/>
  <c r="H44" i="1"/>
  <c r="AK114" i="1" s="1"/>
  <c r="I44" i="1"/>
  <c r="AL114" i="1" s="1"/>
  <c r="J44" i="1"/>
  <c r="AM114" i="1" s="1"/>
  <c r="K44" i="1"/>
  <c r="AN114" i="1" s="1"/>
  <c r="L44" i="1"/>
  <c r="AO114" i="1" s="1"/>
  <c r="M44" i="1"/>
  <c r="AP114" i="1" s="1"/>
  <c r="N44" i="1"/>
  <c r="AQ114" i="1" s="1"/>
  <c r="O44" i="1"/>
  <c r="AR114" i="1" s="1"/>
  <c r="P44" i="1"/>
  <c r="AS114" i="1" s="1"/>
  <c r="Q44" i="1"/>
  <c r="AT114" i="1"/>
  <c r="R44" i="1"/>
  <c r="AU114" i="1" s="1"/>
  <c r="S44" i="1"/>
  <c r="AV114" i="1" s="1"/>
  <c r="T44" i="1"/>
  <c r="AW114" i="1" s="1"/>
  <c r="U44" i="1"/>
  <c r="AX114" i="1" s="1"/>
  <c r="V44" i="1"/>
  <c r="AY114" i="1" s="1"/>
  <c r="W44" i="1"/>
  <c r="AZ114" i="1" s="1"/>
  <c r="X44" i="1"/>
  <c r="BA114" i="1" s="1"/>
  <c r="Y44" i="1"/>
  <c r="BB114" i="1" s="1"/>
  <c r="G45" i="1"/>
  <c r="AJ115" i="1" s="1"/>
  <c r="H45" i="1"/>
  <c r="AK115" i="1" s="1"/>
  <c r="I45" i="1"/>
  <c r="AL115" i="1" s="1"/>
  <c r="J45" i="1"/>
  <c r="AM115" i="1" s="1"/>
  <c r="K45" i="1"/>
  <c r="AN115" i="1" s="1"/>
  <c r="L45" i="1"/>
  <c r="AO115" i="1" s="1"/>
  <c r="M45" i="1"/>
  <c r="AP115" i="1" s="1"/>
  <c r="N45" i="1"/>
  <c r="AQ115" i="1" s="1"/>
  <c r="O45" i="1"/>
  <c r="AR115" i="1"/>
  <c r="P45" i="1"/>
  <c r="AS115" i="1" s="1"/>
  <c r="Q45" i="1"/>
  <c r="AT115" i="1" s="1"/>
  <c r="R45" i="1"/>
  <c r="AU115" i="1" s="1"/>
  <c r="S45" i="1"/>
  <c r="AV115" i="1" s="1"/>
  <c r="T45" i="1"/>
  <c r="AW115" i="1" s="1"/>
  <c r="U45" i="1"/>
  <c r="AX115" i="1" s="1"/>
  <c r="V45" i="1"/>
  <c r="AY115" i="1"/>
  <c r="W45" i="1"/>
  <c r="AZ115" i="1" s="1"/>
  <c r="X45" i="1"/>
  <c r="BA115" i="1" s="1"/>
  <c r="Y45" i="1"/>
  <c r="BB115" i="1" s="1"/>
  <c r="G46" i="1"/>
  <c r="AJ116" i="1" s="1"/>
  <c r="H46" i="1"/>
  <c r="AK116" i="1" s="1"/>
  <c r="I46" i="1"/>
  <c r="AL116" i="1" s="1"/>
  <c r="J46" i="1"/>
  <c r="AM116" i="1" s="1"/>
  <c r="K46" i="1"/>
  <c r="AN116" i="1" s="1"/>
  <c r="L46" i="1"/>
  <c r="AO116" i="1" s="1"/>
  <c r="M46" i="1"/>
  <c r="AP116" i="1" s="1"/>
  <c r="N46" i="1"/>
  <c r="AQ116" i="1" s="1"/>
  <c r="O46" i="1"/>
  <c r="AR116" i="1"/>
  <c r="P46" i="1"/>
  <c r="AS116" i="1" s="1"/>
  <c r="Q46" i="1"/>
  <c r="AT116" i="1" s="1"/>
  <c r="R46" i="1"/>
  <c r="AU116" i="1" s="1"/>
  <c r="S46" i="1"/>
  <c r="AV116" i="1" s="1"/>
  <c r="T46" i="1"/>
  <c r="AW116" i="1" s="1"/>
  <c r="U46" i="1"/>
  <c r="AX116" i="1" s="1"/>
  <c r="V46" i="1"/>
  <c r="AY116" i="1" s="1"/>
  <c r="W46" i="1"/>
  <c r="AZ116" i="1" s="1"/>
  <c r="X46" i="1"/>
  <c r="BA116" i="1" s="1"/>
  <c r="Y46" i="1"/>
  <c r="BB116" i="1" s="1"/>
  <c r="G47" i="1"/>
  <c r="AJ117" i="1" s="1"/>
  <c r="H47" i="1"/>
  <c r="AK117" i="1" s="1"/>
  <c r="I47" i="1"/>
  <c r="AL117" i="1" s="1"/>
  <c r="J47" i="1"/>
  <c r="AM117" i="1" s="1"/>
  <c r="K47" i="1"/>
  <c r="AN117" i="1" s="1"/>
  <c r="L47" i="1"/>
  <c r="AO117" i="1" s="1"/>
  <c r="M47" i="1"/>
  <c r="AP117" i="1" s="1"/>
  <c r="N47" i="1"/>
  <c r="AQ117" i="1" s="1"/>
  <c r="O47" i="1"/>
  <c r="AR117" i="1" s="1"/>
  <c r="P47" i="1"/>
  <c r="AS117" i="1" s="1"/>
  <c r="Q47" i="1"/>
  <c r="AT117" i="1" s="1"/>
  <c r="R47" i="1"/>
  <c r="AU117" i="1" s="1"/>
  <c r="S47" i="1"/>
  <c r="AV117" i="1" s="1"/>
  <c r="T47" i="1"/>
  <c r="AW117" i="1" s="1"/>
  <c r="U47" i="1"/>
  <c r="AX117" i="1" s="1"/>
  <c r="V47" i="1"/>
  <c r="AY117" i="1" s="1"/>
  <c r="W47" i="1"/>
  <c r="AZ117" i="1" s="1"/>
  <c r="X47" i="1"/>
  <c r="BA117" i="1" s="1"/>
  <c r="Y47" i="1"/>
  <c r="BB117" i="1" s="1"/>
  <c r="G48" i="1"/>
  <c r="AJ118" i="1" s="1"/>
  <c r="H48" i="1"/>
  <c r="AK118" i="1" s="1"/>
  <c r="I48" i="1"/>
  <c r="AL118" i="1"/>
  <c r="J48" i="1"/>
  <c r="AM118" i="1" s="1"/>
  <c r="K48" i="1"/>
  <c r="AN118" i="1" s="1"/>
  <c r="L48" i="1"/>
  <c r="AO118" i="1" s="1"/>
  <c r="M48" i="1"/>
  <c r="AP118" i="1" s="1"/>
  <c r="N48" i="1"/>
  <c r="AQ118" i="1"/>
  <c r="O48" i="1"/>
  <c r="AR118" i="1"/>
  <c r="P48" i="1"/>
  <c r="AS118" i="1" s="1"/>
  <c r="Q48" i="1"/>
  <c r="AT118" i="1" s="1"/>
  <c r="R48" i="1"/>
  <c r="AU118" i="1" s="1"/>
  <c r="S48" i="1"/>
  <c r="AV118" i="1" s="1"/>
  <c r="T48" i="1"/>
  <c r="AW118" i="1" s="1"/>
  <c r="U48" i="1"/>
  <c r="AX118" i="1"/>
  <c r="V48" i="1"/>
  <c r="AY118" i="1" s="1"/>
  <c r="W48" i="1"/>
  <c r="AZ118" i="1" s="1"/>
  <c r="X48" i="1"/>
  <c r="BA118" i="1" s="1"/>
  <c r="Y48" i="1"/>
  <c r="BB118" i="1" s="1"/>
  <c r="G49" i="1"/>
  <c r="AJ119" i="1" s="1"/>
  <c r="H49" i="1"/>
  <c r="AK119" i="1" s="1"/>
  <c r="I49" i="1"/>
  <c r="AL119" i="1" s="1"/>
  <c r="J49" i="1"/>
  <c r="AM119" i="1" s="1"/>
  <c r="K49" i="1"/>
  <c r="AN119" i="1" s="1"/>
  <c r="L49" i="1"/>
  <c r="AO119" i="1" s="1"/>
  <c r="M49" i="1"/>
  <c r="AP119" i="1" s="1"/>
  <c r="N49" i="1"/>
  <c r="AQ119" i="1"/>
  <c r="O49" i="1"/>
  <c r="AR119" i="1" s="1"/>
  <c r="P49" i="1"/>
  <c r="AS119" i="1" s="1"/>
  <c r="Q49" i="1"/>
  <c r="AT119" i="1" s="1"/>
  <c r="R49" i="1"/>
  <c r="AU119" i="1" s="1"/>
  <c r="S49" i="1"/>
  <c r="AV119" i="1"/>
  <c r="T49" i="1"/>
  <c r="AW119" i="1" s="1"/>
  <c r="U49" i="1"/>
  <c r="AX119" i="1" s="1"/>
  <c r="V49" i="1"/>
  <c r="AY119" i="1" s="1"/>
  <c r="W49" i="1"/>
  <c r="AZ119" i="1" s="1"/>
  <c r="X49" i="1"/>
  <c r="BA119" i="1" s="1"/>
  <c r="Y49" i="1"/>
  <c r="BB119" i="1" s="1"/>
  <c r="G50" i="1"/>
  <c r="AJ120" i="1"/>
  <c r="H50" i="1"/>
  <c r="AK120" i="1" s="1"/>
  <c r="I50" i="1"/>
  <c r="AL120" i="1"/>
  <c r="J50" i="1"/>
  <c r="AM120" i="1" s="1"/>
  <c r="K50" i="1"/>
  <c r="AN120" i="1" s="1"/>
  <c r="L50" i="1"/>
  <c r="AO120" i="1" s="1"/>
  <c r="M50" i="1"/>
  <c r="AP120" i="1" s="1"/>
  <c r="N50" i="1"/>
  <c r="AQ120" i="1" s="1"/>
  <c r="O50" i="1"/>
  <c r="AR120" i="1"/>
  <c r="P50" i="1"/>
  <c r="AS120" i="1" s="1"/>
  <c r="Q50" i="1"/>
  <c r="AT120" i="1" s="1"/>
  <c r="R50" i="1"/>
  <c r="AU120" i="1" s="1"/>
  <c r="S50" i="1"/>
  <c r="AV120" i="1" s="1"/>
  <c r="T50" i="1"/>
  <c r="AW120" i="1" s="1"/>
  <c r="U50" i="1"/>
  <c r="AX120" i="1" s="1"/>
  <c r="V50" i="1"/>
  <c r="AY120" i="1" s="1"/>
  <c r="W50" i="1"/>
  <c r="AZ120" i="1" s="1"/>
  <c r="X50" i="1"/>
  <c r="BA120" i="1" s="1"/>
  <c r="Y50" i="1"/>
  <c r="BB120" i="1"/>
  <c r="G51" i="1"/>
  <c r="AJ121" i="1" s="1"/>
  <c r="H51" i="1"/>
  <c r="AK121" i="1"/>
  <c r="I51" i="1"/>
  <c r="AL121" i="1"/>
  <c r="J51" i="1"/>
  <c r="AM121" i="1" s="1"/>
  <c r="K51" i="1"/>
  <c r="AN121" i="1" s="1"/>
  <c r="L51" i="1"/>
  <c r="AO121" i="1"/>
  <c r="M51" i="1"/>
  <c r="AP121" i="1"/>
  <c r="N51" i="1"/>
  <c r="AQ121" i="1"/>
  <c r="O51" i="1"/>
  <c r="AR121" i="1" s="1"/>
  <c r="P51" i="1"/>
  <c r="AS121" i="1"/>
  <c r="Q51" i="1"/>
  <c r="AT121" i="1" s="1"/>
  <c r="R51" i="1"/>
  <c r="AU121" i="1"/>
  <c r="S51" i="1"/>
  <c r="AV121" i="1" s="1"/>
  <c r="T51" i="1"/>
  <c r="AW121" i="1" s="1"/>
  <c r="U51" i="1"/>
  <c r="AX121" i="1"/>
  <c r="V51" i="1"/>
  <c r="AY121" i="1" s="1"/>
  <c r="W51" i="1"/>
  <c r="AZ121" i="1" s="1"/>
  <c r="X51" i="1"/>
  <c r="BA121" i="1" s="1"/>
  <c r="Y51" i="1"/>
  <c r="BB121" i="1" s="1"/>
  <c r="G52" i="1"/>
  <c r="H52" i="1"/>
  <c r="AK122" i="1" s="1"/>
  <c r="I52" i="1"/>
  <c r="AL122" i="1" s="1"/>
  <c r="J52" i="1"/>
  <c r="AM122" i="1"/>
  <c r="K52" i="1"/>
  <c r="AN122" i="1" s="1"/>
  <c r="L52" i="1"/>
  <c r="AO122" i="1" s="1"/>
  <c r="M52" i="1"/>
  <c r="AP122" i="1" s="1"/>
  <c r="N52" i="1"/>
  <c r="AQ122" i="1" s="1"/>
  <c r="O52" i="1"/>
  <c r="AR122" i="1" s="1"/>
  <c r="P52" i="1"/>
  <c r="AS122" i="1" s="1"/>
  <c r="Q52" i="1"/>
  <c r="AT122" i="1" s="1"/>
  <c r="R52" i="1"/>
  <c r="AU122" i="1"/>
  <c r="S52" i="1"/>
  <c r="AV122" i="1" s="1"/>
  <c r="T52" i="1"/>
  <c r="AW122" i="1" s="1"/>
  <c r="U52" i="1"/>
  <c r="AX122" i="1" s="1"/>
  <c r="V52" i="1"/>
  <c r="AY122" i="1" s="1"/>
  <c r="W52" i="1"/>
  <c r="AZ122" i="1" s="1"/>
  <c r="X52" i="1"/>
  <c r="BA122" i="1" s="1"/>
  <c r="Y52" i="1"/>
  <c r="BB122" i="1"/>
  <c r="G53" i="1"/>
  <c r="AJ123" i="1"/>
  <c r="H53" i="1"/>
  <c r="AK123" i="1" s="1"/>
  <c r="I53" i="1"/>
  <c r="AL123" i="1" s="1"/>
  <c r="J53" i="1"/>
  <c r="AM123" i="1" s="1"/>
  <c r="K53" i="1"/>
  <c r="AN123" i="1" s="1"/>
  <c r="L53" i="1"/>
  <c r="AO123" i="1"/>
  <c r="M53" i="1"/>
  <c r="AP123" i="1" s="1"/>
  <c r="N53" i="1"/>
  <c r="AQ123" i="1" s="1"/>
  <c r="O53" i="1"/>
  <c r="AR123" i="1" s="1"/>
  <c r="P53" i="1"/>
  <c r="AS123" i="1" s="1"/>
  <c r="Q53" i="1"/>
  <c r="AT123" i="1" s="1"/>
  <c r="R53" i="1"/>
  <c r="AU123" i="1"/>
  <c r="S53" i="1"/>
  <c r="AV123" i="1" s="1"/>
  <c r="T53" i="1"/>
  <c r="AW123" i="1" s="1"/>
  <c r="U53" i="1"/>
  <c r="AX123" i="1" s="1"/>
  <c r="V53" i="1"/>
  <c r="AY123" i="1" s="1"/>
  <c r="W53" i="1"/>
  <c r="AZ123" i="1" s="1"/>
  <c r="X53" i="1"/>
  <c r="BA123" i="1"/>
  <c r="Y53" i="1"/>
  <c r="BB123" i="1" s="1"/>
  <c r="G54" i="1"/>
  <c r="AJ124" i="1"/>
  <c r="H54" i="1"/>
  <c r="AK124" i="1" s="1"/>
  <c r="I54" i="1"/>
  <c r="AL124" i="1" s="1"/>
  <c r="J54" i="1"/>
  <c r="AM124" i="1" s="1"/>
  <c r="K54" i="1"/>
  <c r="AN124" i="1"/>
  <c r="L54" i="1"/>
  <c r="AO124" i="1" s="1"/>
  <c r="M54" i="1"/>
  <c r="AP124" i="1"/>
  <c r="N54" i="1"/>
  <c r="AQ124" i="1" s="1"/>
  <c r="O54" i="1"/>
  <c r="AR124" i="1" s="1"/>
  <c r="P54" i="1"/>
  <c r="AS124" i="1"/>
  <c r="Q54" i="1"/>
  <c r="AT124" i="1" s="1"/>
  <c r="R54" i="1"/>
  <c r="AU124" i="1" s="1"/>
  <c r="S54" i="1"/>
  <c r="AV124" i="1" s="1"/>
  <c r="T54" i="1"/>
  <c r="AW124" i="1" s="1"/>
  <c r="U54" i="1"/>
  <c r="AX124" i="1"/>
  <c r="V54" i="1"/>
  <c r="AY124" i="1" s="1"/>
  <c r="W54" i="1"/>
  <c r="AZ124" i="1"/>
  <c r="X54" i="1"/>
  <c r="BA124" i="1" s="1"/>
  <c r="Y54" i="1"/>
  <c r="BB124" i="1" s="1"/>
  <c r="G55" i="1"/>
  <c r="AJ125" i="1" s="1"/>
  <c r="H55" i="1"/>
  <c r="AK125" i="1" s="1"/>
  <c r="I55" i="1"/>
  <c r="AL125" i="1"/>
  <c r="J55" i="1"/>
  <c r="AM125" i="1" s="1"/>
  <c r="K55" i="1"/>
  <c r="AN125" i="1" s="1"/>
  <c r="L55" i="1"/>
  <c r="AO125" i="1" s="1"/>
  <c r="M55" i="1"/>
  <c r="AP125" i="1" s="1"/>
  <c r="N55" i="1"/>
  <c r="AQ125" i="1" s="1"/>
  <c r="O55" i="1"/>
  <c r="AR125" i="1" s="1"/>
  <c r="P55" i="1"/>
  <c r="AS125" i="1" s="1"/>
  <c r="Q55" i="1"/>
  <c r="AT125" i="1"/>
  <c r="R55" i="1"/>
  <c r="AU125" i="1" s="1"/>
  <c r="S55" i="1"/>
  <c r="AV125" i="1" s="1"/>
  <c r="T55" i="1"/>
  <c r="AW125" i="1"/>
  <c r="U55" i="1"/>
  <c r="AX125" i="1" s="1"/>
  <c r="V55" i="1"/>
  <c r="AY125" i="1" s="1"/>
  <c r="W55" i="1"/>
  <c r="AZ125" i="1" s="1"/>
  <c r="X55" i="1"/>
  <c r="BA125" i="1" s="1"/>
  <c r="Y55" i="1"/>
  <c r="BB125" i="1" s="1"/>
  <c r="G56" i="1"/>
  <c r="AJ126" i="1" s="1"/>
  <c r="H56" i="1"/>
  <c r="AK126" i="1" s="1"/>
  <c r="I56" i="1"/>
  <c r="AL126" i="1" s="1"/>
  <c r="J56" i="1"/>
  <c r="AM126" i="1"/>
  <c r="K56" i="1"/>
  <c r="AN126" i="1" s="1"/>
  <c r="L56" i="1"/>
  <c r="AO126" i="1" s="1"/>
  <c r="M56" i="1"/>
  <c r="AP126" i="1" s="1"/>
  <c r="N56" i="1"/>
  <c r="AQ126" i="1" s="1"/>
  <c r="O56" i="1"/>
  <c r="AR126" i="1"/>
  <c r="P56" i="1"/>
  <c r="AS126" i="1" s="1"/>
  <c r="Q56" i="1"/>
  <c r="AT126" i="1" s="1"/>
  <c r="R56" i="1"/>
  <c r="AU126" i="1" s="1"/>
  <c r="S56" i="1"/>
  <c r="AV126" i="1" s="1"/>
  <c r="T56" i="1"/>
  <c r="AW126" i="1" s="1"/>
  <c r="U56" i="1"/>
  <c r="AX126" i="1"/>
  <c r="V56" i="1"/>
  <c r="AY126" i="1" s="1"/>
  <c r="W56" i="1"/>
  <c r="AZ126" i="1"/>
  <c r="X56" i="1"/>
  <c r="BA126" i="1" s="1"/>
  <c r="Y56" i="1"/>
  <c r="BB126" i="1" s="1"/>
  <c r="G57" i="1"/>
  <c r="AJ127" i="1"/>
  <c r="H57" i="1"/>
  <c r="AK127" i="1"/>
  <c r="I57" i="1"/>
  <c r="AL127" i="1" s="1"/>
  <c r="J57" i="1"/>
  <c r="AM127" i="1" s="1"/>
  <c r="K57" i="1"/>
  <c r="AN127" i="1" s="1"/>
  <c r="L57" i="1"/>
  <c r="AO127" i="1"/>
  <c r="M57" i="1"/>
  <c r="AP127" i="1" s="1"/>
  <c r="N57" i="1"/>
  <c r="AQ127" i="1" s="1"/>
  <c r="O57" i="1"/>
  <c r="AR127" i="1" s="1"/>
  <c r="P57" i="1"/>
  <c r="AS127" i="1" s="1"/>
  <c r="Q57" i="1"/>
  <c r="AT127" i="1" s="1"/>
  <c r="R57" i="1"/>
  <c r="AU127" i="1" s="1"/>
  <c r="S57" i="1"/>
  <c r="AV127" i="1"/>
  <c r="T57" i="1"/>
  <c r="AW127" i="1" s="1"/>
  <c r="U57" i="1"/>
  <c r="AX127" i="1" s="1"/>
  <c r="V57" i="1"/>
  <c r="AY127" i="1" s="1"/>
  <c r="W57" i="1"/>
  <c r="AZ127" i="1" s="1"/>
  <c r="X57" i="1"/>
  <c r="BA127" i="1"/>
  <c r="Y57" i="1"/>
  <c r="BB127" i="1" s="1"/>
  <c r="H8" i="1"/>
  <c r="AK78" i="1" s="1"/>
  <c r="I8" i="1"/>
  <c r="AL78" i="1"/>
  <c r="J8" i="1"/>
  <c r="AM78" i="1" s="1"/>
  <c r="K8" i="1"/>
  <c r="AN78" i="1" s="1"/>
  <c r="L8" i="1"/>
  <c r="AO78" i="1" s="1"/>
  <c r="M8" i="1"/>
  <c r="AP78" i="1" s="1"/>
  <c r="N8" i="1"/>
  <c r="AQ78" i="1"/>
  <c r="O8" i="1"/>
  <c r="AR78" i="1" s="1"/>
  <c r="P8" i="1"/>
  <c r="AS78" i="1" s="1"/>
  <c r="Q8" i="1"/>
  <c r="AT78" i="1"/>
  <c r="R8" i="1"/>
  <c r="AU78" i="1" s="1"/>
  <c r="S8" i="1"/>
  <c r="AV78" i="1" s="1"/>
  <c r="T8" i="1"/>
  <c r="AW78" i="1" s="1"/>
  <c r="U8" i="1"/>
  <c r="AX78" i="1"/>
  <c r="V8" i="1"/>
  <c r="AY78" i="1" s="1"/>
  <c r="W8" i="1"/>
  <c r="AZ78" i="1" s="1"/>
  <c r="X8" i="1"/>
  <c r="BA78" i="1" s="1"/>
  <c r="Y8" i="1"/>
  <c r="BB78" i="1"/>
  <c r="G8" i="1"/>
  <c r="AJ78" i="1" s="1"/>
  <c r="BF9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G54" i="1" l="1"/>
  <c r="AG57" i="1"/>
  <c r="AG50" i="1"/>
  <c r="BC82" i="1"/>
  <c r="BC94" i="1"/>
  <c r="BC85" i="1"/>
  <c r="BC79" i="1"/>
  <c r="BC106" i="1"/>
  <c r="AG52" i="1"/>
  <c r="BC119" i="1"/>
  <c r="BC95" i="1"/>
  <c r="BC115" i="1"/>
  <c r="BC93" i="1"/>
  <c r="BC84" i="1"/>
  <c r="BC126" i="1"/>
  <c r="BC127" i="1"/>
  <c r="BC108" i="1"/>
  <c r="BC125" i="1"/>
  <c r="BC120" i="1"/>
  <c r="BC113" i="1"/>
  <c r="BC130" i="1"/>
  <c r="AG51" i="1"/>
  <c r="AG56" i="1"/>
  <c r="BC109" i="1"/>
  <c r="BC104" i="1"/>
  <c r="BC131" i="1"/>
  <c r="BC123" i="1"/>
  <c r="BC114" i="1"/>
  <c r="BC110" i="1"/>
  <c r="BC91" i="1"/>
  <c r="BC140" i="1"/>
  <c r="AG45" i="1"/>
  <c r="AJ122" i="1"/>
  <c r="BC122" i="1" s="1"/>
  <c r="BC112" i="1"/>
  <c r="BC99" i="1"/>
  <c r="BC86" i="1"/>
  <c r="BC111" i="1"/>
  <c r="BC121" i="1"/>
  <c r="BC102" i="1"/>
  <c r="BC103" i="1"/>
  <c r="BC98" i="1"/>
  <c r="BC90" i="1"/>
  <c r="BC107" i="1"/>
  <c r="BC124" i="1"/>
  <c r="BC116" i="1"/>
  <c r="BC97" i="1"/>
  <c r="BC78" i="1"/>
  <c r="BC101" i="1"/>
  <c r="BC100" i="1"/>
  <c r="BC87" i="1"/>
  <c r="BC132" i="1"/>
  <c r="AG46" i="1"/>
  <c r="BC138" i="1"/>
  <c r="BC105" i="1"/>
  <c r="BC96" i="1"/>
  <c r="BC83" i="1"/>
  <c r="AG47" i="1"/>
  <c r="AG53" i="1"/>
  <c r="BC118" i="1"/>
  <c r="BC128" i="1"/>
  <c r="BC92" i="1"/>
  <c r="BC88" i="1"/>
  <c r="BC89" i="1"/>
  <c r="AG48" i="1"/>
  <c r="BC81" i="1"/>
  <c r="BC80" i="1"/>
  <c r="AG49" i="1"/>
  <c r="AG44" i="1"/>
  <c r="AG55" i="1"/>
  <c r="BC139" i="1"/>
  <c r="BC117" i="1"/>
  <c r="BC134" i="1"/>
  <c r="BC133" i="1"/>
  <c r="BC137" i="1"/>
  <c r="BC135" i="1"/>
  <c r="BC129" i="1"/>
  <c r="BC136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<sst xmlns="http://schemas.openxmlformats.org/spreadsheetml/2006/main" count="1198" uniqueCount="32">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</sst>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%;[Red]\-0.0%"/>
    <numFmt numFmtId="166" formatCode="0.00000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61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2" fontId="0" fillId="0" borderId="0" xfId="0" applyNumberFormat="1"/>
    <xf numFmtId="166" fontId="0" fillId="0" borderId="0" xfId="1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4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42"/>
  <sheetViews>
    <sheetView tabSelected="1" topLeftCell="Z34" workbookViewId="0">
      <selection activeCell="AN147" sqref="AN147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6" t="s">
        <v>26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7.0885714285714281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6.5</v>
      </c>
      <c r="Q8" s="35">
        <f>Price!Q8/'Price D Coupon'!Q$5</f>
        <v>6.0475000000000003</v>
      </c>
      <c r="R8" s="35">
        <f>Price!R8/'Price D Coupon'!R$5</f>
        <v>0</v>
      </c>
      <c r="S8" s="35">
        <f>Price!S8/'Price D Coupon'!S$5</f>
        <v>5.8177777777777777</v>
      </c>
      <c r="T8" s="35">
        <f>Price!T8/'Price D Coupon'!T$5</f>
        <v>5.4333333333333336</v>
      </c>
      <c r="U8" s="35">
        <f>Price!U8/'Price D Coupon'!U$5</f>
        <v>5.194</v>
      </c>
      <c r="V8" s="35">
        <f>Price!V8/'Price D Coupon'!V$5</f>
        <v>4.8319999999999999</v>
      </c>
      <c r="W8" s="35">
        <f>Price!W8/'Price D Coupon'!W$5</f>
        <v>3.7363636363636363</v>
      </c>
      <c r="X8" s="35">
        <f>Price!X8/'Price D Coupon'!X$5</f>
        <v>3.3699999999999997</v>
      </c>
      <c r="Y8" s="35">
        <f>Price!Y8/'Price D Coupon'!Y$5</f>
        <v>3.2815384615384611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7.1228571428571428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6.5650000000000004</v>
      </c>
      <c r="Q9" s="35">
        <f>Price!Q9/'Price D Coupon'!Q$5</f>
        <v>6.0875000000000004</v>
      </c>
      <c r="R9" s="35">
        <f>Price!R9/'Price D Coupon'!R$5</f>
        <v>0</v>
      </c>
      <c r="S9" s="35">
        <f>Price!S9/'Price D Coupon'!S$5</f>
        <v>5.8555555555555561</v>
      </c>
      <c r="T9" s="35">
        <f>Price!T9/'Price D Coupon'!T$5</f>
        <v>5.4911111111111115</v>
      </c>
      <c r="U9" s="35">
        <f>Price!U9/'Price D Coupon'!U$5</f>
        <v>5.306</v>
      </c>
      <c r="V9" s="35">
        <f>Price!V9/'Price D Coupon'!V$5</f>
        <v>4.9960000000000004</v>
      </c>
      <c r="W9" s="35">
        <f>Price!W9/'Price D Coupon'!W$5</f>
        <v>3.7945454545454549</v>
      </c>
      <c r="X9" s="35">
        <f>Price!X9/'Price D Coupon'!X$5</f>
        <v>3.3966666666666665</v>
      </c>
      <c r="Y9" s="35">
        <f>Price!Y9/'Price D Coupon'!Y$5</f>
        <v>3.3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4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7.2628571428571433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6.6550000000000002</v>
      </c>
      <c r="Q10" s="35">
        <f>Price!Q10/'Price D Coupon'!Q$5</f>
        <v>6.1675000000000004</v>
      </c>
      <c r="R10" s="35">
        <f>Price!R10/'Price D Coupon'!R$5</f>
        <v>0</v>
      </c>
      <c r="S10" s="35">
        <f>Price!S10/'Price D Coupon'!S$5</f>
        <v>5.8977777777777778</v>
      </c>
      <c r="T10" s="35">
        <f>Price!T10/'Price D Coupon'!T$5</f>
        <v>5.46</v>
      </c>
      <c r="U10" s="35">
        <f>Price!U10/'Price D Coupon'!U$5</f>
        <v>5.3239999999999998</v>
      </c>
      <c r="V10" s="35">
        <f>Price!V10/'Price D Coupon'!V$5</f>
        <v>4.92</v>
      </c>
      <c r="W10" s="35">
        <f>Price!W10/'Price D Coupon'!W$5</f>
        <v>3.6763636363636363</v>
      </c>
      <c r="X10" s="35">
        <f>Price!X10/'Price D Coupon'!X$5</f>
        <v>3.4133333333333336</v>
      </c>
      <c r="Y10" s="35">
        <f>Price!Y10/'Price D Coupon'!Y$5</f>
        <v>3.4046153846153846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7.3285714285714283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6.7225000000000001</v>
      </c>
      <c r="Q11" s="35">
        <f>Price!Q11/'Price D Coupon'!Q$5</f>
        <v>6.1524999999999999</v>
      </c>
      <c r="R11" s="35">
        <f>Price!R11/'Price D Coupon'!R$5</f>
        <v>0</v>
      </c>
      <c r="S11" s="35">
        <f>Price!S11/'Price D Coupon'!S$5</f>
        <v>5.982222222222223</v>
      </c>
      <c r="T11" s="35">
        <f>Price!T11/'Price D Coupon'!T$5</f>
        <v>5.4622222222222216</v>
      </c>
      <c r="U11" s="35">
        <f>Price!U11/'Price D Coupon'!U$5</f>
        <v>5.4659999999999993</v>
      </c>
      <c r="V11" s="35">
        <f>Price!V11/'Price D Coupon'!V$5</f>
        <v>4.9859999999999998</v>
      </c>
      <c r="W11" s="35">
        <f>Price!W11/'Price D Coupon'!W$5</f>
        <v>3.689090909090909</v>
      </c>
      <c r="X11" s="35">
        <f>Price!X11/'Price D Coupon'!X$5</f>
        <v>3.4733333333333332</v>
      </c>
      <c r="Y11" s="35">
        <f>Price!Y11/'Price D Coupon'!Y$5</f>
        <v>3.4553846153846157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7.1228571428571428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6.4325000000000001</v>
      </c>
      <c r="Q12" s="35">
        <f>Price!Q12/'Price D Coupon'!Q$5</f>
        <v>5.83</v>
      </c>
      <c r="R12" s="35">
        <f>Price!R12/'Price D Coupon'!R$5</f>
        <v>0</v>
      </c>
      <c r="S12" s="35">
        <f>Price!S12/'Price D Coupon'!S$5</f>
        <v>5.5711111111111116</v>
      </c>
      <c r="T12" s="35">
        <f>Price!T12/'Price D Coupon'!T$5</f>
        <v>5.04</v>
      </c>
      <c r="U12" s="35">
        <f>Price!U12/'Price D Coupon'!U$5</f>
        <v>5.0780000000000003</v>
      </c>
      <c r="V12" s="35">
        <f>Price!V12/'Price D Coupon'!V$5</f>
        <v>4.5720000000000001</v>
      </c>
      <c r="W12" s="35">
        <f>Price!W12/'Price D Coupon'!W$5</f>
        <v>3.5181818181818185</v>
      </c>
      <c r="X12" s="35">
        <f>Price!X12/'Price D Coupon'!X$5</f>
        <v>3.3333333333333335</v>
      </c>
      <c r="Y12" s="35">
        <f>Price!Y12/'Price D Coupon'!Y$5</f>
        <v>3.36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6.3028571428571425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5.3174999999999999</v>
      </c>
      <c r="Q13" s="35">
        <f>Price!Q13/'Price D Coupon'!Q$5</f>
        <v>4.835</v>
      </c>
      <c r="R13" s="35">
        <f>Price!R13/'Price D Coupon'!R$5</f>
        <v>0</v>
      </c>
      <c r="S13" s="35">
        <f>Price!S13/'Price D Coupon'!S$5</f>
        <v>4.1222222222222227</v>
      </c>
      <c r="T13" s="35">
        <f>Price!T13/'Price D Coupon'!T$5</f>
        <v>3.7466666666666666</v>
      </c>
      <c r="U13" s="35">
        <f>Price!U13/'Price D Coupon'!U$5</f>
        <v>3.9159999999999995</v>
      </c>
      <c r="V13" s="35">
        <f>Price!V13/'Price D Coupon'!V$5</f>
        <v>3.4840000000000004</v>
      </c>
      <c r="W13" s="35">
        <f>Price!W13/'Price D Coupon'!W$5</f>
        <v>2.9218181818181819</v>
      </c>
      <c r="X13" s="35">
        <f>Price!X13/'Price D Coupon'!X$5</f>
        <v>2.9066666666666667</v>
      </c>
      <c r="Y13" s="35">
        <f>Price!Y13/'Price D Coupon'!Y$5</f>
        <v>3.072307692307692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5.2628571428571433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4.2300000000000004</v>
      </c>
      <c r="Q14" s="35">
        <f>Price!Q14/'Price D Coupon'!Q$5</f>
        <v>3.7349999999999999</v>
      </c>
      <c r="R14" s="35">
        <f>Price!R14/'Price D Coupon'!R$5</f>
        <v>0</v>
      </c>
      <c r="S14" s="35">
        <f>Price!S14/'Price D Coupon'!S$5</f>
        <v>3.3711111111111109</v>
      </c>
      <c r="T14" s="35">
        <f>Price!T14/'Price D Coupon'!T$5</f>
        <v>2.9577777777777778</v>
      </c>
      <c r="U14" s="35">
        <f>Price!U14/'Price D Coupon'!U$5</f>
        <v>3.3359999999999999</v>
      </c>
      <c r="V14" s="35">
        <f>Price!V14/'Price D Coupon'!V$5</f>
        <v>2.8679999999999999</v>
      </c>
      <c r="W14" s="35">
        <f>Price!W14/'Price D Coupon'!W$5</f>
        <v>2.3763636363636365</v>
      </c>
      <c r="X14" s="35">
        <f>Price!X14/'Price D Coupon'!X$5</f>
        <v>2.4483333333333333</v>
      </c>
      <c r="Y14" s="35">
        <f>Price!Y14/'Price D Coupon'!Y$5</f>
        <v>2.6830769230769231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5.1742857142857144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4.1749999999999998</v>
      </c>
      <c r="Q15" s="35">
        <f>Price!Q15/'Price D Coupon'!Q$5</f>
        <v>3.8174999999999999</v>
      </c>
      <c r="R15" s="35">
        <f>Price!R15/'Price D Coupon'!R$5</f>
        <v>0</v>
      </c>
      <c r="S15" s="35">
        <f>Price!S15/'Price D Coupon'!S$5</f>
        <v>3.6355555555555554</v>
      </c>
      <c r="T15" s="35">
        <f>Price!T15/'Price D Coupon'!T$5</f>
        <v>3.1422222222222222</v>
      </c>
      <c r="U15" s="35">
        <f>Price!U15/'Price D Coupon'!U$5</f>
        <v>3.8520000000000003</v>
      </c>
      <c r="V15" s="35">
        <f>Price!V15/'Price D Coupon'!V$5</f>
        <v>3.4079999999999999</v>
      </c>
      <c r="W15" s="35">
        <f>Price!W15/'Price D Coupon'!W$5</f>
        <v>2.3618181818181818</v>
      </c>
      <c r="X15" s="35">
        <f>Price!X15/'Price D Coupon'!X$5</f>
        <v>2.4066666666666667</v>
      </c>
      <c r="Y15" s="35">
        <f>Price!Y15/'Price D Coupon'!Y$5</f>
        <v>2.5953846153846154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5.0514285714285716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4.0575000000000001</v>
      </c>
      <c r="Q16" s="35">
        <f>Price!Q16/'Price D Coupon'!Q$5</f>
        <v>3.58</v>
      </c>
      <c r="R16" s="35">
        <f>Price!R16/'Price D Coupon'!R$5</f>
        <v>0</v>
      </c>
      <c r="S16" s="35">
        <f>Price!S16/'Price D Coupon'!S$5</f>
        <v>3.7199999999999998</v>
      </c>
      <c r="T16" s="35">
        <f>Price!T16/'Price D Coupon'!T$5</f>
        <v>3.0733333333333333</v>
      </c>
      <c r="U16" s="35">
        <f>Price!U16/'Price D Coupon'!U$5</f>
        <v>3.9840000000000004</v>
      </c>
      <c r="V16" s="35">
        <f>Price!V16/'Price D Coupon'!V$5</f>
        <v>3.4740000000000002</v>
      </c>
      <c r="W16" s="35">
        <f>Price!W16/'Price D Coupon'!W$5</f>
        <v>2.4781818181818185</v>
      </c>
      <c r="X16" s="35">
        <f>Price!X16/'Price D Coupon'!X$5</f>
        <v>2.5783333333333336</v>
      </c>
      <c r="Y16" s="35">
        <f>Price!Y16/'Price D Coupon'!Y$5</f>
        <v>2.7307692307692308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4.9114285714285719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</v>
      </c>
      <c r="Q17" s="35">
        <f>Price!Q17/'Price D Coupon'!Q$5</f>
        <v>3.41</v>
      </c>
      <c r="R17" s="35">
        <f>Price!R17/'Price D Coupon'!R$5</f>
        <v>0</v>
      </c>
      <c r="S17" s="35">
        <f>Price!S17/'Price D Coupon'!S$5</f>
        <v>3.7177777777777781</v>
      </c>
      <c r="T17" s="35">
        <f>Price!T17/'Price D Coupon'!T$5</f>
        <v>3.0066666666666664</v>
      </c>
      <c r="U17" s="35">
        <f>Price!U17/'Price D Coupon'!U$5</f>
        <v>3.97</v>
      </c>
      <c r="V17" s="35">
        <f>Price!V17/'Price D Coupon'!V$5</f>
        <v>3.3860000000000001</v>
      </c>
      <c r="W17" s="35">
        <f>Price!W17/'Price D Coupon'!W$5</f>
        <v>2.3418181818181818</v>
      </c>
      <c r="X17" s="35">
        <f>Price!X17/'Price D Coupon'!X$5</f>
        <v>2.5016666666666665</v>
      </c>
      <c r="Y17" s="35">
        <f>Price!Y17/'Price D Coupon'!Y$5</f>
        <v>2.6707692307692308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4.5885714285714281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3.6349999999999998</v>
      </c>
      <c r="Q18" s="35">
        <f>Price!Q18/'Price D Coupon'!Q$5</f>
        <v>3.0049999999999999</v>
      </c>
      <c r="R18" s="35">
        <f>Price!R18/'Price D Coupon'!R$5</f>
        <v>0</v>
      </c>
      <c r="S18" s="35">
        <f>Price!S18/'Price D Coupon'!S$5</f>
        <v>3.3866666666666667</v>
      </c>
      <c r="T18" s="35">
        <f>Price!T18/'Price D Coupon'!T$5</f>
        <v>2.7022222222222223</v>
      </c>
      <c r="U18" s="35">
        <f>Price!U18/'Price D Coupon'!U$5</f>
        <v>3.59</v>
      </c>
      <c r="V18" s="35">
        <f>Price!V18/'Price D Coupon'!V$5</f>
        <v>3.0219999999999998</v>
      </c>
      <c r="W18" s="35">
        <f>Price!W18/'Price D Coupon'!W$5</f>
        <v>2.2745454545454544</v>
      </c>
      <c r="X18" s="35">
        <f>Price!X18/'Price D Coupon'!X$5</f>
        <v>2.3833333333333333</v>
      </c>
      <c r="Y18" s="35">
        <f>Price!Y18/'Price D Coupon'!Y$5</f>
        <v>2.5907692307692307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5.1142857142857139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4.21</v>
      </c>
      <c r="Q19" s="35">
        <f>Price!Q19/'Price D Coupon'!Q$5</f>
        <v>3.4075000000000002</v>
      </c>
      <c r="R19" s="35">
        <f>Price!R19/'Price D Coupon'!R$5</f>
        <v>0</v>
      </c>
      <c r="S19" s="35">
        <f>Price!S19/'Price D Coupon'!S$5</f>
        <v>3.8244444444444445</v>
      </c>
      <c r="T19" s="35">
        <f>Price!T19/'Price D Coupon'!T$5</f>
        <v>3.0555555555555554</v>
      </c>
      <c r="U19" s="35">
        <f>Price!U19/'Price D Coupon'!U$5</f>
        <v>3.9560000000000004</v>
      </c>
      <c r="V19" s="35">
        <f>Price!V19/'Price D Coupon'!V$5</f>
        <v>3.3299999999999996</v>
      </c>
      <c r="W19" s="35">
        <f>Price!W19/'Price D Coupon'!W$5</f>
        <v>2.44</v>
      </c>
      <c r="X19" s="35">
        <f>Price!X19/'Price D Coupon'!X$5</f>
        <v>2.5766666666666667</v>
      </c>
      <c r="Y19" s="35">
        <f>Price!Y19/'Price D Coupon'!Y$5</f>
        <v>2.7338461538461538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5.6171428571428574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5.0949999999999998</v>
      </c>
      <c r="P20" s="35">
        <f>Price!P20/'Price D Coupon'!P$5</f>
        <v>4.7074999999999996</v>
      </c>
      <c r="Q20" s="35">
        <f>Price!Q20/'Price D Coupon'!Q$5</f>
        <v>3.93</v>
      </c>
      <c r="R20" s="35">
        <f>Price!R20/'Price D Coupon'!R$5</f>
        <v>4.6066666666666665</v>
      </c>
      <c r="S20" s="35">
        <f>Price!S20/'Price D Coupon'!S$5</f>
        <v>4.18</v>
      </c>
      <c r="T20" s="35">
        <f>Price!T20/'Price D Coupon'!T$5</f>
        <v>3.4066666666666667</v>
      </c>
      <c r="U20" s="35">
        <f>Price!U20/'Price D Coupon'!U$5</f>
        <v>4.2840000000000007</v>
      </c>
      <c r="V20" s="35">
        <f>Price!V20/'Price D Coupon'!V$5</f>
        <v>3.7020000000000004</v>
      </c>
      <c r="W20" s="35">
        <f>Price!W20/'Price D Coupon'!W$5</f>
        <v>2.5672727272727269</v>
      </c>
      <c r="X20" s="35">
        <f>Price!X20/'Price D Coupon'!X$5</f>
        <v>2.7166666666666668</v>
      </c>
      <c r="Y20" s="35">
        <f>Price!Y20/'Price D Coupon'!Y$5</f>
        <v>2.8584615384615382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5.2314285714285713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4.7675000000000001</v>
      </c>
      <c r="P21" s="35">
        <f>Price!P21/'Price D Coupon'!P$5</f>
        <v>4.3849999999999998</v>
      </c>
      <c r="Q21" s="35">
        <f>Price!Q21/'Price D Coupon'!Q$5</f>
        <v>3.6274999999999999</v>
      </c>
      <c r="R21" s="35">
        <f>Price!R21/'Price D Coupon'!R$5</f>
        <v>4.3088888888888892</v>
      </c>
      <c r="S21" s="35">
        <f>Price!S21/'Price D Coupon'!S$5</f>
        <v>3.8755555555555556</v>
      </c>
      <c r="T21" s="35">
        <f>Price!T21/'Price D Coupon'!T$5</f>
        <v>3.1288888888888891</v>
      </c>
      <c r="U21" s="35">
        <f>Price!U21/'Price D Coupon'!U$5</f>
        <v>4.1440000000000001</v>
      </c>
      <c r="V21" s="35">
        <f>Price!V21/'Price D Coupon'!V$5</f>
        <v>3.5720000000000001</v>
      </c>
      <c r="W21" s="35">
        <f>Price!W21/'Price D Coupon'!W$5</f>
        <v>2.4618181818181815</v>
      </c>
      <c r="X21" s="35">
        <f>Price!X21/'Price D Coupon'!X$5</f>
        <v>2.605</v>
      </c>
      <c r="Y21" s="35">
        <f>Price!Y21/'Price D Coupon'!Y$5</f>
        <v>2.94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4.4057142857142857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4.1775000000000002</v>
      </c>
      <c r="P22" s="35">
        <f>Price!P22/'Price D Coupon'!P$5</f>
        <v>3.7549999999999999</v>
      </c>
      <c r="Q22" s="35">
        <f>Price!Q22/'Price D Coupon'!Q$5</f>
        <v>2.9750000000000001</v>
      </c>
      <c r="R22" s="35">
        <f>Price!R22/'Price D Coupon'!R$5</f>
        <v>3.8311111111111109</v>
      </c>
      <c r="S22" s="35">
        <f>Price!S22/'Price D Coupon'!S$5</f>
        <v>3.3933333333333331</v>
      </c>
      <c r="T22" s="35">
        <f>Price!T22/'Price D Coupon'!T$5</f>
        <v>2.6955555555555559</v>
      </c>
      <c r="U22" s="35">
        <f>Price!U22/'Price D Coupon'!U$5</f>
        <v>3.75</v>
      </c>
      <c r="V22" s="35">
        <f>Price!V22/'Price D Coupon'!V$5</f>
        <v>3.1960000000000002</v>
      </c>
      <c r="W22" s="35">
        <f>Price!W22/'Price D Coupon'!W$5</f>
        <v>2.2145454545454544</v>
      </c>
      <c r="X22" s="35">
        <f>Price!X22/'Price D Coupon'!X$5</f>
        <v>2.3649999999999998</v>
      </c>
      <c r="Y22" s="35">
        <f>Price!Y22/'Price D Coupon'!Y$5</f>
        <v>2.8169230769230769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4.5257142857142858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</v>
      </c>
      <c r="P23" s="35">
        <f>Price!P23/'Price D Coupon'!P$5</f>
        <v>3.8574999999999999</v>
      </c>
      <c r="Q23" s="35">
        <f>Price!Q23/'Price D Coupon'!Q$5</f>
        <v>3.13</v>
      </c>
      <c r="R23" s="35">
        <f>Price!R23/'Price D Coupon'!R$5</f>
        <v>3.8511111111111109</v>
      </c>
      <c r="S23" s="35">
        <f>Price!S23/'Price D Coupon'!S$5</f>
        <v>3.5044444444444443</v>
      </c>
      <c r="T23" s="35">
        <f>Price!T23/'Price D Coupon'!T$5</f>
        <v>2.8822222222222225</v>
      </c>
      <c r="U23" s="35">
        <f>Price!U23/'Price D Coupon'!U$5</f>
        <v>3.8079999999999998</v>
      </c>
      <c r="V23" s="35">
        <f>Price!V23/'Price D Coupon'!V$5</f>
        <v>3.278</v>
      </c>
      <c r="W23" s="35">
        <f>Price!W23/'Price D Coupon'!W$5</f>
        <v>2.2381818181818183</v>
      </c>
      <c r="X23" s="35">
        <f>Price!X23/'Price D Coupon'!X$5</f>
        <v>2.3450000000000002</v>
      </c>
      <c r="Y23" s="35">
        <f>Price!Y23/'Price D Coupon'!Y$5</f>
        <v>2.7461538461538462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3.9514285714285715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3.8075000000000001</v>
      </c>
      <c r="P24" s="35">
        <f>Price!P24/'Price D Coupon'!P$5</f>
        <v>3.6775000000000002</v>
      </c>
      <c r="Q24" s="35">
        <f>Price!Q24/'Price D Coupon'!Q$5</f>
        <v>3.0525000000000002</v>
      </c>
      <c r="R24" s="35">
        <f>Price!R24/'Price D Coupon'!R$5</f>
        <v>3.9133333333333331</v>
      </c>
      <c r="S24" s="35">
        <f>Price!S24/'Price D Coupon'!S$5</f>
        <v>3.5155555555555558</v>
      </c>
      <c r="T24" s="35">
        <f>Price!T24/'Price D Coupon'!T$5</f>
        <v>2.9177777777777778</v>
      </c>
      <c r="U24" s="35">
        <f>Price!U24/'Price D Coupon'!U$5</f>
        <v>3.7880000000000003</v>
      </c>
      <c r="V24" s="35">
        <f>Price!V24/'Price D Coupon'!V$5</f>
        <v>3.25</v>
      </c>
      <c r="W24" s="35">
        <f>Price!W24/'Price D Coupon'!W$5</f>
        <v>2.230909090909091</v>
      </c>
      <c r="X24" s="35">
        <f>Price!X24/'Price D Coupon'!X$5</f>
        <v>2.3149999999999999</v>
      </c>
      <c r="Y24" s="35">
        <f>Price!Y24/'Price D Coupon'!Y$5</f>
        <v>2.7861538461538462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4.2714285714285714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4.1275000000000004</v>
      </c>
      <c r="P25" s="35">
        <f>Price!P25/'Price D Coupon'!P$5</f>
        <v>3.9525000000000001</v>
      </c>
      <c r="Q25" s="35">
        <f>Price!Q25/'Price D Coupon'!Q$5</f>
        <v>3.31</v>
      </c>
      <c r="R25" s="35">
        <f>Price!R25/'Price D Coupon'!R$5</f>
        <v>4.12</v>
      </c>
      <c r="S25" s="35">
        <f>Price!S25/'Price D Coupon'!S$5</f>
        <v>3.6733333333333338</v>
      </c>
      <c r="T25" s="35">
        <f>Price!T25/'Price D Coupon'!T$5</f>
        <v>3.1244444444444444</v>
      </c>
      <c r="U25" s="35">
        <f>Price!U25/'Price D Coupon'!U$5</f>
        <v>3.968</v>
      </c>
      <c r="V25" s="35">
        <f>Price!V25/'Price D Coupon'!V$5</f>
        <v>3.5020000000000002</v>
      </c>
      <c r="W25" s="35">
        <f>Price!W25/'Price D Coupon'!W$5</f>
        <v>2.3199999999999998</v>
      </c>
      <c r="X25" s="35">
        <f>Price!X25/'Price D Coupon'!X$5</f>
        <v>2.41</v>
      </c>
      <c r="Y25" s="35">
        <f>Price!Y25/'Price D Coupon'!Y$5</f>
        <v>2.8153846153846156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3.3514285714285714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3.4424999999999999</v>
      </c>
      <c r="P26" s="35">
        <f>Price!P26/'Price D Coupon'!P$5</f>
        <v>3.2875000000000001</v>
      </c>
      <c r="Q26" s="35">
        <f>Price!Q26/'Price D Coupon'!Q$5</f>
        <v>2.8075000000000001</v>
      </c>
      <c r="R26" s="35">
        <f>Price!R26/'Price D Coupon'!R$5</f>
        <v>3.56</v>
      </c>
      <c r="S26" s="35">
        <f>Price!S26/'Price D Coupon'!S$5</f>
        <v>3.1977777777777781</v>
      </c>
      <c r="T26" s="35">
        <f>Price!T26/'Price D Coupon'!T$5</f>
        <v>2.7622222222222224</v>
      </c>
      <c r="U26" s="35">
        <f>Price!U26/'Price D Coupon'!U$5</f>
        <v>3.774</v>
      </c>
      <c r="V26" s="35">
        <f>Price!V26/'Price D Coupon'!V$5</f>
        <v>3.34</v>
      </c>
      <c r="W26" s="35">
        <f>Price!W26/'Price D Coupon'!W$5</f>
        <v>2.1345454545454547</v>
      </c>
      <c r="X26" s="35">
        <f>Price!X26/'Price D Coupon'!X$5</f>
        <v>2.3183333333333334</v>
      </c>
      <c r="Y26" s="35">
        <f>Price!Y26/'Price D Coupon'!Y$5</f>
        <v>2.7169230769230768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3.3885714285714283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3.4750000000000001</v>
      </c>
      <c r="P27" s="35">
        <f>Price!P27/'Price D Coupon'!P$5</f>
        <v>3.35</v>
      </c>
      <c r="Q27" s="35">
        <f>Price!Q27/'Price D Coupon'!Q$5</f>
        <v>2.81</v>
      </c>
      <c r="R27" s="35">
        <f>Price!R27/'Price D Coupon'!R$5</f>
        <v>3.6888888888888891</v>
      </c>
      <c r="S27" s="35">
        <f>Price!S27/'Price D Coupon'!S$5</f>
        <v>3.3511111111111109</v>
      </c>
      <c r="T27" s="35">
        <f>Price!T27/'Price D Coupon'!T$5</f>
        <v>2.8511111111111109</v>
      </c>
      <c r="U27" s="35">
        <f>Price!U27/'Price D Coupon'!U$5</f>
        <v>3.7439999999999998</v>
      </c>
      <c r="V27" s="35">
        <f>Price!V27/'Price D Coupon'!V$5</f>
        <v>3.35</v>
      </c>
      <c r="W27" s="35">
        <f>Price!W27/'Price D Coupon'!W$5</f>
        <v>2.2454545454545456</v>
      </c>
      <c r="X27" s="35">
        <f>Price!X27/'Price D Coupon'!X$5</f>
        <v>2.4300000000000002</v>
      </c>
      <c r="Y27" s="35">
        <f>Price!Y27/'Price D Coupon'!Y$5</f>
        <v>2.7553846153846155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3.4371428571428568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3.4649999999999999</v>
      </c>
      <c r="P28" s="35">
        <f>Price!P28/'Price D Coupon'!P$5</f>
        <v>3.28</v>
      </c>
      <c r="Q28" s="35">
        <f>Price!Q28/'Price D Coupon'!Q$5</f>
        <v>2.71</v>
      </c>
      <c r="R28" s="35">
        <f>Price!R28/'Price D Coupon'!R$5</f>
        <v>3.4333333333333331</v>
      </c>
      <c r="S28" s="35">
        <f>Price!S28/'Price D Coupon'!S$5</f>
        <v>3.2066666666666666</v>
      </c>
      <c r="T28" s="35">
        <f>Price!T28/'Price D Coupon'!T$5</f>
        <v>2.68</v>
      </c>
      <c r="U28" s="35">
        <f>Price!U28/'Price D Coupon'!U$5</f>
        <v>3.4899999999999998</v>
      </c>
      <c r="V28" s="35">
        <f>Price!V28/'Price D Coupon'!V$5</f>
        <v>3.0640000000000001</v>
      </c>
      <c r="W28" s="35">
        <f>Price!W28/'Price D Coupon'!W$5</f>
        <v>2.0545454545454547</v>
      </c>
      <c r="X28" s="35">
        <f>Price!X28/'Price D Coupon'!X$5</f>
        <v>2.2716666666666669</v>
      </c>
      <c r="Y28" s="35">
        <f>Price!Y28/'Price D Coupon'!Y$5</f>
        <v>2.5876923076923077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3.4971428571428573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3.56</v>
      </c>
      <c r="P29" s="35">
        <f>Price!P29/'Price D Coupon'!P$5</f>
        <v>3.3250000000000002</v>
      </c>
      <c r="Q29" s="35">
        <f>Price!Q29/'Price D Coupon'!Q$5</f>
        <v>2.83</v>
      </c>
      <c r="R29" s="35">
        <f>Price!R29/'Price D Coupon'!R$5</f>
        <v>3.5755555555555554</v>
      </c>
      <c r="S29" s="35">
        <f>Price!S29/'Price D Coupon'!S$5</f>
        <v>3.3155555555555556</v>
      </c>
      <c r="T29" s="35">
        <f>Price!T29/'Price D Coupon'!T$5</f>
        <v>2.8533333333333335</v>
      </c>
      <c r="U29" s="35">
        <f>Price!U29/'Price D Coupon'!U$5</f>
        <v>3.5640000000000001</v>
      </c>
      <c r="V29" s="35">
        <f>Price!V29/'Price D Coupon'!V$5</f>
        <v>3.13</v>
      </c>
      <c r="W29" s="35">
        <f>Price!W29/'Price D Coupon'!W$5</f>
        <v>2.1800000000000002</v>
      </c>
      <c r="X29" s="35">
        <f>Price!X29/'Price D Coupon'!X$5</f>
        <v>2.3833333333333333</v>
      </c>
      <c r="Y29" s="35">
        <f>Price!Y29/'Price D Coupon'!Y$5</f>
        <v>2.6661538461538461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4.2314285714285713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4.0949999999999998</v>
      </c>
      <c r="P30" s="35">
        <f>Price!P30/'Price D Coupon'!P$5</f>
        <v>3.8424999999999998</v>
      </c>
      <c r="Q30" s="35">
        <f>Price!Q30/'Price D Coupon'!Q$5</f>
        <v>3.2675000000000001</v>
      </c>
      <c r="R30" s="35">
        <f>Price!R30/'Price D Coupon'!R$5</f>
        <v>3.882222222222222</v>
      </c>
      <c r="S30" s="35">
        <f>Price!S30/'Price D Coupon'!S$5</f>
        <v>3.597777777777778</v>
      </c>
      <c r="T30" s="35">
        <f>Price!T30/'Price D Coupon'!T$5</f>
        <v>3.0311111111111111</v>
      </c>
      <c r="U30" s="35">
        <f>Price!U30/'Price D Coupon'!U$5</f>
        <v>3.6240000000000001</v>
      </c>
      <c r="V30" s="35">
        <f>Price!V30/'Price D Coupon'!V$5</f>
        <v>3.1840000000000002</v>
      </c>
      <c r="W30" s="35">
        <f>Price!W30/'Price D Coupon'!W$5</f>
        <v>2.1981818181818182</v>
      </c>
      <c r="X30" s="35">
        <f>Price!X30/'Price D Coupon'!X$5</f>
        <v>2.3149999999999999</v>
      </c>
      <c r="Y30" s="35">
        <f>Price!Y30/'Price D Coupon'!Y$5</f>
        <v>2.5676923076923077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4.3199999999999994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4.0175000000000001</v>
      </c>
      <c r="P31" s="35">
        <f>Price!P31/'Price D Coupon'!P$5</f>
        <v>3.8</v>
      </c>
      <c r="Q31" s="35">
        <f>Price!Q31/'Price D Coupon'!Q$5</f>
        <v>3.2675000000000001</v>
      </c>
      <c r="R31" s="35">
        <f>Price!R31/'Price D Coupon'!R$5</f>
        <v>3.8488888888888888</v>
      </c>
      <c r="S31" s="35">
        <f>Price!S31/'Price D Coupon'!S$5</f>
        <v>3.5777777777777779</v>
      </c>
      <c r="T31" s="35">
        <f>Price!T31/'Price D Coupon'!T$5</f>
        <v>3.028888888888889</v>
      </c>
      <c r="U31" s="35">
        <f>Price!U31/'Price D Coupon'!U$5</f>
        <v>3.5799999999999996</v>
      </c>
      <c r="V31" s="35">
        <f>Price!V31/'Price D Coupon'!V$5</f>
        <v>3.2119999999999997</v>
      </c>
      <c r="W31" s="35">
        <f>Price!W31/'Price D Coupon'!W$5</f>
        <v>2.2436363636363637</v>
      </c>
      <c r="X31" s="35">
        <f>Price!X31/'Price D Coupon'!X$5</f>
        <v>2.3149999999999999</v>
      </c>
      <c r="Y31" s="35">
        <f>Price!Y31/'Price D Coupon'!Y$5</f>
        <v>2.5123076923076919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6.3433333333333337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5.5028571428571436</v>
      </c>
      <c r="L32" s="35">
        <f>Price!L32/'Price D Coupon'!L$5</f>
        <v>4.7057142857142855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4.2874999999999996</v>
      </c>
      <c r="P32" s="35">
        <f>Price!P32/'Price D Coupon'!P$5</f>
        <v>4.0575000000000001</v>
      </c>
      <c r="Q32" s="35">
        <f>Price!Q32/'Price D Coupon'!Q$5</f>
        <v>3.5049999999999999</v>
      </c>
      <c r="R32" s="35">
        <f>Price!R32/'Price D Coupon'!R$5</f>
        <v>3.9688888888888889</v>
      </c>
      <c r="S32" s="35">
        <f>Price!S32/'Price D Coupon'!S$5</f>
        <v>3.7333333333333334</v>
      </c>
      <c r="T32" s="35">
        <f>Price!T32/'Price D Coupon'!T$5</f>
        <v>3.1911111111111108</v>
      </c>
      <c r="U32" s="35">
        <f>Price!U32/'Price D Coupon'!U$5</f>
        <v>3.6659999999999995</v>
      </c>
      <c r="V32" s="35">
        <f>Price!V32/'Price D Coupon'!V$5</f>
        <v>3.3280000000000003</v>
      </c>
      <c r="W32" s="35">
        <f>Price!W32/'Price D Coupon'!W$5</f>
        <v>2.3036363636363637</v>
      </c>
      <c r="X32" s="35">
        <f>Price!X32/'Price D Coupon'!X$5</f>
        <v>2.375</v>
      </c>
      <c r="Y32" s="35">
        <f>Price!Y32/'Price D Coupon'!Y$5</f>
        <v>2.4738461538461536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5.8599999999999994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4.7971428571428572</v>
      </c>
      <c r="L33" s="35">
        <f>Price!L33/'Price D Coupon'!L$5</f>
        <v>3.9200000000000004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3.7749999999999999</v>
      </c>
      <c r="P33" s="35">
        <f>Price!P33/'Price D Coupon'!P$5</f>
        <v>3.4674999999999998</v>
      </c>
      <c r="Q33" s="35">
        <f>Price!Q33/'Price D Coupon'!Q$5</f>
        <v>2.8149999999999999</v>
      </c>
      <c r="R33" s="35">
        <f>Price!R33/'Price D Coupon'!R$5</f>
        <v>3.4755555555555557</v>
      </c>
      <c r="S33" s="35">
        <f>Price!S33/'Price D Coupon'!S$5</f>
        <v>3.1155555555555554</v>
      </c>
      <c r="T33" s="35">
        <f>Price!T33/'Price D Coupon'!T$5</f>
        <v>2.6111111111111112</v>
      </c>
      <c r="U33" s="35">
        <f>Price!U33/'Price D Coupon'!U$5</f>
        <v>3.19</v>
      </c>
      <c r="V33" s="35">
        <f>Price!V33/'Price D Coupon'!V$5</f>
        <v>2.93</v>
      </c>
      <c r="W33" s="35">
        <f>Price!W33/'Price D Coupon'!W$5</f>
        <v>2.0072727272727273</v>
      </c>
      <c r="X33" s="35">
        <f>Price!X33/'Price D Coupon'!X$5</f>
        <v>2.11</v>
      </c>
      <c r="Y33" s="35">
        <f>Price!Y33/'Price D Coupon'!Y$5</f>
        <v>2.2230769230769232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6.7833333333333341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5.8257142857142856</v>
      </c>
      <c r="L34" s="35">
        <f>Price!L34/'Price D Coupon'!L$5</f>
        <v>5.1971428571428575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4.7850000000000001</v>
      </c>
      <c r="P34" s="35">
        <f>Price!P34/'Price D Coupon'!P$5</f>
        <v>4.4249999999999998</v>
      </c>
      <c r="Q34" s="35">
        <f>Price!Q34/'Price D Coupon'!Q$5</f>
        <v>3.96</v>
      </c>
      <c r="R34" s="35">
        <f>Price!R34/'Price D Coupon'!R$5</f>
        <v>4.1111111111111107</v>
      </c>
      <c r="S34" s="35">
        <f>Price!S34/'Price D Coupon'!S$5</f>
        <v>3.7044444444444449</v>
      </c>
      <c r="T34" s="35">
        <f>Price!T34/'Price D Coupon'!T$5</f>
        <v>3.3355555555555556</v>
      </c>
      <c r="U34" s="35">
        <f>Price!U34/'Price D Coupon'!U$5</f>
        <v>3.2340000000000004</v>
      </c>
      <c r="V34" s="35">
        <f>Price!V34/'Price D Coupon'!V$5</f>
        <v>2.964</v>
      </c>
      <c r="W34" s="35">
        <f>Price!W34/'Price D Coupon'!W$5</f>
        <v>2.127272727272727</v>
      </c>
      <c r="X34" s="35">
        <f>Price!X34/'Price D Coupon'!X$5</f>
        <v>2.0249999999999999</v>
      </c>
      <c r="Y34" s="35">
        <f>Price!Y34/'Price D Coupon'!Y$5</f>
        <v>2.1492307692307695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6.9433333333333325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6.0514285714285716</v>
      </c>
      <c r="L35" s="35">
        <f>Price!L35/'Price D Coupon'!L$5</f>
        <v>5.6114285714285712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5.2525000000000004</v>
      </c>
      <c r="P35" s="35">
        <f>Price!P35/'Price D Coupon'!P$5</f>
        <v>5.0049999999999999</v>
      </c>
      <c r="Q35" s="35">
        <f>Price!Q35/'Price D Coupon'!Q$5</f>
        <v>4.6550000000000002</v>
      </c>
      <c r="R35" s="35">
        <f>Price!R35/'Price D Coupon'!R$5</f>
        <v>4.6155555555555559</v>
      </c>
      <c r="S35" s="35">
        <f>Price!S35/'Price D Coupon'!S$5</f>
        <v>4.3755555555555556</v>
      </c>
      <c r="T35" s="35">
        <f>Price!T35/'Price D Coupon'!T$5</f>
        <v>4.0533333333333328</v>
      </c>
      <c r="U35" s="35">
        <f>Price!U35/'Price D Coupon'!U$5</f>
        <v>3.7380000000000004</v>
      </c>
      <c r="V35" s="35">
        <f>Price!V35/'Price D Coupon'!V$5</f>
        <v>3.4780000000000002</v>
      </c>
      <c r="W35" s="35">
        <f>Price!W35/'Price D Coupon'!W$5</f>
        <v>2.4127272727272726</v>
      </c>
      <c r="X35" s="35">
        <f>Price!X35/'Price D Coupon'!X$5</f>
        <v>2.2683333333333331</v>
      </c>
      <c r="Y35" s="35">
        <f>Price!Y35/'Price D Coupon'!Y$5</f>
        <v>2.2876923076923075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7.2033333333333331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6.4857142857142858</v>
      </c>
      <c r="L36" s="35">
        <f>Price!L36/'Price D Coupon'!L$5</f>
        <v>6.1114285714285712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5.7125000000000004</v>
      </c>
      <c r="P36" s="35">
        <f>Price!P36/'Price D Coupon'!P$5</f>
        <v>5.4</v>
      </c>
      <c r="Q36" s="35">
        <f>Price!Q36/'Price D Coupon'!Q$5</f>
        <v>5.0999999999999996</v>
      </c>
      <c r="R36" s="35">
        <f>Price!R36/'Price D Coupon'!R$5</f>
        <v>4.8488888888888892</v>
      </c>
      <c r="S36" s="35">
        <f>Price!S36/'Price D Coupon'!S$5</f>
        <v>4.5466666666666669</v>
      </c>
      <c r="T36" s="35">
        <f>Price!T36/'Price D Coupon'!T$5</f>
        <v>4.2222222222222223</v>
      </c>
      <c r="U36" s="35">
        <f>Price!U36/'Price D Coupon'!U$5</f>
        <v>3.9180000000000001</v>
      </c>
      <c r="V36" s="35">
        <f>Price!V36/'Price D Coupon'!V$5</f>
        <v>3.6399999999999997</v>
      </c>
      <c r="W36" s="35">
        <f>Price!W36/'Price D Coupon'!W$5</f>
        <v>2.6854545454545455</v>
      </c>
      <c r="X36" s="35">
        <f>Price!X36/'Price D Coupon'!X$5</f>
        <v>2.4616666666666664</v>
      </c>
      <c r="Y36" s="35">
        <f>Price!Y36/'Price D Coupon'!Y$5</f>
        <v>2.4415384615384612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7.2566666666666668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6.5314285714285711</v>
      </c>
      <c r="L37" s="35">
        <f>Price!L37/'Price D Coupon'!L$5</f>
        <v>6.1571428571428575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5.8875000000000002</v>
      </c>
      <c r="P37" s="35">
        <f>Price!P37/'Price D Coupon'!P$5</f>
        <v>5.6174999999999997</v>
      </c>
      <c r="Q37" s="35">
        <f>Price!Q37/'Price D Coupon'!Q$5</f>
        <v>5.32</v>
      </c>
      <c r="R37" s="35">
        <f>Price!R37/'Price D Coupon'!R$5</f>
        <v>5.1822222222222223</v>
      </c>
      <c r="S37" s="35">
        <f>Price!S37/'Price D Coupon'!S$5</f>
        <v>4.8466666666666667</v>
      </c>
      <c r="T37" s="35">
        <f>Price!T37/'Price D Coupon'!T$5</f>
        <v>4.5333333333333332</v>
      </c>
      <c r="U37" s="35">
        <f>Price!U37/'Price D Coupon'!U$5</f>
        <v>4.298</v>
      </c>
      <c r="V37" s="35">
        <f>Price!V37/'Price D Coupon'!V$5</f>
        <v>3.9619999999999997</v>
      </c>
      <c r="W37" s="35">
        <f>Price!W37/'Price D Coupon'!W$5</f>
        <v>2.9327272727272726</v>
      </c>
      <c r="X37" s="35">
        <f>Price!X37/'Price D Coupon'!X$5</f>
        <v>2.6683333333333334</v>
      </c>
      <c r="Y37" s="35">
        <f>Price!Y37/'Price D Coupon'!Y$5</f>
        <v>2.6046153846153848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7.376666666666666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6.6742857142857144</v>
      </c>
      <c r="L38" s="35">
        <f>Price!L38/'Price D Coupon'!L$5</f>
        <v>6.2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5.7874999999999996</v>
      </c>
      <c r="P38" s="35">
        <f>Price!P38/'Price D Coupon'!P$5</f>
        <v>5.53</v>
      </c>
      <c r="Q38" s="35">
        <f>Price!Q38/'Price D Coupon'!Q$5</f>
        <v>5.1749999999999998</v>
      </c>
      <c r="R38" s="35">
        <f>Price!R38/'Price D Coupon'!R$5</f>
        <v>5.1355555555555554</v>
      </c>
      <c r="S38" s="35">
        <f>Price!S38/'Price D Coupon'!S$5</f>
        <v>4.7711111111111109</v>
      </c>
      <c r="T38" s="35">
        <f>Price!T38/'Price D Coupon'!T$5</f>
        <v>4.4177777777777774</v>
      </c>
      <c r="U38" s="35">
        <f>Price!U38/'Price D Coupon'!U$5</f>
        <v>4.202</v>
      </c>
      <c r="V38" s="35">
        <f>Price!V38/'Price D Coupon'!V$5</f>
        <v>3.84</v>
      </c>
      <c r="W38" s="35">
        <f>Price!W38/'Price D Coupon'!W$5</f>
        <v>2.8254545454545452</v>
      </c>
      <c r="X38" s="35">
        <f>Price!X38/'Price D Coupon'!X$5</f>
        <v>2.6383333333333332</v>
      </c>
      <c r="Y38" s="35">
        <f>Price!Y38/'Price D Coupon'!Y$5</f>
        <v>2.6676923076923078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6.5257142857142858</v>
      </c>
      <c r="L39" s="35">
        <f>Price!L39/'Price D Coupon'!L$5</f>
        <v>6.0428571428571427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5.6349999999999998</v>
      </c>
      <c r="P39" s="35">
        <f>Price!P39/'Price D Coupon'!P$5</f>
        <v>5.3849999999999998</v>
      </c>
      <c r="Q39" s="35">
        <f>Price!Q39/'Price D Coupon'!Q$5</f>
        <v>4.9074999999999998</v>
      </c>
      <c r="R39" s="35">
        <f>Price!R39/'Price D Coupon'!R$5</f>
        <v>5.0488888888888885</v>
      </c>
      <c r="S39" s="35">
        <f>Price!S39/'Price D Coupon'!S$5</f>
        <v>4.6266666666666669</v>
      </c>
      <c r="T39" s="35">
        <f>Price!T39/'Price D Coupon'!T$5</f>
        <v>4.184444444444444</v>
      </c>
      <c r="U39" s="35">
        <f>Price!U39/'Price D Coupon'!U$5</f>
        <v>4.056</v>
      </c>
      <c r="V39" s="35">
        <f>Price!V39/'Price D Coupon'!V$5</f>
        <v>3.63</v>
      </c>
      <c r="W39" s="35">
        <f>Price!W39/'Price D Coupon'!W$5</f>
        <v>2.769090909090909</v>
      </c>
      <c r="X39" s="35">
        <f>Price!X39/'Price D Coupon'!X$5</f>
        <v>2.625</v>
      </c>
      <c r="Y39" s="35">
        <f>Price!Y39/'Price D Coupon'!Y$5</f>
        <v>2.7446153846153845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7.54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6.9428571428571431</v>
      </c>
      <c r="L40" s="35">
        <f>Price!L40/'Price D Coupon'!L$5</f>
        <v>6.5514285714285716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6.1375000000000002</v>
      </c>
      <c r="P40" s="35">
        <f>Price!P40/'Price D Coupon'!P$5</f>
        <v>5.8825000000000003</v>
      </c>
      <c r="Q40" s="35">
        <f>Price!Q40/'Price D Coupon'!Q$5</f>
        <v>5.4375</v>
      </c>
      <c r="R40" s="35">
        <f>Price!R40/'Price D Coupon'!R$5</f>
        <v>5.482222222222223</v>
      </c>
      <c r="S40" s="35">
        <f>Price!S40/'Price D Coupon'!S$5</f>
        <v>5.0244444444444447</v>
      </c>
      <c r="T40" s="35">
        <f>Price!T40/'Price D Coupon'!T$5</f>
        <v>4.597777777777778</v>
      </c>
      <c r="U40" s="35">
        <f>Price!U40/'Price D Coupon'!U$5</f>
        <v>4.3220000000000001</v>
      </c>
      <c r="V40" s="35">
        <f>Price!V40/'Price D Coupon'!V$5</f>
        <v>3.9219999999999997</v>
      </c>
      <c r="W40" s="35">
        <f>Price!W40/'Price D Coupon'!W$5</f>
        <v>3.0890909090909089</v>
      </c>
      <c r="X40" s="35">
        <f>Price!X40/'Price D Coupon'!X$5</f>
        <v>2.8966666666666665</v>
      </c>
      <c r="Y40" s="35">
        <f>Price!Y40/'Price D Coupon'!Y$5</f>
        <v>2.9661538461538464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7.63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7.1142857142857139</v>
      </c>
      <c r="L41" s="35">
        <f>Price!L41/'Price D Coupon'!L$5</f>
        <v>6.717142857142858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</v>
      </c>
      <c r="P41" s="35">
        <f>Price!P41/'Price D Coupon'!P$5</f>
        <v>6.2350000000000003</v>
      </c>
      <c r="Q41" s="35">
        <f>Price!Q41/'Price D Coupon'!Q$5</f>
        <v>5.8574999999999999</v>
      </c>
      <c r="R41" s="35">
        <f>Price!R41/'Price D Coupon'!R$5</f>
        <v>5.844444444444445</v>
      </c>
      <c r="S41" s="35">
        <f>Price!S41/'Price D Coupon'!S$5</f>
        <v>5.4955555555555557</v>
      </c>
      <c r="T41" s="35">
        <f>Price!T41/'Price D Coupon'!T$5</f>
        <v>5.2288888888888891</v>
      </c>
      <c r="U41" s="35">
        <f>Price!U41/'Price D Coupon'!U$5</f>
        <v>4.7960000000000003</v>
      </c>
      <c r="V41" s="35">
        <f>Price!V41/'Price D Coupon'!V$5</f>
        <v>4.4279999999999999</v>
      </c>
      <c r="W41" s="35">
        <f>Price!W41/'Price D Coupon'!W$5</f>
        <v>3.4454545454545453</v>
      </c>
      <c r="X41" s="35">
        <f>Price!X41/'Price D Coupon'!X$5</f>
        <v>3.2333333333333329</v>
      </c>
      <c r="Y41" s="35">
        <f>Price!Y41/'Price D Coupon'!Y$5</f>
        <v>3.2384615384615385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7.5066666666666668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6.9685714285714289</v>
      </c>
      <c r="L42" s="35">
        <f>Price!L42/'Price D Coupon'!L$5</f>
        <v>6.5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6.18</v>
      </c>
      <c r="P42" s="35">
        <f>Price!P42/'Price D Coupon'!P$5</f>
        <v>5.9375</v>
      </c>
      <c r="Q42" s="35">
        <f>Price!Q42/'Price D Coupon'!Q$5</f>
        <v>5.5925000000000002</v>
      </c>
      <c r="R42" s="35">
        <f>Price!R42/'Price D Coupon'!R$5</f>
        <v>5.54</v>
      </c>
      <c r="S42" s="35">
        <f>Price!S42/'Price D Coupon'!S$5</f>
        <v>5.2155555555555555</v>
      </c>
      <c r="T42" s="35">
        <f>Price!T42/'Price D Coupon'!T$5</f>
        <v>4.8955555555555561</v>
      </c>
      <c r="U42" s="35">
        <f>Price!U42/'Price D Coupon'!U$5</f>
        <v>4.5640000000000001</v>
      </c>
      <c r="V42" s="35">
        <f>Price!V42/'Price D Coupon'!V$5</f>
        <v>4.2679999999999998</v>
      </c>
      <c r="W42" s="35">
        <f>Price!W42/'Price D Coupon'!W$5</f>
        <v>3.5127272727272727</v>
      </c>
      <c r="X42" s="35">
        <f>Price!X42/'Price D Coupon'!X$5</f>
        <v>3.24</v>
      </c>
      <c r="Y42" s="35">
        <f>Price!Y42/'Price D Coupon'!Y$5</f>
        <v>3.2246153846153849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7.5233333333333334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7.0228571428571422</v>
      </c>
      <c r="L43" s="35">
        <f>Price!L43/'Price D Coupon'!L$5</f>
        <v>6.5771428571428574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</v>
      </c>
      <c r="P43" s="35">
        <f>Price!P43/'Price D Coupon'!P$5</f>
        <v>6.0425000000000004</v>
      </c>
      <c r="Q43" s="35">
        <f>Price!Q43/'Price D Coupon'!Q$5</f>
        <v>5.71</v>
      </c>
      <c r="R43" s="35">
        <f>Price!R43/'Price D Coupon'!R$5</f>
        <v>5.6111111111111107</v>
      </c>
      <c r="S43" s="35">
        <f>Price!S43/'Price D Coupon'!S$5</f>
        <v>5.3177777777777777</v>
      </c>
      <c r="T43" s="35">
        <f>Price!T43/'Price D Coupon'!T$5</f>
        <v>5.0244444444444447</v>
      </c>
      <c r="U43" s="35">
        <f>Price!U43/'Price D Coupon'!U$5</f>
        <v>4.806</v>
      </c>
      <c r="V43" s="35">
        <f>Price!V43/'Price D Coupon'!V$5</f>
        <v>4.4979999999999993</v>
      </c>
      <c r="W43" s="35">
        <f>Price!W43/'Price D Coupon'!W$5</f>
        <v>3.6381818181818186</v>
      </c>
      <c r="X43" s="35">
        <f>Price!X43/'Price D Coupon'!X$5</f>
        <v>3.3733333333333331</v>
      </c>
      <c r="Y43" s="35">
        <f>Price!Y43/'Price D Coupon'!Y$5</f>
        <v>3.3461538461538463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0</v>
      </c>
      <c r="J44" s="35">
        <f>Price!J44/'Price D Coupon'!J$5</f>
        <v>7.3342857142857145</v>
      </c>
      <c r="K44" s="35">
        <f>Price!K44/'Price D Coupon'!K$5</f>
        <v>7.0942857142857134</v>
      </c>
      <c r="L44" s="35">
        <f>Price!L44/'Price D Coupon'!L$5</f>
        <v>6.6857142857142851</v>
      </c>
      <c r="M44" s="35">
        <f>Price!M44/'Price D Coupon'!M$5</f>
        <v>0</v>
      </c>
      <c r="N44" s="35">
        <f>Price!N44/'Price D Coupon'!N$5</f>
        <v>6.4175000000000004</v>
      </c>
      <c r="O44" s="35">
        <f>Price!O44/'Price D Coupon'!O$5</f>
        <v>6.3775000000000004</v>
      </c>
      <c r="P44" s="35">
        <f>Price!P44/'Price D Coupon'!P$5</f>
        <v>6.1550000000000002</v>
      </c>
      <c r="Q44" s="35">
        <f>Price!Q44/'Price D Coupon'!Q$5</f>
        <v>5.8650000000000002</v>
      </c>
      <c r="R44" s="35">
        <f>Price!R44/'Price D Coupon'!R$5</f>
        <v>5.7444444444444445</v>
      </c>
      <c r="S44" s="35">
        <f>Price!S44/'Price D Coupon'!S$5</f>
        <v>5.5155555555555553</v>
      </c>
      <c r="T44" s="35">
        <f>Price!T44/'Price D Coupon'!T$5</f>
        <v>5.2133333333333338</v>
      </c>
      <c r="U44" s="35">
        <f>Price!U44/'Price D Coupon'!U$5</f>
        <v>4.9719999999999995</v>
      </c>
      <c r="V44" s="35">
        <f>Price!V44/'Price D Coupon'!V$5</f>
        <v>4.6880000000000006</v>
      </c>
      <c r="W44" s="35">
        <f>Price!W44/'Price D Coupon'!W$5</f>
        <v>3.78</v>
      </c>
      <c r="X44" s="35">
        <f>Price!X44/'Price D Coupon'!X$5</f>
        <v>3.4616666666666664</v>
      </c>
      <c r="Y44" s="35">
        <f>Price!Y44/'Price D Coupon'!Y$5</f>
        <v>3.3538461538461539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0</v>
      </c>
      <c r="J45" s="35">
        <f>Price!J45/'Price D Coupon'!J$5</f>
        <v>7.2714285714285714</v>
      </c>
      <c r="K45" s="35">
        <f>Price!K45/'Price D Coupon'!K$5</f>
        <v>7.0085714285714289</v>
      </c>
      <c r="L45" s="35">
        <f>Price!L45/'Price D Coupon'!L$5</f>
        <v>6.5828571428571427</v>
      </c>
      <c r="M45" s="35">
        <f>Price!M45/'Price D Coupon'!M$5</f>
        <v>0</v>
      </c>
      <c r="N45" s="35">
        <f>Price!N45/'Price D Coupon'!N$5</f>
        <v>6.3624999999999998</v>
      </c>
      <c r="O45" s="35">
        <f>Price!O45/'Price D Coupon'!O$5</f>
        <v>6.3</v>
      </c>
      <c r="P45" s="35">
        <f>Price!P45/'Price D Coupon'!P$5</f>
        <v>6.0674999999999999</v>
      </c>
      <c r="Q45" s="35">
        <f>Price!Q45/'Price D Coupon'!Q$5</f>
        <v>5.7824999999999998</v>
      </c>
      <c r="R45" s="35">
        <f>Price!R45/'Price D Coupon'!R$5</f>
        <v>5.6155555555555559</v>
      </c>
      <c r="S45" s="35">
        <f>Price!S45/'Price D Coupon'!S$5</f>
        <v>5.3955555555555561</v>
      </c>
      <c r="T45" s="35">
        <f>Price!T45/'Price D Coupon'!T$5</f>
        <v>5.08</v>
      </c>
      <c r="U45" s="35">
        <f>Price!U45/'Price D Coupon'!U$5</f>
        <v>4.8719999999999999</v>
      </c>
      <c r="V45" s="35">
        <f>Price!V45/'Price D Coupon'!V$5</f>
        <v>4.5880000000000001</v>
      </c>
      <c r="W45" s="35">
        <f>Price!W45/'Price D Coupon'!W$5</f>
        <v>3.7254545454545451</v>
      </c>
      <c r="X45" s="35">
        <f>Price!X45/'Price D Coupon'!X$5</f>
        <v>3.4533333333333331</v>
      </c>
      <c r="Y45" s="35">
        <f>Price!Y45/'Price D Coupon'!Y$5</f>
        <v>3.3984615384615386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0</v>
      </c>
      <c r="J46" s="35">
        <f>Price!J46/'Price D Coupon'!J$5</f>
        <v>7.0742857142857147</v>
      </c>
      <c r="K46" s="35">
        <f>Price!K46/'Price D Coupon'!K$5</f>
        <v>6.8400000000000007</v>
      </c>
      <c r="L46" s="35">
        <f>Price!L46/'Price D Coupon'!L$5</f>
        <v>6.3857142857142861</v>
      </c>
      <c r="M46" s="35">
        <f>Price!M46/'Price D Coupon'!M$5</f>
        <v>0</v>
      </c>
      <c r="N46" s="35">
        <f>Price!N46/'Price D Coupon'!N$5</f>
        <v>6.19</v>
      </c>
      <c r="O46" s="35">
        <f>Price!O46/'Price D Coupon'!O$5</f>
        <v>6.08</v>
      </c>
      <c r="P46" s="35">
        <f>Price!P46/'Price D Coupon'!P$5</f>
        <v>5.8375000000000004</v>
      </c>
      <c r="Q46" s="35">
        <f>Price!Q46/'Price D Coupon'!Q$5</f>
        <v>5.5125000000000002</v>
      </c>
      <c r="R46" s="35">
        <f>Price!R46/'Price D Coupon'!R$5</f>
        <v>5.34</v>
      </c>
      <c r="S46" s="35">
        <f>Price!S46/'Price D Coupon'!S$5</f>
        <v>5.0844444444444443</v>
      </c>
      <c r="T46" s="35">
        <f>Price!T46/'Price D Coupon'!T$5</f>
        <v>4.7177777777777781</v>
      </c>
      <c r="U46" s="35">
        <f>Price!U46/'Price D Coupon'!U$5</f>
        <v>4.5460000000000003</v>
      </c>
      <c r="V46" s="35">
        <f>Price!V46/'Price D Coupon'!V$5</f>
        <v>4.2640000000000002</v>
      </c>
      <c r="W46" s="35">
        <f>Price!W46/'Price D Coupon'!W$5</f>
        <v>3.561818181818182</v>
      </c>
      <c r="X46" s="35">
        <f>Price!X46/'Price D Coupon'!X$5</f>
        <v>3.4183333333333334</v>
      </c>
      <c r="Y46" s="35">
        <f>Price!Y46/'Price D Coupon'!Y$5</f>
        <v>3.4015384615384616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0</v>
      </c>
      <c r="J47" s="35">
        <f>Price!J47/'Price D Coupon'!J$5</f>
        <v>7.1657142857142855</v>
      </c>
      <c r="K47" s="35">
        <f>Price!K47/'Price D Coupon'!K$5</f>
        <v>6.9371428571428577</v>
      </c>
      <c r="L47" s="35">
        <f>Price!L47/'Price D Coupon'!L$5</f>
        <v>6.4857142857142858</v>
      </c>
      <c r="M47" s="35">
        <f>Price!M47/'Price D Coupon'!M$5</f>
        <v>0</v>
      </c>
      <c r="N47" s="35">
        <f>Price!N47/'Price D Coupon'!N$5</f>
        <v>6.27</v>
      </c>
      <c r="O47" s="35">
        <f>Price!O47/'Price D Coupon'!O$5</f>
        <v>6.2275</v>
      </c>
      <c r="P47" s="35">
        <f>Price!P47/'Price D Coupon'!P$5</f>
        <v>6.0575000000000001</v>
      </c>
      <c r="Q47" s="35">
        <f>Price!Q47/'Price D Coupon'!Q$5</f>
        <v>5.7</v>
      </c>
      <c r="R47" s="35">
        <f>Price!R47/'Price D Coupon'!R$5</f>
        <v>5.5777777777777784</v>
      </c>
      <c r="S47" s="35">
        <f>Price!S47/'Price D Coupon'!S$5</f>
        <v>5.3644444444444446</v>
      </c>
      <c r="T47" s="35">
        <f>Price!T47/'Price D Coupon'!T$5</f>
        <v>4.9800000000000004</v>
      </c>
      <c r="U47" s="35">
        <f>Price!U47/'Price D Coupon'!U$5</f>
        <v>4.8620000000000001</v>
      </c>
      <c r="V47" s="35">
        <f>Price!V47/'Price D Coupon'!V$5</f>
        <v>4.5720000000000001</v>
      </c>
      <c r="W47" s="35">
        <f>Price!W47/'Price D Coupon'!W$5</f>
        <v>3.6381818181818186</v>
      </c>
      <c r="X47" s="35">
        <f>Price!X47/'Price D Coupon'!X$5</f>
        <v>3.5399999999999996</v>
      </c>
      <c r="Y47" s="35">
        <f>Price!Y47/'Price D Coupon'!Y$5</f>
        <v>3.4861538461538464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0</v>
      </c>
      <c r="J48" s="35">
        <f>Price!J48/'Price D Coupon'!J$5</f>
        <v>7.12</v>
      </c>
      <c r="K48" s="35">
        <f>Price!K48/'Price D Coupon'!K$5</f>
        <v>6.9142857142857137</v>
      </c>
      <c r="L48" s="35">
        <f>Price!L48/'Price D Coupon'!L$5</f>
        <v>6.5228571428571422</v>
      </c>
      <c r="M48" s="35">
        <f>Price!M48/'Price D Coupon'!M$5</f>
        <v>0</v>
      </c>
      <c r="N48" s="35">
        <f>Price!N48/'Price D Coupon'!N$5</f>
        <v>6.23</v>
      </c>
      <c r="O48" s="35">
        <f>Price!O48/'Price D Coupon'!O$5</f>
        <v>6.2525000000000004</v>
      </c>
      <c r="P48" s="35">
        <f>Price!P48/'Price D Coupon'!P$5</f>
        <v>6.0949999999999998</v>
      </c>
      <c r="Q48" s="35">
        <f>Price!Q48/'Price D Coupon'!Q$5</f>
        <v>5.7549999999999999</v>
      </c>
      <c r="R48" s="35">
        <f>Price!R48/'Price D Coupon'!R$5</f>
        <v>5.6577777777777776</v>
      </c>
      <c r="S48" s="35">
        <f>Price!S48/'Price D Coupon'!S$5</f>
        <v>5.4733333333333327</v>
      </c>
      <c r="T48" s="35">
        <f>Price!T48/'Price D Coupon'!T$5</f>
        <v>5.1355555555555554</v>
      </c>
      <c r="U48" s="35">
        <f>Price!U48/'Price D Coupon'!U$5</f>
        <v>5.0179999999999998</v>
      </c>
      <c r="V48" s="35">
        <f>Price!V48/'Price D Coupon'!V$5</f>
        <v>4.7679999999999998</v>
      </c>
      <c r="W48" s="35">
        <f>Price!W48/'Price D Coupon'!W$5</f>
        <v>3.8290909090909087</v>
      </c>
      <c r="X48" s="35">
        <f>Price!X48/'Price D Coupon'!X$5</f>
        <v>3.6983333333333337</v>
      </c>
      <c r="Y48" s="35">
        <f>Price!Y48/'Price D Coupon'!Y$5</f>
        <v>3.6230769230769231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0</v>
      </c>
      <c r="J49" s="35">
        <f>Price!J49/'Price D Coupon'!J$5</f>
        <v>6.822857142857143</v>
      </c>
      <c r="K49" s="35">
        <f>Price!K49/'Price D Coupon'!K$5</f>
        <v>6.6314285714285717</v>
      </c>
      <c r="L49" s="35">
        <f>Price!L49/'Price D Coupon'!L$5</f>
        <v>6.1885714285714286</v>
      </c>
      <c r="M49" s="35">
        <f>Price!M49/'Price D Coupon'!M$5</f>
        <v>0</v>
      </c>
      <c r="N49" s="35">
        <f>Price!N49/'Price D Coupon'!N$5</f>
        <v>5.97</v>
      </c>
      <c r="O49" s="35">
        <f>Price!O49/'Price D Coupon'!O$5</f>
        <v>5.8574999999999999</v>
      </c>
      <c r="P49" s="35">
        <f>Price!P49/'Price D Coupon'!P$5</f>
        <v>5.7575000000000003</v>
      </c>
      <c r="Q49" s="35">
        <f>Price!Q49/'Price D Coupon'!Q$5</f>
        <v>5.3949999999999996</v>
      </c>
      <c r="R49" s="35">
        <f>Price!R49/'Price D Coupon'!R$5</f>
        <v>5.2911111111111104</v>
      </c>
      <c r="S49" s="35">
        <f>Price!S49/'Price D Coupon'!S$5</f>
        <v>5.0755555555555558</v>
      </c>
      <c r="T49" s="35">
        <f>Price!T49/'Price D Coupon'!T$5</f>
        <v>4.7266666666666666</v>
      </c>
      <c r="U49" s="35">
        <f>Price!U49/'Price D Coupon'!U$5</f>
        <v>4.7060000000000004</v>
      </c>
      <c r="V49" s="35">
        <f>Price!V49/'Price D Coupon'!V$5</f>
        <v>4.4640000000000004</v>
      </c>
      <c r="W49" s="35">
        <f>Price!W49/'Price D Coupon'!W$5</f>
        <v>3.6854545454545455</v>
      </c>
      <c r="X49" s="35">
        <f>Price!X49/'Price D Coupon'!X$5</f>
        <v>3.59</v>
      </c>
      <c r="Y49" s="35">
        <f>Price!Y49/'Price D Coupon'!Y$5</f>
        <v>3.586153846153846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0</v>
      </c>
      <c r="J50" s="35">
        <f>Price!J50/'Price D Coupon'!J$5</f>
        <v>6.9942857142857147</v>
      </c>
      <c r="K50" s="35">
        <f>Price!K50/'Price D Coupon'!K$5</f>
        <v>6.8428571428571425</v>
      </c>
      <c r="L50" s="35">
        <f>Price!L50/'Price D Coupon'!L$5</f>
        <v>6.4285714285714288</v>
      </c>
      <c r="M50" s="35">
        <f>Price!M50/'Price D Coupon'!M$5</f>
        <v>0</v>
      </c>
      <c r="N50" s="35">
        <f>Price!N50/'Price D Coupon'!N$5</f>
        <v>6.12</v>
      </c>
      <c r="O50" s="35">
        <f>Price!O50/'Price D Coupon'!O$5</f>
        <v>6.1025</v>
      </c>
      <c r="P50" s="35">
        <f>Price!P50/'Price D Coupon'!P$5</f>
        <v>5.9749999999999996</v>
      </c>
      <c r="Q50" s="35">
        <f>Price!Q50/'Price D Coupon'!Q$5</f>
        <v>5.6574999999999998</v>
      </c>
      <c r="R50" s="35">
        <f>Price!R50/'Price D Coupon'!R$5</f>
        <v>5.6577777777777776</v>
      </c>
      <c r="S50" s="35">
        <f>Price!S50/'Price D Coupon'!S$5</f>
        <v>5.4444444444444446</v>
      </c>
      <c r="T50" s="35">
        <f>Price!T50/'Price D Coupon'!T$5</f>
        <v>5.1266666666666669</v>
      </c>
      <c r="U50" s="35">
        <f>Price!U50/'Price D Coupon'!U$5</f>
        <v>5.0720000000000001</v>
      </c>
      <c r="V50" s="35">
        <f>Price!V50/'Price D Coupon'!V$5</f>
        <v>4.8280000000000003</v>
      </c>
      <c r="W50" s="35">
        <f>Price!W50/'Price D Coupon'!W$5</f>
        <v>3.8563636363636364</v>
      </c>
      <c r="X50" s="35">
        <f>Price!X50/'Price D Coupon'!X$5</f>
        <v>3.7383333333333333</v>
      </c>
      <c r="Y50" s="35">
        <f>Price!Y50/'Price D Coupon'!Y$5</f>
        <v>3.7015384615384614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0</v>
      </c>
      <c r="J51" s="35">
        <f>Price!J51/'Price D Coupon'!J$5</f>
        <v>6.7514285714285709</v>
      </c>
      <c r="K51" s="35">
        <f>Price!K51/'Price D Coupon'!K$5</f>
        <v>6.6085714285714285</v>
      </c>
      <c r="L51" s="35">
        <f>Price!L51/'Price D Coupon'!L$5</f>
        <v>6.1571428571428575</v>
      </c>
      <c r="M51" s="35">
        <f>Price!M51/'Price D Coupon'!M$5</f>
        <v>0</v>
      </c>
      <c r="N51" s="35">
        <f>Price!N51/'Price D Coupon'!N$5</f>
        <v>5.9074999999999998</v>
      </c>
      <c r="O51" s="35">
        <f>Price!O51/'Price D Coupon'!O$5</f>
        <v>5.8075000000000001</v>
      </c>
      <c r="P51" s="35">
        <f>Price!P51/'Price D Coupon'!P$5</f>
        <v>5.6875</v>
      </c>
      <c r="Q51" s="35">
        <f>Price!Q51/'Price D Coupon'!Q$5</f>
        <v>5.29</v>
      </c>
      <c r="R51" s="35">
        <f>Price!R51/'Price D Coupon'!R$5</f>
        <v>5.3533333333333335</v>
      </c>
      <c r="S51" s="35">
        <f>Price!S51/'Price D Coupon'!S$5</f>
        <v>5.1244444444444444</v>
      </c>
      <c r="T51" s="35">
        <f>Price!T51/'Price D Coupon'!T$5</f>
        <v>4.7844444444444445</v>
      </c>
      <c r="U51" s="35">
        <f>Price!U51/'Price D Coupon'!U$5</f>
        <v>4.7119999999999997</v>
      </c>
      <c r="V51" s="35">
        <f>Price!V51/'Price D Coupon'!V$5</f>
        <v>4.4799999999999995</v>
      </c>
      <c r="W51" s="35">
        <f>Price!W51/'Price D Coupon'!W$5</f>
        <v>3.6581818181818182</v>
      </c>
      <c r="X51" s="35">
        <f>Price!X51/'Price D Coupon'!X$5</f>
        <v>3.5733333333333337</v>
      </c>
      <c r="Y51" s="35">
        <f>Price!Y51/'Price D Coupon'!Y$5</f>
        <v>3.6046153846153848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0</v>
      </c>
      <c r="J52" s="35">
        <f>Price!J52/'Price D Coupon'!J$5</f>
        <v>6.5228571428571422</v>
      </c>
      <c r="K52" s="35">
        <f>Price!K52/'Price D Coupon'!K$5</f>
        <v>6.3914285714285715</v>
      </c>
      <c r="L52" s="35">
        <f>Price!L52/'Price D Coupon'!L$5</f>
        <v>5.8971428571428577</v>
      </c>
      <c r="M52" s="35">
        <f>Price!M52/'Price D Coupon'!M$5</f>
        <v>0</v>
      </c>
      <c r="N52" s="35">
        <f>Price!N52/'Price D Coupon'!N$5</f>
        <v>5.7074999999999996</v>
      </c>
      <c r="O52" s="35">
        <f>Price!O52/'Price D Coupon'!O$5</f>
        <v>5.5374999999999996</v>
      </c>
      <c r="P52" s="35">
        <f>Price!P52/'Price D Coupon'!P$5</f>
        <v>5.42</v>
      </c>
      <c r="Q52" s="35">
        <f>Price!Q52/'Price D Coupon'!Q$5</f>
        <v>4.97</v>
      </c>
      <c r="R52" s="35">
        <f>Price!R52/'Price D Coupon'!R$5</f>
        <v>5.1333333333333337</v>
      </c>
      <c r="S52" s="35">
        <f>Price!S52/'Price D Coupon'!S$5</f>
        <v>4.9044444444444446</v>
      </c>
      <c r="T52" s="35">
        <f>Price!T52/'Price D Coupon'!T$5</f>
        <v>4.528888888888889</v>
      </c>
      <c r="U52" s="35">
        <f>Price!U52/'Price D Coupon'!U$5</f>
        <v>4.55</v>
      </c>
      <c r="V52" s="35">
        <f>Price!V52/'Price D Coupon'!V$5</f>
        <v>4.3100000000000005</v>
      </c>
      <c r="W52" s="35">
        <f>Price!W52/'Price D Coupon'!W$5</f>
        <v>3.5527272727272727</v>
      </c>
      <c r="X52" s="35">
        <f>Price!X52/'Price D Coupon'!X$5</f>
        <v>3.5033333333333334</v>
      </c>
      <c r="Y52" s="35">
        <f>Price!Y52/'Price D Coupon'!Y$5</f>
        <v>3.56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0</v>
      </c>
      <c r="J53" s="35">
        <f>Price!J53/'Price D Coupon'!J$5</f>
        <v>6.1885714285714286</v>
      </c>
      <c r="K53" s="35">
        <f>Price!K53/'Price D Coupon'!K$5</f>
        <v>6.2914285714285709</v>
      </c>
      <c r="L53" s="35">
        <f>Price!L53/'Price D Coupon'!L$5</f>
        <v>5.7514285714285709</v>
      </c>
      <c r="M53" s="35">
        <f>Price!M53/'Price D Coupon'!M$5</f>
        <v>0</v>
      </c>
      <c r="N53" s="35">
        <f>Price!N53/'Price D Coupon'!N$5</f>
        <v>5.415</v>
      </c>
      <c r="O53" s="35">
        <f>Price!O53/'Price D Coupon'!O$5</f>
        <v>5.4375</v>
      </c>
      <c r="P53" s="35">
        <f>Price!P53/'Price D Coupon'!P$5</f>
        <v>5.3174999999999999</v>
      </c>
      <c r="Q53" s="35">
        <f>Price!Q53/'Price D Coupon'!Q$5</f>
        <v>4.8574999999999999</v>
      </c>
      <c r="R53" s="35">
        <f>Price!R53/'Price D Coupon'!R$5</f>
        <v>5.0666666666666664</v>
      </c>
      <c r="S53" s="35">
        <f>Price!S53/'Price D Coupon'!S$5</f>
        <v>4.8533333333333335</v>
      </c>
      <c r="T53" s="35">
        <f>Price!T53/'Price D Coupon'!T$5</f>
        <v>4.4688888888888885</v>
      </c>
      <c r="U53" s="35">
        <f>Price!U53/'Price D Coupon'!U$5</f>
        <v>4.508</v>
      </c>
      <c r="V53" s="35">
        <f>Price!V53/'Price D Coupon'!V$5</f>
        <v>4.258</v>
      </c>
      <c r="W53" s="35">
        <f>Price!W53/'Price D Coupon'!W$5</f>
        <v>3.5381818181818185</v>
      </c>
      <c r="X53" s="35">
        <f>Price!X53/'Price D Coupon'!X$5</f>
        <v>3.4949999999999997</v>
      </c>
      <c r="Y53" s="35">
        <f>Price!Y53/'Price D Coupon'!Y$5</f>
        <v>3.56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5.3028571428571425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5.5628571428571423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6.3257142857142856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5.9657142857142853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5.9771428571428578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5.6657142857142855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f t="shared" si="1"/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 t="shared" ref="BC62:BC67" si="7">SUM(AJ62:BB62)</f>
        <v>1.0000000010000001</v>
      </c>
    </row>
    <row r="63" spans="6:58" x14ac:dyDescent="0.2">
      <c r="F63" s="32">
        <v>42307</v>
      </c>
      <c r="G63" s="35">
        <f>Price!G63/'Price D Coupon'!G$5</f>
        <v>6.8066666666666675</v>
      </c>
      <c r="H63" s="35">
        <f>Price!H63/'Price D Coupon'!H$5</f>
        <v>6.6433333333333335</v>
      </c>
      <c r="I63" s="35">
        <f>Price!I63/'Price D Coupon'!I$5</f>
        <v>5.6485714285714286</v>
      </c>
      <c r="J63" s="35">
        <f>Price!J63/'Price D Coupon'!J$5</f>
        <v>6.0828571428571427</v>
      </c>
      <c r="K63" s="35">
        <f>Price!K63/'Price D Coupon'!K$5</f>
        <v>6.0142857142857142</v>
      </c>
      <c r="L63" s="35">
        <f>Price!L63/'Price D Coupon'!L$5</f>
        <v>5.5742857142857147</v>
      </c>
      <c r="M63" s="35">
        <f>Price!M63/'Price D Coupon'!M$5</f>
        <v>5.2275</v>
      </c>
      <c r="N63" s="35">
        <f>Price!N63/'Price D Coupon'!N$5</f>
        <v>5.3224999999999998</v>
      </c>
      <c r="O63" s="35">
        <f>Price!O63/'Price D Coupon'!O$5</f>
        <v>5.3475000000000001</v>
      </c>
      <c r="P63" s="35">
        <f>Price!P63/'Price D Coupon'!P$5</f>
        <v>5.2125000000000004</v>
      </c>
      <c r="Q63" s="35">
        <f>Price!Q63/'Price D Coupon'!Q$5</f>
        <v>4.83</v>
      </c>
      <c r="R63" s="35">
        <f>Price!R63/'Price D Coupon'!R$5</f>
        <v>4.9555555555555557</v>
      </c>
      <c r="S63" s="35">
        <f>Price!S63/'Price D Coupon'!S$5</f>
        <v>4.7222222222222223</v>
      </c>
      <c r="T63" s="35">
        <f>Price!T63/'Price D Coupon'!T$5</f>
        <v>4.4177777777777774</v>
      </c>
      <c r="U63" s="35">
        <f>Price!U63/'Price D Coupon'!U$5</f>
        <v>4.4279999999999999</v>
      </c>
      <c r="V63" s="35">
        <f>Price!V63/'Price D Coupon'!V$5</f>
        <v>4.258</v>
      </c>
      <c r="W63" s="35">
        <f>Price!W63/'Price D Coupon'!W$5</f>
        <v>3.9272727272727277</v>
      </c>
      <c r="X63" s="35">
        <f>Price!X63/'Price D Coupon'!X$5</f>
        <v>3.9066666666666667</v>
      </c>
      <c r="Y63" s="35">
        <f>Price!Y63/'Price D Coupon'!Y$5</f>
        <v>4.0938461538461537</v>
      </c>
      <c r="Z63" s="46"/>
      <c r="AA63" s="47"/>
      <c r="AB63" s="48"/>
      <c r="AC63" s="31">
        <v>25.0802656836842</v>
      </c>
      <c r="AE63" s="32">
        <f t="shared" si="6"/>
        <v>42307</v>
      </c>
      <c r="AF63" s="33"/>
      <c r="AI63" s="4">
        <f t="shared" si="1"/>
        <v>42307</v>
      </c>
      <c r="AJ63" s="51">
        <v>0.12976280537943766</v>
      </c>
      <c r="AK63" s="51">
        <v>0.11786500448490561</v>
      </c>
      <c r="AL63" s="51">
        <v>6.5868953400053915E-2</v>
      </c>
      <c r="AM63" s="51">
        <v>8.6467604157867639E-2</v>
      </c>
      <c r="AN63" s="51">
        <v>0.13940283420452973</v>
      </c>
      <c r="AO63" s="51">
        <v>9.2574447007325051E-3</v>
      </c>
      <c r="AP63" s="51">
        <v>0.10436447850937196</v>
      </c>
      <c r="AQ63" s="51">
        <v>7.2162830137845108E-2</v>
      </c>
      <c r="AR63" s="51">
        <v>3.5025928852884629E-2</v>
      </c>
      <c r="AS63" s="51">
        <v>3.9928897269815369E-2</v>
      </c>
      <c r="AT63" s="51">
        <v>2.6964805411048471E-2</v>
      </c>
      <c r="AU63" s="51">
        <v>3.6002209764703842E-2</v>
      </c>
      <c r="AV63" s="51">
        <v>3.3433780710737451E-2</v>
      </c>
      <c r="AW63" s="51">
        <v>5.2489573270049154E-2</v>
      </c>
      <c r="AX63" s="51">
        <v>1.7738764753999839E-2</v>
      </c>
      <c r="AY63" s="51">
        <v>1.472951524237672E-2</v>
      </c>
      <c r="AZ63" s="51">
        <v>7.2623839509322443E-3</v>
      </c>
      <c r="BA63" s="51">
        <v>4.2107499460495058E-3</v>
      </c>
      <c r="BB63" s="51">
        <v>7.0614358526587253E-3</v>
      </c>
      <c r="BC63" s="51">
        <f t="shared" si="7"/>
        <v>1</v>
      </c>
    </row>
    <row r="64" spans="6:58" x14ac:dyDescent="0.2">
      <c r="F64" s="32">
        <v>42338</v>
      </c>
      <c r="G64" s="35">
        <f>Price!G64/'Price D Coupon'!G$5</f>
        <v>6.95</v>
      </c>
      <c r="H64" s="35">
        <f>Price!H64/'Price D Coupon'!H$5</f>
        <v>6.82</v>
      </c>
      <c r="I64" s="35">
        <f>Price!I64/'Price D Coupon'!I$5</f>
        <v>5.9514285714285711</v>
      </c>
      <c r="J64" s="35">
        <f>Price!J64/'Price D Coupon'!J$5</f>
        <v>6.265714285714286</v>
      </c>
      <c r="K64" s="35">
        <f>Price!K64/'Price D Coupon'!K$5</f>
        <v>6.2142857142857144</v>
      </c>
      <c r="L64" s="35">
        <f>Price!L64/'Price D Coupon'!L$5</f>
        <v>5.7628571428571433</v>
      </c>
      <c r="M64" s="35">
        <f>Price!M64/'Price D Coupon'!M$5</f>
        <v>5.45</v>
      </c>
      <c r="N64" s="35">
        <f>Price!N64/'Price D Coupon'!N$5</f>
        <v>5.4824999999999999</v>
      </c>
      <c r="O64" s="35">
        <f>Price!O64/'Price D Coupon'!O$5</f>
        <v>5.53</v>
      </c>
      <c r="P64" s="35">
        <f>Price!P64/'Price D Coupon'!P$5</f>
        <v>5.3975</v>
      </c>
      <c r="Q64" s="35">
        <f>Price!Q64/'Price D Coupon'!Q$5</f>
        <v>5.1349999999999998</v>
      </c>
      <c r="R64" s="35">
        <f>Price!R64/'Price D Coupon'!R$5</f>
        <v>5.1088888888888881</v>
      </c>
      <c r="S64" s="35">
        <f>Price!S64/'Price D Coupon'!S$5</f>
        <v>4.8733333333333331</v>
      </c>
      <c r="T64" s="35">
        <f>Price!T64/'Price D Coupon'!T$5</f>
        <v>4.6266666666666669</v>
      </c>
      <c r="U64" s="35">
        <f>Price!U64/'Price D Coupon'!U$5</f>
        <v>4.5600000000000005</v>
      </c>
      <c r="V64" s="35">
        <f>Price!V64/'Price D Coupon'!V$5</f>
        <v>4.3899999999999997</v>
      </c>
      <c r="W64" s="35">
        <f>Price!W64/'Price D Coupon'!W$5</f>
        <v>4.0181818181818185</v>
      </c>
      <c r="X64" s="35">
        <f>Price!X64/'Price D Coupon'!X$5</f>
        <v>3.92</v>
      </c>
      <c r="Y64" s="35">
        <f>Price!Y64/'Price D Coupon'!Y$5</f>
        <v>4.132307692307692</v>
      </c>
      <c r="Z64" s="46"/>
      <c r="AA64" s="47"/>
      <c r="AB64" s="48"/>
      <c r="AC64" s="31">
        <v>25.0802656836842</v>
      </c>
      <c r="AE64" s="32">
        <f t="shared" ref="AE64" si="8">F64</f>
        <v>42338</v>
      </c>
      <c r="AF64" s="33"/>
      <c r="AI64" s="4">
        <f t="shared" si="1"/>
        <v>42338</v>
      </c>
      <c r="AJ64" s="51">
        <v>0.13</v>
      </c>
      <c r="AK64" s="51">
        <v>0.12</v>
      </c>
      <c r="AL64" s="51">
        <v>7.0000000000000007E-2</v>
      </c>
      <c r="AM64" s="51">
        <v>0.09</v>
      </c>
      <c r="AN64" s="51">
        <v>0.14000000000000001</v>
      </c>
      <c r="AO64" s="51">
        <v>0.01</v>
      </c>
      <c r="AP64" s="51">
        <v>0.1</v>
      </c>
      <c r="AQ64" s="51">
        <v>7.0000000000000007E-2</v>
      </c>
      <c r="AR64" s="51">
        <v>0.03</v>
      </c>
      <c r="AS64" s="51">
        <v>0.04</v>
      </c>
      <c r="AT64" s="51">
        <v>0.03</v>
      </c>
      <c r="AU64" s="51">
        <v>0.04</v>
      </c>
      <c r="AV64" s="51">
        <v>0.03</v>
      </c>
      <c r="AW64" s="51">
        <v>0.05</v>
      </c>
      <c r="AX64" s="51">
        <v>0.02</v>
      </c>
      <c r="AY64" s="51">
        <v>0.01</v>
      </c>
      <c r="AZ64" s="51">
        <v>0.01</v>
      </c>
      <c r="BA64" s="51">
        <v>4.2107499460495058E-3</v>
      </c>
      <c r="BB64" s="51">
        <v>0.01</v>
      </c>
      <c r="BC64" s="51">
        <f t="shared" si="7"/>
        <v>1.0042107499460498</v>
      </c>
    </row>
    <row r="65" spans="6:55" x14ac:dyDescent="0.2">
      <c r="F65" s="32">
        <v>42369</v>
      </c>
      <c r="G65" s="35">
        <f>Price!G65/'Price D Coupon'!G$5</f>
        <v>6.9933333333333332</v>
      </c>
      <c r="H65" s="35">
        <f>Price!H65/'Price D Coupon'!H$5</f>
        <v>6.87</v>
      </c>
      <c r="I65" s="35">
        <f>Price!I65/'Price D Coupon'!I$5</f>
        <v>6.08</v>
      </c>
      <c r="J65" s="35">
        <f>Price!J65/'Price D Coupon'!J$5</f>
        <v>6.3457142857142861</v>
      </c>
      <c r="K65" s="35">
        <f>Price!K65/'Price D Coupon'!K$5</f>
        <v>6.2971428571428572</v>
      </c>
      <c r="L65" s="35">
        <f>Price!L65/'Price D Coupon'!L$5</f>
        <v>5.9057142857142866</v>
      </c>
      <c r="M65" s="35">
        <f>Price!M65/'Price D Coupon'!M$5</f>
        <v>5.5350000000000001</v>
      </c>
      <c r="N65" s="35">
        <f>Price!N65/'Price D Coupon'!N$5</f>
        <v>5.5525000000000002</v>
      </c>
      <c r="O65" s="35">
        <f>Price!O65/'Price D Coupon'!O$5</f>
        <v>5.5925000000000002</v>
      </c>
      <c r="P65" s="35">
        <f>Price!P65/'Price D Coupon'!P$5</f>
        <v>5.4675000000000002</v>
      </c>
      <c r="Q65" s="35">
        <f>Price!Q65/'Price D Coupon'!Q$5</f>
        <v>5.2649999999999997</v>
      </c>
      <c r="R65" s="35">
        <f>Price!R65/'Price D Coupon'!R$5</f>
        <v>5.1822222222222223</v>
      </c>
      <c r="S65" s="35">
        <f>Price!S65/'Price D Coupon'!S$5</f>
        <v>4.9466666666666672</v>
      </c>
      <c r="T65" s="35">
        <f>Price!T65/'Price D Coupon'!T$5</f>
        <v>4.7511111111111113</v>
      </c>
      <c r="U65" s="35">
        <f>Price!U65/'Price D Coupon'!U$5</f>
        <v>4.6420000000000003</v>
      </c>
      <c r="V65" s="35">
        <f>Price!V65/'Price D Coupon'!V$5</f>
        <v>4.4799999999999995</v>
      </c>
      <c r="W65" s="35">
        <f>Price!W65/'Price D Coupon'!W$5</f>
        <v>4.0927272727272728</v>
      </c>
      <c r="X65" s="35">
        <f>Price!X65/'Price D Coupon'!X$5</f>
        <v>3.9466666666666668</v>
      </c>
      <c r="Y65" s="35">
        <f>Price!Y65/'Price D Coupon'!Y$5</f>
        <v>4.1723076923076921</v>
      </c>
      <c r="Z65" s="46"/>
      <c r="AA65" s="47"/>
      <c r="AB65" s="48"/>
      <c r="AC65" s="31">
        <v>25.0802656836842</v>
      </c>
      <c r="AE65" s="32">
        <f t="shared" ref="AE65" si="9">F65</f>
        <v>42369</v>
      </c>
      <c r="AF65" s="33"/>
      <c r="AI65" s="4">
        <v>42369</v>
      </c>
      <c r="AJ65" s="51">
        <v>0.13</v>
      </c>
      <c r="AK65" s="51">
        <v>0.12</v>
      </c>
      <c r="AL65" s="51">
        <v>7.0000000000000007E-2</v>
      </c>
      <c r="AM65" s="51">
        <v>0.09</v>
      </c>
      <c r="AN65" s="51">
        <v>0.14000000000000001</v>
      </c>
      <c r="AO65" s="51">
        <v>0.01</v>
      </c>
      <c r="AP65" s="51">
        <v>0.1</v>
      </c>
      <c r="AQ65" s="51">
        <v>7.0000000000000007E-2</v>
      </c>
      <c r="AR65" s="51">
        <v>0.03</v>
      </c>
      <c r="AS65" s="51">
        <v>0.04</v>
      </c>
      <c r="AT65" s="51">
        <v>0.03</v>
      </c>
      <c r="AU65" s="51">
        <v>0.04</v>
      </c>
      <c r="AV65" s="51">
        <v>0.03</v>
      </c>
      <c r="AW65" s="51">
        <v>0.05</v>
      </c>
      <c r="AX65" s="51">
        <v>0.02</v>
      </c>
      <c r="AY65" s="51">
        <v>0.01</v>
      </c>
      <c r="AZ65" s="51">
        <v>0.01</v>
      </c>
      <c r="BA65" s="51">
        <v>4.2107499460495058E-3</v>
      </c>
      <c r="BB65" s="51">
        <v>0.01</v>
      </c>
      <c r="BC65" s="51">
        <f t="shared" si="7"/>
        <v>1.0042107499460498</v>
      </c>
    </row>
    <row r="66" spans="6:55" x14ac:dyDescent="0.2">
      <c r="F66" s="32">
        <v>42398</v>
      </c>
      <c r="G66" s="35">
        <f>Price!G66/'Price D Coupon'!G$5</f>
        <v>6.4633333333333338</v>
      </c>
      <c r="H66" s="35">
        <f>Price!H66/'Price D Coupon'!H$5</f>
        <v>6.3500000000000005</v>
      </c>
      <c r="I66" s="35">
        <f>Price!I66/'Price D Coupon'!I$5</f>
        <v>5.2371428571428567</v>
      </c>
      <c r="J66" s="35">
        <f>Price!J66/'Price D Coupon'!J$5</f>
        <v>5.7085714285714291</v>
      </c>
      <c r="K66" s="35">
        <f>Price!K66/'Price D Coupon'!K$5</f>
        <v>5.694285714285714</v>
      </c>
      <c r="L66" s="35">
        <f>Price!L66/'Price D Coupon'!L$5</f>
        <v>5.2628571428571433</v>
      </c>
      <c r="M66" s="35">
        <f>Price!M66/'Price D Coupon'!M$5</f>
        <v>4.7725</v>
      </c>
      <c r="N66" s="35">
        <f>Price!N66/'Price D Coupon'!N$5</f>
        <v>4.9950000000000001</v>
      </c>
      <c r="O66" s="35">
        <f>Price!O66/'Price D Coupon'!O$5</f>
        <v>5.0025000000000004</v>
      </c>
      <c r="P66" s="35">
        <f>Price!P66/'Price D Coupon'!P$5</f>
        <v>4.8724999999999996</v>
      </c>
      <c r="Q66" s="35">
        <f>Price!Q66/'Price D Coupon'!Q$5</f>
        <v>4.67</v>
      </c>
      <c r="R66" s="35">
        <f>Price!R66/'Price D Coupon'!R$5</f>
        <v>4.6888888888888891</v>
      </c>
      <c r="S66" s="35">
        <f>Price!S66/'Price D Coupon'!S$5</f>
        <v>4.4555555555555557</v>
      </c>
      <c r="T66" s="35">
        <f>Price!T66/'Price D Coupon'!T$5</f>
        <v>4.2444444444444445</v>
      </c>
      <c r="U66" s="35">
        <f>Price!U66/'Price D Coupon'!U$5</f>
        <v>4.2460000000000004</v>
      </c>
      <c r="V66" s="35">
        <f>Price!V66/'Price D Coupon'!V$5</f>
        <v>4.0679999999999996</v>
      </c>
      <c r="W66" s="35">
        <f>Price!W66/'Price D Coupon'!W$5</f>
        <v>3.9109090909090911</v>
      </c>
      <c r="X66" s="35">
        <f>Price!X66/'Price D Coupon'!X$5</f>
        <v>3.7916666666666665</v>
      </c>
      <c r="Y66" s="35">
        <f>Price!Y66/'Price D Coupon'!Y$5</f>
        <v>4.0723076923076924</v>
      </c>
      <c r="Z66" s="46"/>
      <c r="AA66" s="47"/>
      <c r="AB66" s="48"/>
      <c r="AC66" s="31">
        <v>25.0802656836842</v>
      </c>
      <c r="AE66" s="32">
        <f t="shared" ref="AE66" si="10">F66</f>
        <v>42398</v>
      </c>
      <c r="AF66" s="33"/>
      <c r="AI66" s="4">
        <v>42398</v>
      </c>
      <c r="AJ66" s="51">
        <v>0.13</v>
      </c>
      <c r="AK66" s="51">
        <v>0.12</v>
      </c>
      <c r="AL66" s="51">
        <v>7.0000000000000007E-2</v>
      </c>
      <c r="AM66" s="51">
        <v>0.09</v>
      </c>
      <c r="AN66" s="51">
        <v>0.14000000000000001</v>
      </c>
      <c r="AO66" s="51">
        <v>0.01</v>
      </c>
      <c r="AP66" s="51">
        <v>0.1</v>
      </c>
      <c r="AQ66" s="51">
        <v>7.0000000000000007E-2</v>
      </c>
      <c r="AR66" s="51">
        <v>0.03</v>
      </c>
      <c r="AS66" s="51">
        <v>0.04</v>
      </c>
      <c r="AT66" s="51">
        <v>0.03</v>
      </c>
      <c r="AU66" s="51">
        <v>0.04</v>
      </c>
      <c r="AV66" s="51">
        <v>0.03</v>
      </c>
      <c r="AW66" s="51">
        <v>0.05</v>
      </c>
      <c r="AX66" s="51">
        <v>0.02</v>
      </c>
      <c r="AY66" s="51">
        <v>0.01</v>
      </c>
      <c r="AZ66" s="51">
        <v>0.01</v>
      </c>
      <c r="BA66" s="51">
        <v>4.2107499460495058E-3</v>
      </c>
      <c r="BB66" s="51">
        <v>0.01</v>
      </c>
      <c r="BC66" s="51">
        <f t="shared" si="7"/>
        <v>1.0042107499460498</v>
      </c>
    </row>
    <row r="67" spans="6:55" x14ac:dyDescent="0.2">
      <c r="F67" s="32">
        <v>42429</v>
      </c>
      <c r="G67" s="35">
        <f>Price!G67/'Price D Coupon'!G$5</f>
        <v>6.0533333333333337</v>
      </c>
      <c r="H67" s="35">
        <f>Price!H67/'Price D Coupon'!H$5</f>
        <v>6.0533333333333337</v>
      </c>
      <c r="I67" s="35">
        <f>Price!I67/'Price D Coupon'!I$5</f>
        <v>4.7885714285714291</v>
      </c>
      <c r="J67" s="35">
        <f>Price!J67/'Price D Coupon'!J$5</f>
        <v>5.36</v>
      </c>
      <c r="K67" s="35">
        <f>Price!K67/'Price D Coupon'!K$5</f>
        <v>5.3657142857142857</v>
      </c>
      <c r="L67" s="35">
        <f>Price!L67/'Price D Coupon'!L$5</f>
        <v>4.9514285714285711</v>
      </c>
      <c r="M67" s="35">
        <f>Price!M67/'Price D Coupon'!M$5</f>
        <v>4.4249999999999998</v>
      </c>
      <c r="N67" s="35">
        <f>Price!N67/'Price D Coupon'!N$5</f>
        <v>4.6900000000000004</v>
      </c>
      <c r="O67" s="35">
        <f>Price!O67/'Price D Coupon'!O$5</f>
        <v>4.72</v>
      </c>
      <c r="P67" s="35">
        <f>Price!P67/'Price D Coupon'!P$5</f>
        <v>4.5999999999999996</v>
      </c>
      <c r="Q67" s="35">
        <f>Price!Q67/'Price D Coupon'!Q$5</f>
        <v>4.4124999999999996</v>
      </c>
      <c r="R67" s="35">
        <f>Price!R67/'Price D Coupon'!R$5</f>
        <v>4.4911111111111115</v>
      </c>
      <c r="S67" s="35">
        <f>Price!S67/'Price D Coupon'!S$5</f>
        <v>4.2466666666666661</v>
      </c>
      <c r="T67" s="35">
        <f>Price!T67/'Price D Coupon'!T$5</f>
        <v>4.04</v>
      </c>
      <c r="U67" s="35">
        <f>Price!U67/'Price D Coupon'!U$5</f>
        <v>4.1120000000000001</v>
      </c>
      <c r="V67" s="35">
        <f>Price!V67/'Price D Coupon'!V$5</f>
        <v>3.8959999999999999</v>
      </c>
      <c r="W67" s="35">
        <f>Price!W67/'Price D Coupon'!W$5</f>
        <v>3.8818181818181823</v>
      </c>
      <c r="X67" s="35">
        <f>Price!X67/'Price D Coupon'!X$5</f>
        <v>3.81</v>
      </c>
      <c r="Y67" s="35">
        <f>Price!Y67/'Price D Coupon'!Y$5</f>
        <v>4.1107692307692307</v>
      </c>
      <c r="Z67" s="46"/>
      <c r="AA67" s="47"/>
      <c r="AB67" s="48"/>
      <c r="AC67" s="31">
        <v>25.0802656836842</v>
      </c>
      <c r="AE67" s="32">
        <f t="shared" ref="AE67" si="11">F67</f>
        <v>42429</v>
      </c>
      <c r="AF67" s="33"/>
      <c r="AI67" s="4">
        <v>42398</v>
      </c>
      <c r="AJ67" s="51">
        <v>0.13</v>
      </c>
      <c r="AK67" s="51">
        <v>0.12</v>
      </c>
      <c r="AL67" s="51">
        <v>7.0000000000000007E-2</v>
      </c>
      <c r="AM67" s="51">
        <v>0.09</v>
      </c>
      <c r="AN67" s="51">
        <v>0.14000000000000001</v>
      </c>
      <c r="AO67" s="51">
        <v>0.01</v>
      </c>
      <c r="AP67" s="51">
        <v>0.1</v>
      </c>
      <c r="AQ67" s="51">
        <v>7.0000000000000007E-2</v>
      </c>
      <c r="AR67" s="51">
        <v>0.03</v>
      </c>
      <c r="AS67" s="51">
        <v>0.04</v>
      </c>
      <c r="AT67" s="51">
        <v>0.03</v>
      </c>
      <c r="AU67" s="51">
        <v>0.04</v>
      </c>
      <c r="AV67" s="51">
        <v>0.03</v>
      </c>
      <c r="AW67" s="51">
        <v>0.05</v>
      </c>
      <c r="AX67" s="51">
        <v>0.02</v>
      </c>
      <c r="AY67" s="51">
        <v>0.01</v>
      </c>
      <c r="AZ67" s="51">
        <v>0.01</v>
      </c>
      <c r="BA67" s="51">
        <v>4.2107499460495058E-3</v>
      </c>
      <c r="BB67" s="51">
        <v>0.01</v>
      </c>
      <c r="BC67" s="51">
        <f t="shared" si="7"/>
        <v>1.0042107499460498</v>
      </c>
    </row>
    <row r="68" spans="6:55" x14ac:dyDescent="0.2">
      <c r="F68" s="32">
        <v>42460</v>
      </c>
      <c r="G68" s="35">
        <f>Price!G68/'Price D Coupon'!G$5</f>
        <v>6.1466666666666674</v>
      </c>
      <c r="H68" s="35">
        <f>Price!H68/'Price D Coupon'!H$5</f>
        <v>6.1366666666666667</v>
      </c>
      <c r="I68" s="35">
        <f>Price!I68/'Price D Coupon'!I$5</f>
        <v>4.8428571428571425</v>
      </c>
      <c r="J68" s="35">
        <f>Price!J68/'Price D Coupon'!J$5</f>
        <v>5.4371428571428577</v>
      </c>
      <c r="K68" s="35">
        <f>Price!K68/'Price D Coupon'!K$5</f>
        <v>5.4285714285714288</v>
      </c>
      <c r="L68" s="35">
        <f>Price!L68/'Price D Coupon'!L$5</f>
        <v>5.0342857142857147</v>
      </c>
      <c r="M68" s="35">
        <f>Price!M68/'Price D Coupon'!M$5</f>
        <v>4.49</v>
      </c>
      <c r="N68" s="35">
        <f>Price!N68/'Price D Coupon'!N$5</f>
        <v>4.7575000000000003</v>
      </c>
      <c r="O68" s="35">
        <f>Price!O68/'Price D Coupon'!O$5</f>
        <v>4.8449999999999998</v>
      </c>
      <c r="P68" s="35">
        <f>Price!P68/'Price D Coupon'!P$5</f>
        <v>4.7249999999999996</v>
      </c>
      <c r="Q68" s="35">
        <f>Price!Q68/'Price D Coupon'!Q$5</f>
        <v>4.5225</v>
      </c>
      <c r="R68" s="35">
        <f>Price!R68/'Price D Coupon'!R$5</f>
        <v>4.5488888888888885</v>
      </c>
      <c r="S68" s="35">
        <f>Price!S68/'Price D Coupon'!S$5</f>
        <v>4.3066666666666666</v>
      </c>
      <c r="T68" s="35">
        <f>Price!T68/'Price D Coupon'!T$5</f>
        <v>4.1044444444444439</v>
      </c>
      <c r="U68" s="35">
        <f>Price!U68/'Price D Coupon'!U$5</f>
        <v>4.1159999999999997</v>
      </c>
      <c r="V68" s="35">
        <f>Price!V68/'Price D Coupon'!V$5</f>
        <v>3.9020000000000001</v>
      </c>
      <c r="W68" s="35">
        <f>Price!W68/'Price D Coupon'!W$5</f>
        <v>3.958181818181818</v>
      </c>
      <c r="X68" s="35">
        <f>Price!X68/'Price D Coupon'!X$5</f>
        <v>3.8833333333333333</v>
      </c>
      <c r="Y68" s="35">
        <f>Price!Y68/'Price D Coupon'!Y$5</f>
        <v>4.1938461538461542</v>
      </c>
      <c r="Z68" s="46"/>
      <c r="AA68" s="47"/>
      <c r="AB68" s="48"/>
      <c r="AC68" s="31">
        <v>25.0802656836842</v>
      </c>
      <c r="AE68" s="32">
        <f t="shared" ref="AE68" si="12">F68</f>
        <v>42460</v>
      </c>
      <c r="AF68" s="33"/>
      <c r="AI68" s="4">
        <v>42398</v>
      </c>
      <c r="AJ68" s="51">
        <v>0.13</v>
      </c>
      <c r="AK68" s="51">
        <v>0.12</v>
      </c>
      <c r="AL68" s="51">
        <v>7.0000000000000007E-2</v>
      </c>
      <c r="AM68" s="51">
        <v>0.09</v>
      </c>
      <c r="AN68" s="51">
        <v>0.14000000000000001</v>
      </c>
      <c r="AO68" s="51">
        <v>0.01</v>
      </c>
      <c r="AP68" s="51">
        <v>0.1</v>
      </c>
      <c r="AQ68" s="51">
        <v>7.0000000000000007E-2</v>
      </c>
      <c r="AR68" s="51">
        <v>0.03</v>
      </c>
      <c r="AS68" s="51">
        <v>0.04</v>
      </c>
      <c r="AT68" s="51">
        <v>0.03</v>
      </c>
      <c r="AU68" s="51">
        <v>0.04</v>
      </c>
      <c r="AV68" s="51">
        <v>0.03</v>
      </c>
      <c r="AW68" s="51">
        <v>0.05</v>
      </c>
      <c r="AX68" s="51">
        <v>0.02</v>
      </c>
      <c r="AY68" s="51">
        <v>0.01</v>
      </c>
      <c r="AZ68" s="51">
        <v>0.01</v>
      </c>
      <c r="BA68" s="51">
        <v>4.2107499460495058E-3</v>
      </c>
      <c r="BB68" s="51">
        <v>0.01</v>
      </c>
      <c r="BC68" s="51">
        <f t="shared" ref="BC68" si="13">SUM(AJ68:BB68)</f>
        <v>1.0042107499460498</v>
      </c>
    </row>
    <row r="69" spans="6:55" x14ac:dyDescent="0.2">
      <c r="F69" s="32">
        <v>42489</v>
      </c>
      <c r="G69" s="35">
        <f>Price!G69/'Price D Coupon'!G$5</f>
        <v>6.18</v>
      </c>
      <c r="H69" s="35">
        <f>Price!H69/'Price D Coupon'!H$5</f>
        <v>6.1533333333333333</v>
      </c>
      <c r="I69" s="35">
        <f>Price!I69/'Price D Coupon'!I$5</f>
        <v>4.8542857142857141</v>
      </c>
      <c r="J69" s="35">
        <f>Price!J69/'Price D Coupon'!J$5</f>
        <v>5.4657142857142853</v>
      </c>
      <c r="K69" s="35">
        <f>Price!K69/'Price D Coupon'!K$5</f>
        <v>5.4399999999999995</v>
      </c>
      <c r="L69" s="35">
        <f>Price!L69/'Price D Coupon'!L$5</f>
        <v>5.0428571428571427</v>
      </c>
      <c r="M69" s="35">
        <f>Price!M69/'Price D Coupon'!M$5</f>
        <v>4.54</v>
      </c>
      <c r="N69" s="35">
        <f>Price!N69/'Price D Coupon'!N$5</f>
        <v>4.7824999999999998</v>
      </c>
      <c r="O69" s="35">
        <f>Price!O69/'Price D Coupon'!O$5</f>
        <v>4.9024999999999999</v>
      </c>
      <c r="P69" s="35">
        <f>Price!P69/'Price D Coupon'!P$5</f>
        <v>4.8049999999999997</v>
      </c>
      <c r="Q69" s="35">
        <f>Price!Q69/'Price D Coupon'!Q$5</f>
        <v>4.5750000000000002</v>
      </c>
      <c r="R69" s="35">
        <f>Price!R69/'Price D Coupon'!R$5</f>
        <v>4.6111111111111107</v>
      </c>
      <c r="S69" s="35">
        <f>Price!S69/'Price D Coupon'!S$5</f>
        <v>4.3644444444444446</v>
      </c>
      <c r="T69" s="35">
        <f>Price!T69/'Price D Coupon'!T$5</f>
        <v>4.155555555555555</v>
      </c>
      <c r="U69" s="35">
        <f>Price!U69/'Price D Coupon'!U$5</f>
        <v>4.1240000000000006</v>
      </c>
      <c r="V69" s="35">
        <f>Price!V69/'Price D Coupon'!V$5</f>
        <v>3.9279999999999999</v>
      </c>
      <c r="W69" s="35">
        <f>Price!W69/'Price D Coupon'!W$5</f>
        <v>4.0472727272727278</v>
      </c>
      <c r="X69" s="35">
        <f>Price!X69/'Price D Coupon'!X$5</f>
        <v>3.9666666666666668</v>
      </c>
      <c r="Y69" s="35">
        <f>Price!Y69/'Price D Coupon'!Y$5</f>
        <v>4.2784615384615385</v>
      </c>
      <c r="Z69" s="46"/>
      <c r="AA69" s="47"/>
      <c r="AB69" s="48"/>
      <c r="AC69" s="31">
        <v>25.0802656836842</v>
      </c>
      <c r="AE69" s="32">
        <f t="shared" ref="AE69" si="14">F69</f>
        <v>42489</v>
      </c>
      <c r="AF69" s="33"/>
      <c r="AI69" s="4">
        <v>42398</v>
      </c>
      <c r="AJ69" s="51">
        <v>0.13</v>
      </c>
      <c r="AK69" s="51">
        <v>0.12</v>
      </c>
      <c r="AL69" s="51">
        <v>7.0000000000000007E-2</v>
      </c>
      <c r="AM69" s="51">
        <v>0.09</v>
      </c>
      <c r="AN69" s="51">
        <v>0.14000000000000001</v>
      </c>
      <c r="AO69" s="51">
        <v>0.01</v>
      </c>
      <c r="AP69" s="51">
        <v>0.1</v>
      </c>
      <c r="AQ69" s="51">
        <v>7.0000000000000007E-2</v>
      </c>
      <c r="AR69" s="51">
        <v>0.03</v>
      </c>
      <c r="AS69" s="51">
        <v>0.04</v>
      </c>
      <c r="AT69" s="51">
        <v>0.03</v>
      </c>
      <c r="AU69" s="51">
        <v>0.04</v>
      </c>
      <c r="AV69" s="51">
        <v>0.03</v>
      </c>
      <c r="AW69" s="51">
        <v>0.05</v>
      </c>
      <c r="AX69" s="51">
        <v>0.02</v>
      </c>
      <c r="AY69" s="51">
        <v>0.01</v>
      </c>
      <c r="AZ69" s="51">
        <v>0.01</v>
      </c>
      <c r="BA69" s="51">
        <v>4.2107499460495058E-3</v>
      </c>
      <c r="BB69" s="51">
        <v>0.01</v>
      </c>
      <c r="BC69" s="51">
        <f t="shared" ref="BC69" si="15">SUM(AJ69:BB69)</f>
        <v>1.0042107499460498</v>
      </c>
    </row>
    <row r="70" spans="6:55" x14ac:dyDescent="0.2">
      <c r="F70" s="32">
        <v>42521</v>
      </c>
      <c r="G70" s="35">
        <f>Price!G70/'Price D Coupon'!G$5</f>
        <v>6.2246547766666671</v>
      </c>
      <c r="H70" s="35">
        <f>Price!H70/'Price D Coupon'!H$5</f>
        <v>6.2038214433333332</v>
      </c>
      <c r="I70" s="35">
        <f>Price!I70/'Price D Coupon'!I$5</f>
        <v>4.8965294914285717</v>
      </c>
      <c r="J70" s="35">
        <f>Price!J70/'Price D Coupon'!J$5</f>
        <v>5.4947437771428573</v>
      </c>
      <c r="K70" s="35">
        <f>Price!K70/'Price D Coupon'!K$5</f>
        <v>5.4545634914285719</v>
      </c>
      <c r="L70" s="35">
        <f>Price!L70/'Price D Coupon'!L$5</f>
        <v>5.0572437771428573</v>
      </c>
      <c r="M70" s="35">
        <f>Price!M70/'Price D Coupon'!M$5</f>
        <v>4.5879355275</v>
      </c>
      <c r="N70" s="35">
        <f>Price!N70/'Price D Coupon'!N$5</f>
        <v>4.8079008050000001</v>
      </c>
      <c r="O70" s="35">
        <f>Price!O70/'Price D Coupon'!O$5</f>
        <v>4.9473105275</v>
      </c>
      <c r="P70" s="35">
        <f>Price!P70/'Price D Coupon'!P$5</f>
        <v>4.8496527775000002</v>
      </c>
      <c r="Q70" s="35">
        <f>Price!Q70/'Price D Coupon'!Q$5</f>
        <v>4.6152777775000002</v>
      </c>
      <c r="R70" s="35">
        <f>Price!R70/'Price D Coupon'!R$5</f>
        <v>4.6465291111111107</v>
      </c>
      <c r="S70" s="35">
        <f>Price!S70/'Price D Coupon'!S$5</f>
        <v>4.4000000000000004</v>
      </c>
      <c r="T70" s="35">
        <f>Price!T70/'Price D Coupon'!T$5</f>
        <v>4.1986111111111111</v>
      </c>
      <c r="U70" s="35">
        <f>Price!U70/'Price D Coupon'!U$5</f>
        <v>4.1559039779999996</v>
      </c>
      <c r="V70" s="35">
        <f>Price!V70/'Price D Coupon'!V$5</f>
        <v>3.9621539779999999</v>
      </c>
      <c r="W70" s="35">
        <f>Price!W70/'Price D Coupon'!W$5</f>
        <v>4.1124379600000003</v>
      </c>
      <c r="X70" s="35">
        <f>Price!X70/'Price D Coupon'!X$5</f>
        <v>4.0449662783333329</v>
      </c>
      <c r="Y70" s="35">
        <f>Price!Y70/'Price D Coupon'!Y$5</f>
        <v>4.3556623938461536</v>
      </c>
      <c r="Z70" s="46"/>
      <c r="AA70" s="47"/>
      <c r="AB70" s="48"/>
      <c r="AC70" s="31">
        <v>25.0802656836842</v>
      </c>
      <c r="AE70" s="32">
        <f t="shared" ref="AE70" si="16">F70</f>
        <v>42521</v>
      </c>
      <c r="AF70" s="33"/>
      <c r="AI70" s="4">
        <v>42398</v>
      </c>
      <c r="AJ70" s="51">
        <v>0.13</v>
      </c>
      <c r="AK70" s="51">
        <v>0.12</v>
      </c>
      <c r="AL70" s="51">
        <v>7.0000000000000007E-2</v>
      </c>
      <c r="AM70" s="51">
        <v>0.09</v>
      </c>
      <c r="AN70" s="51">
        <v>0.14000000000000001</v>
      </c>
      <c r="AO70" s="51">
        <v>0.01</v>
      </c>
      <c r="AP70" s="51">
        <v>0.1</v>
      </c>
      <c r="AQ70" s="51">
        <v>7.0000000000000007E-2</v>
      </c>
      <c r="AR70" s="51">
        <v>0.03</v>
      </c>
      <c r="AS70" s="51">
        <v>0.04</v>
      </c>
      <c r="AT70" s="51">
        <v>0.03</v>
      </c>
      <c r="AU70" s="51">
        <v>0.04</v>
      </c>
      <c r="AV70" s="51">
        <v>0.03</v>
      </c>
      <c r="AW70" s="51">
        <v>0.05</v>
      </c>
      <c r="AX70" s="51">
        <v>0.02</v>
      </c>
      <c r="AY70" s="51">
        <v>0.01</v>
      </c>
      <c r="AZ70" s="51">
        <v>0.01</v>
      </c>
      <c r="BA70" s="51">
        <v>4.2107499460495058E-3</v>
      </c>
      <c r="BB70" s="51">
        <v>0.01</v>
      </c>
      <c r="BC70" s="51">
        <f t="shared" ref="BC70" si="17">SUM(AJ70:BB70)</f>
        <v>1.0042107499460498</v>
      </c>
    </row>
    <row r="71" spans="6:55" x14ac:dyDescent="0.2">
      <c r="F71" s="32">
        <v>42551</v>
      </c>
      <c r="G71" s="35">
        <f>Price!G71/'Price D Coupon'!G$5</f>
        <v>5.5423611100000008</v>
      </c>
      <c r="H71" s="35">
        <f>Price!H71/'Price D Coupon'!H$5</f>
        <v>5.5215277766666668</v>
      </c>
      <c r="I71" s="35">
        <f>Price!I71/'Price D Coupon'!I$5</f>
        <v>4.1688492057142854</v>
      </c>
      <c r="J71" s="35">
        <f>Price!J71/'Price D Coupon'!J$5</f>
        <v>4.8518866342857141</v>
      </c>
      <c r="K71" s="35">
        <f>Price!K71/'Price D Coupon'!K$5</f>
        <v>4.8295634914285719</v>
      </c>
      <c r="L71" s="35">
        <f>Price!L71/'Price D Coupon'!L$5</f>
        <v>4.4501006342857137</v>
      </c>
      <c r="M71" s="35">
        <f>Price!M71/'Price D Coupon'!M$5</f>
        <v>4.0019977774999997</v>
      </c>
      <c r="N71" s="35">
        <f>Price!N71/'Price D Coupon'!N$5</f>
        <v>4.2454008050000001</v>
      </c>
      <c r="O71" s="35">
        <f>Price!O71/'Price D Coupon'!O$5</f>
        <v>4.4004355275</v>
      </c>
      <c r="P71" s="35">
        <f>Price!P71/'Price D Coupon'!P$5</f>
        <v>4.3184027775000002</v>
      </c>
      <c r="Q71" s="35">
        <f>Price!Q71/'Price D Coupon'!Q$5</f>
        <v>4.1113730275</v>
      </c>
      <c r="R71" s="35">
        <f>Price!R71/'Price D Coupon'!R$5</f>
        <v>4.2020846666666669</v>
      </c>
      <c r="S71" s="35">
        <f>Price!S71/'Price D Coupon'!S$5</f>
        <v>3.9555555555555557</v>
      </c>
      <c r="T71" s="35">
        <f>Price!T71/'Price D Coupon'!T$5</f>
        <v>3.7923624444444446</v>
      </c>
      <c r="U71" s="35">
        <f>Price!U71/'Price D Coupon'!U$5</f>
        <v>3.815277778</v>
      </c>
      <c r="V71" s="35">
        <f>Price!V71/'Price D Coupon'!V$5</f>
        <v>3.6465277780000003</v>
      </c>
      <c r="W71" s="35">
        <f>Price!W71/'Price D Coupon'!W$5</f>
        <v>3.9732323236363638</v>
      </c>
      <c r="X71" s="35">
        <f>Price!X71/'Price D Coupon'!X$5</f>
        <v>3.9434027783333332</v>
      </c>
      <c r="Y71" s="35">
        <f>Price!Y71/'Price D Coupon'!Y$5</f>
        <v>4.2931623938461536</v>
      </c>
      <c r="Z71" s="46"/>
      <c r="AA71" s="47"/>
      <c r="AB71" s="48"/>
      <c r="AC71" s="31">
        <v>25.0802656836842</v>
      </c>
      <c r="AE71" s="32">
        <f t="shared" ref="AE71" si="18">F71</f>
        <v>42551</v>
      </c>
      <c r="AF71" s="33"/>
      <c r="AI71" s="4">
        <v>42398</v>
      </c>
      <c r="AJ71" s="51">
        <v>0.13</v>
      </c>
      <c r="AK71" s="51">
        <v>0.12</v>
      </c>
      <c r="AL71" s="51">
        <v>7.0000000000000007E-2</v>
      </c>
      <c r="AM71" s="51">
        <v>0.09</v>
      </c>
      <c r="AN71" s="51">
        <v>0.14000000000000001</v>
      </c>
      <c r="AO71" s="51">
        <v>0.01</v>
      </c>
      <c r="AP71" s="51">
        <v>0.1</v>
      </c>
      <c r="AQ71" s="51">
        <v>7.0000000000000007E-2</v>
      </c>
      <c r="AR71" s="51">
        <v>0.03</v>
      </c>
      <c r="AS71" s="51">
        <v>0.04</v>
      </c>
      <c r="AT71" s="51">
        <v>0.03</v>
      </c>
      <c r="AU71" s="51">
        <v>0.04</v>
      </c>
      <c r="AV71" s="51">
        <v>0.03</v>
      </c>
      <c r="AW71" s="51">
        <v>0.05</v>
      </c>
      <c r="AX71" s="51">
        <v>0.02</v>
      </c>
      <c r="AY71" s="51">
        <v>0.01</v>
      </c>
      <c r="AZ71" s="51">
        <v>0.01</v>
      </c>
      <c r="BA71" s="51">
        <v>4.2107499460495058E-3</v>
      </c>
      <c r="BB71" s="51">
        <v>0.01</v>
      </c>
      <c r="BC71" s="51">
        <f t="shared" ref="BC71" si="19">SUM(AJ71:BB71)</f>
        <v>1.0042107499460498</v>
      </c>
    </row>
    <row r="72" spans="6:55" x14ac:dyDescent="0.2">
      <c r="F72" s="32">
        <v>42580</v>
      </c>
      <c r="G72" s="35">
        <f>Price!G72/'Price D Coupon'!G$5</f>
        <v>5.2298611099999999</v>
      </c>
      <c r="H72" s="35">
        <f>Price!H72/'Price D Coupon'!H$5</f>
        <v>5.1673611099999999</v>
      </c>
      <c r="I72" s="35">
        <f>Price!I72/'Price D Coupon'!I$5</f>
        <v>3.9501006342857141</v>
      </c>
      <c r="J72" s="35">
        <f>Price!J72/'Price D Coupon'!J$5</f>
        <v>4.6197434914285713</v>
      </c>
      <c r="K72" s="35">
        <f>Price!K72/'Price D Coupon'!K$5</f>
        <v>4.6063492057142863</v>
      </c>
      <c r="L72" s="35">
        <f>Price!L72/'Price D Coupon'!L$5</f>
        <v>4.2447434914285713</v>
      </c>
      <c r="M72" s="35">
        <f>Price!M72/'Price D Coupon'!M$5</f>
        <v>3.8496527774999998</v>
      </c>
      <c r="N72" s="35">
        <f>Price!N72/'Price D Coupon'!N$5</f>
        <v>4.0422755549999998</v>
      </c>
      <c r="O72" s="35">
        <f>Price!O72/'Price D Coupon'!O$5</f>
        <v>4.2598105275</v>
      </c>
      <c r="P72" s="35">
        <f>Price!P72/'Price D Coupon'!P$5</f>
        <v>4.1738730275</v>
      </c>
      <c r="Q72" s="35">
        <f>Price!Q72/'Price D Coupon'!Q$5</f>
        <v>3.9941852774999997</v>
      </c>
      <c r="R72" s="35">
        <f>Price!R72/'Price D Coupon'!R$5</f>
        <v>4.0909735555555553</v>
      </c>
      <c r="S72" s="35">
        <f>Price!S72/'Price D Coupon'!S$5</f>
        <v>3.8444444444444446</v>
      </c>
      <c r="T72" s="35">
        <f>Price!T72/'Price D Coupon'!T$5</f>
        <v>3.6916666666666669</v>
      </c>
      <c r="U72" s="35">
        <f>Price!U72/'Price D Coupon'!U$5</f>
        <v>3.749653978</v>
      </c>
      <c r="V72" s="35">
        <f>Price!V72/'Price D Coupon'!V$5</f>
        <v>3.5809039779999998</v>
      </c>
      <c r="W72" s="35">
        <f>Price!W72/'Price D Coupon'!W$5</f>
        <v>3.9988015963636361</v>
      </c>
      <c r="X72" s="35">
        <f>Price!X72/'Price D Coupon'!X$5</f>
        <v>3.9798611116666667</v>
      </c>
      <c r="Y72" s="35">
        <f>Price!Y72/'Price D Coupon'!Y$5</f>
        <v>4.3316239323076919</v>
      </c>
      <c r="Z72" s="46"/>
      <c r="AA72" s="47"/>
      <c r="AB72" s="48"/>
      <c r="AC72" s="31">
        <v>25.0802656836842</v>
      </c>
      <c r="AE72" s="32">
        <f t="shared" ref="AE72" si="20">F72</f>
        <v>42580</v>
      </c>
      <c r="AF72" s="33"/>
      <c r="AI72" s="4">
        <v>42398</v>
      </c>
      <c r="AJ72" s="51">
        <v>0.13</v>
      </c>
      <c r="AK72" s="51">
        <v>0.12</v>
      </c>
      <c r="AL72" s="51">
        <v>7.0000000000000007E-2</v>
      </c>
      <c r="AM72" s="51">
        <v>0.09</v>
      </c>
      <c r="AN72" s="51">
        <v>0.14000000000000001</v>
      </c>
      <c r="AO72" s="51">
        <v>0.01</v>
      </c>
      <c r="AP72" s="51">
        <v>0.1</v>
      </c>
      <c r="AQ72" s="51">
        <v>7.0000000000000007E-2</v>
      </c>
      <c r="AR72" s="51">
        <v>0.03</v>
      </c>
      <c r="AS72" s="51">
        <v>0.04</v>
      </c>
      <c r="AT72" s="51">
        <v>0.03</v>
      </c>
      <c r="AU72" s="51">
        <v>0.04</v>
      </c>
      <c r="AV72" s="51">
        <v>0.03</v>
      </c>
      <c r="AW72" s="51">
        <v>0.05</v>
      </c>
      <c r="AX72" s="51">
        <v>0.02</v>
      </c>
      <c r="AY72" s="51">
        <v>0.01</v>
      </c>
      <c r="AZ72" s="51">
        <v>0.01</v>
      </c>
      <c r="BA72" s="51">
        <v>4.2107499460495058E-3</v>
      </c>
      <c r="BB72" s="51">
        <v>0.01</v>
      </c>
      <c r="BC72" s="51">
        <f t="shared" ref="BC72" si="21">SUM(AJ72:BB72)</f>
        <v>1.0042107499460498</v>
      </c>
    </row>
    <row r="73" spans="6:55" x14ac:dyDescent="0.2">
      <c r="F73" s="32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42"/>
      <c r="AB73" s="42"/>
      <c r="AC73" s="53"/>
      <c r="AE73" s="32"/>
      <c r="AF73" s="33"/>
      <c r="AI73" s="32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</row>
    <row r="74" spans="6:55" x14ac:dyDescent="0.2">
      <c r="F74" s="32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42"/>
      <c r="AB74" s="42"/>
      <c r="AC74" s="53"/>
      <c r="AF74" s="33"/>
    </row>
    <row r="76" spans="6:55" ht="15" x14ac:dyDescent="0.25">
      <c r="AI76" s="27" t="s">
        <v>30</v>
      </c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49"/>
    </row>
    <row r="77" spans="6:55" ht="39" x14ac:dyDescent="0.25">
      <c r="AI77" s="13" t="s">
        <v>0</v>
      </c>
      <c r="AJ77" s="13" t="s">
        <v>1</v>
      </c>
      <c r="AK77" s="14" t="s">
        <v>4</v>
      </c>
      <c r="AL77" s="14" t="s">
        <v>28</v>
      </c>
      <c r="AM77" s="14" t="s">
        <v>2</v>
      </c>
      <c r="AN77" s="14" t="s">
        <v>5</v>
      </c>
      <c r="AO77" s="14" t="s">
        <v>8</v>
      </c>
      <c r="AP77" s="14" t="s">
        <v>29</v>
      </c>
      <c r="AQ77" s="14" t="s">
        <v>3</v>
      </c>
      <c r="AR77" s="14" t="s">
        <v>6</v>
      </c>
      <c r="AS77" s="14" t="s">
        <v>9</v>
      </c>
      <c r="AT77" s="14" t="s">
        <v>12</v>
      </c>
      <c r="AU77" s="14" t="s">
        <v>7</v>
      </c>
      <c r="AV77" s="14" t="s">
        <v>10</v>
      </c>
      <c r="AW77" s="14" t="s">
        <v>13</v>
      </c>
      <c r="AX77" s="14" t="s">
        <v>11</v>
      </c>
      <c r="AY77" s="14" t="s">
        <v>14</v>
      </c>
      <c r="AZ77" s="14" t="s">
        <v>15</v>
      </c>
      <c r="BA77" s="13" t="s">
        <v>16</v>
      </c>
      <c r="BB77" s="14" t="s">
        <v>17</v>
      </c>
      <c r="BC77" s="50" t="s">
        <v>24</v>
      </c>
    </row>
    <row r="78" spans="6:55" x14ac:dyDescent="0.2">
      <c r="AI78" s="4">
        <f>F8</f>
        <v>40633</v>
      </c>
      <c r="AJ78" s="24">
        <f>G8*AJ8</f>
        <v>0</v>
      </c>
      <c r="AK78" s="24">
        <f t="shared" ref="AK78:BB78" si="22">H8*AK8</f>
        <v>0</v>
      </c>
      <c r="AL78" s="24">
        <f t="shared" si="22"/>
        <v>0</v>
      </c>
      <c r="AM78" s="24">
        <f t="shared" si="22"/>
        <v>0</v>
      </c>
      <c r="AN78" s="24">
        <f t="shared" si="22"/>
        <v>0</v>
      </c>
      <c r="AO78" s="24">
        <f t="shared" si="22"/>
        <v>0.19427158255293792</v>
      </c>
      <c r="AP78" s="24">
        <f t="shared" si="22"/>
        <v>0</v>
      </c>
      <c r="AQ78" s="24">
        <f t="shared" si="22"/>
        <v>0</v>
      </c>
      <c r="AR78" s="24">
        <f t="shared" si="22"/>
        <v>0</v>
      </c>
      <c r="AS78" s="24">
        <f t="shared" si="22"/>
        <v>0.91303215906744095</v>
      </c>
      <c r="AT78" s="24">
        <f t="shared" si="22"/>
        <v>0.78305594658945532</v>
      </c>
      <c r="AU78" s="24">
        <f t="shared" si="22"/>
        <v>0</v>
      </c>
      <c r="AV78" s="24">
        <f t="shared" si="22"/>
        <v>0.75486826002235952</v>
      </c>
      <c r="AW78" s="24">
        <f t="shared" si="22"/>
        <v>1.5663903442487555</v>
      </c>
      <c r="AX78" s="24">
        <f t="shared" si="22"/>
        <v>0.32705636737279664</v>
      </c>
      <c r="AY78" s="24">
        <f t="shared" si="22"/>
        <v>0.32090004474860256</v>
      </c>
      <c r="AZ78" s="24">
        <f t="shared" si="22"/>
        <v>0.26258977353313828</v>
      </c>
      <c r="BA78" s="24">
        <f t="shared" si="22"/>
        <v>0.12380164295133748</v>
      </c>
      <c r="BB78" s="24">
        <f t="shared" si="22"/>
        <v>0.15817944585762783</v>
      </c>
      <c r="BC78" s="52">
        <f>SUM(AJ78:BB78)</f>
        <v>5.404145566944452</v>
      </c>
    </row>
    <row r="79" spans="6:55" x14ac:dyDescent="0.2">
      <c r="AI79" s="4">
        <f>F9</f>
        <v>40662</v>
      </c>
      <c r="AJ79" s="24">
        <f>G9*AJ9</f>
        <v>0</v>
      </c>
      <c r="AK79" s="24">
        <f t="shared" ref="AK79:AK110" si="23">H9*AK9</f>
        <v>0</v>
      </c>
      <c r="AL79" s="24">
        <f t="shared" ref="AL79:AL110" si="24">I9*AL9</f>
        <v>0</v>
      </c>
      <c r="AM79" s="24">
        <f t="shared" ref="AM79:AM110" si="25">J9*AM9</f>
        <v>0</v>
      </c>
      <c r="AN79" s="24">
        <f t="shared" ref="AN79:AN110" si="26">K9*AN9</f>
        <v>0</v>
      </c>
      <c r="AO79" s="24">
        <f t="shared" ref="AO79:AO110" si="27">L9*AO9</f>
        <v>0.19656559729271969</v>
      </c>
      <c r="AP79" s="24">
        <f t="shared" ref="AP79:AP110" si="28">M9*AP9</f>
        <v>0</v>
      </c>
      <c r="AQ79" s="24">
        <f t="shared" ref="AQ79:AQ110" si="29">N9*AQ9</f>
        <v>0</v>
      </c>
      <c r="AR79" s="24">
        <f t="shared" ref="AR79:AR110" si="30">O9*AR9</f>
        <v>0</v>
      </c>
      <c r="AS79" s="24">
        <f t="shared" ref="AS79:AS110" si="31">P9*AS9</f>
        <v>0.92809150350762193</v>
      </c>
      <c r="AT79" s="24">
        <f t="shared" ref="AT79:AT110" si="32">Q9*AT9</f>
        <v>0.79124146454738498</v>
      </c>
      <c r="AU79" s="24">
        <f t="shared" ref="AU79:AU110" si="33">R9*AU9</f>
        <v>0</v>
      </c>
      <c r="AV79" s="24">
        <f t="shared" ref="AV79:AV110" si="34">S9*AV9</f>
        <v>0.76315664181070808</v>
      </c>
      <c r="AW79" s="24">
        <f t="shared" ref="AW79:AW110" si="35">T9*AW9</f>
        <v>1.5848460223668717</v>
      </c>
      <c r="AX79" s="24">
        <f t="shared" ref="AX79:AX110" si="36">U9*AX9</f>
        <v>0.33481209528342931</v>
      </c>
      <c r="AY79" s="24">
        <f t="shared" ref="AY79:AY110" si="37">V9*AY9</f>
        <v>0.3311049326669801</v>
      </c>
      <c r="AZ79" s="24">
        <f t="shared" ref="AZ79:AZ110" si="38">W9*AZ9</f>
        <v>0.26210051099720078</v>
      </c>
      <c r="BA79" s="24">
        <f t="shared" ref="BA79:BA110" si="39">X9*BA9</f>
        <v>0.12253721767805154</v>
      </c>
      <c r="BB79" s="24">
        <f t="shared" ref="BB79:BB110" si="40">Y9*BB9</f>
        <v>0.15702019473580381</v>
      </c>
      <c r="BC79" s="52">
        <f t="shared" ref="BC79:BC127" si="41">SUM(AJ79:BB79)</f>
        <v>5.4714761808867722</v>
      </c>
    </row>
    <row r="80" spans="6:55" x14ac:dyDescent="0.2">
      <c r="AI80" s="4">
        <f>F10</f>
        <v>40694</v>
      </c>
      <c r="AJ80" s="24">
        <f>G10*AJ10</f>
        <v>0</v>
      </c>
      <c r="AK80" s="24">
        <f t="shared" si="23"/>
        <v>0</v>
      </c>
      <c r="AL80" s="24">
        <f t="shared" si="24"/>
        <v>0</v>
      </c>
      <c r="AM80" s="24">
        <f t="shared" si="25"/>
        <v>0</v>
      </c>
      <c r="AN80" s="24">
        <f t="shared" si="26"/>
        <v>0</v>
      </c>
      <c r="AO80" s="24">
        <f t="shared" si="27"/>
        <v>0.20170882739887752</v>
      </c>
      <c r="AP80" s="24">
        <f t="shared" si="28"/>
        <v>0</v>
      </c>
      <c r="AQ80" s="24">
        <f t="shared" si="29"/>
        <v>0</v>
      </c>
      <c r="AR80" s="24">
        <f t="shared" si="30"/>
        <v>0</v>
      </c>
      <c r="AS80" s="24">
        <f t="shared" si="31"/>
        <v>0.94653248926363842</v>
      </c>
      <c r="AT80" s="24">
        <f t="shared" si="32"/>
        <v>0.80448337898966027</v>
      </c>
      <c r="AU80" s="24">
        <f t="shared" si="33"/>
        <v>0</v>
      </c>
      <c r="AV80" s="24">
        <f t="shared" si="34"/>
        <v>0.77197303274527651</v>
      </c>
      <c r="AW80" s="24">
        <f t="shared" si="35"/>
        <v>1.5783391154006705</v>
      </c>
      <c r="AX80" s="24">
        <f t="shared" si="36"/>
        <v>0.3368692079137442</v>
      </c>
      <c r="AY80" s="24">
        <f t="shared" si="37"/>
        <v>0.32573762771074788</v>
      </c>
      <c r="AZ80" s="24">
        <f t="shared" si="38"/>
        <v>0.24985039890473934</v>
      </c>
      <c r="BA80" s="24">
        <f t="shared" si="39"/>
        <v>0.1208504482355636</v>
      </c>
      <c r="BB80" s="24">
        <f t="shared" si="40"/>
        <v>0.15915527576926886</v>
      </c>
      <c r="BC80" s="52">
        <f t="shared" si="41"/>
        <v>5.4954998023321862</v>
      </c>
    </row>
    <row r="81" spans="35:55" x14ac:dyDescent="0.2">
      <c r="AI81" s="4">
        <f>F11</f>
        <v>40724</v>
      </c>
      <c r="AJ81" s="24">
        <f>G11*AJ11</f>
        <v>0</v>
      </c>
      <c r="AK81" s="24">
        <f t="shared" si="23"/>
        <v>0</v>
      </c>
      <c r="AL81" s="24">
        <f t="shared" si="24"/>
        <v>0</v>
      </c>
      <c r="AM81" s="24">
        <f t="shared" si="25"/>
        <v>0</v>
      </c>
      <c r="AN81" s="24">
        <f t="shared" si="26"/>
        <v>0</v>
      </c>
      <c r="AO81" s="24">
        <f t="shared" si="27"/>
        <v>0.20466136434764814</v>
      </c>
      <c r="AP81" s="24">
        <f t="shared" si="28"/>
        <v>0</v>
      </c>
      <c r="AQ81" s="24">
        <f t="shared" si="29"/>
        <v>0</v>
      </c>
      <c r="AR81" s="24">
        <f t="shared" si="30"/>
        <v>0</v>
      </c>
      <c r="AS81" s="24">
        <f t="shared" si="31"/>
        <v>0.96099747488997</v>
      </c>
      <c r="AT81" s="24">
        <f t="shared" si="32"/>
        <v>0.8047755824959939</v>
      </c>
      <c r="AU81" s="24">
        <f t="shared" si="33"/>
        <v>0</v>
      </c>
      <c r="AV81" s="24">
        <f t="shared" si="34"/>
        <v>0.78593584386433146</v>
      </c>
      <c r="AW81" s="24">
        <f t="shared" si="35"/>
        <v>1.5815795730414897</v>
      </c>
      <c r="AX81" s="24">
        <f t="shared" si="36"/>
        <v>0.34661651023539547</v>
      </c>
      <c r="AY81" s="24">
        <f t="shared" si="37"/>
        <v>0.32990936042175228</v>
      </c>
      <c r="AZ81" s="24">
        <f t="shared" si="38"/>
        <v>0.24707911490124687</v>
      </c>
      <c r="BA81" s="24">
        <f t="shared" si="39"/>
        <v>0.1207567854070241</v>
      </c>
      <c r="BB81" s="24">
        <f t="shared" si="40"/>
        <v>0.15917701450110139</v>
      </c>
      <c r="BC81" s="52">
        <f t="shared" si="41"/>
        <v>5.5414886241059538</v>
      </c>
    </row>
    <row r="82" spans="35:55" x14ac:dyDescent="0.2">
      <c r="AI82" s="4">
        <f>F12</f>
        <v>40753</v>
      </c>
      <c r="AJ82" s="24">
        <f>G12*AJ12</f>
        <v>0</v>
      </c>
      <c r="AK82" s="24">
        <f t="shared" si="23"/>
        <v>0</v>
      </c>
      <c r="AL82" s="24">
        <f t="shared" si="24"/>
        <v>0</v>
      </c>
      <c r="AM82" s="24">
        <f t="shared" si="25"/>
        <v>0</v>
      </c>
      <c r="AN82" s="24">
        <f t="shared" si="26"/>
        <v>0</v>
      </c>
      <c r="AO82" s="24">
        <f t="shared" si="27"/>
        <v>0.19998099313379913</v>
      </c>
      <c r="AP82" s="24">
        <f t="shared" si="28"/>
        <v>0</v>
      </c>
      <c r="AQ82" s="24">
        <f t="shared" si="29"/>
        <v>0</v>
      </c>
      <c r="AR82" s="24">
        <f t="shared" si="30"/>
        <v>0</v>
      </c>
      <c r="AS82" s="24">
        <f t="shared" si="31"/>
        <v>0.92407391665594951</v>
      </c>
      <c r="AT82" s="24">
        <f t="shared" si="32"/>
        <v>0.76466520834271756</v>
      </c>
      <c r="AU82" s="24">
        <f t="shared" si="33"/>
        <v>0</v>
      </c>
      <c r="AV82" s="24">
        <f t="shared" si="34"/>
        <v>0.73462893108573635</v>
      </c>
      <c r="AW82" s="24">
        <f t="shared" si="35"/>
        <v>1.4611240624816428</v>
      </c>
      <c r="AX82" s="24">
        <f t="shared" si="36"/>
        <v>0.32270226580514644</v>
      </c>
      <c r="AY82" s="24">
        <f t="shared" si="37"/>
        <v>0.30233605377739459</v>
      </c>
      <c r="AZ82" s="24">
        <f t="shared" si="38"/>
        <v>0.23238533680143145</v>
      </c>
      <c r="BA82" s="24">
        <f t="shared" si="39"/>
        <v>0.11404952768630068</v>
      </c>
      <c r="BB82" s="24">
        <f t="shared" si="40"/>
        <v>0.15251935959194918</v>
      </c>
      <c r="BC82" s="52">
        <f t="shared" si="41"/>
        <v>5.2084656553620663</v>
      </c>
    </row>
    <row r="83" spans="35:55" x14ac:dyDescent="0.2">
      <c r="AI83" s="4">
        <f>F13</f>
        <v>40786</v>
      </c>
      <c r="AJ83" s="24">
        <f>G13*AJ13</f>
        <v>0</v>
      </c>
      <c r="AK83" s="24">
        <f t="shared" si="23"/>
        <v>0</v>
      </c>
      <c r="AL83" s="24">
        <f t="shared" si="24"/>
        <v>0</v>
      </c>
      <c r="AM83" s="24">
        <f t="shared" si="25"/>
        <v>0</v>
      </c>
      <c r="AN83" s="24">
        <f t="shared" si="26"/>
        <v>0</v>
      </c>
      <c r="AO83" s="24">
        <f t="shared" si="27"/>
        <v>0.17817438339709224</v>
      </c>
      <c r="AP83" s="24">
        <f t="shared" si="28"/>
        <v>0</v>
      </c>
      <c r="AQ83" s="24">
        <f t="shared" si="29"/>
        <v>0</v>
      </c>
      <c r="AR83" s="24">
        <f t="shared" si="30"/>
        <v>0</v>
      </c>
      <c r="AS83" s="24">
        <f t="shared" si="31"/>
        <v>0.76833107633567943</v>
      </c>
      <c r="AT83" s="24">
        <f t="shared" si="32"/>
        <v>0.63633648463270354</v>
      </c>
      <c r="AU83" s="24">
        <f t="shared" si="33"/>
        <v>0</v>
      </c>
      <c r="AV83" s="24">
        <f t="shared" si="34"/>
        <v>0.54553175415999555</v>
      </c>
      <c r="AW83" s="24">
        <f t="shared" si="35"/>
        <v>1.0858551796759619</v>
      </c>
      <c r="AX83" s="24">
        <f t="shared" si="36"/>
        <v>0.24936117552852685</v>
      </c>
      <c r="AY83" s="24">
        <f t="shared" si="37"/>
        <v>0.22973563471633449</v>
      </c>
      <c r="AZ83" s="24">
        <f t="shared" si="38"/>
        <v>0.19048324329636895</v>
      </c>
      <c r="BA83" s="24">
        <f t="shared" si="39"/>
        <v>9.8123504334612449E-2</v>
      </c>
      <c r="BB83" s="24">
        <f t="shared" si="40"/>
        <v>0.13795356732605293</v>
      </c>
      <c r="BC83" s="52">
        <f t="shared" si="41"/>
        <v>4.1198860034033284</v>
      </c>
    </row>
    <row r="84" spans="35:55" x14ac:dyDescent="0.2">
      <c r="AI84" s="4">
        <f>F14</f>
        <v>40816</v>
      </c>
      <c r="AJ84" s="24">
        <f>G14*AJ14</f>
        <v>0</v>
      </c>
      <c r="AK84" s="24">
        <f t="shared" si="23"/>
        <v>0</v>
      </c>
      <c r="AL84" s="24">
        <f t="shared" si="24"/>
        <v>0</v>
      </c>
      <c r="AM84" s="24">
        <f t="shared" si="25"/>
        <v>0</v>
      </c>
      <c r="AN84" s="24">
        <f t="shared" si="26"/>
        <v>0</v>
      </c>
      <c r="AO84" s="24">
        <f t="shared" si="27"/>
        <v>0.14995092605075377</v>
      </c>
      <c r="AP84" s="24">
        <f t="shared" si="28"/>
        <v>0</v>
      </c>
      <c r="AQ84" s="24">
        <f t="shared" si="29"/>
        <v>0</v>
      </c>
      <c r="AR84" s="24">
        <f t="shared" si="30"/>
        <v>0</v>
      </c>
      <c r="AS84" s="24">
        <f t="shared" si="31"/>
        <v>0.6149719350634798</v>
      </c>
      <c r="AT84" s="24">
        <f t="shared" si="32"/>
        <v>0.49303813489115506</v>
      </c>
      <c r="AU84" s="24">
        <f t="shared" si="33"/>
        <v>0</v>
      </c>
      <c r="AV84" s="24">
        <f t="shared" si="34"/>
        <v>0.44772523491893185</v>
      </c>
      <c r="AW84" s="24">
        <f t="shared" si="35"/>
        <v>0.85613598186864648</v>
      </c>
      <c r="AX84" s="24">
        <f t="shared" si="36"/>
        <v>0.21273528980782308</v>
      </c>
      <c r="AY84" s="24">
        <f t="shared" si="37"/>
        <v>0.18866299601450862</v>
      </c>
      <c r="AZ84" s="24">
        <f t="shared" si="38"/>
        <v>0.1530910448800013</v>
      </c>
      <c r="BA84" s="24">
        <f t="shared" si="39"/>
        <v>8.1694098319444935E-2</v>
      </c>
      <c r="BB84" s="24">
        <f t="shared" si="40"/>
        <v>0.11943268824921835</v>
      </c>
      <c r="BC84" s="52">
        <f t="shared" si="41"/>
        <v>3.3174383300639625</v>
      </c>
    </row>
    <row r="85" spans="35:55" x14ac:dyDescent="0.2">
      <c r="AI85" s="4">
        <f>F15</f>
        <v>40847</v>
      </c>
      <c r="AJ85" s="24">
        <f>G15*AJ15</f>
        <v>0</v>
      </c>
      <c r="AK85" s="24">
        <f t="shared" si="23"/>
        <v>0</v>
      </c>
      <c r="AL85" s="24">
        <f t="shared" si="24"/>
        <v>0</v>
      </c>
      <c r="AM85" s="24">
        <f t="shared" si="25"/>
        <v>0</v>
      </c>
      <c r="AN85" s="24">
        <f t="shared" si="26"/>
        <v>0</v>
      </c>
      <c r="AO85" s="24">
        <f t="shared" si="27"/>
        <v>0.1486335573897879</v>
      </c>
      <c r="AP85" s="24">
        <f t="shared" si="28"/>
        <v>0</v>
      </c>
      <c r="AQ85" s="24">
        <f t="shared" si="29"/>
        <v>0</v>
      </c>
      <c r="AR85" s="24">
        <f t="shared" si="30"/>
        <v>0</v>
      </c>
      <c r="AS85" s="24">
        <f t="shared" si="31"/>
        <v>0.6107301685183304</v>
      </c>
      <c r="AT85" s="24">
        <f t="shared" si="32"/>
        <v>0.50560356898209968</v>
      </c>
      <c r="AU85" s="24">
        <f t="shared" si="33"/>
        <v>0</v>
      </c>
      <c r="AV85" s="24">
        <f t="shared" si="34"/>
        <v>0.4844925231164865</v>
      </c>
      <c r="AW85" s="24">
        <f t="shared" si="35"/>
        <v>0.90831256206800592</v>
      </c>
      <c r="AX85" s="24">
        <f t="shared" si="36"/>
        <v>0.24631480818079149</v>
      </c>
      <c r="AY85" s="24">
        <f t="shared" si="37"/>
        <v>0.22362900428465887</v>
      </c>
      <c r="AZ85" s="24">
        <f t="shared" si="38"/>
        <v>0.1501751663193869</v>
      </c>
      <c r="BA85" s="24">
        <f t="shared" si="39"/>
        <v>7.9319335026289017E-2</v>
      </c>
      <c r="BB85" s="24">
        <f t="shared" si="40"/>
        <v>0.11448252971350681</v>
      </c>
      <c r="BC85" s="52">
        <f t="shared" si="41"/>
        <v>3.4716932235993436</v>
      </c>
    </row>
    <row r="86" spans="35:55" x14ac:dyDescent="0.2">
      <c r="AI86" s="4">
        <f>F16</f>
        <v>40877</v>
      </c>
      <c r="AJ86" s="24">
        <f>G16*AJ16</f>
        <v>0</v>
      </c>
      <c r="AK86" s="24">
        <f t="shared" si="23"/>
        <v>0</v>
      </c>
      <c r="AL86" s="24">
        <f t="shared" si="24"/>
        <v>0</v>
      </c>
      <c r="AM86" s="24">
        <f t="shared" si="25"/>
        <v>0</v>
      </c>
      <c r="AN86" s="24">
        <f t="shared" si="26"/>
        <v>0</v>
      </c>
      <c r="AO86" s="24">
        <f t="shared" si="27"/>
        <v>0.14706464496002045</v>
      </c>
      <c r="AP86" s="24">
        <f t="shared" si="28"/>
        <v>0</v>
      </c>
      <c r="AQ86" s="24">
        <f t="shared" si="29"/>
        <v>0</v>
      </c>
      <c r="AR86" s="24">
        <f t="shared" si="30"/>
        <v>0</v>
      </c>
      <c r="AS86" s="24">
        <f t="shared" si="31"/>
        <v>0.59541244483462719</v>
      </c>
      <c r="AT86" s="24">
        <f t="shared" si="32"/>
        <v>0.47421290443016101</v>
      </c>
      <c r="AU86" s="24">
        <f t="shared" si="33"/>
        <v>0</v>
      </c>
      <c r="AV86" s="24">
        <f t="shared" si="34"/>
        <v>0.49662792550789192</v>
      </c>
      <c r="AW86" s="24">
        <f t="shared" si="35"/>
        <v>0.88441454122167684</v>
      </c>
      <c r="AX86" s="24">
        <f t="shared" si="36"/>
        <v>0.25640229317290203</v>
      </c>
      <c r="AY86" s="24">
        <f t="shared" si="37"/>
        <v>0.22820608698160114</v>
      </c>
      <c r="AZ86" s="24">
        <f t="shared" si="38"/>
        <v>0.15675687387715195</v>
      </c>
      <c r="BA86" s="24">
        <f t="shared" si="39"/>
        <v>8.4823335225778423E-2</v>
      </c>
      <c r="BB86" s="24">
        <f t="shared" si="40"/>
        <v>0.12072055894158178</v>
      </c>
      <c r="BC86" s="52">
        <f t="shared" si="41"/>
        <v>3.4446416091533929</v>
      </c>
    </row>
    <row r="87" spans="35:55" x14ac:dyDescent="0.2">
      <c r="AI87" s="4">
        <f>F17</f>
        <v>40907</v>
      </c>
      <c r="AJ87" s="24">
        <f>G17*AJ17</f>
        <v>0</v>
      </c>
      <c r="AK87" s="24">
        <f t="shared" si="23"/>
        <v>0</v>
      </c>
      <c r="AL87" s="24">
        <f t="shared" si="24"/>
        <v>0</v>
      </c>
      <c r="AM87" s="24">
        <f t="shared" si="25"/>
        <v>0</v>
      </c>
      <c r="AN87" s="24">
        <f t="shared" si="26"/>
        <v>0</v>
      </c>
      <c r="AO87" s="24">
        <f t="shared" si="27"/>
        <v>0.1450197965954366</v>
      </c>
      <c r="AP87" s="24">
        <f t="shared" si="28"/>
        <v>0</v>
      </c>
      <c r="AQ87" s="24">
        <f t="shared" si="29"/>
        <v>0</v>
      </c>
      <c r="AR87" s="24">
        <f t="shared" si="30"/>
        <v>0</v>
      </c>
      <c r="AS87" s="24">
        <f t="shared" si="31"/>
        <v>0.58311868575975945</v>
      </c>
      <c r="AT87" s="24">
        <f t="shared" si="32"/>
        <v>0.45089185016014111</v>
      </c>
      <c r="AU87" s="24">
        <f t="shared" si="33"/>
        <v>0</v>
      </c>
      <c r="AV87" s="24">
        <f t="shared" si="34"/>
        <v>0.49781918802392344</v>
      </c>
      <c r="AW87" s="24">
        <f t="shared" si="35"/>
        <v>0.85972548160108397</v>
      </c>
      <c r="AX87" s="24">
        <f t="shared" si="36"/>
        <v>0.25769162333361795</v>
      </c>
      <c r="AY87" s="24">
        <f t="shared" si="37"/>
        <v>0.22281885708553753</v>
      </c>
      <c r="AZ87" s="24">
        <f t="shared" si="38"/>
        <v>0.14767227954317397</v>
      </c>
      <c r="BA87" s="24">
        <f t="shared" si="39"/>
        <v>8.2400261319797038E-2</v>
      </c>
      <c r="BB87" s="24">
        <f t="shared" si="40"/>
        <v>0.11868830241715254</v>
      </c>
      <c r="BC87" s="52">
        <f t="shared" si="41"/>
        <v>3.3658463258396232</v>
      </c>
    </row>
    <row r="88" spans="35:55" x14ac:dyDescent="0.2">
      <c r="AI88" s="4">
        <f>F18</f>
        <v>40939</v>
      </c>
      <c r="AJ88" s="24">
        <f>G18*AJ18</f>
        <v>0</v>
      </c>
      <c r="AK88" s="24">
        <f t="shared" si="23"/>
        <v>0</v>
      </c>
      <c r="AL88" s="24">
        <f t="shared" si="24"/>
        <v>0</v>
      </c>
      <c r="AM88" s="24">
        <f t="shared" si="25"/>
        <v>0</v>
      </c>
      <c r="AN88" s="24">
        <f t="shared" si="26"/>
        <v>0</v>
      </c>
      <c r="AO88" s="24">
        <f t="shared" si="27"/>
        <v>0.13739283124340806</v>
      </c>
      <c r="AP88" s="24">
        <f t="shared" si="28"/>
        <v>0</v>
      </c>
      <c r="AQ88" s="24">
        <f t="shared" si="29"/>
        <v>0</v>
      </c>
      <c r="AR88" s="24">
        <f t="shared" si="30"/>
        <v>0</v>
      </c>
      <c r="AS88" s="24">
        <f t="shared" si="31"/>
        <v>0.53733118329023966</v>
      </c>
      <c r="AT88" s="24">
        <f t="shared" si="32"/>
        <v>0.39615825711811664</v>
      </c>
      <c r="AU88" s="24">
        <f t="shared" si="33"/>
        <v>0</v>
      </c>
      <c r="AV88" s="24">
        <f t="shared" si="34"/>
        <v>0.45527018871999136</v>
      </c>
      <c r="AW88" s="24">
        <f t="shared" si="35"/>
        <v>0.76659000069095584</v>
      </c>
      <c r="AX88" s="24">
        <f t="shared" si="36"/>
        <v>0.23548073039759451</v>
      </c>
      <c r="AY88" s="24">
        <f t="shared" si="37"/>
        <v>0.19929028031758328</v>
      </c>
      <c r="AZ88" s="24">
        <f t="shared" si="38"/>
        <v>0.14305602645242255</v>
      </c>
      <c r="BA88" s="24">
        <f t="shared" si="39"/>
        <v>7.8745769849398656E-2</v>
      </c>
      <c r="BB88" s="24">
        <f t="shared" si="40"/>
        <v>0.11609141575663706</v>
      </c>
      <c r="BC88" s="52">
        <f t="shared" si="41"/>
        <v>3.065406683836347</v>
      </c>
    </row>
    <row r="89" spans="35:55" x14ac:dyDescent="0.2">
      <c r="AI89" s="4">
        <f>F19</f>
        <v>40968</v>
      </c>
      <c r="AJ89" s="24">
        <f>G19*AJ19</f>
        <v>0</v>
      </c>
      <c r="AK89" s="24">
        <f t="shared" si="23"/>
        <v>0</v>
      </c>
      <c r="AL89" s="24">
        <f t="shared" si="24"/>
        <v>0</v>
      </c>
      <c r="AM89" s="24">
        <f t="shared" si="25"/>
        <v>0</v>
      </c>
      <c r="AN89" s="24">
        <f t="shared" si="26"/>
        <v>0</v>
      </c>
      <c r="AO89" s="24">
        <f t="shared" si="27"/>
        <v>0.15543666551675409</v>
      </c>
      <c r="AP89" s="24">
        <f t="shared" si="28"/>
        <v>0</v>
      </c>
      <c r="AQ89" s="24">
        <f t="shared" si="29"/>
        <v>0</v>
      </c>
      <c r="AR89" s="24">
        <f t="shared" si="30"/>
        <v>0</v>
      </c>
      <c r="AS89" s="24">
        <f t="shared" si="31"/>
        <v>0.62721173972960409</v>
      </c>
      <c r="AT89" s="24">
        <f t="shared" si="32"/>
        <v>0.44873369272041219</v>
      </c>
      <c r="AU89" s="24">
        <f t="shared" si="33"/>
        <v>0</v>
      </c>
      <c r="AV89" s="24">
        <f t="shared" si="34"/>
        <v>0.516202598771063</v>
      </c>
      <c r="AW89" s="24">
        <f t="shared" si="35"/>
        <v>0.86020566732059034</v>
      </c>
      <c r="AX89" s="24">
        <f t="shared" si="36"/>
        <v>0.26138565590649276</v>
      </c>
      <c r="AY89" s="24">
        <f t="shared" si="37"/>
        <v>0.21946774914023712</v>
      </c>
      <c r="AZ89" s="24">
        <f t="shared" si="38"/>
        <v>0.15251425197057827</v>
      </c>
      <c r="BA89" s="24">
        <f t="shared" si="39"/>
        <v>8.4977684249387911E-2</v>
      </c>
      <c r="BB89" s="24">
        <f t="shared" si="40"/>
        <v>0.12295354284608714</v>
      </c>
      <c r="BC89" s="52">
        <f t="shared" si="41"/>
        <v>3.449089248171207</v>
      </c>
    </row>
    <row r="90" spans="35:55" x14ac:dyDescent="0.2">
      <c r="AI90" s="4">
        <f>F20</f>
        <v>40998</v>
      </c>
      <c r="AJ90" s="24">
        <f>G20*AJ20</f>
        <v>0</v>
      </c>
      <c r="AK90" s="24">
        <f t="shared" si="23"/>
        <v>0</v>
      </c>
      <c r="AL90" s="24">
        <f t="shared" si="24"/>
        <v>0</v>
      </c>
      <c r="AM90" s="24">
        <f t="shared" si="25"/>
        <v>0</v>
      </c>
      <c r="AN90" s="24">
        <f t="shared" si="26"/>
        <v>0</v>
      </c>
      <c r="AO90" s="24">
        <f t="shared" si="27"/>
        <v>0.13888932458004302</v>
      </c>
      <c r="AP90" s="24">
        <f t="shared" si="28"/>
        <v>0</v>
      </c>
      <c r="AQ90" s="24">
        <f t="shared" si="29"/>
        <v>0</v>
      </c>
      <c r="AR90" s="24">
        <f t="shared" si="30"/>
        <v>0.48563594985626896</v>
      </c>
      <c r="AS90" s="24">
        <f t="shared" si="31"/>
        <v>0.56703246200894342</v>
      </c>
      <c r="AT90" s="24">
        <f t="shared" si="32"/>
        <v>0.41563060261962737</v>
      </c>
      <c r="AU90" s="24">
        <f t="shared" si="33"/>
        <v>0.46356920960700748</v>
      </c>
      <c r="AV90" s="24">
        <f t="shared" si="34"/>
        <v>0.45542449374177257</v>
      </c>
      <c r="AW90" s="24">
        <f t="shared" si="35"/>
        <v>0.76646161624448583</v>
      </c>
      <c r="AX90" s="24">
        <f t="shared" si="36"/>
        <v>0.22922681504104619</v>
      </c>
      <c r="AY90" s="24">
        <f t="shared" si="37"/>
        <v>0.19635074794901236</v>
      </c>
      <c r="AZ90" s="24">
        <f t="shared" si="38"/>
        <v>0.12818964742363281</v>
      </c>
      <c r="BA90" s="24">
        <f t="shared" si="39"/>
        <v>7.1809377662729032E-2</v>
      </c>
      <c r="BB90" s="24">
        <f t="shared" si="40"/>
        <v>0.10365497745251645</v>
      </c>
      <c r="BC90" s="52">
        <f t="shared" si="41"/>
        <v>4.0218752241870854</v>
      </c>
    </row>
    <row r="91" spans="35:55" x14ac:dyDescent="0.2">
      <c r="AI91" s="4">
        <f>F21</f>
        <v>41029</v>
      </c>
      <c r="AJ91" s="24">
        <f>G21*AJ21</f>
        <v>0</v>
      </c>
      <c r="AK91" s="24">
        <f t="shared" si="23"/>
        <v>0</v>
      </c>
      <c r="AL91" s="24">
        <f t="shared" si="24"/>
        <v>0</v>
      </c>
      <c r="AM91" s="24">
        <f t="shared" si="25"/>
        <v>0</v>
      </c>
      <c r="AN91" s="24">
        <f t="shared" si="26"/>
        <v>0</v>
      </c>
      <c r="AO91" s="24">
        <f t="shared" si="27"/>
        <v>0.13073088842467531</v>
      </c>
      <c r="AP91" s="24">
        <f t="shared" si="28"/>
        <v>0</v>
      </c>
      <c r="AQ91" s="24">
        <f t="shared" si="29"/>
        <v>0</v>
      </c>
      <c r="AR91" s="24">
        <f t="shared" si="30"/>
        <v>0.45888185722424274</v>
      </c>
      <c r="AS91" s="24">
        <f t="shared" si="31"/>
        <v>0.53041346055668448</v>
      </c>
      <c r="AT91" s="24">
        <f t="shared" si="32"/>
        <v>0.38179813888186859</v>
      </c>
      <c r="AU91" s="24">
        <f t="shared" si="33"/>
        <v>0.43703792165437499</v>
      </c>
      <c r="AV91" s="24">
        <f t="shared" si="34"/>
        <v>0.42284764437191547</v>
      </c>
      <c r="AW91" s="24">
        <f t="shared" si="35"/>
        <v>0.69729557986335899</v>
      </c>
      <c r="AX91" s="24">
        <f t="shared" si="36"/>
        <v>0.22345497740389092</v>
      </c>
      <c r="AY91" s="24">
        <f t="shared" si="37"/>
        <v>0.18959643316548747</v>
      </c>
      <c r="AZ91" s="24">
        <f t="shared" si="38"/>
        <v>0.12175048838003842</v>
      </c>
      <c r="BA91" s="24">
        <f t="shared" si="39"/>
        <v>6.8609356702415192E-2</v>
      </c>
      <c r="BB91" s="24">
        <f t="shared" si="40"/>
        <v>0.10690341423289533</v>
      </c>
      <c r="BC91" s="52">
        <f t="shared" si="41"/>
        <v>3.7693201608618478</v>
      </c>
    </row>
    <row r="92" spans="35:55" x14ac:dyDescent="0.2">
      <c r="AI92" s="4">
        <f>F22</f>
        <v>41060</v>
      </c>
      <c r="AJ92" s="24">
        <f>G22*AJ22</f>
        <v>0</v>
      </c>
      <c r="AK92" s="24">
        <f t="shared" si="23"/>
        <v>0</v>
      </c>
      <c r="AL92" s="24">
        <f t="shared" si="24"/>
        <v>0</v>
      </c>
      <c r="AM92" s="24">
        <f t="shared" si="25"/>
        <v>0</v>
      </c>
      <c r="AN92" s="24">
        <f t="shared" si="26"/>
        <v>0</v>
      </c>
      <c r="AO92" s="24">
        <f t="shared" si="27"/>
        <v>0.11134745849073081</v>
      </c>
      <c r="AP92" s="24">
        <f t="shared" si="28"/>
        <v>0</v>
      </c>
      <c r="AQ92" s="24">
        <f t="shared" si="29"/>
        <v>0</v>
      </c>
      <c r="AR92" s="24">
        <f t="shared" si="30"/>
        <v>0.40630940912239977</v>
      </c>
      <c r="AS92" s="24">
        <f t="shared" si="31"/>
        <v>0.45639072828086258</v>
      </c>
      <c r="AT92" s="24">
        <f t="shared" si="32"/>
        <v>0.3106981317968644</v>
      </c>
      <c r="AU92" s="24">
        <f t="shared" si="33"/>
        <v>0.39230922562641235</v>
      </c>
      <c r="AV92" s="24">
        <f t="shared" si="34"/>
        <v>0.37112861498205102</v>
      </c>
      <c r="AW92" s="24">
        <f t="shared" si="35"/>
        <v>0.59453985848424273</v>
      </c>
      <c r="AX92" s="24">
        <f t="shared" si="36"/>
        <v>0.20396894135854993</v>
      </c>
      <c r="AY92" s="24">
        <f t="shared" si="37"/>
        <v>0.16985051384819141</v>
      </c>
      <c r="AZ92" s="24">
        <f t="shared" si="38"/>
        <v>0.10845031685077292</v>
      </c>
      <c r="BA92" s="24">
        <f t="shared" si="39"/>
        <v>6.1990128940188675E-2</v>
      </c>
      <c r="BB92" s="24">
        <f t="shared" si="40"/>
        <v>0.10262939621838234</v>
      </c>
      <c r="BC92" s="52">
        <f t="shared" si="41"/>
        <v>3.2896127239996495</v>
      </c>
    </row>
    <row r="93" spans="35:55" x14ac:dyDescent="0.2">
      <c r="AI93" s="4">
        <f>F23</f>
        <v>41089</v>
      </c>
      <c r="AJ93" s="24">
        <f>G23*AJ23</f>
        <v>0</v>
      </c>
      <c r="AK93" s="24">
        <f t="shared" si="23"/>
        <v>0</v>
      </c>
      <c r="AL93" s="24">
        <f t="shared" si="24"/>
        <v>0</v>
      </c>
      <c r="AM93" s="24">
        <f t="shared" si="25"/>
        <v>0</v>
      </c>
      <c r="AN93" s="24">
        <f t="shared" si="26"/>
        <v>0</v>
      </c>
      <c r="AO93" s="24">
        <f t="shared" si="27"/>
        <v>0.11577769800743409</v>
      </c>
      <c r="AP93" s="24">
        <f t="shared" si="28"/>
        <v>0</v>
      </c>
      <c r="AQ93" s="24">
        <f t="shared" si="29"/>
        <v>0</v>
      </c>
      <c r="AR93" s="24">
        <f t="shared" si="30"/>
        <v>0.40392441019943781</v>
      </c>
      <c r="AS93" s="24">
        <f t="shared" si="31"/>
        <v>0.47204295850554945</v>
      </c>
      <c r="AT93" s="24">
        <f t="shared" si="32"/>
        <v>0.32528738377856348</v>
      </c>
      <c r="AU93" s="24">
        <f t="shared" si="33"/>
        <v>0.39793380597174494</v>
      </c>
      <c r="AV93" s="24">
        <f t="shared" si="34"/>
        <v>0.38425224575504274</v>
      </c>
      <c r="AW93" s="24">
        <f t="shared" si="35"/>
        <v>0.63006778086918125</v>
      </c>
      <c r="AX93" s="24">
        <f t="shared" si="36"/>
        <v>0.20835528558616495</v>
      </c>
      <c r="AY93" s="24">
        <f t="shared" si="37"/>
        <v>0.17403478328982686</v>
      </c>
      <c r="AZ93" s="24">
        <f t="shared" si="38"/>
        <v>0.10770431774004892</v>
      </c>
      <c r="BA93" s="24">
        <f t="shared" si="39"/>
        <v>6.0656999692798218E-2</v>
      </c>
      <c r="BB93" s="24">
        <f t="shared" si="40"/>
        <v>9.9650975052156088E-2</v>
      </c>
      <c r="BC93" s="52">
        <f t="shared" si="41"/>
        <v>3.3796886444479486</v>
      </c>
    </row>
    <row r="94" spans="35:55" x14ac:dyDescent="0.2">
      <c r="AI94" s="4">
        <f>F24</f>
        <v>41121</v>
      </c>
      <c r="AJ94" s="24">
        <f>G24*AJ24</f>
        <v>0</v>
      </c>
      <c r="AK94" s="24">
        <f t="shared" si="23"/>
        <v>0</v>
      </c>
      <c r="AL94" s="24">
        <f t="shared" si="24"/>
        <v>0</v>
      </c>
      <c r="AM94" s="24">
        <f t="shared" si="25"/>
        <v>0</v>
      </c>
      <c r="AN94" s="24">
        <f t="shared" si="26"/>
        <v>0</v>
      </c>
      <c r="AO94" s="24">
        <f t="shared" si="27"/>
        <v>0.10228968559355135</v>
      </c>
      <c r="AP94" s="24">
        <f t="shared" si="28"/>
        <v>0</v>
      </c>
      <c r="AQ94" s="24">
        <f t="shared" si="29"/>
        <v>0</v>
      </c>
      <c r="AR94" s="24">
        <f t="shared" si="30"/>
        <v>0.37924016582739267</v>
      </c>
      <c r="AS94" s="24">
        <f t="shared" si="31"/>
        <v>0.45349219462239115</v>
      </c>
      <c r="AT94" s="24">
        <f t="shared" si="32"/>
        <v>0.31616567980190319</v>
      </c>
      <c r="AU94" s="24">
        <f t="shared" si="33"/>
        <v>0.40812421813215233</v>
      </c>
      <c r="AV94" s="24">
        <f t="shared" si="34"/>
        <v>0.38653765527667672</v>
      </c>
      <c r="AW94" s="24">
        <f t="shared" si="35"/>
        <v>0.63314690570247867</v>
      </c>
      <c r="AX94" s="24">
        <f t="shared" si="36"/>
        <v>0.20856231664607117</v>
      </c>
      <c r="AY94" s="24">
        <f t="shared" si="37"/>
        <v>0.17228199142807393</v>
      </c>
      <c r="AZ94" s="24">
        <f t="shared" si="38"/>
        <v>0.10481356233610745</v>
      </c>
      <c r="BA94" s="24">
        <f t="shared" si="39"/>
        <v>5.8755082569724566E-2</v>
      </c>
      <c r="BB94" s="24">
        <f t="shared" si="40"/>
        <v>0.10016136509189459</v>
      </c>
      <c r="BC94" s="52">
        <f t="shared" si="41"/>
        <v>3.3235708230284176</v>
      </c>
    </row>
    <row r="95" spans="35:55" x14ac:dyDescent="0.2">
      <c r="AI95" s="4">
        <f>F25</f>
        <v>41152</v>
      </c>
      <c r="AJ95" s="24">
        <f>G25*AJ25</f>
        <v>0</v>
      </c>
      <c r="AK95" s="24">
        <f t="shared" si="23"/>
        <v>0</v>
      </c>
      <c r="AL95" s="24">
        <f t="shared" si="24"/>
        <v>0</v>
      </c>
      <c r="AM95" s="24">
        <f t="shared" si="25"/>
        <v>0</v>
      </c>
      <c r="AN95" s="24">
        <f t="shared" si="26"/>
        <v>0</v>
      </c>
      <c r="AO95" s="24">
        <f t="shared" si="27"/>
        <v>0.11149558420988324</v>
      </c>
      <c r="AP95" s="24">
        <f t="shared" si="28"/>
        <v>0</v>
      </c>
      <c r="AQ95" s="24">
        <f t="shared" si="29"/>
        <v>0</v>
      </c>
      <c r="AR95" s="24">
        <f t="shared" si="30"/>
        <v>0.41439204954661701</v>
      </c>
      <c r="AS95" s="24">
        <f t="shared" si="31"/>
        <v>0.49007050638198213</v>
      </c>
      <c r="AT95" s="24">
        <f t="shared" si="32"/>
        <v>0.34128050943046739</v>
      </c>
      <c r="AU95" s="24">
        <f t="shared" si="33"/>
        <v>0.43386619921972097</v>
      </c>
      <c r="AV95" s="24">
        <f t="shared" si="34"/>
        <v>0.40555566726924219</v>
      </c>
      <c r="AW95" s="24">
        <f t="shared" si="35"/>
        <v>0.67341817072343557</v>
      </c>
      <c r="AX95" s="24">
        <f t="shared" si="36"/>
        <v>0.22030188933330044</v>
      </c>
      <c r="AY95" s="24">
        <f t="shared" si="37"/>
        <v>0.18595133974116079</v>
      </c>
      <c r="AZ95" s="24">
        <f t="shared" si="38"/>
        <v>0.10657219683804335</v>
      </c>
      <c r="BA95" s="24">
        <f t="shared" si="39"/>
        <v>6.0148501835634527E-2</v>
      </c>
      <c r="BB95" s="24">
        <f t="shared" si="40"/>
        <v>0.10035829256115411</v>
      </c>
      <c r="BC95" s="52">
        <f t="shared" si="41"/>
        <v>3.5434109070906423</v>
      </c>
    </row>
    <row r="96" spans="35:55" x14ac:dyDescent="0.2">
      <c r="AI96" s="4">
        <f>F26</f>
        <v>41180</v>
      </c>
      <c r="AJ96" s="24">
        <f>G26*AJ26</f>
        <v>0</v>
      </c>
      <c r="AK96" s="24">
        <f t="shared" si="23"/>
        <v>0</v>
      </c>
      <c r="AL96" s="24">
        <f t="shared" si="24"/>
        <v>0</v>
      </c>
      <c r="AM96" s="24">
        <f t="shared" si="25"/>
        <v>0</v>
      </c>
      <c r="AN96" s="24">
        <f t="shared" si="26"/>
        <v>0</v>
      </c>
      <c r="AO96" s="24">
        <f t="shared" si="27"/>
        <v>8.7851104795725221E-2</v>
      </c>
      <c r="AP96" s="24">
        <f t="shared" si="28"/>
        <v>0</v>
      </c>
      <c r="AQ96" s="24">
        <f t="shared" si="29"/>
        <v>0</v>
      </c>
      <c r="AR96" s="24">
        <f t="shared" si="30"/>
        <v>0.34736958694321241</v>
      </c>
      <c r="AS96" s="24">
        <f t="shared" si="31"/>
        <v>0.40888997709618113</v>
      </c>
      <c r="AT96" s="24">
        <f t="shared" si="32"/>
        <v>0.28742798091118071</v>
      </c>
      <c r="AU96" s="24">
        <f t="shared" si="33"/>
        <v>0.37895653818154595</v>
      </c>
      <c r="AV96" s="24">
        <f t="shared" si="34"/>
        <v>0.35472715048380332</v>
      </c>
      <c r="AW96" s="24">
        <f t="shared" si="35"/>
        <v>0.59113572301542139</v>
      </c>
      <c r="AX96" s="24">
        <f t="shared" si="36"/>
        <v>0.21211558359101171</v>
      </c>
      <c r="AY96" s="24">
        <f t="shared" si="37"/>
        <v>0.17828408334602253</v>
      </c>
      <c r="AZ96" s="24">
        <f t="shared" si="38"/>
        <v>9.6233358977311653E-2</v>
      </c>
      <c r="BA96" s="24">
        <f t="shared" si="39"/>
        <v>5.7115301498349286E-2</v>
      </c>
      <c r="BB96" s="24">
        <f t="shared" si="40"/>
        <v>9.6279286346578466E-2</v>
      </c>
      <c r="BC96" s="52">
        <f t="shared" si="41"/>
        <v>3.0963856751863439</v>
      </c>
    </row>
    <row r="97" spans="35:55" x14ac:dyDescent="0.2">
      <c r="AI97" s="4">
        <f>F27</f>
        <v>41213</v>
      </c>
      <c r="AJ97" s="24">
        <f>G27*AJ27</f>
        <v>0</v>
      </c>
      <c r="AK97" s="24">
        <f t="shared" si="23"/>
        <v>0</v>
      </c>
      <c r="AL97" s="24">
        <f t="shared" si="24"/>
        <v>0</v>
      </c>
      <c r="AM97" s="24">
        <f t="shared" si="25"/>
        <v>0</v>
      </c>
      <c r="AN97" s="24">
        <f t="shared" si="26"/>
        <v>0</v>
      </c>
      <c r="AO97" s="24">
        <f t="shared" si="27"/>
        <v>8.8904331700109113E-2</v>
      </c>
      <c r="AP97" s="24">
        <f t="shared" si="28"/>
        <v>0</v>
      </c>
      <c r="AQ97" s="24">
        <f t="shared" si="29"/>
        <v>0</v>
      </c>
      <c r="AR97" s="24">
        <f t="shared" si="30"/>
        <v>0.35243455239120325</v>
      </c>
      <c r="AS97" s="24">
        <f t="shared" si="31"/>
        <v>0.41663455437660873</v>
      </c>
      <c r="AT97" s="24">
        <f t="shared" si="32"/>
        <v>0.28471259152371531</v>
      </c>
      <c r="AU97" s="24">
        <f t="shared" si="33"/>
        <v>0.39748558452137234</v>
      </c>
      <c r="AV97" s="24">
        <f t="shared" si="34"/>
        <v>0.37373960195487987</v>
      </c>
      <c r="AW97" s="24">
        <f t="shared" si="35"/>
        <v>0.60570170763739439</v>
      </c>
      <c r="AX97" s="24">
        <f t="shared" si="36"/>
        <v>0.21351328670698394</v>
      </c>
      <c r="AY97" s="24">
        <f t="shared" si="37"/>
        <v>0.17999655506468876</v>
      </c>
      <c r="AZ97" s="24">
        <f t="shared" si="38"/>
        <v>9.9514911376359094E-2</v>
      </c>
      <c r="BA97" s="24">
        <f t="shared" si="39"/>
        <v>5.9333056898524868E-2</v>
      </c>
      <c r="BB97" s="24">
        <f t="shared" si="40"/>
        <v>9.7641851039745597E-2</v>
      </c>
      <c r="BC97" s="52">
        <f t="shared" si="41"/>
        <v>3.1696125851915853</v>
      </c>
    </row>
    <row r="98" spans="35:55" x14ac:dyDescent="0.2">
      <c r="AI98" s="4">
        <f>F28</f>
        <v>41243</v>
      </c>
      <c r="AJ98" s="24">
        <f>G28*AJ28</f>
        <v>0</v>
      </c>
      <c r="AK98" s="24">
        <f t="shared" si="23"/>
        <v>0</v>
      </c>
      <c r="AL98" s="24">
        <f t="shared" si="24"/>
        <v>0</v>
      </c>
      <c r="AM98" s="24">
        <f t="shared" si="25"/>
        <v>0</v>
      </c>
      <c r="AN98" s="24">
        <f t="shared" si="26"/>
        <v>0</v>
      </c>
      <c r="AO98" s="24">
        <f t="shared" si="27"/>
        <v>9.0340332531106016E-2</v>
      </c>
      <c r="AP98" s="24">
        <f t="shared" si="28"/>
        <v>0</v>
      </c>
      <c r="AQ98" s="24">
        <f t="shared" si="29"/>
        <v>0</v>
      </c>
      <c r="AR98" s="24">
        <f t="shared" si="30"/>
        <v>0.35328417627851744</v>
      </c>
      <c r="AS98" s="24">
        <f t="shared" si="31"/>
        <v>0.40796041147871104</v>
      </c>
      <c r="AT98" s="24">
        <f t="shared" si="32"/>
        <v>0.27157780463693043</v>
      </c>
      <c r="AU98" s="24">
        <f t="shared" si="33"/>
        <v>0.37393132024673953</v>
      </c>
      <c r="AV98" s="24">
        <f t="shared" si="34"/>
        <v>0.35923246145701987</v>
      </c>
      <c r="AW98" s="24">
        <f t="shared" si="35"/>
        <v>0.5654464999202049</v>
      </c>
      <c r="AX98" s="24">
        <f t="shared" si="36"/>
        <v>0.20155782530251423</v>
      </c>
      <c r="AY98" s="24">
        <f t="shared" si="37"/>
        <v>0.16547929854761237</v>
      </c>
      <c r="AZ98" s="24">
        <f t="shared" si="38"/>
        <v>8.986260309334132E-2</v>
      </c>
      <c r="BA98" s="24">
        <f t="shared" si="39"/>
        <v>5.5099750234937551E-2</v>
      </c>
      <c r="BB98" s="24">
        <f t="shared" si="40"/>
        <v>9.182852284930422E-2</v>
      </c>
      <c r="BC98" s="52">
        <f t="shared" si="41"/>
        <v>3.025601006576939</v>
      </c>
    </row>
    <row r="99" spans="35:55" x14ac:dyDescent="0.2">
      <c r="AI99" s="4">
        <f>F29</f>
        <v>41274</v>
      </c>
      <c r="AJ99" s="24">
        <f>G29*AJ29</f>
        <v>0</v>
      </c>
      <c r="AK99" s="24">
        <f t="shared" si="23"/>
        <v>0</v>
      </c>
      <c r="AL99" s="24">
        <f t="shared" si="24"/>
        <v>0</v>
      </c>
      <c r="AM99" s="24">
        <f t="shared" si="25"/>
        <v>0</v>
      </c>
      <c r="AN99" s="24">
        <f t="shared" si="26"/>
        <v>0</v>
      </c>
      <c r="AO99" s="24">
        <f t="shared" si="27"/>
        <v>9.2271934790176771E-2</v>
      </c>
      <c r="AP99" s="24">
        <f t="shared" si="28"/>
        <v>0</v>
      </c>
      <c r="AQ99" s="24">
        <f t="shared" si="29"/>
        <v>0</v>
      </c>
      <c r="AR99" s="24">
        <f t="shared" si="30"/>
        <v>0.3655169010085248</v>
      </c>
      <c r="AS99" s="24">
        <f t="shared" si="31"/>
        <v>0.41408692507105899</v>
      </c>
      <c r="AT99" s="24">
        <f t="shared" si="32"/>
        <v>0.28068622224214118</v>
      </c>
      <c r="AU99" s="24">
        <f t="shared" si="33"/>
        <v>0.39419481462734129</v>
      </c>
      <c r="AV99" s="24">
        <f t="shared" si="34"/>
        <v>0.37334911493163447</v>
      </c>
      <c r="AW99" s="24">
        <f t="shared" si="35"/>
        <v>0.59702652825474412</v>
      </c>
      <c r="AX99" s="24">
        <f t="shared" si="36"/>
        <v>0.20867132494031146</v>
      </c>
      <c r="AY99" s="24">
        <f t="shared" si="37"/>
        <v>0.16992486400988377</v>
      </c>
      <c r="AZ99" s="24">
        <f t="shared" si="38"/>
        <v>9.362723828914353E-2</v>
      </c>
      <c r="BA99" s="24">
        <f t="shared" si="39"/>
        <v>5.7070323478404024E-2</v>
      </c>
      <c r="BB99" s="24">
        <f t="shared" si="40"/>
        <v>9.4377854791499544E-2</v>
      </c>
      <c r="BC99" s="52">
        <f t="shared" si="41"/>
        <v>3.1408040464348637</v>
      </c>
    </row>
    <row r="100" spans="35:55" x14ac:dyDescent="0.2">
      <c r="AI100" s="4">
        <f>F30</f>
        <v>41305</v>
      </c>
      <c r="AJ100" s="24">
        <f>G30*AJ30</f>
        <v>0</v>
      </c>
      <c r="AK100" s="24">
        <f t="shared" si="23"/>
        <v>0</v>
      </c>
      <c r="AL100" s="24">
        <f t="shared" si="24"/>
        <v>0</v>
      </c>
      <c r="AM100" s="24">
        <f t="shared" si="25"/>
        <v>0</v>
      </c>
      <c r="AN100" s="24">
        <f t="shared" si="26"/>
        <v>0</v>
      </c>
      <c r="AO100" s="24">
        <f t="shared" si="27"/>
        <v>0.11147774511952724</v>
      </c>
      <c r="AP100" s="24">
        <f t="shared" si="28"/>
        <v>0</v>
      </c>
      <c r="AQ100" s="24">
        <f t="shared" si="29"/>
        <v>0</v>
      </c>
      <c r="AR100" s="24">
        <f t="shared" si="30"/>
        <v>0.4221783532469619</v>
      </c>
      <c r="AS100" s="24">
        <f t="shared" si="31"/>
        <v>0.47799412593619728</v>
      </c>
      <c r="AT100" s="24">
        <f t="shared" si="32"/>
        <v>0.32070463103390678</v>
      </c>
      <c r="AU100" s="24">
        <f t="shared" si="33"/>
        <v>0.43290402718191212</v>
      </c>
      <c r="AV100" s="24">
        <f t="shared" si="34"/>
        <v>0.40737036093889956</v>
      </c>
      <c r="AW100" s="24">
        <f t="shared" si="35"/>
        <v>0.63034048611560245</v>
      </c>
      <c r="AX100" s="24">
        <f t="shared" si="36"/>
        <v>0.21516465994306236</v>
      </c>
      <c r="AY100" s="24">
        <f t="shared" si="37"/>
        <v>0.17403744484752606</v>
      </c>
      <c r="AZ100" s="24">
        <f t="shared" si="38"/>
        <v>9.2846367293057119E-2</v>
      </c>
      <c r="BA100" s="24">
        <f t="shared" si="39"/>
        <v>5.4914002423995939E-2</v>
      </c>
      <c r="BB100" s="24">
        <f t="shared" si="40"/>
        <v>9.07083368605138E-2</v>
      </c>
      <c r="BC100" s="52">
        <f t="shared" si="41"/>
        <v>3.4306405409411624</v>
      </c>
    </row>
    <row r="101" spans="35:55" x14ac:dyDescent="0.2">
      <c r="AI101" s="4">
        <f>F31</f>
        <v>41333</v>
      </c>
      <c r="AJ101" s="24">
        <f>G31*AJ31</f>
        <v>0</v>
      </c>
      <c r="AK101" s="24">
        <f t="shared" si="23"/>
        <v>0</v>
      </c>
      <c r="AL101" s="24">
        <f t="shared" si="24"/>
        <v>0</v>
      </c>
      <c r="AM101" s="24">
        <f t="shared" si="25"/>
        <v>0</v>
      </c>
      <c r="AN101" s="24">
        <f t="shared" si="26"/>
        <v>0</v>
      </c>
      <c r="AO101" s="24">
        <f t="shared" si="27"/>
        <v>0.11371711777389891</v>
      </c>
      <c r="AP101" s="24">
        <f t="shared" si="28"/>
        <v>0</v>
      </c>
      <c r="AQ101" s="24">
        <f t="shared" si="29"/>
        <v>0</v>
      </c>
      <c r="AR101" s="24">
        <f t="shared" si="30"/>
        <v>0.41620677782980442</v>
      </c>
      <c r="AS101" s="24">
        <f t="shared" si="31"/>
        <v>0.47258774435910605</v>
      </c>
      <c r="AT101" s="24">
        <f t="shared" si="32"/>
        <v>0.31699076356390682</v>
      </c>
      <c r="AU101" s="24">
        <f t="shared" si="33"/>
        <v>0.43441055504985654</v>
      </c>
      <c r="AV101" s="24">
        <f t="shared" si="34"/>
        <v>0.40727107126452661</v>
      </c>
      <c r="AW101" s="24">
        <f t="shared" si="35"/>
        <v>0.62511432551720791</v>
      </c>
      <c r="AX101" s="24">
        <f t="shared" si="36"/>
        <v>0.21557808604079473</v>
      </c>
      <c r="AY101" s="24">
        <f t="shared" si="37"/>
        <v>0.17682185589652683</v>
      </c>
      <c r="AZ101" s="24">
        <f t="shared" si="38"/>
        <v>9.3224109868024319E-2</v>
      </c>
      <c r="BA101" s="24">
        <f t="shared" si="39"/>
        <v>5.4478240377282439E-2</v>
      </c>
      <c r="BB101" s="24">
        <f t="shared" si="40"/>
        <v>8.8595896808792513E-2</v>
      </c>
      <c r="BC101" s="52">
        <f t="shared" si="41"/>
        <v>3.4149965443497279</v>
      </c>
    </row>
    <row r="102" spans="35:55" x14ac:dyDescent="0.2">
      <c r="AI102" s="4">
        <f>F32</f>
        <v>41361</v>
      </c>
      <c r="AJ102" s="24">
        <f>G32*AJ32</f>
        <v>0</v>
      </c>
      <c r="AK102" s="24">
        <f t="shared" si="23"/>
        <v>1.0532816624007528</v>
      </c>
      <c r="AL102" s="24">
        <f t="shared" si="24"/>
        <v>0</v>
      </c>
      <c r="AM102" s="24">
        <f t="shared" si="25"/>
        <v>0</v>
      </c>
      <c r="AN102" s="24">
        <f t="shared" si="26"/>
        <v>1.1841712042264074</v>
      </c>
      <c r="AO102" s="24">
        <f t="shared" si="27"/>
        <v>7.6951429678950106E-2</v>
      </c>
      <c r="AP102" s="24">
        <f t="shared" si="28"/>
        <v>0</v>
      </c>
      <c r="AQ102" s="24">
        <f t="shared" si="29"/>
        <v>0</v>
      </c>
      <c r="AR102" s="24">
        <f t="shared" si="30"/>
        <v>0.2761528010242823</v>
      </c>
      <c r="AS102" s="24">
        <f t="shared" si="31"/>
        <v>0.31268229563321531</v>
      </c>
      <c r="AT102" s="24">
        <f t="shared" si="32"/>
        <v>0.20817358420749732</v>
      </c>
      <c r="AU102" s="24">
        <f t="shared" si="33"/>
        <v>0.28014685704896441</v>
      </c>
      <c r="AV102" s="24">
        <f t="shared" si="34"/>
        <v>0.26420910417964433</v>
      </c>
      <c r="AW102" s="24">
        <f t="shared" si="35"/>
        <v>0.40449960902686022</v>
      </c>
      <c r="AX102" s="24">
        <f t="shared" si="36"/>
        <v>0.13833114004359265</v>
      </c>
      <c r="AY102" s="24">
        <f t="shared" si="37"/>
        <v>0.11419297764345941</v>
      </c>
      <c r="AZ102" s="24">
        <f t="shared" si="38"/>
        <v>5.8261946126268026E-2</v>
      </c>
      <c r="BA102" s="24">
        <f t="shared" si="39"/>
        <v>3.4214238562101998E-2</v>
      </c>
      <c r="BB102" s="24">
        <f t="shared" si="40"/>
        <v>5.3650106313483756E-2</v>
      </c>
      <c r="BC102" s="52">
        <f t="shared" si="41"/>
        <v>4.4589189561154798</v>
      </c>
    </row>
    <row r="103" spans="35:55" x14ac:dyDescent="0.2">
      <c r="AI103" s="4">
        <f>F33</f>
        <v>41394</v>
      </c>
      <c r="AJ103" s="24">
        <f>G33*AJ33</f>
        <v>0</v>
      </c>
      <c r="AK103" s="24">
        <f t="shared" si="23"/>
        <v>0.99169118538923451</v>
      </c>
      <c r="AL103" s="24">
        <f t="shared" si="24"/>
        <v>0</v>
      </c>
      <c r="AM103" s="24">
        <f t="shared" si="25"/>
        <v>0</v>
      </c>
      <c r="AN103" s="24">
        <f t="shared" si="26"/>
        <v>1.044151766731968</v>
      </c>
      <c r="AO103" s="24">
        <f t="shared" si="27"/>
        <v>6.3880691553535526E-2</v>
      </c>
      <c r="AP103" s="24">
        <f t="shared" si="28"/>
        <v>0</v>
      </c>
      <c r="AQ103" s="24">
        <f t="shared" si="29"/>
        <v>0</v>
      </c>
      <c r="AR103" s="24">
        <f t="shared" si="30"/>
        <v>0.2427771883116919</v>
      </c>
      <c r="AS103" s="24">
        <f t="shared" si="31"/>
        <v>0.26535425231349447</v>
      </c>
      <c r="AT103" s="24">
        <f t="shared" si="32"/>
        <v>0.16378599672185848</v>
      </c>
      <c r="AU103" s="24">
        <f t="shared" si="33"/>
        <v>0.2455024269657681</v>
      </c>
      <c r="AV103" s="24">
        <f t="shared" si="34"/>
        <v>0.21921573742119826</v>
      </c>
      <c r="AW103" s="24">
        <f t="shared" si="35"/>
        <v>0.32568086966418114</v>
      </c>
      <c r="AX103" s="24">
        <f t="shared" si="36"/>
        <v>0.12053034431026799</v>
      </c>
      <c r="AY103" s="24">
        <f t="shared" si="37"/>
        <v>0.10015889901987665</v>
      </c>
      <c r="AZ103" s="24">
        <f t="shared" si="38"/>
        <v>4.9448595239675958E-2</v>
      </c>
      <c r="BA103" s="24">
        <f t="shared" si="39"/>
        <v>2.9752497009028375E-2</v>
      </c>
      <c r="BB103" s="24">
        <f t="shared" si="40"/>
        <v>4.7485667259861579E-2</v>
      </c>
      <c r="BC103" s="52">
        <f t="shared" si="41"/>
        <v>3.9094161179116416</v>
      </c>
    </row>
    <row r="104" spans="35:55" x14ac:dyDescent="0.2">
      <c r="AI104" s="4">
        <f>F34</f>
        <v>41425</v>
      </c>
      <c r="AJ104" s="24">
        <f>G34*AJ34</f>
        <v>0</v>
      </c>
      <c r="AK104" s="24">
        <f t="shared" si="23"/>
        <v>1.1704648912429492</v>
      </c>
      <c r="AL104" s="24">
        <f t="shared" si="24"/>
        <v>0</v>
      </c>
      <c r="AM104" s="24">
        <f t="shared" si="25"/>
        <v>0</v>
      </c>
      <c r="AN104" s="24">
        <f t="shared" si="26"/>
        <v>1.2850873839800006</v>
      </c>
      <c r="AO104" s="24">
        <f t="shared" si="27"/>
        <v>8.4654564658430242E-2</v>
      </c>
      <c r="AP104" s="24">
        <f t="shared" si="28"/>
        <v>0</v>
      </c>
      <c r="AQ104" s="24">
        <f t="shared" si="29"/>
        <v>0</v>
      </c>
      <c r="AR104" s="24">
        <f t="shared" si="30"/>
        <v>0.30748041476668564</v>
      </c>
      <c r="AS104" s="24">
        <f t="shared" si="31"/>
        <v>0.33667948578768514</v>
      </c>
      <c r="AT104" s="24">
        <f t="shared" si="32"/>
        <v>0.22624373560344696</v>
      </c>
      <c r="AU104" s="24">
        <f t="shared" si="33"/>
        <v>0.2897988156082173</v>
      </c>
      <c r="AV104" s="24">
        <f t="shared" si="34"/>
        <v>0.25859736844954156</v>
      </c>
      <c r="AW104" s="24">
        <f t="shared" si="35"/>
        <v>0.40857573344313114</v>
      </c>
      <c r="AX104" s="24">
        <f t="shared" si="36"/>
        <v>0.12216401256487829</v>
      </c>
      <c r="AY104" s="24">
        <f t="shared" si="37"/>
        <v>0.10058850572800881</v>
      </c>
      <c r="AZ104" s="24">
        <f t="shared" si="38"/>
        <v>5.0769986097604969E-2</v>
      </c>
      <c r="BA104" s="24">
        <f t="shared" si="39"/>
        <v>2.7793181266408212E-2</v>
      </c>
      <c r="BB104" s="24">
        <f t="shared" si="40"/>
        <v>4.5138731364831021E-2</v>
      </c>
      <c r="BC104" s="52">
        <f t="shared" si="41"/>
        <v>4.7140368105618187</v>
      </c>
    </row>
    <row r="105" spans="35:55" x14ac:dyDescent="0.2">
      <c r="AI105" s="4">
        <f>F35</f>
        <v>41453</v>
      </c>
      <c r="AJ105" s="24">
        <f>G35*AJ35</f>
        <v>0</v>
      </c>
      <c r="AK105" s="24">
        <f t="shared" si="23"/>
        <v>1.2208308242396591</v>
      </c>
      <c r="AL105" s="24">
        <f t="shared" si="24"/>
        <v>0</v>
      </c>
      <c r="AM105" s="24">
        <f t="shared" si="25"/>
        <v>0</v>
      </c>
      <c r="AN105" s="24">
        <f t="shared" si="26"/>
        <v>1.3533499933340465</v>
      </c>
      <c r="AO105" s="24">
        <f t="shared" si="27"/>
        <v>9.1569913071258183E-2</v>
      </c>
      <c r="AP105" s="24">
        <f t="shared" si="28"/>
        <v>0</v>
      </c>
      <c r="AQ105" s="24">
        <f t="shared" si="29"/>
        <v>0</v>
      </c>
      <c r="AR105" s="24">
        <f t="shared" si="30"/>
        <v>0.33752689902245236</v>
      </c>
      <c r="AS105" s="24">
        <f t="shared" si="31"/>
        <v>0.37933887275629058</v>
      </c>
      <c r="AT105" s="24">
        <f t="shared" si="32"/>
        <v>0.26168616200651701</v>
      </c>
      <c r="AU105" s="24">
        <f t="shared" si="33"/>
        <v>0.32446190435764599</v>
      </c>
      <c r="AV105" s="24">
        <f t="shared" si="34"/>
        <v>0.30276917932925523</v>
      </c>
      <c r="AW105" s="24">
        <f t="shared" si="35"/>
        <v>0.48757776116847484</v>
      </c>
      <c r="AX105" s="24">
        <f t="shared" si="36"/>
        <v>0.14077843709671253</v>
      </c>
      <c r="AY105" s="24">
        <f t="shared" si="37"/>
        <v>0.11698078463712232</v>
      </c>
      <c r="AZ105" s="24">
        <f t="shared" si="38"/>
        <v>5.5530863007716411E-2</v>
      </c>
      <c r="BA105" s="24">
        <f t="shared" si="39"/>
        <v>3.0156478321014309E-2</v>
      </c>
      <c r="BB105" s="24">
        <f t="shared" si="40"/>
        <v>4.7021363602297375E-2</v>
      </c>
      <c r="BC105" s="52">
        <f t="shared" si="41"/>
        <v>5.1495794359504634</v>
      </c>
    </row>
    <row r="106" spans="35:55" x14ac:dyDescent="0.2">
      <c r="AI106" s="4">
        <f>F36</f>
        <v>41486</v>
      </c>
      <c r="AJ106" s="24">
        <f>G36*AJ36</f>
        <v>0</v>
      </c>
      <c r="AK106" s="24">
        <f t="shared" si="23"/>
        <v>1.2902991622520628</v>
      </c>
      <c r="AL106" s="24">
        <f t="shared" si="24"/>
        <v>0</v>
      </c>
      <c r="AM106" s="24">
        <f t="shared" si="25"/>
        <v>0</v>
      </c>
      <c r="AN106" s="24">
        <f t="shared" si="26"/>
        <v>1.4679942279409692</v>
      </c>
      <c r="AO106" s="24">
        <f t="shared" si="27"/>
        <v>9.9704419765537095E-2</v>
      </c>
      <c r="AP106" s="24">
        <f t="shared" si="28"/>
        <v>0</v>
      </c>
      <c r="AQ106" s="24">
        <f t="shared" si="29"/>
        <v>0</v>
      </c>
      <c r="AR106" s="24">
        <f t="shared" si="30"/>
        <v>0.36703149422803144</v>
      </c>
      <c r="AS106" s="24">
        <f t="shared" si="31"/>
        <v>0.40734508431410665</v>
      </c>
      <c r="AT106" s="24">
        <f t="shared" si="32"/>
        <v>0.28221648772189784</v>
      </c>
      <c r="AU106" s="24">
        <f t="shared" si="33"/>
        <v>0.34041430204070827</v>
      </c>
      <c r="AV106" s="24">
        <f t="shared" si="34"/>
        <v>0.31244554141489167</v>
      </c>
      <c r="AW106" s="24">
        <f t="shared" si="35"/>
        <v>0.49931707749522886</v>
      </c>
      <c r="AX106" s="24">
        <f t="shared" si="36"/>
        <v>0.14721354708299586</v>
      </c>
      <c r="AY106" s="24">
        <f t="shared" si="37"/>
        <v>0.12139225176672369</v>
      </c>
      <c r="AZ106" s="24">
        <f t="shared" si="38"/>
        <v>5.9471227224797002E-2</v>
      </c>
      <c r="BA106" s="24">
        <f t="shared" si="39"/>
        <v>3.1632618964976156E-2</v>
      </c>
      <c r="BB106" s="24">
        <f t="shared" si="40"/>
        <v>4.9059306083070402E-2</v>
      </c>
      <c r="BC106" s="52">
        <f t="shared" si="41"/>
        <v>5.4755367482959967</v>
      </c>
    </row>
    <row r="107" spans="35:55" x14ac:dyDescent="0.2">
      <c r="AI107" s="4">
        <f>F37</f>
        <v>41516</v>
      </c>
      <c r="AJ107" s="24">
        <f>G37*AJ37</f>
        <v>0</v>
      </c>
      <c r="AK107" s="24">
        <f t="shared" si="23"/>
        <v>1.3224853951164981</v>
      </c>
      <c r="AL107" s="24">
        <f t="shared" si="24"/>
        <v>0</v>
      </c>
      <c r="AM107" s="24">
        <f t="shared" si="25"/>
        <v>0</v>
      </c>
      <c r="AN107" s="24">
        <f t="shared" si="26"/>
        <v>1.49534862526517</v>
      </c>
      <c r="AO107" s="24">
        <f t="shared" si="27"/>
        <v>0.10055425274975074</v>
      </c>
      <c r="AP107" s="24">
        <f t="shared" si="28"/>
        <v>0</v>
      </c>
      <c r="AQ107" s="24">
        <f t="shared" si="29"/>
        <v>0</v>
      </c>
      <c r="AR107" s="24">
        <f t="shared" si="30"/>
        <v>0.37816475881870437</v>
      </c>
      <c r="AS107" s="24">
        <f t="shared" si="31"/>
        <v>0.42166109099933702</v>
      </c>
      <c r="AT107" s="24">
        <f t="shared" si="32"/>
        <v>0.29012224082609162</v>
      </c>
      <c r="AU107" s="24">
        <f t="shared" si="33"/>
        <v>0.36317419846682059</v>
      </c>
      <c r="AV107" s="24">
        <f t="shared" si="34"/>
        <v>0.33088347210788388</v>
      </c>
      <c r="AW107" s="24">
        <f t="shared" si="35"/>
        <v>0.52724710169569178</v>
      </c>
      <c r="AX107" s="24">
        <f t="shared" si="36"/>
        <v>0.16111291262260383</v>
      </c>
      <c r="AY107" s="24">
        <f t="shared" si="37"/>
        <v>0.13104077840841014</v>
      </c>
      <c r="AZ107" s="24">
        <f t="shared" si="38"/>
        <v>6.248718754861575E-2</v>
      </c>
      <c r="BA107" s="24">
        <f t="shared" si="39"/>
        <v>3.3216945637326557E-2</v>
      </c>
      <c r="BB107" s="24">
        <f t="shared" si="40"/>
        <v>5.1255539856291839E-2</v>
      </c>
      <c r="BC107" s="52">
        <f t="shared" si="41"/>
        <v>5.6687545001191948</v>
      </c>
    </row>
    <row r="108" spans="35:55" x14ac:dyDescent="0.2">
      <c r="AI108" s="4">
        <f>F38</f>
        <v>41547</v>
      </c>
      <c r="AJ108" s="24">
        <f>G38*AJ38</f>
        <v>0</v>
      </c>
      <c r="AK108" s="24">
        <f t="shared" si="23"/>
        <v>1.3651937054212673</v>
      </c>
      <c r="AL108" s="24">
        <f t="shared" si="24"/>
        <v>0</v>
      </c>
      <c r="AM108" s="24">
        <f t="shared" si="25"/>
        <v>0</v>
      </c>
      <c r="AN108" s="24">
        <f t="shared" si="26"/>
        <v>1.5459704115592297</v>
      </c>
      <c r="AO108" s="24">
        <f t="shared" si="27"/>
        <v>0.10154249765011197</v>
      </c>
      <c r="AP108" s="24">
        <f t="shared" si="28"/>
        <v>0</v>
      </c>
      <c r="AQ108" s="24">
        <f t="shared" si="29"/>
        <v>0</v>
      </c>
      <c r="AR108" s="24">
        <f t="shared" si="30"/>
        <v>0.37238188628018631</v>
      </c>
      <c r="AS108" s="24">
        <f t="shared" si="31"/>
        <v>0.41419754359640426</v>
      </c>
      <c r="AT108" s="24">
        <f t="shared" si="32"/>
        <v>0.27935031083191986</v>
      </c>
      <c r="AU108" s="24">
        <f t="shared" si="33"/>
        <v>0.35904432232373396</v>
      </c>
      <c r="AV108" s="24">
        <f t="shared" si="34"/>
        <v>0.32329574169756531</v>
      </c>
      <c r="AW108" s="24">
        <f t="shared" si="35"/>
        <v>0.50603488257735141</v>
      </c>
      <c r="AX108" s="24">
        <f t="shared" si="36"/>
        <v>0.15640819897430433</v>
      </c>
      <c r="AY108" s="24">
        <f t="shared" si="37"/>
        <v>0.12554550086167646</v>
      </c>
      <c r="AZ108" s="24">
        <f t="shared" si="38"/>
        <v>5.7748562578352876E-2</v>
      </c>
      <c r="BA108" s="24">
        <f t="shared" si="39"/>
        <v>3.1637165205846848E-2</v>
      </c>
      <c r="BB108" s="24">
        <f t="shared" si="40"/>
        <v>5.1040236149844993E-2</v>
      </c>
      <c r="BC108" s="52">
        <f t="shared" si="41"/>
        <v>5.6893909657077959</v>
      </c>
    </row>
    <row r="109" spans="35:55" x14ac:dyDescent="0.2">
      <c r="AI109" s="4">
        <f>F39</f>
        <v>41578</v>
      </c>
      <c r="AJ109" s="24">
        <f>G39*AJ39</f>
        <v>0</v>
      </c>
      <c r="AK109" s="24">
        <f t="shared" si="23"/>
        <v>1.3597304739026204</v>
      </c>
      <c r="AL109" s="24">
        <f t="shared" si="24"/>
        <v>0</v>
      </c>
      <c r="AM109" s="24">
        <f t="shared" si="25"/>
        <v>0</v>
      </c>
      <c r="AN109" s="24">
        <f t="shared" si="26"/>
        <v>1.5244332814634665</v>
      </c>
      <c r="AO109" s="24">
        <f t="shared" si="27"/>
        <v>9.9358773836582967E-2</v>
      </c>
      <c r="AP109" s="24">
        <f t="shared" si="28"/>
        <v>0</v>
      </c>
      <c r="AQ109" s="24">
        <f t="shared" si="29"/>
        <v>0</v>
      </c>
      <c r="AR109" s="24">
        <f t="shared" si="30"/>
        <v>0.36352329341255701</v>
      </c>
      <c r="AS109" s="24">
        <f t="shared" si="31"/>
        <v>0.40327321865042964</v>
      </c>
      <c r="AT109" s="24">
        <f t="shared" si="32"/>
        <v>0.2637519226047324</v>
      </c>
      <c r="AU109" s="24">
        <f t="shared" si="33"/>
        <v>0.35256245745394904</v>
      </c>
      <c r="AV109" s="24">
        <f t="shared" si="34"/>
        <v>0.31191758193318769</v>
      </c>
      <c r="AW109" s="24">
        <f t="shared" si="35"/>
        <v>0.47487600614089753</v>
      </c>
      <c r="AX109" s="24">
        <f t="shared" si="36"/>
        <v>0.15001223896929125</v>
      </c>
      <c r="AY109" s="24">
        <f t="shared" si="37"/>
        <v>0.11729825915627519</v>
      </c>
      <c r="AZ109" s="24">
        <f t="shared" si="38"/>
        <v>5.4525151411868589E-2</v>
      </c>
      <c r="BA109" s="24">
        <f t="shared" si="39"/>
        <v>3.0288391829489003E-2</v>
      </c>
      <c r="BB109" s="24">
        <f t="shared" si="40"/>
        <v>5.0816397215627702E-2</v>
      </c>
      <c r="BC109" s="52">
        <f t="shared" si="41"/>
        <v>5.5563674479809757</v>
      </c>
    </row>
    <row r="110" spans="35:55" x14ac:dyDescent="0.2">
      <c r="AI110" s="4">
        <f t="shared" ref="AI110:AI130" si="42">F40</f>
        <v>41607</v>
      </c>
      <c r="AJ110" s="24">
        <f t="shared" ref="AJ110:AJ127" si="43">G40*AJ40</f>
        <v>0</v>
      </c>
      <c r="AK110" s="24">
        <f t="shared" si="23"/>
        <v>1.4201544317452566</v>
      </c>
      <c r="AL110" s="24">
        <f t="shared" si="24"/>
        <v>0</v>
      </c>
      <c r="AM110" s="24">
        <f t="shared" si="25"/>
        <v>0</v>
      </c>
      <c r="AN110" s="24">
        <f t="shared" si="26"/>
        <v>1.6310150364195577</v>
      </c>
      <c r="AO110" s="24">
        <f t="shared" si="27"/>
        <v>0.10804936715735244</v>
      </c>
      <c r="AP110" s="24">
        <f t="shared" si="28"/>
        <v>0</v>
      </c>
      <c r="AQ110" s="24">
        <f t="shared" si="29"/>
        <v>0</v>
      </c>
      <c r="AR110" s="24">
        <f t="shared" si="30"/>
        <v>0.39695476975602045</v>
      </c>
      <c r="AS110" s="24">
        <f t="shared" si="31"/>
        <v>0.44081111851570015</v>
      </c>
      <c r="AT110" s="24">
        <f t="shared" si="32"/>
        <v>0.29176843804897212</v>
      </c>
      <c r="AU110" s="24">
        <f t="shared" si="33"/>
        <v>0.38249649773379457</v>
      </c>
      <c r="AV110" s="24">
        <f t="shared" si="34"/>
        <v>0.33777925510803164</v>
      </c>
      <c r="AW110" s="24">
        <f t="shared" si="35"/>
        <v>0.51910072232686644</v>
      </c>
      <c r="AX110" s="24">
        <f t="shared" si="36"/>
        <v>0.158920131363851</v>
      </c>
      <c r="AY110" s="24">
        <f t="shared" si="37"/>
        <v>0.12558476079856534</v>
      </c>
      <c r="AZ110" s="24">
        <f t="shared" si="38"/>
        <v>5.9057531526308965E-2</v>
      </c>
      <c r="BA110" s="24">
        <f t="shared" si="39"/>
        <v>3.234373303319274E-2</v>
      </c>
      <c r="BB110" s="24">
        <f t="shared" si="40"/>
        <v>5.3367344044175091E-2</v>
      </c>
      <c r="BC110" s="52">
        <f t="shared" si="41"/>
        <v>5.9574031375776446</v>
      </c>
    </row>
    <row r="111" spans="35:55" x14ac:dyDescent="0.2">
      <c r="AI111" s="4">
        <f t="shared" si="42"/>
        <v>41639</v>
      </c>
      <c r="AJ111" s="24">
        <f t="shared" si="43"/>
        <v>0</v>
      </c>
      <c r="AK111" s="24">
        <f>H41*AK41</f>
        <v>1.4460649081947459</v>
      </c>
      <c r="AL111" s="24">
        <f>I41*AL41</f>
        <v>0</v>
      </c>
      <c r="AM111" s="24">
        <f>J41*AM41</f>
        <v>0</v>
      </c>
      <c r="AN111" s="24">
        <f>K41*AN41</f>
        <v>1.6794278481328817</v>
      </c>
      <c r="AO111" s="24">
        <f>L41*AO41</f>
        <v>0.11104645575638059</v>
      </c>
      <c r="AP111" s="24">
        <f>M41*AP41</f>
        <v>0</v>
      </c>
      <c r="AQ111" s="24">
        <f>N41*AQ41</f>
        <v>0</v>
      </c>
      <c r="AR111" s="24">
        <f>O41*AR41</f>
        <v>0.41772890692745179</v>
      </c>
      <c r="AS111" s="24">
        <f>P41*AS41</f>
        <v>0.46769568637350645</v>
      </c>
      <c r="AT111" s="24">
        <f>Q41*AT41</f>
        <v>0.31418075536232787</v>
      </c>
      <c r="AU111" s="24">
        <f>R41*AU41</f>
        <v>0.40745106367873785</v>
      </c>
      <c r="AV111" s="24">
        <f>S41*AV41</f>
        <v>0.36854532406357327</v>
      </c>
      <c r="AW111" s="24">
        <f>T41*AW41</f>
        <v>0.58792685851551663</v>
      </c>
      <c r="AX111" s="24">
        <f>U41*AX41</f>
        <v>0.17545090085160103</v>
      </c>
      <c r="AY111" s="24">
        <f>V41*AY41</f>
        <v>0.14064701807742533</v>
      </c>
      <c r="AZ111" s="24">
        <f>W41*AZ41</f>
        <v>6.4085753264574039E-2</v>
      </c>
      <c r="BA111" s="24">
        <f>X41*BA41</f>
        <v>3.5056652996361737E-2</v>
      </c>
      <c r="BB111" s="24">
        <f>Y41*BB41</f>
        <v>5.6552629487789656E-2</v>
      </c>
      <c r="BC111" s="52">
        <f t="shared" si="41"/>
        <v>6.2718607616828743</v>
      </c>
    </row>
    <row r="112" spans="35:55" x14ac:dyDescent="0.2">
      <c r="AI112" s="4">
        <f t="shared" si="42"/>
        <v>41670</v>
      </c>
      <c r="AJ112" s="24">
        <f t="shared" si="43"/>
        <v>0</v>
      </c>
      <c r="AK112" s="24">
        <f>H42*AK42</f>
        <v>1.4310582019720939</v>
      </c>
      <c r="AL112" s="24">
        <f>I42*AL42</f>
        <v>0</v>
      </c>
      <c r="AM112" s="24">
        <f>J42*AM42</f>
        <v>0</v>
      </c>
      <c r="AN112" s="24">
        <f>K42*AN42</f>
        <v>1.6523019998500084</v>
      </c>
      <c r="AO112" s="24">
        <f>L42*AO42</f>
        <v>0.1076992546439474</v>
      </c>
      <c r="AP112" s="24">
        <f>M42*AP42</f>
        <v>0</v>
      </c>
      <c r="AQ112" s="24">
        <f>N42*AQ42</f>
        <v>0</v>
      </c>
      <c r="AR112" s="24">
        <f>O42*AR42</f>
        <v>0.40087158968643727</v>
      </c>
      <c r="AS112" s="24">
        <f>P42*AS42</f>
        <v>0.44577060958444853</v>
      </c>
      <c r="AT112" s="24">
        <f>Q42*AT42</f>
        <v>0.29984314087901731</v>
      </c>
      <c r="AU112" s="24">
        <f>R42*AU42</f>
        <v>0.38580270831520214</v>
      </c>
      <c r="AV112" s="24">
        <f>S42*AV42</f>
        <v>0.34878226037731602</v>
      </c>
      <c r="AW112" s="24">
        <f>T42*AW42</f>
        <v>0.54802706233937282</v>
      </c>
      <c r="AX112" s="24">
        <f>U42*AX42</f>
        <v>0.16610911703078937</v>
      </c>
      <c r="AY112" s="24">
        <f>V42*AY42</f>
        <v>0.13460598072222701</v>
      </c>
      <c r="AZ112" s="24">
        <f>W42*AZ42</f>
        <v>6.3817047178001698E-2</v>
      </c>
      <c r="BA112" s="24">
        <f>X42*BA42</f>
        <v>3.4165995124969213E-2</v>
      </c>
      <c r="BB112" s="24">
        <f>Y42*BB42</f>
        <v>5.4894022447597141E-2</v>
      </c>
      <c r="BC112" s="52">
        <f t="shared" si="41"/>
        <v>6.0737489901514268</v>
      </c>
    </row>
    <row r="113" spans="35:55" x14ac:dyDescent="0.2">
      <c r="AI113" s="4">
        <f t="shared" si="42"/>
        <v>41698</v>
      </c>
      <c r="AJ113" s="24">
        <f t="shared" si="43"/>
        <v>0</v>
      </c>
      <c r="AK113" s="24">
        <f>H43*AK43</f>
        <v>1.4433037513446629</v>
      </c>
      <c r="AL113" s="24">
        <f>I43*AL43</f>
        <v>0</v>
      </c>
      <c r="AM113" s="24">
        <f>J43*AM43</f>
        <v>0</v>
      </c>
      <c r="AN113" s="24">
        <f>K43*AN43</f>
        <v>1.6732579328554786</v>
      </c>
      <c r="AO113" s="24">
        <f>L43*AO43</f>
        <v>0.10927456327311395</v>
      </c>
      <c r="AP113" s="24">
        <f>M43*AP43</f>
        <v>0</v>
      </c>
      <c r="AQ113" s="24">
        <f>N43*AQ43</f>
        <v>0</v>
      </c>
      <c r="AR113" s="24">
        <f>O43*AR43</f>
        <v>0.40810970383482364</v>
      </c>
      <c r="AS113" s="24">
        <f>P43*AS43</f>
        <v>0.454066443627274</v>
      </c>
      <c r="AT113" s="24">
        <f>Q43*AT43</f>
        <v>0.30590035156852025</v>
      </c>
      <c r="AU113" s="24">
        <f>R43*AU43</f>
        <v>0.39018488758867892</v>
      </c>
      <c r="AV113" s="24">
        <f>S43*AV43</f>
        <v>0.3546219707232523</v>
      </c>
      <c r="AW113" s="24">
        <f>T43*AW43</f>
        <v>0.55927963959635518</v>
      </c>
      <c r="AX113" s="24">
        <f>U43*AX43</f>
        <v>0.17378771764914092</v>
      </c>
      <c r="AY113" s="24">
        <f>V43*AY43</f>
        <v>0.14070371514891974</v>
      </c>
      <c r="AZ113" s="24">
        <f>W43*AZ43</f>
        <v>6.4509617489110396E-2</v>
      </c>
      <c r="BA113" s="24">
        <f>X43*BA43</f>
        <v>3.4625136852191207E-2</v>
      </c>
      <c r="BB113" s="24">
        <f>Y43*BB43</f>
        <v>5.5566225085704093E-2</v>
      </c>
      <c r="BC113" s="52">
        <f t="shared" si="41"/>
        <v>6.1671916566372271</v>
      </c>
    </row>
    <row r="114" spans="35:55" x14ac:dyDescent="0.2">
      <c r="AI114" s="4">
        <f t="shared" si="42"/>
        <v>41729</v>
      </c>
      <c r="AJ114" s="24">
        <f t="shared" si="43"/>
        <v>1.09137554753745</v>
      </c>
      <c r="AK114" s="24">
        <f>H44*AK44</f>
        <v>0.97393934995113673</v>
      </c>
      <c r="AL114" s="24">
        <f>I44*AL44</f>
        <v>0</v>
      </c>
      <c r="AM114" s="24">
        <f>J44*AM44</f>
        <v>0.72137283743452318</v>
      </c>
      <c r="AN114" s="24">
        <f>K44*AN44</f>
        <v>1.1334053944186258</v>
      </c>
      <c r="AO114" s="24">
        <f>L44*AO44</f>
        <v>7.436502770699982E-2</v>
      </c>
      <c r="AP114" s="24">
        <f>M44*AP44</f>
        <v>0</v>
      </c>
      <c r="AQ114" s="24">
        <f>N44*AQ44</f>
        <v>0.59885595478088749</v>
      </c>
      <c r="AR114" s="24">
        <f>O44*AR44</f>
        <v>0.27724115245375225</v>
      </c>
      <c r="AS114" s="24">
        <f>P44*AS44</f>
        <v>0.30927178226208024</v>
      </c>
      <c r="AT114" s="24">
        <f>Q44*AT44</f>
        <v>0.20980952882895176</v>
      </c>
      <c r="AU114" s="24">
        <f>R44*AU44</f>
        <v>0.26673140635485071</v>
      </c>
      <c r="AV114" s="24">
        <f>S44*AV44</f>
        <v>0.2452637930829632</v>
      </c>
      <c r="AW114" s="24">
        <f>T44*AW44</f>
        <v>0.38638247759876637</v>
      </c>
      <c r="AX114" s="24">
        <f>U44*AX44</f>
        <v>0.1197363758754368</v>
      </c>
      <c r="AY114" s="24">
        <f>V44*AY44</f>
        <v>9.7391886437916533E-2</v>
      </c>
      <c r="AZ114" s="24">
        <f>W44*AZ44</f>
        <v>4.3865505547163501E-2</v>
      </c>
      <c r="BA114" s="24">
        <f>X44*BA44</f>
        <v>2.3204126735800783E-2</v>
      </c>
      <c r="BB114" s="24">
        <f>Y44*BB44</f>
        <v>3.6352888390124974E-2</v>
      </c>
      <c r="BC114" s="52">
        <f t="shared" si="41"/>
        <v>6.6085650353974303</v>
      </c>
    </row>
    <row r="115" spans="35:55" x14ac:dyDescent="0.2">
      <c r="AI115" s="4">
        <f t="shared" si="42"/>
        <v>41759</v>
      </c>
      <c r="AJ115" s="24">
        <f t="shared" si="43"/>
        <v>1.0935639674838487</v>
      </c>
      <c r="AK115" s="24">
        <f>H45*AK45</f>
        <v>0.97739899268163277</v>
      </c>
      <c r="AL115" s="24">
        <f>I45*AL45</f>
        <v>0</v>
      </c>
      <c r="AM115" s="24">
        <f>J45*AM45</f>
        <v>0.71728171248401296</v>
      </c>
      <c r="AN115" s="24">
        <f>K45*AN45</f>
        <v>1.1214652687488742</v>
      </c>
      <c r="AO115" s="24">
        <f>L45*AO45</f>
        <v>7.3217094525186099E-2</v>
      </c>
      <c r="AP115" s="24">
        <f>M45*AP45</f>
        <v>0</v>
      </c>
      <c r="AQ115" s="24">
        <f>N45*AQ45</f>
        <v>0.59504314128121427</v>
      </c>
      <c r="AR115" s="24">
        <f>O45*AR45</f>
        <v>0.27382421693865305</v>
      </c>
      <c r="AS115" s="24">
        <f>P45*AS45</f>
        <v>0.30469716925766116</v>
      </c>
      <c r="AT115" s="24">
        <f>Q45*AT45</f>
        <v>0.2064935481157105</v>
      </c>
      <c r="AU115" s="24">
        <f>R45*AU45</f>
        <v>0.26018590577026768</v>
      </c>
      <c r="AV115" s="24">
        <f>S45*AV45</f>
        <v>0.23925361846106549</v>
      </c>
      <c r="AW115" s="24">
        <f>T45*AW45</f>
        <v>0.37479332126078874</v>
      </c>
      <c r="AX115" s="24">
        <f>U45*AX45</f>
        <v>0.11668273439942146</v>
      </c>
      <c r="AY115" s="24">
        <f>V45*AY45</f>
        <v>9.4625248506776893E-2</v>
      </c>
      <c r="AZ115" s="24">
        <f>W45*AZ45</f>
        <v>4.2361752014135112E-2</v>
      </c>
      <c r="BA115" s="24">
        <f>X45*BA45</f>
        <v>2.2655788835422349E-2</v>
      </c>
      <c r="BB115" s="24">
        <f>Y45*BB45</f>
        <v>3.6054803695870052E-2</v>
      </c>
      <c r="BC115" s="52">
        <f t="shared" si="41"/>
        <v>6.54959828446054</v>
      </c>
    </row>
    <row r="116" spans="35:55" x14ac:dyDescent="0.2">
      <c r="AI116" s="4">
        <f t="shared" si="42"/>
        <v>41789</v>
      </c>
      <c r="AJ116" s="24">
        <f t="shared" si="43"/>
        <v>1.0836896347628679</v>
      </c>
      <c r="AK116" s="24">
        <f>H46*AK46</f>
        <v>0.97064615454607173</v>
      </c>
      <c r="AL116" s="24">
        <f>I46*AL46</f>
        <v>0</v>
      </c>
      <c r="AM116" s="24">
        <f>J46*AM46</f>
        <v>0.700298874229627</v>
      </c>
      <c r="AN116" s="24">
        <f>K46*AN46</f>
        <v>1.096760376570056</v>
      </c>
      <c r="AO116" s="24">
        <f>L46*AO46</f>
        <v>7.1044038707459969E-2</v>
      </c>
      <c r="AP116" s="24">
        <f>M46*AP46</f>
        <v>0</v>
      </c>
      <c r="AQ116" s="24">
        <f>N46*AQ46</f>
        <v>0.57968735888437073</v>
      </c>
      <c r="AR116" s="24">
        <f>O46*AR46</f>
        <v>0.26425960800347265</v>
      </c>
      <c r="AS116" s="24">
        <f>P46*AS46</f>
        <v>0.29289408115712645</v>
      </c>
      <c r="AT116" s="24">
        <f>Q46*AT46</f>
        <v>0.19635210535445677</v>
      </c>
      <c r="AU116" s="24">
        <f>R46*AU46</f>
        <v>0.24671667866113256</v>
      </c>
      <c r="AV116" s="24">
        <f>S46*AV46</f>
        <v>0.22461976105873752</v>
      </c>
      <c r="AW116" s="24">
        <f>T46*AW46</f>
        <v>0.34592623446085841</v>
      </c>
      <c r="AX116" s="24">
        <f>U46*AX46</f>
        <v>0.10825506318827734</v>
      </c>
      <c r="AY116" s="24">
        <f>V46*AY46</f>
        <v>8.7226765189011998E-2</v>
      </c>
      <c r="AZ116" s="24">
        <f>W46*AZ46</f>
        <v>3.9713425609735675E-2</v>
      </c>
      <c r="BA116" s="24">
        <f>X46*BA46</f>
        <v>2.1904785599709934E-2</v>
      </c>
      <c r="BB116" s="24">
        <f>Y46*BB46</f>
        <v>3.5369709788618267E-2</v>
      </c>
      <c r="BC116" s="52">
        <f t="shared" si="41"/>
        <v>6.3653646557715913</v>
      </c>
    </row>
    <row r="117" spans="35:55" x14ac:dyDescent="0.2">
      <c r="AI117" s="4">
        <f t="shared" si="42"/>
        <v>41820</v>
      </c>
      <c r="AJ117" s="24">
        <f t="shared" si="43"/>
        <v>1.0917019757993469</v>
      </c>
      <c r="AK117" s="24">
        <f>H47*AK47</f>
        <v>0.97567221935164949</v>
      </c>
      <c r="AL117" s="24">
        <f>I47*AL47</f>
        <v>0</v>
      </c>
      <c r="AM117" s="24">
        <f>J47*AM47</f>
        <v>0.71171089319542558</v>
      </c>
      <c r="AN117" s="24">
        <f>K47*AN47</f>
        <v>1.1143256482547503</v>
      </c>
      <c r="AO117" s="24">
        <f>L47*AO47</f>
        <v>7.2200650461248433E-2</v>
      </c>
      <c r="AP117" s="24">
        <f>M47*AP47</f>
        <v>0</v>
      </c>
      <c r="AQ117" s="24">
        <f>N47*AQ47</f>
        <v>0.58839078662917199</v>
      </c>
      <c r="AR117" s="24">
        <f>O47*AR47</f>
        <v>0.27056644273580288</v>
      </c>
      <c r="AS117" s="24">
        <f>P47*AS47</f>
        <v>0.30359653899379602</v>
      </c>
      <c r="AT117" s="24">
        <f>Q47*AT47</f>
        <v>0.20244765805419318</v>
      </c>
      <c r="AU117" s="24">
        <f>R47*AU47</f>
        <v>0.25708240772504226</v>
      </c>
      <c r="AV117" s="24">
        <f>S47*AV47</f>
        <v>0.23607683215405936</v>
      </c>
      <c r="AW117" s="24">
        <f>T47*AW47</f>
        <v>0.36273318848164937</v>
      </c>
      <c r="AX117" s="24">
        <f>U47*AX47</f>
        <v>0.11516933994082777</v>
      </c>
      <c r="AY117" s="24">
        <f>V47*AY47</f>
        <v>9.2704360339859793E-2</v>
      </c>
      <c r="AZ117" s="24">
        <f>W47*AZ47</f>
        <v>3.9760923710046185E-2</v>
      </c>
      <c r="BA117" s="24">
        <f>X47*BA47</f>
        <v>2.2224029690023354E-2</v>
      </c>
      <c r="BB117" s="24">
        <f>Y47*BB47</f>
        <v>3.5521833824984424E-2</v>
      </c>
      <c r="BC117" s="52">
        <f t="shared" si="41"/>
        <v>6.4918857293418775</v>
      </c>
    </row>
    <row r="118" spans="35:55" x14ac:dyDescent="0.2">
      <c r="AI118" s="4">
        <f t="shared" si="42"/>
        <v>41851</v>
      </c>
      <c r="AJ118" s="24">
        <f t="shared" si="43"/>
        <v>1.093381779190512</v>
      </c>
      <c r="AK118" s="24">
        <f>H48*AK48</f>
        <v>0.97457761530723108</v>
      </c>
      <c r="AL118" s="24">
        <f>I48*AL48</f>
        <v>0</v>
      </c>
      <c r="AM118" s="24">
        <f>J48*AM48</f>
        <v>0.70954114051463824</v>
      </c>
      <c r="AN118" s="24">
        <f>K48*AN48</f>
        <v>1.1126193951448682</v>
      </c>
      <c r="AO118" s="24">
        <f>L48*AO48</f>
        <v>7.2624373380803589E-2</v>
      </c>
      <c r="AP118" s="24">
        <f>M48*AP48</f>
        <v>0</v>
      </c>
      <c r="AQ118" s="24">
        <f>N48*AQ48</f>
        <v>0.58575275773637303</v>
      </c>
      <c r="AR118" s="24">
        <f>O48*AR48</f>
        <v>0.27143016138526865</v>
      </c>
      <c r="AS118" s="24">
        <f>P48*AS48</f>
        <v>0.30515561155845</v>
      </c>
      <c r="AT118" s="24">
        <f>Q48*AT48</f>
        <v>0.20378310609690731</v>
      </c>
      <c r="AU118" s="24">
        <f>R48*AU48</f>
        <v>0.25990734573376562</v>
      </c>
      <c r="AV118" s="24">
        <f>S48*AV48</f>
        <v>0.23991248234080065</v>
      </c>
      <c r="AW118" s="24">
        <f>T48*AW48</f>
        <v>0.37159368511291968</v>
      </c>
      <c r="AX118" s="24">
        <f>U48*AX48</f>
        <v>0.11825974120857674</v>
      </c>
      <c r="AY118" s="24">
        <f>V48*AY48</f>
        <v>9.5839087616748628E-2</v>
      </c>
      <c r="AZ118" s="24">
        <f>W48*AZ48</f>
        <v>4.1099675313184578E-2</v>
      </c>
      <c r="BA118" s="24">
        <f>X48*BA48</f>
        <v>2.2769942911362098E-2</v>
      </c>
      <c r="BB118" s="24">
        <f>Y48*BB48</f>
        <v>3.6185075017503995E-2</v>
      </c>
      <c r="BC118" s="52">
        <f t="shared" si="41"/>
        <v>6.5144329755699122</v>
      </c>
    </row>
    <row r="119" spans="35:55" x14ac:dyDescent="0.2">
      <c r="AI119" s="4">
        <f t="shared" si="42"/>
        <v>41880</v>
      </c>
      <c r="AJ119" s="24">
        <f t="shared" si="43"/>
        <v>1.0690867267848156</v>
      </c>
      <c r="AK119" s="24">
        <f>H49*AK49</f>
        <v>0.95466478311464953</v>
      </c>
      <c r="AL119" s="24">
        <f>I49*AL49</f>
        <v>0</v>
      </c>
      <c r="AM119" s="24">
        <f>J49*AM49</f>
        <v>0.68269524667823378</v>
      </c>
      <c r="AN119" s="24">
        <f>K49*AN49</f>
        <v>1.0694603337237658</v>
      </c>
      <c r="AO119" s="24">
        <f>L49*AO49</f>
        <v>6.8890304520052223E-2</v>
      </c>
      <c r="AP119" s="24">
        <f>M49*AP49</f>
        <v>0</v>
      </c>
      <c r="AQ119" s="24">
        <f>N49*AQ49</f>
        <v>0.56089788592788536</v>
      </c>
      <c r="AR119" s="24">
        <f>O49*AR49</f>
        <v>0.25405604256561415</v>
      </c>
      <c r="AS119" s="24">
        <f>P49*AS49</f>
        <v>0.28777748958288596</v>
      </c>
      <c r="AT119" s="24">
        <f>Q49*AT49</f>
        <v>0.19035770158744883</v>
      </c>
      <c r="AU119" s="24">
        <f>R49*AU49</f>
        <v>0.24223002920299991</v>
      </c>
      <c r="AV119" s="24">
        <f>S49*AV49</f>
        <v>0.22153315435255286</v>
      </c>
      <c r="AW119" s="24">
        <f>T49*AW49</f>
        <v>0.33953948830631447</v>
      </c>
      <c r="AX119" s="24">
        <f>U49*AX49</f>
        <v>0.11025376440629513</v>
      </c>
      <c r="AY119" s="24">
        <f>V49*AY49</f>
        <v>8.897036650989934E-2</v>
      </c>
      <c r="AZ119" s="24">
        <f>W49*AZ49</f>
        <v>3.8801708857963267E-2</v>
      </c>
      <c r="BA119" s="24">
        <f>X49*BA49</f>
        <v>2.1697838492592478E-2</v>
      </c>
      <c r="BB119" s="24">
        <f>Y49*BB49</f>
        <v>3.5162315422614422E-2</v>
      </c>
      <c r="BC119" s="52">
        <f t="shared" si="41"/>
        <v>6.2360751800365835</v>
      </c>
    </row>
    <row r="120" spans="35:55" x14ac:dyDescent="0.2">
      <c r="AI120" s="4">
        <f t="shared" si="42"/>
        <v>41912</v>
      </c>
      <c r="AJ120" s="24">
        <f t="shared" si="43"/>
        <v>1.093820266566583</v>
      </c>
      <c r="AK120" s="24">
        <f>H50*AK50</f>
        <v>0.97818237034498468</v>
      </c>
      <c r="AL120" s="24">
        <f>I50*AL50</f>
        <v>0</v>
      </c>
      <c r="AM120" s="24">
        <f>J50*AM50</f>
        <v>0.70254559508957359</v>
      </c>
      <c r="AN120" s="24">
        <f>K50*AN50</f>
        <v>1.1064499143880875</v>
      </c>
      <c r="AO120" s="24">
        <f>L50*AO50</f>
        <v>7.162410036864969E-2</v>
      </c>
      <c r="AP120" s="24">
        <f>M50*AP50</f>
        <v>0</v>
      </c>
      <c r="AQ120" s="24">
        <f>N50*AQ50</f>
        <v>0.57418482180597685</v>
      </c>
      <c r="AR120" s="24">
        <f>O50*AR50</f>
        <v>0.26424064033535555</v>
      </c>
      <c r="AS120" s="24">
        <f>P50*AS50</f>
        <v>0.29814220491972948</v>
      </c>
      <c r="AT120" s="24">
        <f>Q50*AT50</f>
        <v>0.19878019340972519</v>
      </c>
      <c r="AU120" s="24">
        <f>R50*AU50</f>
        <v>0.2581472908036288</v>
      </c>
      <c r="AV120" s="24">
        <f>S50*AV50</f>
        <v>0.23647762926052876</v>
      </c>
      <c r="AW120" s="24">
        <f>T50*AW50</f>
        <v>0.36526179992693802</v>
      </c>
      <c r="AX120" s="24">
        <f>U50*AX50</f>
        <v>0.11805311447738344</v>
      </c>
      <c r="AY120" s="24">
        <f>V50*AY50</f>
        <v>9.5369905681158162E-2</v>
      </c>
      <c r="AZ120" s="24">
        <f>W50*AZ50</f>
        <v>3.9973216521621238E-2</v>
      </c>
      <c r="BA120" s="24">
        <f>X50*BA50</f>
        <v>2.2238782515297668E-2</v>
      </c>
      <c r="BB120" s="24">
        <f>Y50*BB50</f>
        <v>3.5687340959996657E-2</v>
      </c>
      <c r="BC120" s="52">
        <f t="shared" si="41"/>
        <v>6.4591791873752173</v>
      </c>
    </row>
    <row r="121" spans="35:55" x14ac:dyDescent="0.2">
      <c r="AI121" s="4">
        <f t="shared" si="42"/>
        <v>41943</v>
      </c>
      <c r="AJ121" s="24">
        <f t="shared" si="43"/>
        <v>1.081360389806465</v>
      </c>
      <c r="AK121" s="24">
        <f>H51*AK51</f>
        <v>0.96365894829864884</v>
      </c>
      <c r="AL121" s="24">
        <f>I51*AL51</f>
        <v>0</v>
      </c>
      <c r="AM121" s="24">
        <f>J51*AM51</f>
        <v>0.68050963026188827</v>
      </c>
      <c r="AN121" s="24">
        <f>K51*AN51</f>
        <v>1.0708359870607627</v>
      </c>
      <c r="AO121" s="24">
        <f>L51*AO51</f>
        <v>6.8561308471498369E-2</v>
      </c>
      <c r="AP121" s="24">
        <f>M51*AP51</f>
        <v>0</v>
      </c>
      <c r="AQ121" s="24">
        <f>N51*AQ51</f>
        <v>0.55414564517413833</v>
      </c>
      <c r="AR121" s="24">
        <f>O51*AR51</f>
        <v>0.25128731226642015</v>
      </c>
      <c r="AS121" s="24">
        <f>P51*AS51</f>
        <v>0.28331125308723026</v>
      </c>
      <c r="AT121" s="24">
        <f>Q51*AT51</f>
        <v>0.18517626036781371</v>
      </c>
      <c r="AU121" s="24">
        <f>R51*AU51</f>
        <v>0.24341024057937005</v>
      </c>
      <c r="AV121" s="24">
        <f>S51*AV51</f>
        <v>0.22146948662166788</v>
      </c>
      <c r="AW121" s="24">
        <f>T51*AW51</f>
        <v>0.33834218133532867</v>
      </c>
      <c r="AX121" s="24">
        <f>U51*AX51</f>
        <v>0.1090089587951323</v>
      </c>
      <c r="AY121" s="24">
        <f>V51*AY51</f>
        <v>8.7668950378380253E-2</v>
      </c>
      <c r="AZ121" s="24">
        <f>W51*AZ51</f>
        <v>3.7256715301865868E-2</v>
      </c>
      <c r="BA121" s="24">
        <f>X51*BA51</f>
        <v>2.0892307574350427E-2</v>
      </c>
      <c r="BB121" s="24">
        <f>Y51*BB51</f>
        <v>3.4229207432529843E-2</v>
      </c>
      <c r="BC121" s="52">
        <f t="shared" si="41"/>
        <v>6.2311247828134917</v>
      </c>
    </row>
    <row r="122" spans="35:55" x14ac:dyDescent="0.2">
      <c r="AI122" s="4">
        <f t="shared" si="42"/>
        <v>41971</v>
      </c>
      <c r="AJ122" s="24">
        <f t="shared" si="43"/>
        <v>1.0654599325894425</v>
      </c>
      <c r="AK122" s="24">
        <f>H52*AK52</f>
        <v>0.9502192838709308</v>
      </c>
      <c r="AL122" s="24">
        <f>I52*AL52</f>
        <v>0</v>
      </c>
      <c r="AM122" s="24">
        <f>J52*AM52</f>
        <v>0.65991469437074979</v>
      </c>
      <c r="AN122" s="24">
        <f>K52*AN52</f>
        <v>1.038253339024293</v>
      </c>
      <c r="AO122" s="24">
        <f>L52*AO52</f>
        <v>6.570449370309582E-2</v>
      </c>
      <c r="AP122" s="24">
        <f>M52*AP52</f>
        <v>0</v>
      </c>
      <c r="AQ122" s="24">
        <f>N52*AQ52</f>
        <v>0.53456980354983263</v>
      </c>
      <c r="AR122" s="24">
        <f>O52*AR52</f>
        <v>0.23932106428908961</v>
      </c>
      <c r="AS122" s="24">
        <f>P52*AS52</f>
        <v>0.26951150792071621</v>
      </c>
      <c r="AT122" s="24">
        <f>Q52*AT52</f>
        <v>0.17337028736084625</v>
      </c>
      <c r="AU122" s="24">
        <f>R52*AU52</f>
        <v>0.23259185040529204</v>
      </c>
      <c r="AV122" s="24">
        <f>S52*AV52</f>
        <v>0.21088646557864685</v>
      </c>
      <c r="AW122" s="24">
        <f>T52*AW52</f>
        <v>0.31782074826922113</v>
      </c>
      <c r="AX122" s="24">
        <f>U52*AX52</f>
        <v>0.10445463442662264</v>
      </c>
      <c r="AY122" s="24">
        <f>V52*AY52</f>
        <v>8.3552394807281119E-2</v>
      </c>
      <c r="AZ122" s="24">
        <f>W52*AZ52</f>
        <v>3.5584316629721828E-2</v>
      </c>
      <c r="BA122" s="24">
        <f>X52*BA52</f>
        <v>2.0138928835950011E-2</v>
      </c>
      <c r="BB122" s="24">
        <f>Y52*BB52</f>
        <v>3.3303251786639398E-2</v>
      </c>
      <c r="BC122" s="52">
        <f t="shared" si="41"/>
        <v>6.0346569974183728</v>
      </c>
    </row>
    <row r="123" spans="35:55" x14ac:dyDescent="0.2">
      <c r="AI123" s="4">
        <f t="shared" si="42"/>
        <v>42004</v>
      </c>
      <c r="AJ123" s="24">
        <f t="shared" si="43"/>
        <v>1.0233265311513413</v>
      </c>
      <c r="AK123" s="24">
        <f>H53*AK53</f>
        <v>0.92594040681961731</v>
      </c>
      <c r="AL123" s="24">
        <f>I53*AL53</f>
        <v>0</v>
      </c>
      <c r="AM123" s="24">
        <f>J53*AM53</f>
        <v>0.62824345556429462</v>
      </c>
      <c r="AN123" s="24">
        <f>K53*AN53</f>
        <v>1.0244571601544692</v>
      </c>
      <c r="AO123" s="24">
        <f>L53*AO53</f>
        <v>6.4067874382528561E-2</v>
      </c>
      <c r="AP123" s="24">
        <f>M53*AP53</f>
        <v>0</v>
      </c>
      <c r="AQ123" s="24">
        <f>N53*AQ53</f>
        <v>0.50639695802216556</v>
      </c>
      <c r="AR123" s="24">
        <f>O53*AR53</f>
        <v>0.23479810670837115</v>
      </c>
      <c r="AS123" s="24">
        <f>P53*AS53</f>
        <v>0.26394417107446139</v>
      </c>
      <c r="AT123" s="24">
        <f>Q53*AT53</f>
        <v>0.16891676593452493</v>
      </c>
      <c r="AU123" s="24">
        <f>R53*AU53</f>
        <v>0.22878123996009622</v>
      </c>
      <c r="AV123" s="24">
        <f>S53*AV53</f>
        <v>0.20766068311175745</v>
      </c>
      <c r="AW123" s="24">
        <f>T53*AW53</f>
        <v>0.31121186353244829</v>
      </c>
      <c r="AX123" s="24">
        <f>U53*AX53</f>
        <v>0.10270594726054642</v>
      </c>
      <c r="AY123" s="24">
        <f>V53*AY53</f>
        <v>8.1722387332563359E-2</v>
      </c>
      <c r="AZ123" s="24">
        <f>W53*AZ53</f>
        <v>3.4815692450158836E-2</v>
      </c>
      <c r="BA123" s="24">
        <f>X53*BA53</f>
        <v>1.9705577691381978E-2</v>
      </c>
      <c r="BB123" s="24">
        <f>Y53*BB53</f>
        <v>3.2839540812215837E-2</v>
      </c>
      <c r="BC123" s="52">
        <f t="shared" si="41"/>
        <v>5.8595343619629423</v>
      </c>
    </row>
    <row r="124" spans="35:55" x14ac:dyDescent="0.2">
      <c r="AI124" s="4">
        <f t="shared" si="42"/>
        <v>42034</v>
      </c>
      <c r="AJ124" s="24">
        <f t="shared" si="43"/>
        <v>0.86460446036331606</v>
      </c>
      <c r="AK124" s="24">
        <f>H54*AK54</f>
        <v>0.78361733319160309</v>
      </c>
      <c r="AL124" s="24">
        <f>I54*AL54</f>
        <v>0</v>
      </c>
      <c r="AM124" s="24">
        <f>J54*AM54</f>
        <v>0.49808150427622233</v>
      </c>
      <c r="AN124" s="24">
        <f>K54*AN54</f>
        <v>0.82869984458852897</v>
      </c>
      <c r="AO124" s="24">
        <f>L54*AO54</f>
        <v>5.0717568696741488E-2</v>
      </c>
      <c r="AP124" s="24">
        <f>M54*AP54</f>
        <v>0</v>
      </c>
      <c r="AQ124" s="24">
        <f>N54*AQ54</f>
        <v>0.39771690292978878</v>
      </c>
      <c r="AR124" s="24">
        <f>O54*AR54</f>
        <v>0.18522055147950789</v>
      </c>
      <c r="AS124" s="24">
        <f>P54*AS54</f>
        <v>0.20821935904596825</v>
      </c>
      <c r="AT124" s="24">
        <f>Q54*AT54</f>
        <v>0.1310931171737818</v>
      </c>
      <c r="AU124" s="24">
        <f>R54*AU54</f>
        <v>0.18596055448990187</v>
      </c>
      <c r="AV124" s="24">
        <f>S54*AV54</f>
        <v>0.16625735542156156</v>
      </c>
      <c r="AW124" s="24">
        <f>T54*AW54</f>
        <v>0.24674751933131511</v>
      </c>
      <c r="AX124" s="24">
        <f>U54*AX54</f>
        <v>8.5287331243743089E-2</v>
      </c>
      <c r="AY124" s="24">
        <f>V54*AY54</f>
        <v>6.7523185980130171E-2</v>
      </c>
      <c r="AZ124" s="24">
        <f>W54*AZ54</f>
        <v>3.2151697691837386E-2</v>
      </c>
      <c r="BA124" s="24">
        <f>X54*BA54</f>
        <v>1.8508564266724863E-2</v>
      </c>
      <c r="BB124" s="24">
        <f>Y54*BB54</f>
        <v>3.1542829466433817E-2</v>
      </c>
      <c r="BC124" s="52">
        <f t="shared" si="41"/>
        <v>4.7819496796371066</v>
      </c>
    </row>
    <row r="125" spans="35:55" x14ac:dyDescent="0.2">
      <c r="AI125" s="5">
        <f t="shared" si="42"/>
        <v>42062</v>
      </c>
      <c r="AJ125" s="24">
        <f t="shared" si="43"/>
        <v>0.97155674913235623</v>
      </c>
      <c r="AK125" s="24">
        <f>H55*AK55</f>
        <v>0.87839809991927709</v>
      </c>
      <c r="AL125" s="24">
        <f>I55*AL55</f>
        <v>0</v>
      </c>
      <c r="AM125" s="24">
        <f>J55*AM55</f>
        <v>0.58490611747033272</v>
      </c>
      <c r="AN125" s="24">
        <f>K55*AN55</f>
        <v>0.95573225450539667</v>
      </c>
      <c r="AO125" s="24">
        <f>L55*AO55</f>
        <v>5.9948155174718847E-2</v>
      </c>
      <c r="AP125" s="24">
        <f>M55*AP55</f>
        <v>0</v>
      </c>
      <c r="AQ125" s="24">
        <f>N55*AQ55</f>
        <v>0.46200704203487175</v>
      </c>
      <c r="AR125" s="24">
        <f>O55*AR55</f>
        <v>0.21952012110173599</v>
      </c>
      <c r="AS125" s="24">
        <f>P55*AS55</f>
        <v>0.24610144168939743</v>
      </c>
      <c r="AT125" s="24">
        <f>Q55*AT55</f>
        <v>0.15855253879634856</v>
      </c>
      <c r="AU125" s="24">
        <f>R55*AU55</f>
        <v>0.21495682448321096</v>
      </c>
      <c r="AV125" s="24">
        <f>S55*AV55</f>
        <v>0.19486542491193107</v>
      </c>
      <c r="AW125" s="24">
        <f>T55*AW55</f>
        <v>0.2927560015309148</v>
      </c>
      <c r="AX125" s="24">
        <f>U55*AX55</f>
        <v>9.7745904478649143E-2</v>
      </c>
      <c r="AY125" s="24">
        <f>V55*AY55</f>
        <v>7.8062499881272715E-2</v>
      </c>
      <c r="AZ125" s="24">
        <f>W55*AZ55</f>
        <v>3.6123334004719419E-2</v>
      </c>
      <c r="BA125" s="24">
        <f>X55*BA55</f>
        <v>2.0589429393844949E-2</v>
      </c>
      <c r="BB125" s="24">
        <f>Y55*BB55</f>
        <v>3.4191539784820028E-2</v>
      </c>
      <c r="BC125" s="52">
        <f t="shared" si="41"/>
        <v>5.5060134782937995</v>
      </c>
    </row>
    <row r="126" spans="35:55" x14ac:dyDescent="0.2">
      <c r="AI126" s="5">
        <f t="shared" si="42"/>
        <v>42094</v>
      </c>
      <c r="AJ126" s="24">
        <f t="shared" si="43"/>
        <v>0.95381025517863038</v>
      </c>
      <c r="AK126" s="24">
        <f>H56*AK56</f>
        <v>0.86304547789051511</v>
      </c>
      <c r="AL126" s="24">
        <f>I56*AL56</f>
        <v>0</v>
      </c>
      <c r="AM126" s="24">
        <f>J56*AM56</f>
        <v>0.56771212068180421</v>
      </c>
      <c r="AN126" s="24">
        <f>K56*AN56</f>
        <v>0.93303985631210051</v>
      </c>
      <c r="AO126" s="24">
        <f>L56*AO56</f>
        <v>5.8540333868320651E-2</v>
      </c>
      <c r="AP126" s="24">
        <f>M56*AP56</f>
        <v>0</v>
      </c>
      <c r="AQ126" s="24">
        <f>N56*AQ56</f>
        <v>0.44469372016523423</v>
      </c>
      <c r="AR126" s="24">
        <f>O56*AR56</f>
        <v>0.2124256946844833</v>
      </c>
      <c r="AS126" s="24">
        <f>P56*AS56</f>
        <v>0.23756317524000062</v>
      </c>
      <c r="AT126" s="24">
        <f>Q56*AT56</f>
        <v>0.15221767062876781</v>
      </c>
      <c r="AU126" s="24">
        <f>R56*AU56</f>
        <v>0.20995745120340847</v>
      </c>
      <c r="AV126" s="24">
        <f>S56*AV56</f>
        <v>0.18844887974655555</v>
      </c>
      <c r="AW126" s="24">
        <f>T56*AW56</f>
        <v>0.2820922454458919</v>
      </c>
      <c r="AX126" s="24">
        <f>U56*AX56</f>
        <v>9.5017616705986505E-2</v>
      </c>
      <c r="AY126" s="24">
        <f>V56*AY56</f>
        <v>7.6032073281959461E-2</v>
      </c>
      <c r="AZ126" s="24">
        <f>W56*AZ56</f>
        <v>3.7276421188594581E-2</v>
      </c>
      <c r="BA126" s="24">
        <f>X56*BA56</f>
        <v>2.1578398000560599E-2</v>
      </c>
      <c r="BB126" s="24">
        <f>Y56*BB56</f>
        <v>3.5570510666351599E-2</v>
      </c>
      <c r="BC126" s="52">
        <f t="shared" si="41"/>
        <v>5.3690219008891651</v>
      </c>
    </row>
    <row r="127" spans="35:55" x14ac:dyDescent="0.2">
      <c r="AI127" s="5">
        <f t="shared" si="42"/>
        <v>42124</v>
      </c>
      <c r="AJ127" s="24">
        <f t="shared" si="43"/>
        <v>0.83364818599339785</v>
      </c>
      <c r="AK127" s="24">
        <f>H57*AK57</f>
        <v>0.75138250827792219</v>
      </c>
      <c r="AL127" s="24">
        <f>I57*AL57</f>
        <v>0.34544676554337084</v>
      </c>
      <c r="AM127" s="24">
        <f>J57*AM57</f>
        <v>0.5009691338101212</v>
      </c>
      <c r="AN127" s="24">
        <f>K57*AN57</f>
        <v>0.82075720598934765</v>
      </c>
      <c r="AO127" s="24">
        <f>L57*AO57</f>
        <v>5.1474511814455601E-2</v>
      </c>
      <c r="AP127" s="24">
        <f>M57*AP57</f>
        <v>0.51139713474749704</v>
      </c>
      <c r="AQ127" s="24">
        <f>N57*AQ57</f>
        <v>0.38680395517297272</v>
      </c>
      <c r="AR127" s="24">
        <f>O57*AR57</f>
        <v>0.18593298856339974</v>
      </c>
      <c r="AS127" s="24">
        <f>P57*AS57</f>
        <v>0.2077917876410206</v>
      </c>
      <c r="AT127" s="24">
        <f>Q57*AT57</f>
        <v>0.13291574644895554</v>
      </c>
      <c r="AU127" s="24">
        <f>R57*AU57</f>
        <v>0.18191843871915581</v>
      </c>
      <c r="AV127" s="24">
        <f>S57*AV57</f>
        <v>0.16330500822836549</v>
      </c>
      <c r="AW127" s="24">
        <f>T57*AW57</f>
        <v>0.24487450860326299</v>
      </c>
      <c r="AX127" s="24">
        <f>U57*AX57</f>
        <v>8.2296870378968753E-2</v>
      </c>
      <c r="AY127" s="24">
        <f>V57*AY57</f>
        <v>6.6093183415258494E-2</v>
      </c>
      <c r="AZ127" s="24">
        <f>W57*AZ57</f>
        <v>3.2189272341556739E-2</v>
      </c>
      <c r="BA127" s="24">
        <f>X57*BA57</f>
        <v>1.8529393287977213E-2</v>
      </c>
      <c r="BB127" s="24">
        <f>Y57*BB57</f>
        <v>3.0307875262450667E-2</v>
      </c>
      <c r="BC127" s="52">
        <f t="shared" si="41"/>
        <v>5.5480344742394569</v>
      </c>
    </row>
    <row r="128" spans="35:55" x14ac:dyDescent="0.2">
      <c r="AI128" s="5">
        <f t="shared" si="42"/>
        <v>42153</v>
      </c>
      <c r="AJ128" s="24">
        <f t="shared" ref="AJ128" si="44">G58*AJ58</f>
        <v>0.84612865661621406</v>
      </c>
      <c r="AK128" s="24">
        <f t="shared" ref="AK128" si="45">H58*AK58</f>
        <v>0.75544688290847162</v>
      </c>
      <c r="AL128" s="24">
        <f t="shared" ref="AL128" si="46">I58*AL58</f>
        <v>0.36098102247923997</v>
      </c>
      <c r="AM128" s="24">
        <f t="shared" ref="AM128" si="47">J58*AM58</f>
        <v>0.51548972757171341</v>
      </c>
      <c r="AN128" s="24">
        <f t="shared" ref="AN128" si="48">K58*AN58</f>
        <v>0.82991149217897742</v>
      </c>
      <c r="AO128" s="24">
        <f t="shared" ref="AO128" si="49">L58*AO58</f>
        <v>5.1979778713413069E-2</v>
      </c>
      <c r="AP128" s="24">
        <f t="shared" ref="AP128" si="50">M58*AP58</f>
        <v>0.53623124237391318</v>
      </c>
      <c r="AQ128" s="24">
        <f t="shared" ref="AQ128" si="51">N58*AQ58</f>
        <v>0.3909743635086852</v>
      </c>
      <c r="AR128" s="24">
        <f t="shared" ref="AR128" si="52">O58*AR58</f>
        <v>0.18961290385892696</v>
      </c>
      <c r="AS128" s="24">
        <f t="shared" ref="AS128" si="53">P58*AS58</f>
        <v>0.2115618239979043</v>
      </c>
      <c r="AT128" s="24">
        <f t="shared" ref="AT128" si="54">Q58*AT58</f>
        <v>0.1349322469166421</v>
      </c>
      <c r="AU128" s="24">
        <f t="shared" ref="AU128" si="55">R58*AU58</f>
        <v>0.18310884229678098</v>
      </c>
      <c r="AV128" s="24">
        <f t="shared" ref="AV128" si="56">S58*AV58</f>
        <v>0.1636991566872292</v>
      </c>
      <c r="AW128" s="24">
        <f t="shared" ref="AW128" si="57">T58*AW58</f>
        <v>0.24515107161885427</v>
      </c>
      <c r="AX128" s="24">
        <f t="shared" ref="AX128" si="58">U58*AX58</f>
        <v>8.3032209848064809E-2</v>
      </c>
      <c r="AY128" s="24">
        <f t="shared" ref="AY128" si="59">V58*AY58</f>
        <v>6.6605367591036566E-2</v>
      </c>
      <c r="AZ128" s="24">
        <f t="shared" ref="AZ128" si="60">W58*AZ58</f>
        <v>3.0590759337791089E-2</v>
      </c>
      <c r="BA128" s="24">
        <f t="shared" ref="BA128" si="61">X58*BA58</f>
        <v>1.7974993264076256E-2</v>
      </c>
      <c r="BB128" s="24">
        <f t="shared" ref="BB128" si="62">Y58*BB58</f>
        <v>2.9729252866042489E-2</v>
      </c>
      <c r="BC128" s="52">
        <f t="shared" ref="BC128" si="63">SUM(AJ128:BB128)</f>
        <v>5.6431417946339746</v>
      </c>
    </row>
    <row r="129" spans="35:55" x14ac:dyDescent="0.2">
      <c r="AI129" s="5">
        <f t="shared" si="42"/>
        <v>42185</v>
      </c>
      <c r="AJ129" s="24">
        <f t="shared" ref="AJ129" si="64">G59*AJ59</f>
        <v>0.89934208784988778</v>
      </c>
      <c r="AK129" s="24">
        <f t="shared" ref="AK129" si="65">H59*AK59</f>
        <v>0.80149443151055588</v>
      </c>
      <c r="AL129" s="24">
        <f t="shared" ref="AL129" si="66">I59*AL59</f>
        <v>0.41070989386289247</v>
      </c>
      <c r="AM129" s="24">
        <f t="shared" ref="AM129" si="67">J59*AM59</f>
        <v>0.56747446081332698</v>
      </c>
      <c r="AN129" s="24">
        <f t="shared" ref="AN129" si="68">K59*AN59</f>
        <v>0.9002075178106278</v>
      </c>
      <c r="AO129" s="24">
        <f t="shared" ref="AO129" si="69">L59*AO59</f>
        <v>5.6840438176773554E-2</v>
      </c>
      <c r="AP129" s="24">
        <f t="shared" ref="AP129" si="70">M59*AP59</f>
        <v>0.61305158573525265</v>
      </c>
      <c r="AQ129" s="24">
        <f t="shared" ref="AQ129" si="71">N59*AQ59</f>
        <v>0.42556128107968988</v>
      </c>
      <c r="AR129" s="24">
        <f t="shared" ref="AR129" si="72">O59*AR59</f>
        <v>0.20671321896638378</v>
      </c>
      <c r="AS129" s="24">
        <f t="shared" ref="AS129" si="73">P59*AS59</f>
        <v>0.23061115505650684</v>
      </c>
      <c r="AT129" s="24">
        <f t="shared" ref="AT129" si="74">Q59*AT59</f>
        <v>0.14745392997645071</v>
      </c>
      <c r="AU129" s="24">
        <f t="shared" ref="AU129" si="75">R59*AU59</f>
        <v>0.19672541492522685</v>
      </c>
      <c r="AV129" s="24">
        <f t="shared" ref="AV129" si="76">S59*AV59</f>
        <v>0.17663095861025199</v>
      </c>
      <c r="AW129" s="24">
        <f t="shared" ref="AW129" si="77">T59*AW59</f>
        <v>0.26520176464941358</v>
      </c>
      <c r="AX129" s="24">
        <f t="shared" ref="AX129" si="78">U59*AX59</f>
        <v>8.8379105271073843E-2</v>
      </c>
      <c r="AY129" s="24">
        <f t="shared" ref="AY129" si="79">V59*AY59</f>
        <v>7.1409580842195536E-2</v>
      </c>
      <c r="AZ129" s="24">
        <f t="shared" ref="AZ129" si="80">W59*AZ59</f>
        <v>3.1521022460981436E-2</v>
      </c>
      <c r="BA129" s="24">
        <f t="shared" ref="BA129" si="81">X59*BA59</f>
        <v>1.8523934096956719E-2</v>
      </c>
      <c r="BB129" s="24">
        <f t="shared" ref="BB129" si="82">Y59*BB59</f>
        <v>3.0481328685281514E-2</v>
      </c>
      <c r="BC129" s="52">
        <f t="shared" ref="BC129:BC134" si="83">SUM(AJ129:BB129)</f>
        <v>6.1383331103797296</v>
      </c>
    </row>
    <row r="130" spans="35:55" x14ac:dyDescent="0.2">
      <c r="AI130" s="5">
        <f t="shared" si="42"/>
        <v>42216</v>
      </c>
      <c r="AJ130" s="24">
        <f t="shared" ref="AJ130" si="84">G60*AJ60</f>
        <v>0.88213993494705556</v>
      </c>
      <c r="AK130" s="24">
        <f t="shared" ref="AK130" si="85">H60*AK60</f>
        <v>0.7823381274279021</v>
      </c>
      <c r="AL130" s="24">
        <f t="shared" ref="AL130" si="86">I60*AL60</f>
        <v>0.38753075967762429</v>
      </c>
      <c r="AM130" s="24">
        <f t="shared" ref="AM130" si="87">J60*AM60</f>
        <v>0.54792001838664339</v>
      </c>
      <c r="AN130" s="24">
        <f t="shared" ref="AN130" si="88">K60*AN60</f>
        <v>0.86845940816564215</v>
      </c>
      <c r="AO130" s="24">
        <f t="shared" ref="AO130" si="89">L60*AO60</f>
        <v>5.4240697363869043E-2</v>
      </c>
      <c r="AP130" s="24">
        <f t="shared" ref="AP130" si="90">M60*AP60</f>
        <v>0.577428058315965</v>
      </c>
      <c r="AQ130" s="24">
        <f t="shared" ref="AQ130" si="91">N60*AQ60</f>
        <v>0.40726842140990965</v>
      </c>
      <c r="AR130" s="24">
        <f t="shared" ref="AR130" si="92">O60*AR60</f>
        <v>0.19730964128403522</v>
      </c>
      <c r="AS130" s="24">
        <f t="shared" ref="AS130" si="93">P60*AS60</f>
        <v>0.2200116667197497</v>
      </c>
      <c r="AT130" s="24">
        <f t="shared" ref="AT130" si="94">Q60*AT60</f>
        <v>0.13942725407231193</v>
      </c>
      <c r="AU130" s="24">
        <f t="shared" ref="AU130" si="95">R60*AU60</f>
        <v>0.18953478196270132</v>
      </c>
      <c r="AV130" s="24">
        <f t="shared" ref="AV130" si="96">S60*AV60</f>
        <v>0.16898909040822621</v>
      </c>
      <c r="AW130" s="24">
        <f t="shared" ref="AW130" si="97">T60*AW60</f>
        <v>0.25132841390282618</v>
      </c>
      <c r="AX130" s="24">
        <f t="shared" ref="AX130" si="98">U60*AX60</f>
        <v>8.4964881884197055E-2</v>
      </c>
      <c r="AY130" s="24">
        <f t="shared" ref="AY130" si="99">V60*AY60</f>
        <v>6.8199837407215316E-2</v>
      </c>
      <c r="AZ130" s="24">
        <f t="shared" ref="AZ130" si="100">W60*AZ60</f>
        <v>3.0202430035659297E-2</v>
      </c>
      <c r="BA130" s="24">
        <f t="shared" ref="BA130" si="101">X60*BA60</f>
        <v>1.814972810760531E-2</v>
      </c>
      <c r="BB130" s="24">
        <f t="shared" ref="BB130" si="102">Y60*BB60</f>
        <v>3.0194792748582378E-2</v>
      </c>
      <c r="BC130" s="52">
        <f t="shared" si="83"/>
        <v>5.9056379442277214</v>
      </c>
    </row>
    <row r="131" spans="35:55" x14ac:dyDescent="0.2">
      <c r="AI131" s="5">
        <f t="shared" ref="AI131" si="103">F61</f>
        <v>42247</v>
      </c>
      <c r="AJ131" s="24">
        <f t="shared" ref="AJ131" si="104">G61*AJ61</f>
        <v>0.88767459670106708</v>
      </c>
      <c r="AK131" s="24">
        <f t="shared" ref="AK131" si="105">H61*AK61</f>
        <v>0.78504785869558902</v>
      </c>
      <c r="AL131" s="24">
        <f t="shared" ref="AL131" si="106">I61*AL61</f>
        <v>0.38827315576896076</v>
      </c>
      <c r="AM131" s="24">
        <f t="shared" ref="AM131" si="107">J61*AM61</f>
        <v>0.54473443688439549</v>
      </c>
      <c r="AN131" s="24">
        <f t="shared" ref="AN131" si="108">K61*AN61</f>
        <v>0.86528984828182598</v>
      </c>
      <c r="AO131" s="24">
        <f t="shared" ref="AO131" si="109">L61*AO61</f>
        <v>5.3870273089188958E-2</v>
      </c>
      <c r="AP131" s="24">
        <f t="shared" ref="AP131" si="110">M61*AP61</f>
        <v>0.57534442075776571</v>
      </c>
      <c r="AQ131" s="24">
        <f t="shared" ref="AQ131" si="111">N61*AQ61</f>
        <v>0.40490058175054972</v>
      </c>
      <c r="AR131" s="24">
        <f t="shared" ref="AR131" si="112">O61*AR61</f>
        <v>0.19651439418526392</v>
      </c>
      <c r="AS131" s="24">
        <f t="shared" ref="AS131" si="113">P61*AS61</f>
        <v>0.21930520723945693</v>
      </c>
      <c r="AT131" s="24">
        <f t="shared" ref="AT131" si="114">Q61*AT61</f>
        <v>0.13894670716019664</v>
      </c>
      <c r="AU131" s="24">
        <f t="shared" ref="AU131" si="115">R61*AU61</f>
        <v>0.19002222675128952</v>
      </c>
      <c r="AV131" s="24">
        <f t="shared" ref="AV131" si="116">S61*AV61</f>
        <v>0.16982454209114325</v>
      </c>
      <c r="AW131" s="24">
        <f t="shared" ref="AW131" si="117">T61*AW61</f>
        <v>0.25180873576408341</v>
      </c>
      <c r="AX131" s="24">
        <f t="shared" ref="AX131" si="118">U61*AX61</f>
        <v>8.5219594592201076E-2</v>
      </c>
      <c r="AY131" s="24">
        <f t="shared" ref="AY131" si="119">V61*AY61</f>
        <v>6.859370585958928E-2</v>
      </c>
      <c r="AZ131" s="24">
        <f t="shared" ref="AZ131" si="120">W61*AZ61</f>
        <v>2.9762121260651964E-2</v>
      </c>
      <c r="BA131" s="24">
        <f t="shared" ref="BA131" si="121">X61*BA61</f>
        <v>1.7713960325910105E-2</v>
      </c>
      <c r="BB131" s="24">
        <f t="shared" ref="BB131" si="122">Y61*BB61</f>
        <v>3.0127965468430596E-2</v>
      </c>
      <c r="BC131" s="52">
        <f t="shared" si="83"/>
        <v>5.9029743326275579</v>
      </c>
    </row>
    <row r="132" spans="35:55" x14ac:dyDescent="0.2">
      <c r="AI132" s="5">
        <f t="shared" ref="AI132" si="123">F62</f>
        <v>42277</v>
      </c>
      <c r="AJ132" s="24">
        <f t="shared" ref="AJ132" si="124">G62*AJ62</f>
        <v>0.87552014446333326</v>
      </c>
      <c r="AK132" s="24">
        <f t="shared" ref="AK132" si="125">H62*AK62</f>
        <v>0.77397435623333333</v>
      </c>
      <c r="AL132" s="24">
        <f t="shared" ref="AL132" si="126">I62*AL62</f>
        <v>0.3714482455628571</v>
      </c>
      <c r="AM132" s="24">
        <f t="shared" ref="AM132" si="127">J62*AM62</f>
        <v>0.52799047848000003</v>
      </c>
      <c r="AN132" s="24">
        <f t="shared" ref="AN132" si="128">K62*AN62</f>
        <v>0.83759830194857132</v>
      </c>
      <c r="AO132" s="24">
        <f t="shared" ref="AO132" si="129">L62*AO62</f>
        <v>5.1383117974285714E-2</v>
      </c>
      <c r="AP132" s="24">
        <f t="shared" ref="AP132" si="130">M62*AP62</f>
        <v>0.54637580097500005</v>
      </c>
      <c r="AQ132" s="24">
        <f t="shared" ref="AQ132" si="131">N62*AQ62</f>
        <v>0.38737595547000003</v>
      </c>
      <c r="AR132" s="24">
        <f t="shared" ref="AR132" si="132">O62*AR62</f>
        <v>0.18709095235999998</v>
      </c>
      <c r="AS132" s="24">
        <f t="shared" ref="AS132" si="133">P62*AS62</f>
        <v>0.207578130675</v>
      </c>
      <c r="AT132" s="24">
        <f t="shared" ref="AT132" si="134">Q62*AT62</f>
        <v>0.12969922277999998</v>
      </c>
      <c r="AU132" s="24">
        <f t="shared" ref="AU132" si="135">R62*AU62</f>
        <v>0.17899441235999999</v>
      </c>
      <c r="AV132" s="24">
        <f t="shared" ref="AV132" si="136">S62*AV62</f>
        <v>0.15818374302222218</v>
      </c>
      <c r="AW132" s="24">
        <f t="shared" ref="AW132" si="137">T62*AW62</f>
        <v>0.23220345362666669</v>
      </c>
      <c r="AX132" s="24">
        <f t="shared" ref="AX132" si="138">U62*AX62</f>
        <v>7.9054172339999992E-2</v>
      </c>
      <c r="AY132" s="24">
        <f t="shared" ref="AY132" si="139">V62*AY62</f>
        <v>6.3257161324E-2</v>
      </c>
      <c r="AZ132" s="24">
        <f t="shared" ref="AZ132" si="140">W62*AZ62</f>
        <v>2.8269969147272728E-2</v>
      </c>
      <c r="BA132" s="24">
        <f t="shared" ref="BA132" si="141">X62*BA62</f>
        <v>1.6434281339999999E-2</v>
      </c>
      <c r="BB132" s="24">
        <f t="shared" ref="BB132" si="142">Y62*BB62</f>
        <v>2.8865119923076922E-2</v>
      </c>
      <c r="BC132" s="52">
        <f t="shared" si="83"/>
        <v>5.6812970200056201</v>
      </c>
    </row>
    <row r="133" spans="35:55" x14ac:dyDescent="0.2">
      <c r="AI133" s="5">
        <f t="shared" ref="AI133" si="143">F63</f>
        <v>42307</v>
      </c>
      <c r="AJ133" s="24">
        <f t="shared" ref="AJ133" si="144">G63*AJ63</f>
        <v>0.88325216194937239</v>
      </c>
      <c r="AK133" s="24">
        <f t="shared" ref="AK133" si="145">H63*AK63</f>
        <v>0.78301651312805631</v>
      </c>
      <c r="AL133" s="24">
        <f t="shared" ref="AL133" si="146">I63*AL63</f>
        <v>0.37206548820544738</v>
      </c>
      <c r="AM133" s="24">
        <f t="shared" ref="AM133" si="147">J63*AM63</f>
        <v>0.52597008357742914</v>
      </c>
      <c r="AN133" s="24">
        <f t="shared" ref="AN133" si="148">K63*AN63</f>
        <v>0.83840847428724308</v>
      </c>
      <c r="AO133" s="24">
        <f t="shared" ref="AO133" si="149">L63*AO63</f>
        <v>5.1603641746083194E-2</v>
      </c>
      <c r="AP133" s="24">
        <f t="shared" ref="AP133" si="150">M63*AP63</f>
        <v>0.54556531140774189</v>
      </c>
      <c r="AQ133" s="24">
        <f t="shared" ref="AQ133" si="151">N63*AQ63</f>
        <v>0.38408666340868058</v>
      </c>
      <c r="AR133" s="24">
        <f t="shared" ref="AR133" si="152">O63*AR63</f>
        <v>0.18730115454080057</v>
      </c>
      <c r="AS133" s="24">
        <f t="shared" ref="AS133" si="153">P63*AS63</f>
        <v>0.20812937701891263</v>
      </c>
      <c r="AT133" s="24">
        <f t="shared" ref="AT133" si="154">Q63*AT63</f>
        <v>0.13024001013536413</v>
      </c>
      <c r="AU133" s="24">
        <f t="shared" ref="AU133" si="155">R63*AU63</f>
        <v>0.1784109506117546</v>
      </c>
      <c r="AV133" s="24">
        <f t="shared" ref="AV133" si="156">S63*AV63</f>
        <v>0.15788174224514909</v>
      </c>
      <c r="AW133" s="24">
        <f t="shared" ref="AW133" si="157">T63*AW63</f>
        <v>0.23188727035746157</v>
      </c>
      <c r="AX133" s="24">
        <f t="shared" ref="AX133" si="158">U63*AX63</f>
        <v>7.8547250330711291E-2</v>
      </c>
      <c r="AY133" s="24">
        <f t="shared" ref="AY133" si="159">V63*AY63</f>
        <v>6.2718275902040072E-2</v>
      </c>
      <c r="AZ133" s="24">
        <f t="shared" ref="AZ133" si="160">W63*AZ63</f>
        <v>2.8521362425479362E-2</v>
      </c>
      <c r="BA133" s="24">
        <f t="shared" ref="BA133" si="161">X63*BA63</f>
        <v>1.6449996455900069E-2</v>
      </c>
      <c r="BB133" s="24">
        <f t="shared" ref="BB133" si="162">Y63*BB63</f>
        <v>2.8908432006038258E-2</v>
      </c>
      <c r="BC133" s="52">
        <f t="shared" si="83"/>
        <v>5.692964159739665</v>
      </c>
    </row>
    <row r="134" spans="35:55" x14ac:dyDescent="0.2">
      <c r="AI134" s="5">
        <f t="shared" ref="AI134" si="163">F64</f>
        <v>42338</v>
      </c>
      <c r="AJ134" s="24">
        <f t="shared" ref="AJ134" si="164">G64*AJ64</f>
        <v>0.90350000000000008</v>
      </c>
      <c r="AK134" s="24">
        <f t="shared" ref="AK134" si="165">H64*AK64</f>
        <v>0.81840000000000002</v>
      </c>
      <c r="AL134" s="24">
        <f t="shared" ref="AL134" si="166">I64*AL64</f>
        <v>0.41660000000000003</v>
      </c>
      <c r="AM134" s="24">
        <f t="shared" ref="AM134" si="167">J64*AM64</f>
        <v>0.5639142857142857</v>
      </c>
      <c r="AN134" s="24">
        <f t="shared" ref="AN134" si="168">K64*AN64</f>
        <v>0.87000000000000011</v>
      </c>
      <c r="AO134" s="24">
        <f t="shared" ref="AO134" si="169">L64*AO64</f>
        <v>5.7628571428571432E-2</v>
      </c>
      <c r="AP134" s="24">
        <f t="shared" ref="AP134" si="170">M64*AP64</f>
        <v>0.54500000000000004</v>
      </c>
      <c r="AQ134" s="24">
        <f t="shared" ref="AQ134" si="171">N64*AQ64</f>
        <v>0.38377500000000003</v>
      </c>
      <c r="AR134" s="24">
        <f t="shared" ref="AR134" si="172">O64*AR64</f>
        <v>0.16589999999999999</v>
      </c>
      <c r="AS134" s="24">
        <f t="shared" ref="AS134" si="173">P64*AS64</f>
        <v>0.21590000000000001</v>
      </c>
      <c r="AT134" s="24">
        <f t="shared" ref="AT134" si="174">Q64*AT64</f>
        <v>0.15404999999999999</v>
      </c>
      <c r="AU134" s="24">
        <f t="shared" ref="AU134" si="175">R64*AU64</f>
        <v>0.20435555555555554</v>
      </c>
      <c r="AV134" s="24">
        <f t="shared" ref="AV134" si="176">S64*AV64</f>
        <v>0.1462</v>
      </c>
      <c r="AW134" s="24">
        <f t="shared" ref="AW134" si="177">T64*AW64</f>
        <v>0.23133333333333336</v>
      </c>
      <c r="AX134" s="24">
        <f t="shared" ref="AX134" si="178">U64*AX64</f>
        <v>9.1200000000000017E-2</v>
      </c>
      <c r="AY134" s="24">
        <f t="shared" ref="AY134" si="179">V64*AY64</f>
        <v>4.3899999999999995E-2</v>
      </c>
      <c r="AZ134" s="24">
        <f t="shared" ref="AZ134" si="180">W64*AZ64</f>
        <v>4.0181818181818187E-2</v>
      </c>
      <c r="BA134" s="24">
        <f t="shared" ref="BA134" si="181">X64*BA64</f>
        <v>1.6506139788514063E-2</v>
      </c>
      <c r="BB134" s="24">
        <f t="shared" ref="BB134" si="182">Y64*BB64</f>
        <v>4.1323076923076921E-2</v>
      </c>
      <c r="BC134" s="52">
        <f t="shared" si="83"/>
        <v>5.9096677809251554</v>
      </c>
    </row>
    <row r="135" spans="35:55" x14ac:dyDescent="0.2">
      <c r="AI135" s="5">
        <f t="shared" ref="AI135" si="183">F65</f>
        <v>42369</v>
      </c>
      <c r="AJ135" s="24">
        <f t="shared" ref="AJ135" si="184">G65*AJ65</f>
        <v>0.90913333333333335</v>
      </c>
      <c r="AK135" s="24">
        <f t="shared" ref="AK135" si="185">H65*AK65</f>
        <v>0.82440000000000002</v>
      </c>
      <c r="AL135" s="24">
        <f t="shared" ref="AL135" si="186">I65*AL65</f>
        <v>0.42560000000000003</v>
      </c>
      <c r="AM135" s="24">
        <f t="shared" ref="AM135" si="187">J65*AM65</f>
        <v>0.57111428571428569</v>
      </c>
      <c r="AN135" s="24">
        <f t="shared" ref="AN135" si="188">K65*AN65</f>
        <v>0.88160000000000005</v>
      </c>
      <c r="AO135" s="24">
        <f t="shared" ref="AO135" si="189">L65*AO65</f>
        <v>5.9057142857142864E-2</v>
      </c>
      <c r="AP135" s="24">
        <f t="shared" ref="AP135" si="190">M65*AP65</f>
        <v>0.55349999999999999</v>
      </c>
      <c r="AQ135" s="24">
        <f t="shared" ref="AQ135" si="191">N65*AQ65</f>
        <v>0.38867500000000005</v>
      </c>
      <c r="AR135" s="24">
        <f t="shared" ref="AR135" si="192">O65*AR65</f>
        <v>0.16777500000000001</v>
      </c>
      <c r="AS135" s="24">
        <f t="shared" ref="AS135" si="193">P65*AS65</f>
        <v>0.21870000000000001</v>
      </c>
      <c r="AT135" s="24">
        <f t="shared" ref="AT135" si="194">Q65*AT65</f>
        <v>0.15794999999999998</v>
      </c>
      <c r="AU135" s="24">
        <f t="shared" ref="AU135" si="195">R65*AU65</f>
        <v>0.20728888888888888</v>
      </c>
      <c r="AV135" s="24">
        <f t="shared" ref="AV135" si="196">S65*AV65</f>
        <v>0.1484</v>
      </c>
      <c r="AW135" s="24">
        <f t="shared" ref="AW135" si="197">T65*AW65</f>
        <v>0.23755555555555558</v>
      </c>
      <c r="AX135" s="24">
        <f t="shared" ref="AX135" si="198">U65*AX65</f>
        <v>9.2840000000000006E-2</v>
      </c>
      <c r="AY135" s="24">
        <f t="shared" ref="AY135" si="199">V65*AY65</f>
        <v>4.48E-2</v>
      </c>
      <c r="AZ135" s="24">
        <f t="shared" ref="AZ135" si="200">W65*AZ65</f>
        <v>4.0927272727272729E-2</v>
      </c>
      <c r="BA135" s="24">
        <f t="shared" ref="BA135" si="201">X65*BA65</f>
        <v>1.661842645374205E-2</v>
      </c>
      <c r="BB135" s="24">
        <f t="shared" ref="BB135" si="202">Y65*BB65</f>
        <v>4.1723076923076918E-2</v>
      </c>
      <c r="BC135" s="52">
        <f t="shared" ref="BC135" si="203">SUM(AJ135:BB135)</f>
        <v>5.9876579824532978</v>
      </c>
    </row>
    <row r="136" spans="35:55" x14ac:dyDescent="0.2">
      <c r="AI136" s="5">
        <f t="shared" ref="AI136" si="204">F66</f>
        <v>42398</v>
      </c>
      <c r="AJ136" s="24">
        <f t="shared" ref="AJ136" si="205">G66*AJ66</f>
        <v>0.84023333333333339</v>
      </c>
      <c r="AK136" s="24">
        <f t="shared" ref="AK136" si="206">H66*AK66</f>
        <v>0.76200000000000001</v>
      </c>
      <c r="AL136" s="24">
        <f t="shared" ref="AL136" si="207">I66*AL66</f>
        <v>0.36659999999999998</v>
      </c>
      <c r="AM136" s="24">
        <f t="shared" ref="AM136" si="208">J66*AM66</f>
        <v>0.51377142857142855</v>
      </c>
      <c r="AN136" s="24">
        <f t="shared" ref="AN136" si="209">K66*AN66</f>
        <v>0.79720000000000002</v>
      </c>
      <c r="AO136" s="24">
        <f t="shared" ref="AO136" si="210">L66*AO66</f>
        <v>5.2628571428571434E-2</v>
      </c>
      <c r="AP136" s="24">
        <f t="shared" ref="AP136" si="211">M66*AP66</f>
        <v>0.47725000000000001</v>
      </c>
      <c r="AQ136" s="24">
        <f t="shared" ref="AQ136" si="212">N66*AQ66</f>
        <v>0.34965000000000002</v>
      </c>
      <c r="AR136" s="24">
        <f t="shared" ref="AR136" si="213">O66*AR66</f>
        <v>0.15007500000000001</v>
      </c>
      <c r="AS136" s="24">
        <f t="shared" ref="AS136" si="214">P66*AS66</f>
        <v>0.19489999999999999</v>
      </c>
      <c r="AT136" s="24">
        <f t="shared" ref="AT136" si="215">Q66*AT66</f>
        <v>0.1401</v>
      </c>
      <c r="AU136" s="24">
        <f t="shared" ref="AU136" si="216">R66*AU66</f>
        <v>0.18755555555555556</v>
      </c>
      <c r="AV136" s="24">
        <f t="shared" ref="AV136" si="217">S66*AV66</f>
        <v>0.13366666666666666</v>
      </c>
      <c r="AW136" s="24">
        <f t="shared" ref="AW136" si="218">T66*AW66</f>
        <v>0.21222222222222223</v>
      </c>
      <c r="AX136" s="24">
        <f t="shared" ref="AX136" si="219">U66*AX66</f>
        <v>8.4920000000000009E-2</v>
      </c>
      <c r="AY136" s="24">
        <f t="shared" ref="AY136" si="220">V66*AY66</f>
        <v>4.0679999999999994E-2</v>
      </c>
      <c r="AZ136" s="24">
        <f t="shared" ref="AZ136" si="221">W66*AZ66</f>
        <v>3.9109090909090913E-2</v>
      </c>
      <c r="BA136" s="24">
        <f t="shared" ref="BA136" si="222">X66*BA66</f>
        <v>1.5965760212104375E-2</v>
      </c>
      <c r="BB136" s="24">
        <f t="shared" ref="BB136" si="223">Y66*BB66</f>
        <v>4.0723076923076924E-2</v>
      </c>
      <c r="BC136" s="55">
        <f t="shared" ref="BC136" si="224">SUM(AJ136:BB136)</f>
        <v>5.3992507058220509</v>
      </c>
    </row>
    <row r="137" spans="35:55" x14ac:dyDescent="0.2">
      <c r="AI137" s="5">
        <f t="shared" ref="AI137" si="225">F67</f>
        <v>42429</v>
      </c>
      <c r="AJ137" s="24">
        <f t="shared" ref="AJ137" si="226">G67*AJ67</f>
        <v>0.78693333333333337</v>
      </c>
      <c r="AK137" s="24">
        <f t="shared" ref="AK137" si="227">H67*AK67</f>
        <v>0.72640000000000005</v>
      </c>
      <c r="AL137" s="24">
        <f t="shared" ref="AL137" si="228">I67*AL67</f>
        <v>0.33520000000000005</v>
      </c>
      <c r="AM137" s="24">
        <f t="shared" ref="AM137" si="229">J67*AM67</f>
        <v>0.4824</v>
      </c>
      <c r="AN137" s="24">
        <f t="shared" ref="AN137" si="230">K67*AN67</f>
        <v>0.75120000000000009</v>
      </c>
      <c r="AO137" s="24">
        <f t="shared" ref="AO137" si="231">L67*AO67</f>
        <v>4.9514285714285712E-2</v>
      </c>
      <c r="AP137" s="24">
        <f t="shared" ref="AP137" si="232">M67*AP67</f>
        <v>0.4425</v>
      </c>
      <c r="AQ137" s="24">
        <f t="shared" ref="AQ137" si="233">N67*AQ67</f>
        <v>0.32830000000000004</v>
      </c>
      <c r="AR137" s="24">
        <f t="shared" ref="AR137" si="234">O67*AR67</f>
        <v>0.14159999999999998</v>
      </c>
      <c r="AS137" s="24">
        <f t="shared" ref="AS137" si="235">P67*AS67</f>
        <v>0.184</v>
      </c>
      <c r="AT137" s="24">
        <f t="shared" ref="AT137" si="236">Q67*AT67</f>
        <v>0.13237499999999999</v>
      </c>
      <c r="AU137" s="24">
        <f t="shared" ref="AU137" si="237">R67*AU67</f>
        <v>0.17964444444444447</v>
      </c>
      <c r="AV137" s="24">
        <f t="shared" ref="AV137" si="238">S67*AV67</f>
        <v>0.12739999999999999</v>
      </c>
      <c r="AW137" s="24">
        <f t="shared" ref="AW137" si="239">T67*AW67</f>
        <v>0.20200000000000001</v>
      </c>
      <c r="AX137" s="24">
        <f t="shared" ref="AX137" si="240">U67*AX67</f>
        <v>8.2240000000000008E-2</v>
      </c>
      <c r="AY137" s="24">
        <f t="shared" ref="AY137" si="241">V67*AY67</f>
        <v>3.8960000000000002E-2</v>
      </c>
      <c r="AZ137" s="24">
        <f t="shared" ref="AZ137" si="242">W67*AZ67</f>
        <v>3.8818181818181821E-2</v>
      </c>
      <c r="BA137" s="24">
        <f t="shared" ref="BA137" si="243">X67*BA67</f>
        <v>1.6042957294448618E-2</v>
      </c>
      <c r="BB137" s="24">
        <f t="shared" ref="BB137" si="244">Y67*BB67</f>
        <v>4.110769230769231E-2</v>
      </c>
      <c r="BC137" s="55">
        <f t="shared" ref="BC137" si="245">SUM(AJ137:BB137)</f>
        <v>5.0866358949123871</v>
      </c>
    </row>
    <row r="138" spans="35:55" x14ac:dyDescent="0.2">
      <c r="AI138" s="5">
        <f t="shared" ref="AI138" si="246">F68</f>
        <v>42460</v>
      </c>
      <c r="AJ138" s="24">
        <f t="shared" ref="AJ138" si="247">G68*AJ68</f>
        <v>0.79906666666666681</v>
      </c>
      <c r="AK138" s="24">
        <f t="shared" ref="AK138" si="248">H68*AK68</f>
        <v>0.73639999999999994</v>
      </c>
      <c r="AL138" s="24">
        <f t="shared" ref="AL138" si="249">I68*AL68</f>
        <v>0.33900000000000002</v>
      </c>
      <c r="AM138" s="24">
        <f t="shared" ref="AM138" si="250">J68*AM68</f>
        <v>0.48934285714285719</v>
      </c>
      <c r="AN138" s="24">
        <f t="shared" ref="AN138" si="251">K68*AN68</f>
        <v>0.76000000000000012</v>
      </c>
      <c r="AO138" s="24">
        <f t="shared" ref="AO138" si="252">L68*AO68</f>
        <v>5.0342857142857148E-2</v>
      </c>
      <c r="AP138" s="24">
        <f t="shared" ref="AP138" si="253">M68*AP68</f>
        <v>0.44900000000000007</v>
      </c>
      <c r="AQ138" s="24">
        <f t="shared" ref="AQ138" si="254">N68*AQ68</f>
        <v>0.33302500000000007</v>
      </c>
      <c r="AR138" s="24">
        <f t="shared" ref="AR138" si="255">O68*AR68</f>
        <v>0.14534999999999998</v>
      </c>
      <c r="AS138" s="24">
        <f t="shared" ref="AS138" si="256">P68*AS68</f>
        <v>0.189</v>
      </c>
      <c r="AT138" s="24">
        <f t="shared" ref="AT138" si="257">Q68*AT68</f>
        <v>0.13567499999999999</v>
      </c>
      <c r="AU138" s="24">
        <f t="shared" ref="AU138" si="258">R68*AU68</f>
        <v>0.18195555555555554</v>
      </c>
      <c r="AV138" s="24">
        <f t="shared" ref="AV138" si="259">S68*AV68</f>
        <v>0.12919999999999998</v>
      </c>
      <c r="AW138" s="24">
        <f t="shared" ref="AW138" si="260">T68*AW68</f>
        <v>0.20522222222222219</v>
      </c>
      <c r="AX138" s="24">
        <f t="shared" ref="AX138" si="261">U68*AX68</f>
        <v>8.231999999999999E-2</v>
      </c>
      <c r="AY138" s="24">
        <f t="shared" ref="AY138" si="262">V68*AY68</f>
        <v>3.9019999999999999E-2</v>
      </c>
      <c r="AZ138" s="24">
        <f t="shared" ref="AZ138" si="263">W68*AZ68</f>
        <v>3.9581818181818183E-2</v>
      </c>
      <c r="BA138" s="24">
        <f t="shared" ref="BA138" si="264">X68*BA68</f>
        <v>1.6351745623825582E-2</v>
      </c>
      <c r="BB138" s="24">
        <f t="shared" ref="BB138" si="265">Y68*BB68</f>
        <v>4.1938461538461543E-2</v>
      </c>
      <c r="BC138" s="55">
        <f t="shared" ref="BC138" si="266">SUM(AJ138:BB138)</f>
        <v>5.1617921840742653</v>
      </c>
    </row>
    <row r="139" spans="35:55" x14ac:dyDescent="0.2">
      <c r="AI139" s="5">
        <f>F69</f>
        <v>42489</v>
      </c>
      <c r="AJ139" s="24">
        <f t="shared" ref="AJ139" si="267">G69*AJ69</f>
        <v>0.8034</v>
      </c>
      <c r="AK139" s="24">
        <f t="shared" ref="AK139" si="268">H69*AK69</f>
        <v>0.73839999999999995</v>
      </c>
      <c r="AL139" s="24">
        <f t="shared" ref="AL139" si="269">I69*AL69</f>
        <v>0.33980000000000005</v>
      </c>
      <c r="AM139" s="24">
        <f t="shared" ref="AM139" si="270">J69*AM69</f>
        <v>0.49191428571428564</v>
      </c>
      <c r="AN139" s="24">
        <f t="shared" ref="AN139" si="271">K69*AN69</f>
        <v>0.76160000000000005</v>
      </c>
      <c r="AO139" s="24">
        <f t="shared" ref="AO139" si="272">L69*AO69</f>
        <v>5.0428571428571427E-2</v>
      </c>
      <c r="AP139" s="24">
        <f t="shared" ref="AP139" si="273">M69*AP69</f>
        <v>0.45400000000000001</v>
      </c>
      <c r="AQ139" s="24">
        <f t="shared" ref="AQ139" si="274">N69*AQ69</f>
        <v>0.33477499999999999</v>
      </c>
      <c r="AR139" s="24">
        <f t="shared" ref="AR139" si="275">O69*AR69</f>
        <v>0.14707499999999998</v>
      </c>
      <c r="AS139" s="24">
        <f t="shared" ref="AS139" si="276">P69*AS69</f>
        <v>0.19219999999999998</v>
      </c>
      <c r="AT139" s="24">
        <f t="shared" ref="AT139" si="277">Q69*AT69</f>
        <v>0.13725000000000001</v>
      </c>
      <c r="AU139" s="24">
        <f t="shared" ref="AU139" si="278">R69*AU69</f>
        <v>0.18444444444444444</v>
      </c>
      <c r="AV139" s="24">
        <f t="shared" ref="AV139" si="279">S69*AV69</f>
        <v>0.13093333333333335</v>
      </c>
      <c r="AW139" s="24">
        <f t="shared" ref="AW139" si="280">T69*AW69</f>
        <v>0.20777777777777776</v>
      </c>
      <c r="AX139" s="24">
        <f t="shared" ref="AX139" si="281">U69*AX69</f>
        <v>8.2480000000000012E-2</v>
      </c>
      <c r="AY139" s="24">
        <f t="shared" ref="AY139" si="282">V69*AY69</f>
        <v>3.9280000000000002E-2</v>
      </c>
      <c r="AZ139" s="24">
        <f t="shared" ref="AZ139" si="283">W69*AZ69</f>
        <v>4.0472727272727278E-2</v>
      </c>
      <c r="BA139" s="24">
        <f t="shared" ref="BA139" si="284">X69*BA69</f>
        <v>1.670264145266304E-2</v>
      </c>
      <c r="BB139" s="24">
        <f t="shared" ref="BB139" si="285">Y69*BB69</f>
        <v>4.2784615384615386E-2</v>
      </c>
      <c r="BC139" s="55">
        <f t="shared" ref="BC139" si="286">SUM(AJ139:BB139)</f>
        <v>5.1957183968084184</v>
      </c>
    </row>
    <row r="140" spans="35:55" x14ac:dyDescent="0.2">
      <c r="AI140" s="5">
        <f>F70</f>
        <v>42521</v>
      </c>
      <c r="AJ140" s="24">
        <f t="shared" ref="AJ140" si="287">G70*AJ70</f>
        <v>0.80920512096666675</v>
      </c>
      <c r="AK140" s="24">
        <f t="shared" ref="AK140" si="288">H70*AK70</f>
        <v>0.74445857319999997</v>
      </c>
      <c r="AL140" s="24">
        <f t="shared" ref="AL140" si="289">I70*AL70</f>
        <v>0.34275706440000003</v>
      </c>
      <c r="AM140" s="24">
        <f t="shared" ref="AM140" si="290">J70*AM70</f>
        <v>0.49452693994285712</v>
      </c>
      <c r="AN140" s="24">
        <f t="shared" ref="AN140" si="291">K70*AN70</f>
        <v>0.76363888880000008</v>
      </c>
      <c r="AO140" s="24">
        <f t="shared" ref="AO140" si="292">L70*AO70</f>
        <v>5.0572437771428572E-2</v>
      </c>
      <c r="AP140" s="24">
        <f t="shared" ref="AP140" si="293">M70*AP70</f>
        <v>0.45879355275</v>
      </c>
      <c r="AQ140" s="24">
        <f t="shared" ref="AQ140" si="294">N70*AQ70</f>
        <v>0.33655305635000005</v>
      </c>
      <c r="AR140" s="24">
        <f t="shared" ref="AR140" si="295">O70*AR70</f>
        <v>0.14841931582499998</v>
      </c>
      <c r="AS140" s="24">
        <f t="shared" ref="AS140" si="296">P70*AS70</f>
        <v>0.19398611110000002</v>
      </c>
      <c r="AT140" s="24">
        <f t="shared" ref="AT140" si="297">Q70*AT70</f>
        <v>0.13845833332499999</v>
      </c>
      <c r="AU140" s="24">
        <f t="shared" ref="AU140" si="298">R70*AU70</f>
        <v>0.18586116444444442</v>
      </c>
      <c r="AV140" s="24">
        <f t="shared" ref="AV140" si="299">S70*AV70</f>
        <v>0.13200000000000001</v>
      </c>
      <c r="AW140" s="24">
        <f t="shared" ref="AW140" si="300">T70*AW70</f>
        <v>0.20993055555555556</v>
      </c>
      <c r="AX140" s="24">
        <f t="shared" ref="AX140" si="301">U70*AX70</f>
        <v>8.3118079559999988E-2</v>
      </c>
      <c r="AY140" s="24">
        <f t="shared" ref="AY140" si="302">V70*AY70</f>
        <v>3.9621539779999999E-2</v>
      </c>
      <c r="AZ140" s="24">
        <f t="shared" ref="AZ140" si="303">W70*AZ70</f>
        <v>4.1124379600000004E-2</v>
      </c>
      <c r="BA140" s="24">
        <f t="shared" ref="BA140" si="304">X70*BA70</f>
        <v>1.7032341538264151E-2</v>
      </c>
      <c r="BB140" s="24">
        <f t="shared" ref="BB140" si="305">Y70*BB70</f>
        <v>4.355662393846154E-2</v>
      </c>
      <c r="BC140" s="55">
        <f t="shared" ref="BC140" si="306">SUM(AJ140:BB140)</f>
        <v>5.233614078847677</v>
      </c>
    </row>
    <row r="141" spans="35:55" x14ac:dyDescent="0.2">
      <c r="AI141" s="5">
        <f>F71</f>
        <v>42551</v>
      </c>
      <c r="AJ141" s="24">
        <f t="shared" ref="AJ141" si="307">G71*AJ71</f>
        <v>0.72050694430000017</v>
      </c>
      <c r="AK141" s="24">
        <f t="shared" ref="AK141" si="308">H71*AK71</f>
        <v>0.66258333319999996</v>
      </c>
      <c r="AL141" s="24">
        <f t="shared" ref="AL141" si="309">I71*AL71</f>
        <v>0.29181944440000002</v>
      </c>
      <c r="AM141" s="24">
        <f t="shared" ref="AM141" si="310">J71*AM71</f>
        <v>0.43666979708571424</v>
      </c>
      <c r="AN141" s="24">
        <f t="shared" ref="AN141" si="311">K71*AN71</f>
        <v>0.67613888880000017</v>
      </c>
      <c r="AO141" s="24">
        <f t="shared" ref="AO141" si="312">L71*AO71</f>
        <v>4.4501006342857134E-2</v>
      </c>
      <c r="AP141" s="24">
        <f t="shared" ref="AP141" si="313">M71*AP71</f>
        <v>0.40019977774999999</v>
      </c>
      <c r="AQ141" s="24">
        <f t="shared" ref="AQ141" si="314">N71*AQ71</f>
        <v>0.29717805635000005</v>
      </c>
      <c r="AR141" s="24">
        <f t="shared" ref="AR141" si="315">O71*AR71</f>
        <v>0.132013065825</v>
      </c>
      <c r="AS141" s="24">
        <f t="shared" ref="AS141" si="316">P71*AS71</f>
        <v>0.17273611110000001</v>
      </c>
      <c r="AT141" s="24">
        <f t="shared" ref="AT141" si="317">Q71*AT71</f>
        <v>0.123341190825</v>
      </c>
      <c r="AU141" s="24">
        <f t="shared" ref="AU141" si="318">R71*AU71</f>
        <v>0.16808338666666667</v>
      </c>
      <c r="AV141" s="24">
        <f t="shared" ref="AV141" si="319">S71*AV71</f>
        <v>0.11866666666666667</v>
      </c>
      <c r="AW141" s="24">
        <f t="shared" ref="AW141" si="320">T71*AW71</f>
        <v>0.18961812222222224</v>
      </c>
      <c r="AX141" s="24">
        <f t="shared" ref="AX141" si="321">U71*AX71</f>
        <v>7.6305555560000002E-2</v>
      </c>
      <c r="AY141" s="24">
        <f t="shared" ref="AY141" si="322">V71*AY71</f>
        <v>3.6465277780000006E-2</v>
      </c>
      <c r="AZ141" s="24">
        <f t="shared" ref="AZ141" si="323">W71*AZ71</f>
        <v>3.9732323236363637E-2</v>
      </c>
      <c r="BA141" s="24">
        <f t="shared" ref="BA141" si="324">X71*BA71</f>
        <v>1.6604683036118555E-2</v>
      </c>
      <c r="BB141" s="24">
        <f t="shared" ref="BB141" si="325">Y71*BB71</f>
        <v>4.293162393846154E-2</v>
      </c>
      <c r="BC141" s="55">
        <f t="shared" ref="BC141" si="326">SUM(AJ141:BB141)</f>
        <v>4.6460952550850703</v>
      </c>
    </row>
    <row r="142" spans="35:55" x14ac:dyDescent="0.2">
      <c r="AI142" s="5">
        <f>F72</f>
        <v>42580</v>
      </c>
      <c r="AJ142" s="24">
        <f t="shared" ref="AJ142" si="327">G72*AJ72</f>
        <v>0.67988194430000004</v>
      </c>
      <c r="AK142" s="24">
        <f t="shared" ref="AK142" si="328">H72*AK72</f>
        <v>0.62008333319999998</v>
      </c>
      <c r="AL142" s="24">
        <f t="shared" ref="AL142" si="329">I72*AL72</f>
        <v>0.27650704440000001</v>
      </c>
      <c r="AM142" s="24">
        <f t="shared" ref="AM142" si="330">J72*AM72</f>
        <v>0.41577691422857138</v>
      </c>
      <c r="AN142" s="24">
        <f t="shared" ref="AN142" si="331">K72*AN72</f>
        <v>0.64488888880000017</v>
      </c>
      <c r="AO142" s="24">
        <f t="shared" ref="AO142" si="332">L72*AO72</f>
        <v>4.2447434914285716E-2</v>
      </c>
      <c r="AP142" s="24">
        <f t="shared" ref="AP142" si="333">M72*AP72</f>
        <v>0.38496527775</v>
      </c>
      <c r="AQ142" s="24">
        <f t="shared" ref="AQ142" si="334">N72*AQ72</f>
        <v>0.28295928884999999</v>
      </c>
      <c r="AR142" s="24">
        <f t="shared" ref="AR142" si="335">O72*AR72</f>
        <v>0.127794315825</v>
      </c>
      <c r="AS142" s="24">
        <f t="shared" ref="AS142" si="336">P72*AS72</f>
        <v>0.16695492110000001</v>
      </c>
      <c r="AT142" s="24">
        <f t="shared" ref="AT142" si="337">Q72*AT72</f>
        <v>0.11982555832499998</v>
      </c>
      <c r="AU142" s="24">
        <f t="shared" ref="AU142" si="338">R72*AU72</f>
        <v>0.16363894222222222</v>
      </c>
      <c r="AV142" s="24">
        <f t="shared" ref="AV142" si="339">S72*AV72</f>
        <v>0.11533333333333333</v>
      </c>
      <c r="AW142" s="24">
        <f t="shared" ref="AW142" si="340">T72*AW72</f>
        <v>0.18458333333333335</v>
      </c>
      <c r="AX142" s="24">
        <f t="shared" ref="AX142" si="341">U72*AX72</f>
        <v>7.4993079559999995E-2</v>
      </c>
      <c r="AY142" s="24">
        <f t="shared" ref="AY142" si="342">V72*AY72</f>
        <v>3.5809039779999996E-2</v>
      </c>
      <c r="AZ142" s="24">
        <f t="shared" ref="AZ142" si="343">W72*AZ72</f>
        <v>3.998801596363636E-2</v>
      </c>
      <c r="BA142" s="24">
        <f t="shared" ref="BA142" si="344">X72*BA72</f>
        <v>1.6758199961234944E-2</v>
      </c>
      <c r="BB142" s="24">
        <f t="shared" ref="BB142" si="345">Y72*BB72</f>
        <v>4.3316239323076919E-2</v>
      </c>
      <c r="BC142" s="55">
        <f t="shared" ref="BC142" si="346">SUM(AJ142:BB142)</f>
        <v>4.4365051051696938</v>
      </c>
    </row>
  </sheetData>
  <mergeCells count="1">
    <mergeCell ref="F6:AC6"/>
  </mergeCells>
  <conditionalFormatting sqref="G8:AB8 G9:Z60 G74:Z74">
    <cfRule type="cellIs" dxfId="38" priority="41" operator="equal">
      <formula>0</formula>
    </cfRule>
  </conditionalFormatting>
  <conditionalFormatting sqref="AJ8:BC54">
    <cfRule type="cellIs" dxfId="37" priority="40" operator="equal">
      <formula>0</formula>
    </cfRule>
  </conditionalFormatting>
  <conditionalFormatting sqref="AJ78:BC130">
    <cfRule type="cellIs" dxfId="36" priority="39" operator="equal">
      <formula>0</formula>
    </cfRule>
  </conditionalFormatting>
  <conditionalFormatting sqref="AJ55:BC60">
    <cfRule type="cellIs" dxfId="35" priority="37" operator="equal">
      <formula>0</formula>
    </cfRule>
  </conditionalFormatting>
  <conditionalFormatting sqref="G61:Z61">
    <cfRule type="cellIs" dxfId="34" priority="36" operator="equal">
      <formula>0</formula>
    </cfRule>
  </conditionalFormatting>
  <conditionalFormatting sqref="AJ61:BC61">
    <cfRule type="cellIs" dxfId="33" priority="35" operator="equal">
      <formula>0</formula>
    </cfRule>
  </conditionalFormatting>
  <conditionalFormatting sqref="AJ131:BC131">
    <cfRule type="cellIs" dxfId="32" priority="34" operator="equal">
      <formula>0</formula>
    </cfRule>
  </conditionalFormatting>
  <conditionalFormatting sqref="G62:Z63 G73:Z73">
    <cfRule type="cellIs" dxfId="31" priority="33" operator="equal">
      <formula>0</formula>
    </cfRule>
  </conditionalFormatting>
  <conditionalFormatting sqref="AJ62:BC63 AJ73:BC73 BA64:BA68">
    <cfRule type="cellIs" dxfId="30" priority="32" operator="equal">
      <formula>0</formula>
    </cfRule>
  </conditionalFormatting>
  <conditionalFormatting sqref="AJ132:BC135">
    <cfRule type="cellIs" dxfId="29" priority="31" operator="equal">
      <formula>0</formula>
    </cfRule>
  </conditionalFormatting>
  <conditionalFormatting sqref="G64:Z64">
    <cfRule type="cellIs" dxfId="28" priority="30" operator="equal">
      <formula>0</formula>
    </cfRule>
  </conditionalFormatting>
  <conditionalFormatting sqref="AJ64:AZ64 BB64:BC64">
    <cfRule type="cellIs" dxfId="27" priority="29" operator="equal">
      <formula>0</formula>
    </cfRule>
  </conditionalFormatting>
  <conditionalFormatting sqref="G65:Z65">
    <cfRule type="cellIs" dxfId="26" priority="28" operator="equal">
      <formula>0</formula>
    </cfRule>
  </conditionalFormatting>
  <conditionalFormatting sqref="AJ65:AZ65 BB65:BC65">
    <cfRule type="cellIs" dxfId="25" priority="27" operator="equal">
      <formula>0</formula>
    </cfRule>
  </conditionalFormatting>
  <conditionalFormatting sqref="G66:Z66">
    <cfRule type="cellIs" dxfId="24" priority="26" operator="equal">
      <formula>0</formula>
    </cfRule>
  </conditionalFormatting>
  <conditionalFormatting sqref="AJ66:AZ66 BB66:BC66">
    <cfRule type="cellIs" dxfId="23" priority="25" operator="equal">
      <formula>0</formula>
    </cfRule>
  </conditionalFormatting>
  <conditionalFormatting sqref="AJ136:BC137">
    <cfRule type="cellIs" dxfId="22" priority="24" operator="equal">
      <formula>0</formula>
    </cfRule>
  </conditionalFormatting>
  <conditionalFormatting sqref="G67:Z67">
    <cfRule type="cellIs" dxfId="21" priority="23" operator="equal">
      <formula>0</formula>
    </cfRule>
  </conditionalFormatting>
  <conditionalFormatting sqref="AJ67:AZ67 BB67:BC67">
    <cfRule type="cellIs" dxfId="20" priority="22" operator="equal">
      <formula>0</formula>
    </cfRule>
  </conditionalFormatting>
  <conditionalFormatting sqref="G68:Z68">
    <cfRule type="cellIs" dxfId="19" priority="21" operator="equal">
      <formula>0</formula>
    </cfRule>
  </conditionalFormatting>
  <conditionalFormatting sqref="AJ68:AZ68 BB68:BC68">
    <cfRule type="cellIs" dxfId="18" priority="20" operator="equal">
      <formula>0</formula>
    </cfRule>
  </conditionalFormatting>
  <conditionalFormatting sqref="AJ138:BC138">
    <cfRule type="cellIs" dxfId="17" priority="19" operator="equal">
      <formula>0</formula>
    </cfRule>
  </conditionalFormatting>
  <conditionalFormatting sqref="BA69">
    <cfRule type="cellIs" dxfId="16" priority="18" operator="equal">
      <formula>0</formula>
    </cfRule>
  </conditionalFormatting>
  <conditionalFormatting sqref="G69:Z69">
    <cfRule type="cellIs" dxfId="15" priority="17" operator="equal">
      <formula>0</formula>
    </cfRule>
  </conditionalFormatting>
  <conditionalFormatting sqref="AJ69:AZ69 BB69:BC69">
    <cfRule type="cellIs" dxfId="14" priority="16" operator="equal">
      <formula>0</formula>
    </cfRule>
  </conditionalFormatting>
  <conditionalFormatting sqref="AJ139:BC139">
    <cfRule type="cellIs" dxfId="13" priority="15" operator="equal">
      <formula>0</formula>
    </cfRule>
  </conditionalFormatting>
  <conditionalFormatting sqref="BA70">
    <cfRule type="cellIs" dxfId="12" priority="13" operator="equal">
      <formula>0</formula>
    </cfRule>
  </conditionalFormatting>
  <conditionalFormatting sqref="G70:Z70">
    <cfRule type="cellIs" dxfId="11" priority="12" operator="equal">
      <formula>0</formula>
    </cfRule>
  </conditionalFormatting>
  <conditionalFormatting sqref="AJ70:AZ70 BB70:BC70">
    <cfRule type="cellIs" dxfId="10" priority="11" operator="equal">
      <formula>0</formula>
    </cfRule>
  </conditionalFormatting>
  <conditionalFormatting sqref="AJ140:BC140">
    <cfRule type="cellIs" dxfId="9" priority="10" operator="equal">
      <formula>0</formula>
    </cfRule>
  </conditionalFormatting>
  <conditionalFormatting sqref="BA71">
    <cfRule type="cellIs" dxfId="8" priority="9" operator="equal">
      <formula>0</formula>
    </cfRule>
  </conditionalFormatting>
  <conditionalFormatting sqref="G71:Z71">
    <cfRule type="cellIs" dxfId="7" priority="8" operator="equal">
      <formula>0</formula>
    </cfRule>
  </conditionalFormatting>
  <conditionalFormatting sqref="AJ71:AZ71 BB71:BC71">
    <cfRule type="cellIs" dxfId="6" priority="7" operator="equal">
      <formula>0</formula>
    </cfRule>
  </conditionalFormatting>
  <conditionalFormatting sqref="AJ141:BC141">
    <cfRule type="cellIs" dxfId="5" priority="6" operator="equal">
      <formula>0</formula>
    </cfRule>
  </conditionalFormatting>
  <conditionalFormatting sqref="BA72">
    <cfRule type="cellIs" dxfId="4" priority="4" operator="equal">
      <formula>0</formula>
    </cfRule>
  </conditionalFormatting>
  <conditionalFormatting sqref="G72:Z72">
    <cfRule type="cellIs" dxfId="3" priority="3" operator="equal">
      <formula>0</formula>
    </cfRule>
  </conditionalFormatting>
  <conditionalFormatting sqref="AJ72:AZ72 BB72:BC72">
    <cfRule type="cellIs" dxfId="2" priority="2" operator="equal">
      <formula>0</formula>
    </cfRule>
  </conditionalFormatting>
  <conditionalFormatting sqref="AJ142:BC142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72"/>
  <sheetViews>
    <sheetView topLeftCell="A28" workbookViewId="0">
      <selection activeCell="G76" sqref="G76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8" t="s">
        <v>27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24.81</v>
      </c>
      <c r="M8" s="29"/>
      <c r="N8" s="30"/>
      <c r="O8" s="30"/>
      <c r="P8" s="30">
        <v>26</v>
      </c>
      <c r="Q8" s="36">
        <v>24.19</v>
      </c>
      <c r="R8" s="29"/>
      <c r="S8" s="30">
        <v>26.18</v>
      </c>
      <c r="T8" s="36">
        <v>24.45</v>
      </c>
      <c r="U8" s="29">
        <v>25.97</v>
      </c>
      <c r="V8" s="36">
        <v>24.16</v>
      </c>
      <c r="W8" s="37">
        <v>20.55</v>
      </c>
      <c r="X8" s="37">
        <v>20.22</v>
      </c>
      <c r="Y8" s="37">
        <v>21.33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24.93</v>
      </c>
      <c r="M9" s="29"/>
      <c r="N9" s="30"/>
      <c r="O9" s="30"/>
      <c r="P9" s="30">
        <v>26.26</v>
      </c>
      <c r="Q9" s="36">
        <v>24.35</v>
      </c>
      <c r="R9" s="29"/>
      <c r="S9" s="30">
        <v>26.35</v>
      </c>
      <c r="T9" s="36">
        <v>24.71</v>
      </c>
      <c r="U9" s="29">
        <v>26.53</v>
      </c>
      <c r="V9" s="36">
        <v>24.98</v>
      </c>
      <c r="W9" s="37">
        <v>20.87</v>
      </c>
      <c r="X9" s="37">
        <v>20.38</v>
      </c>
      <c r="Y9" s="37">
        <v>21.45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</v>
      </c>
      <c r="M10" s="29"/>
      <c r="N10" s="30"/>
      <c r="O10" s="30"/>
      <c r="P10" s="30">
        <v>26.62</v>
      </c>
      <c r="Q10" s="36">
        <v>24.67</v>
      </c>
      <c r="R10" s="29"/>
      <c r="S10" s="30">
        <v>26.54</v>
      </c>
      <c r="T10" s="36">
        <v>24.57</v>
      </c>
      <c r="U10" s="29">
        <v>26.62</v>
      </c>
      <c r="V10" s="36">
        <v>24.6</v>
      </c>
      <c r="W10" s="37">
        <v>20.22</v>
      </c>
      <c r="X10" s="37">
        <v>20.48</v>
      </c>
      <c r="Y10" s="37">
        <v>22.13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25.65</v>
      </c>
      <c r="M11" s="29"/>
      <c r="N11" s="30"/>
      <c r="O11" s="30"/>
      <c r="P11" s="30">
        <v>26.89</v>
      </c>
      <c r="Q11" s="36">
        <v>24.61</v>
      </c>
      <c r="R11" s="29"/>
      <c r="S11" s="30">
        <v>26.92</v>
      </c>
      <c r="T11" s="36">
        <v>24.58</v>
      </c>
      <c r="U11" s="29">
        <v>27.33</v>
      </c>
      <c r="V11" s="36">
        <v>24.93</v>
      </c>
      <c r="W11" s="37">
        <v>20.29</v>
      </c>
      <c r="X11" s="37">
        <v>20.84</v>
      </c>
      <c r="Y11" s="37">
        <v>22.46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</v>
      </c>
      <c r="M12" s="29"/>
      <c r="N12" s="30"/>
      <c r="O12" s="30"/>
      <c r="P12" s="30">
        <v>25.73</v>
      </c>
      <c r="Q12" s="36">
        <v>23.32</v>
      </c>
      <c r="R12" s="29"/>
      <c r="S12" s="30">
        <v>25.07</v>
      </c>
      <c r="T12" s="36">
        <v>22.68</v>
      </c>
      <c r="U12" s="29">
        <v>25.39</v>
      </c>
      <c r="V12" s="36">
        <v>22.86</v>
      </c>
      <c r="W12" s="37">
        <v>19.350000000000001</v>
      </c>
      <c r="X12" s="37">
        <v>20</v>
      </c>
      <c r="Y12" s="37">
        <v>21.84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22.06</v>
      </c>
      <c r="M13" s="29"/>
      <c r="N13" s="30"/>
      <c r="O13" s="30"/>
      <c r="P13" s="30">
        <v>21.27</v>
      </c>
      <c r="Q13" s="36">
        <v>19.34</v>
      </c>
      <c r="R13" s="29"/>
      <c r="S13" s="30">
        <v>18.55</v>
      </c>
      <c r="T13" s="36">
        <v>16.86</v>
      </c>
      <c r="U13" s="29">
        <v>19.579999999999998</v>
      </c>
      <c r="V13" s="36">
        <v>17.420000000000002</v>
      </c>
      <c r="W13" s="37">
        <v>16.07</v>
      </c>
      <c r="X13" s="37">
        <v>17.440000000000001</v>
      </c>
      <c r="Y13" s="37">
        <v>19.97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18.420000000000002</v>
      </c>
      <c r="M14" s="29"/>
      <c r="N14" s="30"/>
      <c r="O14" s="30"/>
      <c r="P14" s="30">
        <v>16.920000000000002</v>
      </c>
      <c r="Q14" s="36">
        <v>14.94</v>
      </c>
      <c r="R14" s="29"/>
      <c r="S14" s="30">
        <v>15.17</v>
      </c>
      <c r="T14" s="36">
        <v>13.31</v>
      </c>
      <c r="U14" s="29">
        <v>16.68</v>
      </c>
      <c r="V14" s="36">
        <v>14.34</v>
      </c>
      <c r="W14" s="37">
        <v>13.07</v>
      </c>
      <c r="X14" s="37">
        <v>14.69</v>
      </c>
      <c r="Y14" s="37">
        <v>17.440000000000001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18.11</v>
      </c>
      <c r="M15" s="29"/>
      <c r="N15" s="30"/>
      <c r="O15" s="30"/>
      <c r="P15" s="30">
        <v>16.7</v>
      </c>
      <c r="Q15" s="36">
        <v>15.27</v>
      </c>
      <c r="R15" s="29"/>
      <c r="S15" s="30">
        <v>16.36</v>
      </c>
      <c r="T15" s="36">
        <v>14.14</v>
      </c>
      <c r="U15" s="29">
        <v>19.260000000000002</v>
      </c>
      <c r="V15" s="36">
        <v>17.04</v>
      </c>
      <c r="W15" s="37">
        <v>12.99</v>
      </c>
      <c r="X15" s="37">
        <v>14.44</v>
      </c>
      <c r="Y15" s="37">
        <v>16.87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</v>
      </c>
      <c r="M16" s="29"/>
      <c r="N16" s="30"/>
      <c r="O16" s="30"/>
      <c r="P16" s="30">
        <v>16.23</v>
      </c>
      <c r="Q16" s="36">
        <v>14.32</v>
      </c>
      <c r="R16" s="29"/>
      <c r="S16" s="30">
        <v>16.739999999999998</v>
      </c>
      <c r="T16" s="36">
        <v>13.83</v>
      </c>
      <c r="U16" s="29">
        <v>19.920000000000002</v>
      </c>
      <c r="V16" s="36">
        <v>17.37</v>
      </c>
      <c r="W16" s="37">
        <v>13.63</v>
      </c>
      <c r="X16" s="37">
        <v>15.47</v>
      </c>
      <c r="Y16" s="37">
        <v>17.75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17.190000000000001</v>
      </c>
      <c r="M17" s="29"/>
      <c r="N17" s="30"/>
      <c r="O17" s="30"/>
      <c r="P17" s="30">
        <v>15.84</v>
      </c>
      <c r="Q17" s="36">
        <v>13.64</v>
      </c>
      <c r="R17" s="29"/>
      <c r="S17" s="30">
        <v>16.73</v>
      </c>
      <c r="T17" s="36">
        <v>13.53</v>
      </c>
      <c r="U17" s="29">
        <v>19.850000000000001</v>
      </c>
      <c r="V17" s="36">
        <v>16.93</v>
      </c>
      <c r="W17" s="37">
        <v>12.88</v>
      </c>
      <c r="X17" s="37">
        <v>15.01</v>
      </c>
      <c r="Y17" s="37">
        <v>17.36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16.059999999999999</v>
      </c>
      <c r="M18" s="29"/>
      <c r="N18" s="30"/>
      <c r="O18" s="30"/>
      <c r="P18" s="30">
        <v>14.54</v>
      </c>
      <c r="Q18" s="36">
        <v>12.02</v>
      </c>
      <c r="R18" s="29"/>
      <c r="S18" s="30">
        <v>15.24</v>
      </c>
      <c r="T18" s="36">
        <v>12.16</v>
      </c>
      <c r="U18" s="29">
        <v>17.95</v>
      </c>
      <c r="V18" s="36">
        <v>15.11</v>
      </c>
      <c r="W18" s="37">
        <v>12.51</v>
      </c>
      <c r="X18" s="37">
        <v>14.3</v>
      </c>
      <c r="Y18" s="37">
        <v>16.84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17.899999999999999</v>
      </c>
      <c r="M19" s="29"/>
      <c r="N19" s="30"/>
      <c r="O19" s="30"/>
      <c r="P19" s="30">
        <v>16.84</v>
      </c>
      <c r="Q19" s="36">
        <v>13.63</v>
      </c>
      <c r="R19" s="29"/>
      <c r="S19" s="30">
        <v>17.21</v>
      </c>
      <c r="T19" s="36">
        <v>13.75</v>
      </c>
      <c r="U19" s="29">
        <v>19.78</v>
      </c>
      <c r="V19" s="36">
        <v>16.649999999999999</v>
      </c>
      <c r="W19" s="37">
        <v>13.42</v>
      </c>
      <c r="X19" s="37">
        <v>15.46</v>
      </c>
      <c r="Y19" s="37">
        <v>17.77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</v>
      </c>
      <c r="M20" s="29"/>
      <c r="N20" s="30"/>
      <c r="O20" s="30">
        <v>20.38</v>
      </c>
      <c r="P20" s="30">
        <v>18.829999999999998</v>
      </c>
      <c r="Q20" s="36">
        <v>15.72</v>
      </c>
      <c r="R20" s="29">
        <v>20.73</v>
      </c>
      <c r="S20" s="30">
        <v>18.809999999999999</v>
      </c>
      <c r="T20" s="36">
        <v>15.33</v>
      </c>
      <c r="U20" s="29">
        <v>21.42</v>
      </c>
      <c r="V20" s="36">
        <v>18.510000000000002</v>
      </c>
      <c r="W20" s="37">
        <v>14.12</v>
      </c>
      <c r="X20" s="37">
        <v>16.3</v>
      </c>
      <c r="Y20" s="37">
        <v>18.579999999999998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18.309999999999999</v>
      </c>
      <c r="M21" s="29"/>
      <c r="N21" s="30"/>
      <c r="O21" s="30">
        <v>19.07</v>
      </c>
      <c r="P21" s="30">
        <v>17.54</v>
      </c>
      <c r="Q21" s="36">
        <v>14.51</v>
      </c>
      <c r="R21" s="29">
        <v>19.39</v>
      </c>
      <c r="S21" s="30">
        <v>17.440000000000001</v>
      </c>
      <c r="T21" s="36">
        <v>14.08</v>
      </c>
      <c r="U21" s="29">
        <v>20.72</v>
      </c>
      <c r="V21" s="36">
        <v>17.86</v>
      </c>
      <c r="W21" s="37">
        <v>13.54</v>
      </c>
      <c r="X21" s="37">
        <v>15.63</v>
      </c>
      <c r="Y21" s="37">
        <v>19.11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15.42</v>
      </c>
      <c r="M22" s="29"/>
      <c r="N22" s="30"/>
      <c r="O22" s="30">
        <v>16.71</v>
      </c>
      <c r="P22" s="30">
        <v>15.02</v>
      </c>
      <c r="Q22" s="36">
        <v>11.9</v>
      </c>
      <c r="R22" s="29">
        <v>17.239999999999998</v>
      </c>
      <c r="S22" s="30">
        <v>15.27</v>
      </c>
      <c r="T22" s="36">
        <v>12.13</v>
      </c>
      <c r="U22" s="29">
        <v>18.75</v>
      </c>
      <c r="V22" s="36">
        <v>15.98</v>
      </c>
      <c r="W22" s="37">
        <v>12.18</v>
      </c>
      <c r="X22" s="37">
        <v>14.19</v>
      </c>
      <c r="Y22" s="37">
        <v>18.309999999999999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15.84</v>
      </c>
      <c r="M23" s="29"/>
      <c r="N23" s="30"/>
      <c r="O23" s="30">
        <v>16.41</v>
      </c>
      <c r="P23" s="30">
        <v>15.43</v>
      </c>
      <c r="Q23" s="36">
        <v>12.52</v>
      </c>
      <c r="R23" s="29">
        <v>17.329999999999998</v>
      </c>
      <c r="S23" s="30">
        <v>15.77</v>
      </c>
      <c r="T23" s="36">
        <v>12.97</v>
      </c>
      <c r="U23" s="29">
        <v>19.04</v>
      </c>
      <c r="V23" s="36">
        <v>16.39</v>
      </c>
      <c r="W23" s="37">
        <v>12.31</v>
      </c>
      <c r="X23" s="37">
        <v>14.07</v>
      </c>
      <c r="Y23" s="37">
        <v>17.850000000000001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13.83</v>
      </c>
      <c r="M24" s="29"/>
      <c r="N24" s="30"/>
      <c r="O24" s="30">
        <v>15.23</v>
      </c>
      <c r="P24" s="30">
        <v>14.71</v>
      </c>
      <c r="Q24" s="36">
        <v>12.21</v>
      </c>
      <c r="R24" s="29">
        <v>17.61</v>
      </c>
      <c r="S24" s="30">
        <v>15.82</v>
      </c>
      <c r="T24" s="36">
        <v>13.13</v>
      </c>
      <c r="U24" s="29">
        <v>18.940000000000001</v>
      </c>
      <c r="V24" s="36">
        <v>16.25</v>
      </c>
      <c r="W24" s="37">
        <v>12.27</v>
      </c>
      <c r="X24" s="37">
        <v>13.89</v>
      </c>
      <c r="Y24" s="37">
        <v>18.11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14.95</v>
      </c>
      <c r="M25" s="29"/>
      <c r="N25" s="30"/>
      <c r="O25" s="30">
        <v>16.510000000000002</v>
      </c>
      <c r="P25" s="30">
        <v>15.81</v>
      </c>
      <c r="Q25" s="36">
        <v>13.24</v>
      </c>
      <c r="R25" s="29">
        <v>18.54</v>
      </c>
      <c r="S25" s="30">
        <v>16.53</v>
      </c>
      <c r="T25" s="36">
        <v>14.06</v>
      </c>
      <c r="U25" s="29">
        <v>19.84</v>
      </c>
      <c r="V25" s="36">
        <v>17.510000000000002</v>
      </c>
      <c r="W25" s="37">
        <v>12.76</v>
      </c>
      <c r="X25" s="37">
        <v>14.46</v>
      </c>
      <c r="Y25" s="37">
        <v>18.3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</v>
      </c>
      <c r="M26" s="29"/>
      <c r="N26" s="30"/>
      <c r="O26" s="30">
        <v>13.77</v>
      </c>
      <c r="P26" s="30">
        <v>13.15</v>
      </c>
      <c r="Q26" s="36">
        <v>11.23</v>
      </c>
      <c r="R26" s="29">
        <v>16.02</v>
      </c>
      <c r="S26" s="30">
        <v>14.39</v>
      </c>
      <c r="T26" s="36">
        <v>12.43</v>
      </c>
      <c r="U26" s="29">
        <v>18.87</v>
      </c>
      <c r="V26" s="36">
        <v>16.7</v>
      </c>
      <c r="W26" s="37">
        <v>11.74</v>
      </c>
      <c r="X26" s="37">
        <v>13.91</v>
      </c>
      <c r="Y26" s="37">
        <v>17.66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11.86</v>
      </c>
      <c r="M27" s="29"/>
      <c r="N27" s="30"/>
      <c r="O27" s="30">
        <v>13.9</v>
      </c>
      <c r="P27" s="30">
        <v>13.4</v>
      </c>
      <c r="Q27" s="36">
        <v>11.24</v>
      </c>
      <c r="R27" s="29">
        <v>16.600000000000001</v>
      </c>
      <c r="S27" s="30">
        <v>15.08</v>
      </c>
      <c r="T27" s="36">
        <v>12.83</v>
      </c>
      <c r="U27" s="29">
        <v>18.72</v>
      </c>
      <c r="V27" s="36">
        <v>16.75</v>
      </c>
      <c r="W27" s="37">
        <v>12.35</v>
      </c>
      <c r="X27" s="37">
        <v>14.58</v>
      </c>
      <c r="Y27" s="37">
        <v>17.91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</v>
      </c>
      <c r="M28" s="29"/>
      <c r="N28" s="30"/>
      <c r="O28" s="30">
        <v>13.86</v>
      </c>
      <c r="P28" s="30">
        <v>13.12</v>
      </c>
      <c r="Q28" s="36">
        <v>10.84</v>
      </c>
      <c r="R28" s="29">
        <v>15.45</v>
      </c>
      <c r="S28" s="30">
        <v>14.43</v>
      </c>
      <c r="T28" s="36">
        <v>12.06</v>
      </c>
      <c r="U28" s="29">
        <v>17.45</v>
      </c>
      <c r="V28" s="36">
        <v>15.32</v>
      </c>
      <c r="W28" s="37">
        <v>11.3</v>
      </c>
      <c r="X28" s="37">
        <v>13.63</v>
      </c>
      <c r="Y28" s="37">
        <v>16.82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</v>
      </c>
      <c r="M29" s="29"/>
      <c r="N29" s="30"/>
      <c r="O29" s="30">
        <v>14.24</v>
      </c>
      <c r="P29" s="30">
        <v>13.3</v>
      </c>
      <c r="Q29" s="36">
        <v>11.32</v>
      </c>
      <c r="R29" s="29">
        <v>16.09</v>
      </c>
      <c r="S29" s="30">
        <v>14.92</v>
      </c>
      <c r="T29" s="36">
        <v>12.84</v>
      </c>
      <c r="U29" s="29">
        <v>17.82</v>
      </c>
      <c r="V29" s="36">
        <v>15.65</v>
      </c>
      <c r="W29" s="37">
        <v>11.99</v>
      </c>
      <c r="X29" s="37">
        <v>14.3</v>
      </c>
      <c r="Y29" s="37">
        <v>17.329999999999998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14.81</v>
      </c>
      <c r="M30" s="29"/>
      <c r="N30" s="30"/>
      <c r="O30" s="30">
        <v>16.38</v>
      </c>
      <c r="P30" s="30">
        <v>15.37</v>
      </c>
      <c r="Q30" s="36">
        <v>13.07</v>
      </c>
      <c r="R30" s="29">
        <v>17.47</v>
      </c>
      <c r="S30" s="30">
        <v>16.190000000000001</v>
      </c>
      <c r="T30" s="36">
        <v>13.64</v>
      </c>
      <c r="U30" s="29">
        <v>18.12</v>
      </c>
      <c r="V30" s="36">
        <v>15.92</v>
      </c>
      <c r="W30" s="37">
        <v>12.09</v>
      </c>
      <c r="X30" s="37">
        <v>13.89</v>
      </c>
      <c r="Y30" s="37">
        <v>16.690000000000001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</v>
      </c>
      <c r="M31" s="29"/>
      <c r="N31" s="30"/>
      <c r="O31" s="30">
        <v>16.07</v>
      </c>
      <c r="P31" s="30">
        <v>15.2</v>
      </c>
      <c r="Q31" s="36">
        <v>13.07</v>
      </c>
      <c r="R31" s="29">
        <v>17.32</v>
      </c>
      <c r="S31" s="30">
        <v>16.100000000000001</v>
      </c>
      <c r="T31" s="36">
        <v>13.63</v>
      </c>
      <c r="U31" s="29">
        <v>17.899999999999999</v>
      </c>
      <c r="V31" s="36">
        <v>16.059999999999999</v>
      </c>
      <c r="W31" s="37">
        <v>12.34</v>
      </c>
      <c r="X31" s="37">
        <v>13.89</v>
      </c>
      <c r="Y31" s="37">
        <v>16.329999999999998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</v>
      </c>
      <c r="I32" s="44"/>
      <c r="J32" s="45"/>
      <c r="K32" s="30">
        <v>19.260000000000002</v>
      </c>
      <c r="L32" s="36">
        <v>16.47</v>
      </c>
      <c r="M32" s="44"/>
      <c r="N32" s="45"/>
      <c r="O32" s="30">
        <v>17.149999999999999</v>
      </c>
      <c r="P32" s="30">
        <v>16.23</v>
      </c>
      <c r="Q32" s="36">
        <v>14.02</v>
      </c>
      <c r="R32" s="29">
        <v>17.86</v>
      </c>
      <c r="S32" s="30">
        <v>16.8</v>
      </c>
      <c r="T32" s="36">
        <v>14.36</v>
      </c>
      <c r="U32" s="29">
        <v>18.329999999999998</v>
      </c>
      <c r="V32" s="36">
        <v>16.64</v>
      </c>
      <c r="W32" s="37">
        <v>12.67</v>
      </c>
      <c r="X32" s="37">
        <v>14.25</v>
      </c>
      <c r="Y32" s="37">
        <v>16.079999999999998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17.579999999999998</v>
      </c>
      <c r="I33" s="44"/>
      <c r="J33" s="45"/>
      <c r="K33" s="30">
        <v>16.79</v>
      </c>
      <c r="L33" s="36">
        <v>13.72</v>
      </c>
      <c r="M33" s="44"/>
      <c r="N33" s="45"/>
      <c r="O33" s="30">
        <v>15.1</v>
      </c>
      <c r="P33" s="30">
        <v>13.87</v>
      </c>
      <c r="Q33" s="36">
        <v>11.26</v>
      </c>
      <c r="R33" s="29">
        <v>15.64</v>
      </c>
      <c r="S33" s="30">
        <v>14.02</v>
      </c>
      <c r="T33" s="36">
        <v>11.75</v>
      </c>
      <c r="U33" s="29">
        <v>15.95</v>
      </c>
      <c r="V33" s="36">
        <v>14.65</v>
      </c>
      <c r="W33" s="37">
        <v>11.04</v>
      </c>
      <c r="X33" s="37">
        <v>12.66</v>
      </c>
      <c r="Y33" s="37">
        <v>14.45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20.350000000000001</v>
      </c>
      <c r="I34" s="44"/>
      <c r="J34" s="45"/>
      <c r="K34" s="30">
        <v>20.39</v>
      </c>
      <c r="L34" s="36">
        <v>18.190000000000001</v>
      </c>
      <c r="M34" s="44"/>
      <c r="N34" s="45"/>
      <c r="O34" s="30">
        <v>19.14</v>
      </c>
      <c r="P34" s="30">
        <v>17.7</v>
      </c>
      <c r="Q34" s="36">
        <v>15.84</v>
      </c>
      <c r="R34" s="29">
        <v>18.5</v>
      </c>
      <c r="S34" s="30">
        <v>16.670000000000002</v>
      </c>
      <c r="T34" s="36">
        <v>15.01</v>
      </c>
      <c r="U34" s="29">
        <v>16.170000000000002</v>
      </c>
      <c r="V34" s="36">
        <v>14.82</v>
      </c>
      <c r="W34" s="37">
        <v>11.7</v>
      </c>
      <c r="X34" s="37">
        <v>12.15</v>
      </c>
      <c r="Y34" s="37">
        <v>13.97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</v>
      </c>
      <c r="I35" s="44"/>
      <c r="J35" s="45"/>
      <c r="K35" s="30">
        <v>21.18</v>
      </c>
      <c r="L35" s="36">
        <v>19.64</v>
      </c>
      <c r="M35" s="44"/>
      <c r="N35" s="45"/>
      <c r="O35" s="30">
        <v>21.01</v>
      </c>
      <c r="P35" s="30">
        <v>20.02</v>
      </c>
      <c r="Q35" s="36">
        <v>18.62</v>
      </c>
      <c r="R35" s="29">
        <v>20.77</v>
      </c>
      <c r="S35" s="30">
        <v>19.690000000000001</v>
      </c>
      <c r="T35" s="36">
        <v>18.239999999999998</v>
      </c>
      <c r="U35" s="29">
        <v>18.690000000000001</v>
      </c>
      <c r="V35" s="36">
        <v>17.39</v>
      </c>
      <c r="W35" s="37">
        <v>13.27</v>
      </c>
      <c r="X35" s="37">
        <v>13.61</v>
      </c>
      <c r="Y35" s="37">
        <v>14.87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</v>
      </c>
      <c r="I36" s="44"/>
      <c r="J36" s="45"/>
      <c r="K36" s="30">
        <v>22.7</v>
      </c>
      <c r="L36" s="36">
        <v>21.39</v>
      </c>
      <c r="M36" s="44"/>
      <c r="N36" s="45"/>
      <c r="O36" s="30">
        <v>22.85</v>
      </c>
      <c r="P36" s="30">
        <v>21.6</v>
      </c>
      <c r="Q36" s="36">
        <v>20.399999999999999</v>
      </c>
      <c r="R36" s="29">
        <v>21.82</v>
      </c>
      <c r="S36" s="30">
        <v>20.46</v>
      </c>
      <c r="T36" s="36">
        <v>19</v>
      </c>
      <c r="U36" s="29">
        <v>19.59</v>
      </c>
      <c r="V36" s="36">
        <v>18.2</v>
      </c>
      <c r="W36" s="37">
        <v>14.77</v>
      </c>
      <c r="X36" s="37">
        <v>14.77</v>
      </c>
      <c r="Y36" s="37">
        <v>15.87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21.77</v>
      </c>
      <c r="I37" s="44"/>
      <c r="J37" s="45"/>
      <c r="K37" s="30">
        <v>22.86</v>
      </c>
      <c r="L37" s="36">
        <v>21.55</v>
      </c>
      <c r="M37" s="44"/>
      <c r="N37" s="45"/>
      <c r="O37" s="30">
        <v>23.55</v>
      </c>
      <c r="P37" s="30">
        <v>22.47</v>
      </c>
      <c r="Q37" s="36">
        <v>21.28</v>
      </c>
      <c r="R37" s="29">
        <v>23.32</v>
      </c>
      <c r="S37" s="30">
        <v>21.81</v>
      </c>
      <c r="T37" s="36">
        <v>20.399999999999999</v>
      </c>
      <c r="U37" s="29">
        <v>21.49</v>
      </c>
      <c r="V37" s="36">
        <v>19.809999999999999</v>
      </c>
      <c r="W37" s="37">
        <v>16.13</v>
      </c>
      <c r="X37" s="37">
        <v>16.010000000000002</v>
      </c>
      <c r="Y37" s="37">
        <v>16.93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22.13</v>
      </c>
      <c r="I38" s="44"/>
      <c r="J38" s="45"/>
      <c r="K38" s="30">
        <v>23.36</v>
      </c>
      <c r="L38" s="36">
        <v>21.7</v>
      </c>
      <c r="M38" s="44"/>
      <c r="N38" s="45"/>
      <c r="O38" s="30">
        <v>23.15</v>
      </c>
      <c r="P38" s="30">
        <v>22.12</v>
      </c>
      <c r="Q38" s="36">
        <v>20.7</v>
      </c>
      <c r="R38" s="29">
        <v>23.11</v>
      </c>
      <c r="S38" s="30">
        <v>21.47</v>
      </c>
      <c r="T38" s="36">
        <v>19.88</v>
      </c>
      <c r="U38" s="29">
        <v>21.01</v>
      </c>
      <c r="V38" s="36">
        <v>19.2</v>
      </c>
      <c r="W38" s="37">
        <v>15.54</v>
      </c>
      <c r="X38" s="37">
        <v>15.83</v>
      </c>
      <c r="Y38" s="37">
        <v>17.34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</v>
      </c>
      <c r="I39" s="44"/>
      <c r="J39" s="45"/>
      <c r="K39" s="30">
        <v>22.84</v>
      </c>
      <c r="L39" s="36">
        <v>21.15</v>
      </c>
      <c r="M39" s="44"/>
      <c r="N39" s="45"/>
      <c r="O39" s="30">
        <v>22.54</v>
      </c>
      <c r="P39" s="30">
        <v>21.54</v>
      </c>
      <c r="Q39" s="36">
        <v>19.63</v>
      </c>
      <c r="R39" s="29">
        <v>22.72</v>
      </c>
      <c r="S39" s="30">
        <v>20.82</v>
      </c>
      <c r="T39" s="36">
        <v>18.829999999999998</v>
      </c>
      <c r="U39" s="29">
        <v>20.28</v>
      </c>
      <c r="V39" s="36">
        <v>18.149999999999999</v>
      </c>
      <c r="W39" s="37">
        <v>15.23</v>
      </c>
      <c r="X39" s="37">
        <v>15.75</v>
      </c>
      <c r="Y39" s="37">
        <v>17.84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22.62</v>
      </c>
      <c r="I40" s="44"/>
      <c r="J40" s="45"/>
      <c r="K40" s="30">
        <v>24.3</v>
      </c>
      <c r="L40" s="36">
        <v>22.93</v>
      </c>
      <c r="M40" s="44"/>
      <c r="N40" s="45"/>
      <c r="O40" s="30">
        <v>24.55</v>
      </c>
      <c r="P40" s="30">
        <v>23.53</v>
      </c>
      <c r="Q40" s="36">
        <v>21.75</v>
      </c>
      <c r="R40" s="29">
        <v>24.67</v>
      </c>
      <c r="S40" s="30">
        <v>22.61</v>
      </c>
      <c r="T40" s="36">
        <v>20.69</v>
      </c>
      <c r="U40" s="29">
        <v>21.61</v>
      </c>
      <c r="V40" s="36">
        <v>19.61</v>
      </c>
      <c r="W40" s="37">
        <v>16.989999999999998</v>
      </c>
      <c r="X40" s="37">
        <v>17.38</v>
      </c>
      <c r="Y40" s="37">
        <v>19.28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22.89</v>
      </c>
      <c r="I41" s="44"/>
      <c r="J41" s="45"/>
      <c r="K41" s="30">
        <v>24.9</v>
      </c>
      <c r="L41" s="36">
        <v>23.51</v>
      </c>
      <c r="M41" s="44"/>
      <c r="N41" s="45"/>
      <c r="O41" s="30">
        <v>25.8</v>
      </c>
      <c r="P41" s="30">
        <v>24.94</v>
      </c>
      <c r="Q41" s="36">
        <v>23.43</v>
      </c>
      <c r="R41" s="29">
        <v>26.3</v>
      </c>
      <c r="S41" s="30">
        <v>24.73</v>
      </c>
      <c r="T41" s="36">
        <v>23.53</v>
      </c>
      <c r="U41" s="29">
        <v>23.98</v>
      </c>
      <c r="V41" s="36">
        <v>22.14</v>
      </c>
      <c r="W41" s="37">
        <v>18.95</v>
      </c>
      <c r="X41" s="37">
        <v>19.399999999999999</v>
      </c>
      <c r="Y41" s="37">
        <v>21.05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22.52</v>
      </c>
      <c r="I42" s="44"/>
      <c r="J42" s="45"/>
      <c r="K42" s="30">
        <v>24.39</v>
      </c>
      <c r="L42" s="36">
        <v>22.75</v>
      </c>
      <c r="M42" s="44"/>
      <c r="N42" s="45"/>
      <c r="O42" s="30">
        <v>24.72</v>
      </c>
      <c r="P42" s="30">
        <v>23.75</v>
      </c>
      <c r="Q42" s="36">
        <v>22.37</v>
      </c>
      <c r="R42" s="29">
        <v>24.93</v>
      </c>
      <c r="S42" s="30">
        <v>23.47</v>
      </c>
      <c r="T42" s="36">
        <v>22.03</v>
      </c>
      <c r="U42" s="29">
        <v>22.82</v>
      </c>
      <c r="V42" s="36">
        <v>21.34</v>
      </c>
      <c r="W42" s="37">
        <v>19.32</v>
      </c>
      <c r="X42" s="37">
        <v>19.440000000000001</v>
      </c>
      <c r="Y42" s="37">
        <v>20.96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22.57</v>
      </c>
      <c r="I43" s="41"/>
      <c r="J43" s="45"/>
      <c r="K43" s="30">
        <v>24.58</v>
      </c>
      <c r="L43" s="36">
        <v>23.02</v>
      </c>
      <c r="M43" s="41"/>
      <c r="N43" s="45"/>
      <c r="O43" s="30">
        <v>25.12</v>
      </c>
      <c r="P43" s="30">
        <v>24.17</v>
      </c>
      <c r="Q43" s="36">
        <v>22.84</v>
      </c>
      <c r="R43" s="29">
        <v>25.25</v>
      </c>
      <c r="S43" s="30">
        <v>23.93</v>
      </c>
      <c r="T43" s="36">
        <v>22.61</v>
      </c>
      <c r="U43" s="29">
        <v>24.03</v>
      </c>
      <c r="V43" s="36">
        <v>22.49</v>
      </c>
      <c r="W43" s="37">
        <v>20.010000000000002</v>
      </c>
      <c r="X43" s="37">
        <v>20.239999999999998</v>
      </c>
      <c r="Y43" s="37">
        <v>21.75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/>
      <c r="J44" s="45">
        <v>25.67</v>
      </c>
      <c r="K44" s="30">
        <v>24.83</v>
      </c>
      <c r="L44" s="36">
        <v>23.4</v>
      </c>
      <c r="M44" s="44"/>
      <c r="N44" s="45">
        <v>25.67</v>
      </c>
      <c r="O44" s="30">
        <v>25.51</v>
      </c>
      <c r="P44" s="30">
        <v>24.62</v>
      </c>
      <c r="Q44" s="36">
        <v>23.46</v>
      </c>
      <c r="R44" s="29">
        <v>25.85</v>
      </c>
      <c r="S44" s="30">
        <v>24.82</v>
      </c>
      <c r="T44" s="36">
        <v>23.46</v>
      </c>
      <c r="U44" s="29">
        <v>24.86</v>
      </c>
      <c r="V44" s="36">
        <v>23.44</v>
      </c>
      <c r="W44" s="37">
        <v>20.79</v>
      </c>
      <c r="X44" s="37">
        <v>20.77</v>
      </c>
      <c r="Y44" s="37">
        <v>21.8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/>
      <c r="J45" s="45">
        <v>25.45</v>
      </c>
      <c r="K45" s="30">
        <v>24.53</v>
      </c>
      <c r="L45" s="36">
        <v>23.04</v>
      </c>
      <c r="M45" s="44"/>
      <c r="N45" s="45">
        <v>25.45</v>
      </c>
      <c r="O45" s="30">
        <v>25.2</v>
      </c>
      <c r="P45" s="30">
        <v>24.27</v>
      </c>
      <c r="Q45" s="36">
        <v>23.13</v>
      </c>
      <c r="R45" s="29">
        <v>25.27</v>
      </c>
      <c r="S45" s="30">
        <v>24.28</v>
      </c>
      <c r="T45" s="36">
        <v>22.86</v>
      </c>
      <c r="U45" s="29">
        <v>24.36</v>
      </c>
      <c r="V45" s="36">
        <v>22.94</v>
      </c>
      <c r="W45" s="37">
        <v>20.49</v>
      </c>
      <c r="X45" s="37">
        <v>20.72</v>
      </c>
      <c r="Y45" s="37">
        <v>22.09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/>
      <c r="J46" s="45">
        <v>24.76</v>
      </c>
      <c r="K46" s="30">
        <v>23.94</v>
      </c>
      <c r="L46" s="36">
        <v>22.35</v>
      </c>
      <c r="M46" s="44"/>
      <c r="N46" s="45">
        <v>24.76</v>
      </c>
      <c r="O46" s="30">
        <v>24.32</v>
      </c>
      <c r="P46" s="30">
        <v>23.35</v>
      </c>
      <c r="Q46" s="36">
        <v>22.05</v>
      </c>
      <c r="R46" s="29">
        <v>24.03</v>
      </c>
      <c r="S46" s="30">
        <v>22.88</v>
      </c>
      <c r="T46" s="36">
        <v>21.23</v>
      </c>
      <c r="U46" s="29">
        <v>22.73</v>
      </c>
      <c r="V46" s="36">
        <v>21.32</v>
      </c>
      <c r="W46" s="37">
        <v>19.59</v>
      </c>
      <c r="X46" s="37">
        <v>20.51</v>
      </c>
      <c r="Y46" s="37">
        <v>22.11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/>
      <c r="J47" s="45">
        <v>25.08</v>
      </c>
      <c r="K47" s="30">
        <v>24.28</v>
      </c>
      <c r="L47" s="36">
        <v>22.7</v>
      </c>
      <c r="M47" s="44"/>
      <c r="N47" s="45">
        <v>25.08</v>
      </c>
      <c r="O47" s="30">
        <v>24.91</v>
      </c>
      <c r="P47" s="30">
        <v>24.23</v>
      </c>
      <c r="Q47" s="36">
        <v>22.8</v>
      </c>
      <c r="R47" s="29">
        <v>25.1</v>
      </c>
      <c r="S47" s="30">
        <v>24.14</v>
      </c>
      <c r="T47" s="36">
        <v>22.41</v>
      </c>
      <c r="U47" s="29">
        <v>24.31</v>
      </c>
      <c r="V47" s="36">
        <v>22.86</v>
      </c>
      <c r="W47" s="37">
        <v>20.010000000000002</v>
      </c>
      <c r="X47" s="37">
        <v>21.24</v>
      </c>
      <c r="Y47" s="37">
        <v>22.66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/>
      <c r="J48" s="45">
        <v>24.92</v>
      </c>
      <c r="K48" s="30">
        <v>24.2</v>
      </c>
      <c r="L48" s="36">
        <v>22.83</v>
      </c>
      <c r="M48" s="44"/>
      <c r="N48" s="45">
        <v>24.92</v>
      </c>
      <c r="O48" s="30">
        <v>25.01</v>
      </c>
      <c r="P48" s="30">
        <v>24.38</v>
      </c>
      <c r="Q48" s="36">
        <v>23.02</v>
      </c>
      <c r="R48" s="29">
        <v>25.46</v>
      </c>
      <c r="S48" s="30">
        <v>24.63</v>
      </c>
      <c r="T48" s="36">
        <v>23.11</v>
      </c>
      <c r="U48" s="29">
        <v>25.09</v>
      </c>
      <c r="V48" s="36">
        <v>23.84</v>
      </c>
      <c r="W48" s="37">
        <v>21.06</v>
      </c>
      <c r="X48" s="37">
        <v>22.19</v>
      </c>
      <c r="Y48" s="37">
        <v>23.55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/>
      <c r="J49" s="45">
        <v>23.88</v>
      </c>
      <c r="K49" s="30">
        <v>23.21</v>
      </c>
      <c r="L49" s="36">
        <v>21.66</v>
      </c>
      <c r="M49" s="44"/>
      <c r="N49" s="45">
        <v>23.88</v>
      </c>
      <c r="O49" s="30">
        <v>23.43</v>
      </c>
      <c r="P49" s="30">
        <v>23.03</v>
      </c>
      <c r="Q49" s="36">
        <v>21.58</v>
      </c>
      <c r="R49" s="29">
        <v>23.81</v>
      </c>
      <c r="S49" s="30">
        <v>22.84</v>
      </c>
      <c r="T49" s="36">
        <v>21.27</v>
      </c>
      <c r="U49" s="29">
        <v>23.53</v>
      </c>
      <c r="V49" s="36">
        <v>22.32</v>
      </c>
      <c r="W49" s="37">
        <v>20.27</v>
      </c>
      <c r="X49" s="37">
        <v>21.54</v>
      </c>
      <c r="Y49" s="37">
        <v>23.31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/>
      <c r="J50" s="45">
        <v>24.48</v>
      </c>
      <c r="K50" s="30">
        <v>23.95</v>
      </c>
      <c r="L50" s="36">
        <v>22.5</v>
      </c>
      <c r="M50" s="44"/>
      <c r="N50" s="45">
        <v>24.48</v>
      </c>
      <c r="O50" s="30">
        <v>24.41</v>
      </c>
      <c r="P50" s="30">
        <v>23.9</v>
      </c>
      <c r="Q50" s="36">
        <v>22.63</v>
      </c>
      <c r="R50" s="29">
        <v>25.46</v>
      </c>
      <c r="S50" s="30">
        <v>24.5</v>
      </c>
      <c r="T50" s="36">
        <v>23.07</v>
      </c>
      <c r="U50" s="29">
        <v>25.36</v>
      </c>
      <c r="V50" s="36">
        <v>24.14</v>
      </c>
      <c r="W50" s="37">
        <v>21.21</v>
      </c>
      <c r="X50" s="37">
        <v>22.43</v>
      </c>
      <c r="Y50" s="37">
        <v>24.06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/>
      <c r="J51" s="45">
        <v>23.63</v>
      </c>
      <c r="K51" s="30">
        <v>23.13</v>
      </c>
      <c r="L51" s="36">
        <v>21.55</v>
      </c>
      <c r="M51" s="44"/>
      <c r="N51" s="45">
        <v>23.63</v>
      </c>
      <c r="O51" s="30">
        <v>23.23</v>
      </c>
      <c r="P51" s="30">
        <v>22.75</v>
      </c>
      <c r="Q51" s="36">
        <v>21.16</v>
      </c>
      <c r="R51" s="29">
        <v>24.09</v>
      </c>
      <c r="S51" s="30">
        <v>23.06</v>
      </c>
      <c r="T51" s="36">
        <v>21.53</v>
      </c>
      <c r="U51" s="29">
        <v>23.56</v>
      </c>
      <c r="V51" s="36">
        <v>22.4</v>
      </c>
      <c r="W51" s="37">
        <v>20.12</v>
      </c>
      <c r="X51" s="37">
        <v>21.44</v>
      </c>
      <c r="Y51" s="37">
        <v>23.43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/>
      <c r="J52" s="45">
        <v>22.83</v>
      </c>
      <c r="K52" s="30">
        <v>22.37</v>
      </c>
      <c r="L52" s="36">
        <v>20.64</v>
      </c>
      <c r="M52" s="44"/>
      <c r="N52" s="45">
        <v>22.83</v>
      </c>
      <c r="O52" s="30">
        <v>22.15</v>
      </c>
      <c r="P52" s="30">
        <v>21.68</v>
      </c>
      <c r="Q52" s="36">
        <v>19.88</v>
      </c>
      <c r="R52" s="29">
        <v>23.1</v>
      </c>
      <c r="S52" s="30">
        <v>22.07</v>
      </c>
      <c r="T52" s="36">
        <v>20.38</v>
      </c>
      <c r="U52" s="29">
        <v>22.75</v>
      </c>
      <c r="V52" s="36">
        <v>21.55</v>
      </c>
      <c r="W52" s="37">
        <v>19.54</v>
      </c>
      <c r="X52" s="37">
        <v>21.02</v>
      </c>
      <c r="Y52" s="37">
        <v>23.14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/>
      <c r="J53" s="45">
        <v>21.66</v>
      </c>
      <c r="K53" s="30">
        <v>22.02</v>
      </c>
      <c r="L53" s="36">
        <v>20.13</v>
      </c>
      <c r="M53" s="44"/>
      <c r="N53" s="45">
        <v>21.66</v>
      </c>
      <c r="O53" s="30">
        <v>21.75</v>
      </c>
      <c r="P53" s="30">
        <v>21.27</v>
      </c>
      <c r="Q53" s="36">
        <v>19.43</v>
      </c>
      <c r="R53" s="29">
        <v>22.8</v>
      </c>
      <c r="S53" s="30">
        <v>21.84</v>
      </c>
      <c r="T53" s="36">
        <v>20.11</v>
      </c>
      <c r="U53" s="29">
        <v>22.54</v>
      </c>
      <c r="V53" s="36">
        <v>21.29</v>
      </c>
      <c r="W53" s="37">
        <v>19.46</v>
      </c>
      <c r="X53" s="37">
        <v>20.97</v>
      </c>
      <c r="Y53" s="37">
        <v>23.14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18.559999999999999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19.47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22.14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20.88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20.92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19.829999999999998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  <row r="63" spans="6:29" x14ac:dyDescent="0.2">
      <c r="F63" s="4">
        <v>42307</v>
      </c>
      <c r="G63" s="29">
        <v>20.420000000000002</v>
      </c>
      <c r="H63" s="36">
        <v>19.93</v>
      </c>
      <c r="I63" s="44">
        <v>19.77</v>
      </c>
      <c r="J63" s="45">
        <v>21.29</v>
      </c>
      <c r="K63" s="30">
        <v>21.05</v>
      </c>
      <c r="L63" s="36">
        <v>19.510000000000002</v>
      </c>
      <c r="M63" s="44">
        <v>20.91</v>
      </c>
      <c r="N63" s="45">
        <v>21.29</v>
      </c>
      <c r="O63" s="30">
        <v>21.39</v>
      </c>
      <c r="P63" s="30">
        <v>20.85</v>
      </c>
      <c r="Q63" s="36">
        <v>19.32</v>
      </c>
      <c r="R63" s="29">
        <v>22.3</v>
      </c>
      <c r="S63" s="30">
        <v>21.25</v>
      </c>
      <c r="T63" s="36">
        <v>19.88</v>
      </c>
      <c r="U63" s="29">
        <v>22.14</v>
      </c>
      <c r="V63" s="36">
        <v>21.29</v>
      </c>
      <c r="W63" s="37">
        <v>21.6</v>
      </c>
      <c r="X63" s="37">
        <v>23.44</v>
      </c>
      <c r="Y63" s="37">
        <v>26.61</v>
      </c>
      <c r="Z63" s="41"/>
      <c r="AA63" s="42"/>
      <c r="AB63" s="43"/>
      <c r="AC63" s="31">
        <v>21.275496262105264</v>
      </c>
    </row>
    <row r="64" spans="6:29" x14ac:dyDescent="0.2">
      <c r="F64" s="4">
        <v>42338</v>
      </c>
      <c r="G64">
        <v>20.85</v>
      </c>
      <c r="H64">
        <v>20.46</v>
      </c>
      <c r="I64">
        <v>20.83</v>
      </c>
      <c r="J64">
        <v>21.93</v>
      </c>
      <c r="K64">
        <v>21.75</v>
      </c>
      <c r="L64">
        <v>20.170000000000002</v>
      </c>
      <c r="M64">
        <v>21.8</v>
      </c>
      <c r="N64">
        <v>21.93</v>
      </c>
      <c r="O64">
        <v>22.12</v>
      </c>
      <c r="P64">
        <v>21.59</v>
      </c>
      <c r="Q64">
        <v>20.54</v>
      </c>
      <c r="R64">
        <v>22.99</v>
      </c>
      <c r="S64">
        <v>21.93</v>
      </c>
      <c r="T64">
        <v>20.82</v>
      </c>
      <c r="U64">
        <v>22.8</v>
      </c>
      <c r="V64">
        <v>21.95</v>
      </c>
      <c r="W64">
        <v>22.1</v>
      </c>
      <c r="X64">
        <v>23.52</v>
      </c>
      <c r="Y64">
        <v>26.86</v>
      </c>
      <c r="AC64" s="31">
        <v>21.94</v>
      </c>
    </row>
    <row r="65" spans="6:29" x14ac:dyDescent="0.2">
      <c r="F65" s="4">
        <v>42349</v>
      </c>
      <c r="G65" s="54">
        <v>20.98</v>
      </c>
      <c r="H65" s="54">
        <v>20.61</v>
      </c>
      <c r="I65" s="54">
        <v>21.28</v>
      </c>
      <c r="J65" s="54">
        <v>22.21</v>
      </c>
      <c r="K65" s="54">
        <v>22.04</v>
      </c>
      <c r="L65" s="54">
        <v>20.67</v>
      </c>
      <c r="M65" s="54">
        <v>22.14</v>
      </c>
      <c r="N65" s="54">
        <v>22.21</v>
      </c>
      <c r="O65" s="54">
        <v>22.37</v>
      </c>
      <c r="P65" s="54">
        <v>21.87</v>
      </c>
      <c r="Q65" s="54">
        <v>21.06</v>
      </c>
      <c r="R65" s="54">
        <v>23.32</v>
      </c>
      <c r="S65" s="54">
        <v>22.26</v>
      </c>
      <c r="T65" s="54">
        <v>21.38</v>
      </c>
      <c r="U65" s="54">
        <v>23.21</v>
      </c>
      <c r="V65" s="54">
        <v>22.4</v>
      </c>
      <c r="W65" s="54">
        <v>22.51</v>
      </c>
      <c r="X65" s="54">
        <v>23.68</v>
      </c>
      <c r="Y65" s="54">
        <v>27.12</v>
      </c>
      <c r="AC65">
        <v>22.28</v>
      </c>
    </row>
    <row r="66" spans="6:29" x14ac:dyDescent="0.2">
      <c r="F66" s="6">
        <v>42398</v>
      </c>
      <c r="G66">
        <v>19.39</v>
      </c>
      <c r="H66">
        <v>19.05</v>
      </c>
      <c r="I66">
        <v>18.329999999999998</v>
      </c>
      <c r="J66">
        <v>19.98</v>
      </c>
      <c r="K66">
        <v>19.93</v>
      </c>
      <c r="L66">
        <v>18.420000000000002</v>
      </c>
      <c r="M66">
        <v>19.09</v>
      </c>
      <c r="N66">
        <v>19.98</v>
      </c>
      <c r="O66">
        <v>20.010000000000002</v>
      </c>
      <c r="P66">
        <v>19.489999999999998</v>
      </c>
      <c r="Q66">
        <v>18.68</v>
      </c>
      <c r="R66">
        <v>21.1</v>
      </c>
      <c r="S66">
        <v>20.05</v>
      </c>
      <c r="T66">
        <v>19.100000000000001</v>
      </c>
      <c r="U66">
        <v>21.23</v>
      </c>
      <c r="V66">
        <v>20.34</v>
      </c>
      <c r="W66">
        <v>21.51</v>
      </c>
      <c r="X66">
        <v>22.75</v>
      </c>
      <c r="Y66">
        <v>26.47</v>
      </c>
      <c r="AC66">
        <v>20.260000000000002</v>
      </c>
    </row>
    <row r="67" spans="6:29" x14ac:dyDescent="0.2">
      <c r="F67" s="6">
        <v>42429</v>
      </c>
      <c r="G67">
        <v>18.16</v>
      </c>
      <c r="H67">
        <v>18.16</v>
      </c>
      <c r="I67">
        <v>16.760000000000002</v>
      </c>
      <c r="J67">
        <v>18.760000000000002</v>
      </c>
      <c r="K67">
        <v>18.78</v>
      </c>
      <c r="L67">
        <v>17.329999999999998</v>
      </c>
      <c r="M67">
        <v>17.7</v>
      </c>
      <c r="N67">
        <v>18.760000000000002</v>
      </c>
      <c r="O67">
        <v>18.88</v>
      </c>
      <c r="P67">
        <v>18.399999999999999</v>
      </c>
      <c r="Q67">
        <v>17.649999999999999</v>
      </c>
      <c r="R67">
        <v>20.21</v>
      </c>
      <c r="S67">
        <v>19.11</v>
      </c>
      <c r="T67">
        <v>18.18</v>
      </c>
      <c r="U67">
        <v>20.56</v>
      </c>
      <c r="V67">
        <v>19.48</v>
      </c>
      <c r="W67">
        <v>21.35</v>
      </c>
      <c r="X67">
        <v>22.86</v>
      </c>
      <c r="Y67">
        <v>26.72</v>
      </c>
      <c r="AC67">
        <v>19.36</v>
      </c>
    </row>
    <row r="68" spans="6:29" x14ac:dyDescent="0.2">
      <c r="F68" s="6">
        <v>42460</v>
      </c>
      <c r="G68">
        <v>18.440000000000001</v>
      </c>
      <c r="H68">
        <v>18.41</v>
      </c>
      <c r="I68">
        <v>16.95</v>
      </c>
      <c r="J68">
        <v>19.03</v>
      </c>
      <c r="K68">
        <v>19</v>
      </c>
      <c r="L68">
        <v>17.62</v>
      </c>
      <c r="M68">
        <v>17.96</v>
      </c>
      <c r="N68">
        <v>19.03</v>
      </c>
      <c r="O68">
        <v>19.38</v>
      </c>
      <c r="P68">
        <v>18.899999999999999</v>
      </c>
      <c r="Q68">
        <v>18.09</v>
      </c>
      <c r="R68">
        <v>20.47</v>
      </c>
      <c r="S68">
        <v>19.38</v>
      </c>
      <c r="T68">
        <v>18.47</v>
      </c>
      <c r="U68">
        <v>20.58</v>
      </c>
      <c r="V68">
        <v>19.510000000000002</v>
      </c>
      <c r="W68">
        <v>21.77</v>
      </c>
      <c r="X68">
        <v>23.3</v>
      </c>
      <c r="Y68">
        <v>27.26</v>
      </c>
    </row>
    <row r="69" spans="6:29" x14ac:dyDescent="0.2">
      <c r="F69" s="6">
        <v>42489</v>
      </c>
      <c r="G69">
        <v>18.54</v>
      </c>
      <c r="H69">
        <v>18.46</v>
      </c>
      <c r="I69">
        <v>16.989999999999998</v>
      </c>
      <c r="J69">
        <v>19.13</v>
      </c>
      <c r="K69">
        <v>19.04</v>
      </c>
      <c r="L69">
        <v>17.649999999999999</v>
      </c>
      <c r="M69">
        <v>18.16</v>
      </c>
      <c r="N69">
        <v>19.13</v>
      </c>
      <c r="O69">
        <v>19.61</v>
      </c>
      <c r="P69">
        <v>19.22</v>
      </c>
      <c r="Q69">
        <v>18.3</v>
      </c>
      <c r="R69">
        <v>20.75</v>
      </c>
      <c r="S69">
        <v>19.64</v>
      </c>
      <c r="T69">
        <v>18.7</v>
      </c>
      <c r="U69">
        <v>20.62</v>
      </c>
      <c r="V69">
        <v>19.64</v>
      </c>
      <c r="W69">
        <v>22.26</v>
      </c>
      <c r="X69">
        <v>23.8</v>
      </c>
      <c r="Y69">
        <v>27.81</v>
      </c>
      <c r="AC69">
        <v>19.87</v>
      </c>
    </row>
    <row r="70" spans="6:29" x14ac:dyDescent="0.2">
      <c r="F70" s="5">
        <v>42521</v>
      </c>
      <c r="G70" s="29">
        <v>18.67396433</v>
      </c>
      <c r="H70" s="36">
        <v>18.61146433</v>
      </c>
      <c r="I70" s="44">
        <v>17.13785322</v>
      </c>
      <c r="J70" s="45">
        <v>19.23160322</v>
      </c>
      <c r="K70" s="30">
        <v>19.090972220000001</v>
      </c>
      <c r="L70" s="36">
        <v>17.70035322</v>
      </c>
      <c r="M70" s="44">
        <v>18.35174211</v>
      </c>
      <c r="N70" s="45">
        <v>19.23160322</v>
      </c>
      <c r="O70" s="30">
        <v>19.78924211</v>
      </c>
      <c r="P70" s="30">
        <v>19.398611110000001</v>
      </c>
      <c r="Q70" s="36">
        <v>18.461111110000001</v>
      </c>
      <c r="R70" s="29">
        <v>20.909381</v>
      </c>
      <c r="S70" s="30">
        <v>19.8</v>
      </c>
      <c r="T70" s="36">
        <v>18.893750000000001</v>
      </c>
      <c r="U70" s="29">
        <v>20.77951989</v>
      </c>
      <c r="V70" s="36">
        <v>19.81076989</v>
      </c>
      <c r="W70" s="37">
        <v>22.618408779999999</v>
      </c>
      <c r="X70" s="37">
        <v>24.269797669999999</v>
      </c>
      <c r="Y70" s="37">
        <v>28.31180556</v>
      </c>
      <c r="AC70" s="31">
        <v>20.056418578421052</v>
      </c>
    </row>
    <row r="71" spans="6:29" x14ac:dyDescent="0.2">
      <c r="F71" s="5">
        <v>42551</v>
      </c>
      <c r="G71" s="29">
        <v>16.627083330000001</v>
      </c>
      <c r="H71" s="36">
        <v>16.564583330000001</v>
      </c>
      <c r="I71" s="44">
        <v>14.590972219999999</v>
      </c>
      <c r="J71" s="45">
        <v>16.98160322</v>
      </c>
      <c r="K71" s="30">
        <v>16.903472220000001</v>
      </c>
      <c r="L71" s="36">
        <v>15.575352219999999</v>
      </c>
      <c r="M71" s="44">
        <v>16.007991109999999</v>
      </c>
      <c r="N71" s="45">
        <v>16.98160322</v>
      </c>
      <c r="O71" s="30">
        <v>17.60174211</v>
      </c>
      <c r="P71" s="30">
        <v>17.273611110000001</v>
      </c>
      <c r="Q71" s="36">
        <v>16.44549211</v>
      </c>
      <c r="R71" s="29">
        <v>18.909381</v>
      </c>
      <c r="S71" s="30">
        <v>17.8</v>
      </c>
      <c r="T71" s="36">
        <v>17.065631</v>
      </c>
      <c r="U71" s="29">
        <v>19.07638889</v>
      </c>
      <c r="V71" s="36">
        <v>18.23263889</v>
      </c>
      <c r="W71" s="37">
        <v>21.85277778</v>
      </c>
      <c r="X71" s="37">
        <v>23.66041667</v>
      </c>
      <c r="Y71" s="37">
        <v>27.90555556</v>
      </c>
      <c r="AC71" s="31">
        <v>18.21348926263158</v>
      </c>
    </row>
    <row r="72" spans="6:29" x14ac:dyDescent="0.2">
      <c r="F72" s="5">
        <v>42580</v>
      </c>
      <c r="G72" s="29">
        <v>15.68958333</v>
      </c>
      <c r="H72" s="36">
        <v>15.50208333</v>
      </c>
      <c r="I72" s="44">
        <v>13.825352219999999</v>
      </c>
      <c r="J72" s="45">
        <v>16.169102219999999</v>
      </c>
      <c r="K72" s="30">
        <v>16.122222220000001</v>
      </c>
      <c r="L72" s="36">
        <v>14.856602219999999</v>
      </c>
      <c r="M72" s="44">
        <v>15.398611109999999</v>
      </c>
      <c r="N72" s="45">
        <v>16.169102219999999</v>
      </c>
      <c r="O72" s="30">
        <v>17.03924211</v>
      </c>
      <c r="P72" s="30">
        <v>16.69549211</v>
      </c>
      <c r="Q72" s="36">
        <v>15.976741109999999</v>
      </c>
      <c r="R72" s="29">
        <v>18.409381</v>
      </c>
      <c r="S72" s="30">
        <v>17.3</v>
      </c>
      <c r="T72" s="36">
        <v>16.612500000000001</v>
      </c>
      <c r="U72" s="29">
        <v>18.74826989</v>
      </c>
      <c r="V72" s="36">
        <v>17.90451989</v>
      </c>
      <c r="W72" s="37">
        <v>21.993408779999999</v>
      </c>
      <c r="X72" s="37">
        <v>23.87916667</v>
      </c>
      <c r="Y72" s="37">
        <v>28.15555556</v>
      </c>
      <c r="AC72" s="31">
        <v>17.707733473157894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5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2016-08-03T16:22:56Z</dcterms:modified>
</cp:coreProperties>
</file>